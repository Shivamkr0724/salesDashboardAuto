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whatsapp" sheetId="2" r:id="rId6"/>
    <sheet state="visible" name="Pivot Table 28" sheetId="3" r:id="rId7"/>
    <sheet state="visible" name="Pivot Table 27" sheetId="4" r:id="rId8"/>
    <sheet state="visible" name="Mapping" sheetId="5" r:id="rId9"/>
    <sheet state="visible" name="Pivot Table 25" sheetId="6" r:id="rId10"/>
    <sheet state="visible" name="Pivot Table 24" sheetId="7" r:id="rId11"/>
    <sheet state="visible" name="Pivot Table 22" sheetId="8" r:id="rId12"/>
    <sheet state="visible" name="Pivot Table 23" sheetId="9" r:id="rId13"/>
    <sheet state="visible" name="Pivot Table 21" sheetId="10" r:id="rId14"/>
    <sheet state="visible" name="total" sheetId="11" r:id="rId15"/>
    <sheet state="visible" name="Pivot Table 16" sheetId="12" r:id="rId16"/>
    <sheet state="visible" name="Sheet13" sheetId="13" r:id="rId17"/>
    <sheet state="visible" name="Sheet11" sheetId="14" r:id="rId18"/>
    <sheet state="visible" name="Pivot Table 13" sheetId="15" r:id="rId19"/>
    <sheet state="visible" name="Sheet10" sheetId="16" r:id="rId20"/>
    <sheet state="visible" name="Pivot Table 11" sheetId="17" r:id="rId21"/>
    <sheet state="visible" name="Detail12-Zone 4 Hi-tech City-Hi" sheetId="18" r:id="rId22"/>
    <sheet state="visible" name="Visits" sheetId="19" r:id="rId23"/>
    <sheet state="visible" name="Agreement Collected" sheetId="20" r:id="rId24"/>
    <sheet state="visible" name="Detail9-10022026" sheetId="21" r:id="rId25"/>
    <sheet state="visible" name="Detail8-05022026" sheetId="22" r:id="rId26"/>
    <sheet state="visible" name="Detail7-13022026" sheetId="23" r:id="rId27"/>
  </sheets>
  <definedNames>
    <definedName hidden="1" localSheetId="2" name="_xlnm._FilterDatabase">'Pivot Table 28'!$A$34:$Z$64</definedName>
    <definedName hidden="1" localSheetId="4" name="_xlnm._FilterDatabase">Mapping!$D$2:$F$58</definedName>
    <definedName hidden="1" localSheetId="5" name="_xlnm._FilterDatabase">'Pivot Table 25'!$A$403:$Z$801</definedName>
    <definedName hidden="1" localSheetId="6" name="_xlnm._FilterDatabase">'Pivot Table 24'!$A$477:$Z$942</definedName>
    <definedName hidden="1" localSheetId="21" name="_xlnm._FilterDatabase">'Detail8-05022026'!$A$1:$BJ$10</definedName>
    <definedName hidden="1" localSheetId="22" name="_xlnm._FilterDatabase">'Detail7-13022026'!$A$1:$BJ$18</definedName>
    <definedName hidden="1" localSheetId="0" name="Z_CAD78B9C_1BFD_4B5F_BD6B_652BF94B0155_.wvu.FilterData">Sheet1!$A$1:$AR$1005</definedName>
    <definedName hidden="1" localSheetId="0" name="Z_928D8FC0_B501_44EB_BE18_A9C82CF80C1D_.wvu.FilterData">Sheet1!$A$1:$AR$1005</definedName>
    <definedName hidden="1" localSheetId="0" name="Z_62741777_ED0F_410E_B423_36A65B9E39FD_.wvu.FilterData">Sheet1!$A$1:$AR$1005</definedName>
  </definedNames>
  <calcPr/>
  <customWorkbookViews>
    <customWorkbookView activeSheetId="0" maximized="1" windowHeight="0" windowWidth="0" guid="{CAD78B9C-1BFD-4B5F-BD6B-652BF94B0155}" name="Filter 2"/>
    <customWorkbookView activeSheetId="0" maximized="1" windowHeight="0" windowWidth="0" guid="{62741777-ED0F-410E-B423-36A65B9E39FD}" name="Filter 3"/>
    <customWorkbookView activeSheetId="0" maximized="1" windowHeight="0" windowWidth="0" guid="{928D8FC0-B501-44EB-BE18-A9C82CF80C1D}" name="Filter 1"/>
  </customWorkbookViews>
  <pivotCaches>
    <pivotCache cacheId="0" r:id="rId28"/>
    <pivotCache cacheId="1" r:id="rId29"/>
    <pivotCache cacheId="2" r:id="rId30"/>
    <pivotCache cacheId="3" r:id="rId31"/>
    <pivotCache cacheId="4" r:id="rId32"/>
    <pivotCache cacheId="5" r:id="rId33"/>
    <pivotCache cacheId="6" r:id="rId34"/>
    <pivotCache cacheId="7" r:id="rId35"/>
    <pivotCache cacheId="8" r:id="rId36"/>
    <pivotCache cacheId="9" r:id="rId37"/>
  </pivotCaches>
</workbook>
</file>

<file path=xl/sharedStrings.xml><?xml version="1.0" encoding="utf-8"?>
<sst xmlns="http://schemas.openxmlformats.org/spreadsheetml/2006/main" count="23697" uniqueCount="8030">
  <si>
    <t>Date</t>
  </si>
  <si>
    <t>Restaurant Name</t>
  </si>
  <si>
    <t>RM/KAM</t>
  </si>
  <si>
    <t>Type of Ownership</t>
  </si>
  <si>
    <t>Address</t>
  </si>
  <si>
    <t>Signing Authority</t>
  </si>
  <si>
    <t>Pincode</t>
  </si>
  <si>
    <t>Locality</t>
  </si>
  <si>
    <t>Region</t>
  </si>
  <si>
    <t>Zone</t>
  </si>
  <si>
    <t>Service fees</t>
  </si>
  <si>
    <t>Service Fees Bucket</t>
  </si>
  <si>
    <t>Payment Gateway Charges</t>
  </si>
  <si>
    <t>Long Distance Charges %</t>
  </si>
  <si>
    <t>Legal Entity Name</t>
  </si>
  <si>
    <t>Legal Entity Address</t>
  </si>
  <si>
    <t>Contact Person</t>
  </si>
  <si>
    <t>Phone no.</t>
  </si>
  <si>
    <t>Email ID</t>
  </si>
  <si>
    <t>Benficiary name</t>
  </si>
  <si>
    <t>Bank Name</t>
  </si>
  <si>
    <t>Account Number</t>
  </si>
  <si>
    <t>IFSC Code</t>
  </si>
  <si>
    <t>Account Type</t>
  </si>
  <si>
    <t>FSSAI</t>
  </si>
  <si>
    <t>GST</t>
  </si>
  <si>
    <t>PAN</t>
  </si>
  <si>
    <t>CHEQUE</t>
  </si>
  <si>
    <t>MENU</t>
  </si>
  <si>
    <t>LABOUR LINCENSE</t>
  </si>
  <si>
    <t>Drive Link</t>
  </si>
  <si>
    <t>Map Co-ordinates</t>
  </si>
  <si>
    <t>LOCALITY AREA</t>
  </si>
  <si>
    <t>Remarks</t>
  </si>
  <si>
    <t>Remarks 2</t>
  </si>
  <si>
    <t>Column 35</t>
  </si>
  <si>
    <t>Column 36</t>
  </si>
  <si>
    <t>Column 37</t>
  </si>
  <si>
    <t>Column 38</t>
  </si>
  <si>
    <t>Column 39</t>
  </si>
  <si>
    <t>Column 40</t>
  </si>
  <si>
    <t>Column 41</t>
  </si>
  <si>
    <t>Column 42</t>
  </si>
  <si>
    <t>Column 43</t>
  </si>
  <si>
    <t>Mohammed minhaj uddin(Fancy Ice Cream)</t>
  </si>
  <si>
    <t>nitya.akshara@capsdelivery.com</t>
  </si>
  <si>
    <t>Proprietorship</t>
  </si>
  <si>
    <t xml:space="preserve">Rs complex vijayanagar colony near anjuman deendar back gate,masab tank,hyd </t>
  </si>
  <si>
    <t>Mohammed minhaj uddin</t>
  </si>
  <si>
    <t>Masab Tank</t>
  </si>
  <si>
    <t>Zone 1 Mehdipatnam</t>
  </si>
  <si>
    <t>Rs complex vijayanagar colony near anjuman deendar back gate,masab tank,hyd 500057</t>
  </si>
  <si>
    <t>9949583785</t>
  </si>
  <si>
    <t>minhajsmarty@gmail.com</t>
  </si>
  <si>
    <t>Bank of Borada</t>
  </si>
  <si>
    <t>BARBOVJVCHY</t>
  </si>
  <si>
    <t>Savings Account</t>
  </si>
  <si>
    <t>Yes</t>
  </si>
  <si>
    <t>No</t>
  </si>
  <si>
    <t>R and B hospitality (Lebanese Grill)</t>
  </si>
  <si>
    <t>manasa.chigurupati@capsdelivery.com</t>
  </si>
  <si>
    <t>Partnership</t>
  </si>
  <si>
    <t>12-2-825/2, Mehdipatnam</t>
  </si>
  <si>
    <t>M.A aqeel</t>
  </si>
  <si>
    <t>Mehdipatnam</t>
  </si>
  <si>
    <t>R and B hospitality</t>
  </si>
  <si>
    <t>9618659036</t>
  </si>
  <si>
    <t>theoriginalgrill03@gmail.com</t>
  </si>
  <si>
    <t>not mentioned</t>
  </si>
  <si>
    <t>NA</t>
  </si>
  <si>
    <t>https://drive.google.com/drive/folders/1LEmpLQPhgga4iNmw8DK8oKC7Z9adVo_Z</t>
  </si>
  <si>
    <t>Not Uploaded</t>
  </si>
  <si>
    <t>Rahat Restaurant</t>
  </si>
  <si>
    <t>ankitha.baske@capsdelivery.com</t>
  </si>
  <si>
    <t>12-2-486,4/7,Tappa Chabutra rd, asif nagar</t>
  </si>
  <si>
    <t>Mohammed Arshad</t>
  </si>
  <si>
    <t>8686561072</t>
  </si>
  <si>
    <t>prinzzarshad@gamil.com</t>
  </si>
  <si>
    <t>Airtel Bank</t>
  </si>
  <si>
    <t>AIRP0000001</t>
  </si>
  <si>
    <t>Current Account</t>
  </si>
  <si>
    <t xml:space="preserve">switch off </t>
  </si>
  <si>
    <t>Alkemy</t>
  </si>
  <si>
    <t>kismatpur, survey 132,alkemy, 1/2 near prestige royal woods, abhyudaya nagar,dargah khaleejkhan</t>
  </si>
  <si>
    <t>Naika Amena</t>
  </si>
  <si>
    <t>Kismathpur</t>
  </si>
  <si>
    <t>Zone 2 Jubliee hils</t>
  </si>
  <si>
    <t>alkemy</t>
  </si>
  <si>
    <t>survey 132,alkemy, 1/2 near prestige royal woods, abhyudaya nagar,dargah khaleejkhan</t>
  </si>
  <si>
    <t>8977918331</t>
  </si>
  <si>
    <t>alkemy.ind@gmail.com</t>
  </si>
  <si>
    <t xml:space="preserve">Hdfc bank </t>
  </si>
  <si>
    <t>HDFC0005853</t>
  </si>
  <si>
    <t>https://drive.google.com/drive/folders/1hu60tEHn9OQubLStFBH50kklrc1mSCAQ</t>
  </si>
  <si>
    <t xml:space="preserve">Checked </t>
  </si>
  <si>
    <t>Begum ki briyani</t>
  </si>
  <si>
    <t>madhumitha.sonnakula@capsdelivery.com</t>
  </si>
  <si>
    <t>Attapur, Hyderabad</t>
  </si>
  <si>
    <t>Syed Ameer Hussain</t>
  </si>
  <si>
    <t>Attapur</t>
  </si>
  <si>
    <t>Tahaan foods private limited</t>
  </si>
  <si>
    <t>syno:32,plot no 7,pillar no 242,suleman nagar,attapur 500031</t>
  </si>
  <si>
    <t>8121007155</t>
  </si>
  <si>
    <t>ameersyed131@gmail.com</t>
  </si>
  <si>
    <t>Shabana Begum</t>
  </si>
  <si>
    <t>Kotak mahindra bank</t>
  </si>
  <si>
    <t>KKBK0007487</t>
  </si>
  <si>
    <t>https://drive.google.com/drive/folders/10dJbKX5ksSDh27Q6F7Vv--1oAZHBxtZz?usp=drive_link</t>
  </si>
  <si>
    <t xml:space="preserve">number does not exist </t>
  </si>
  <si>
    <t xml:space="preserve">Jusvous </t>
  </si>
  <si>
    <t>Jusvous</t>
  </si>
  <si>
    <t>syno:32,plot no 7,pillar no 242,suleman nagar,attapur 500030</t>
  </si>
  <si>
    <t>9701168269</t>
  </si>
  <si>
    <t>shabanaameer131@gmail.com</t>
  </si>
  <si>
    <t>https://drive.google.com/drive/folders/1HsJMgJiTpKMJBeM_QGp1o0L2blqry1_p?usp=drive_link</t>
  </si>
  <si>
    <t>New farmaish Restaurant</t>
  </si>
  <si>
    <t>Banglaguda plot no 13/a bandlaguda,rahendranagar</t>
  </si>
  <si>
    <t>Bandlaguda</t>
  </si>
  <si>
    <t>Banglaguda plot no 13/a banglaguda,rahendranagar,500091</t>
  </si>
  <si>
    <t>Axis Bank</t>
  </si>
  <si>
    <t>UTIB0004826</t>
  </si>
  <si>
    <t>coperate account</t>
  </si>
  <si>
    <t>https://drive.google.com/drive/folders/1fCUi5DR9A9LINTfSuXKP6MhAbwgu-JhO?usp=drive_link</t>
  </si>
  <si>
    <t xml:space="preserve">Waffle station </t>
  </si>
  <si>
    <t>survey no.37,himayath sagar village bandlaguda jagir muncipal corporation gandipet mandal</t>
  </si>
  <si>
    <t>Mohd Shoieb</t>
  </si>
  <si>
    <t>Gandipet</t>
  </si>
  <si>
    <t>Waffle station</t>
  </si>
  <si>
    <t>survey no.37,himayath sagar village bondlaguda jagir muncipal corporation gandipet mandal-500091</t>
  </si>
  <si>
    <t>9398554461</t>
  </si>
  <si>
    <t>mmshoieb786@gmail.com</t>
  </si>
  <si>
    <t>State Bank of India</t>
  </si>
  <si>
    <t>SBIN0008026</t>
  </si>
  <si>
    <t>https://drive.google.com/drive/folders/1ulPwAwYgA1k4f0sUZ1XbFUA0_rXx2Rcr</t>
  </si>
  <si>
    <t>Al rawaf home made dishes</t>
  </si>
  <si>
    <t>Hakeem shah colony,tolichowki,hyderabad</t>
  </si>
  <si>
    <t>Asfiya sulthana</t>
  </si>
  <si>
    <t>Tolichowki</t>
  </si>
  <si>
    <t>Mohammed rizwan qureshi</t>
  </si>
  <si>
    <t>8121586490</t>
  </si>
  <si>
    <t>anasriyanmohammed@gmail.com</t>
  </si>
  <si>
    <t>SBIN0005095</t>
  </si>
  <si>
    <t>https://drive.google.com/drive/folders/1smCsR9G_YgZE_fKEqCXQq0ImYMzTeQTL</t>
  </si>
  <si>
    <t>Bhojanams and biryani</t>
  </si>
  <si>
    <t>chanakya.inugala@capsdelivery.com</t>
  </si>
  <si>
    <t>plot no.87,swamy ayyappa society,madhapur,hyd</t>
  </si>
  <si>
    <t>Katragadda Shesha sai</t>
  </si>
  <si>
    <t>Madhapur</t>
  </si>
  <si>
    <t>Zone 4 Hi-tech City</t>
  </si>
  <si>
    <t>M/s. invences foods Bhojanams and biryani</t>
  </si>
  <si>
    <t>plot no.87,swamy ayyappa society,madhapur,hyd,500085</t>
  </si>
  <si>
    <t>9052592437</t>
  </si>
  <si>
    <t>sheshasai.katragadda@gmail.com</t>
  </si>
  <si>
    <t>Invences foods</t>
  </si>
  <si>
    <t>IDFC Bank</t>
  </si>
  <si>
    <t>IDFB0080231</t>
  </si>
  <si>
    <t>https://www.google.com/maps/place/Bhojanams+%26+Biryanis/@17.4468252,78.3895983,17z/data=!3m1!4b1!4m6!3m5!1s0x3bcb91687dc6785f:0x9d238a8fc18acf44!8m2!3d17.4468201!4d78.3921732!16s%2Fg%2F11fgjxmc9s?entry=ttu&amp;g_ep=EgoyMDI2MDIxMS4wIKXMDSoASAFQAw%3D%3D</t>
  </si>
  <si>
    <t>Bhuvan's kitchen</t>
  </si>
  <si>
    <r>
      <rPr>
        <color rgb="FF1155CC"/>
        <u/>
      </rPr>
      <t>H.no</t>
    </r>
    <r>
      <rPr/>
      <t>:6-331192/1/g/3 block-1 ground floor white house,kundanbagh,begumpet</t>
    </r>
  </si>
  <si>
    <t>K.Rama Rao</t>
  </si>
  <si>
    <t>Begumpet</t>
  </si>
  <si>
    <t>Zone 6 Ameerpet</t>
  </si>
  <si>
    <t>H.no:6-331192/1/g/3 block-1 ground floor white house,kundanbagh,begumpet,500082</t>
  </si>
  <si>
    <t>9030611616</t>
  </si>
  <si>
    <t>bhuvanskitchen25@gmail.com</t>
  </si>
  <si>
    <t>Ravindra babu tadiboyina</t>
  </si>
  <si>
    <t>HDFC0010090</t>
  </si>
  <si>
    <t>https://drive.google.com/drive/folders/1KNPeVcsMJ0WDp5KH6nSS-MfsJEjo5gEl</t>
  </si>
  <si>
    <t>Biryani N biryani</t>
  </si>
  <si>
    <t>13-6-798/1/1,bapughat langa howz circle,13 hyd</t>
  </si>
  <si>
    <t>Raguveer</t>
  </si>
  <si>
    <t>Langer houz</t>
  </si>
  <si>
    <t>9963122625</t>
  </si>
  <si>
    <t>munnoorraghuveer@gmail.com</t>
  </si>
  <si>
    <t>https://drive.google.com/drive/folders/1YsOVORTRLFpXHAUJiIrmFhshAi8DDIee?usp=drive_link</t>
  </si>
  <si>
    <t>Bob's biryani</t>
  </si>
  <si>
    <t>1-8-370and372 abhishek scan center,2nd floor near huda office,begumpet</t>
  </si>
  <si>
    <t>Paul kumar</t>
  </si>
  <si>
    <t>1-8-370and372 abhishek scan center,2nd floor near huda office,begumpet,500016</t>
  </si>
  <si>
    <t>9100777133</t>
  </si>
  <si>
    <t>bobsbiriyani07@gmail.com</t>
  </si>
  <si>
    <t>Paul kumar rapaka</t>
  </si>
  <si>
    <t>Telangana state cooperative apex bank ltd</t>
  </si>
  <si>
    <t>TSAB0000111</t>
  </si>
  <si>
    <t>https://drive.google.com/drive/folders/16PzSygeOLaXCa7wt2mKHTfEYFJ3Y9ChJ</t>
  </si>
  <si>
    <t>Eastin hotels</t>
  </si>
  <si>
    <t>parthive.maganti@capsdelivery.com</t>
  </si>
  <si>
    <t>2-52/1/3 hitech city rd,phase 2,kaveri hills madhapur,hyd</t>
  </si>
  <si>
    <t>Bargava.B</t>
  </si>
  <si>
    <t>1-65-f,survey no.6,madhpur,gutlala begumpet,hyderabad,500081</t>
  </si>
  <si>
    <t>vamsi</t>
  </si>
  <si>
    <t>9177285333</t>
  </si>
  <si>
    <t>info@easrinhotels.in</t>
  </si>
  <si>
    <t>Eastin hotels and resorts</t>
  </si>
  <si>
    <t>ICICI BANK</t>
  </si>
  <si>
    <t>ICIC0001120</t>
  </si>
  <si>
    <t>Eastin Hotel</t>
  </si>
  <si>
    <t>https://maps.app.goo.gl/7kDCtkQs6d4Hwruc8?g_st=iw</t>
  </si>
  <si>
    <t>checked</t>
  </si>
  <si>
    <t>Ns bakers</t>
  </si>
  <si>
    <t>akhila.narra@capsdelivery.com</t>
  </si>
  <si>
    <r>
      <rPr>
        <color rgb="FF1155CC"/>
        <u/>
      </rPr>
      <t>H.no</t>
    </r>
    <r>
      <rPr/>
      <t>:7-1-455/23/12,Ameerpet gurudwara road, telangana,</t>
    </r>
  </si>
  <si>
    <t>Gardas saritha</t>
  </si>
  <si>
    <t>Ameerpet</t>
  </si>
  <si>
    <t>Ns bakers,Gardas saritha</t>
  </si>
  <si>
    <t>H.no:7-1-455/23/12,Ameerpet gurudwara road</t>
  </si>
  <si>
    <t>9985000567</t>
  </si>
  <si>
    <t>gardasnagesh34@gmail.com</t>
  </si>
  <si>
    <t>SBIN0010676</t>
  </si>
  <si>
    <t>Om Vaishnav Enterprise</t>
  </si>
  <si>
    <t xml:space="preserve">bus shelter stall,bus bay premises on sp road,opp anand theater and piller non1292, sindhi colony,begumpet </t>
  </si>
  <si>
    <t>Kuna Vaishnav</t>
  </si>
  <si>
    <t>bus shelter stall,bus bay premises on sp road,opp anand theater and piller non1292, sindhi colony,begumpet ,500003</t>
  </si>
  <si>
    <t>9014176534</t>
  </si>
  <si>
    <t>kunavyshnav@gmail.com</t>
  </si>
  <si>
    <t>Yes Bank</t>
  </si>
  <si>
    <t>YESB0001001</t>
  </si>
  <si>
    <t>https://drive.google.com/drive/folders/1Bcpf2nTkRm8vyXXW6mpna2LwmGTtAnVJ</t>
  </si>
  <si>
    <t>Pandu fast food center</t>
  </si>
  <si>
    <t>B41/f5 shop no.3 ps nagar,vijay nagar</t>
  </si>
  <si>
    <t>Yelgani sai kumar goud</t>
  </si>
  <si>
    <t>D.no: b41/f5 shop no.3 ps nagar,500057</t>
  </si>
  <si>
    <t>Yelgani sai kumar</t>
  </si>
  <si>
    <t>9030518803</t>
  </si>
  <si>
    <t>rebalsaikumargoud@gmail.com</t>
  </si>
  <si>
    <t>Centeal bank of india</t>
  </si>
  <si>
    <t>CBIN0283883</t>
  </si>
  <si>
    <t>https://drive.google.com/drive/folders/16Pqgac9j1zbGysD70GA0bsI2nEml5nxG?usp=drive_link</t>
  </si>
  <si>
    <t xml:space="preserve">Sunrise </t>
  </si>
  <si>
    <r>
      <rPr>
        <color rgb="FF1155CC"/>
        <u/>
      </rPr>
      <t>H.no:325/2rt</t>
    </r>
    <r>
      <rPr/>
      <t>,sanjeev reddy nagar,umeshchandra statue</t>
    </r>
  </si>
  <si>
    <t>veeram reddy seetharam reddy</t>
  </si>
  <si>
    <t>S.R Nagar</t>
  </si>
  <si>
    <t>Sunrise</t>
  </si>
  <si>
    <t>H.no:325/2rt,sanjeev reddy nagar,umeshchandra statue road,s.r nagar hyd 500038</t>
  </si>
  <si>
    <t>8989873636</t>
  </si>
  <si>
    <t>bowlrise.srnagaar@gmail.com</t>
  </si>
  <si>
    <t>For aarav sunrise hospitalitfes</t>
  </si>
  <si>
    <t>ICIC0008037</t>
  </si>
  <si>
    <t>Sunrise Hotel</t>
  </si>
  <si>
    <t>Sunrise Business Hotel</t>
  </si>
  <si>
    <t>Vaarahi fast food and tiffins</t>
  </si>
  <si>
    <t>greeshma.vanneldas@capsdelivery.com</t>
  </si>
  <si>
    <t>plot no.111,60ft road swamy ayyappa society,megha hills,khanamet,madhapur,hyd</t>
  </si>
  <si>
    <t>Divvela sri mahalakshmi</t>
  </si>
  <si>
    <t>Prashanth</t>
  </si>
  <si>
    <t>8555825704</t>
  </si>
  <si>
    <t>Today by EOD</t>
  </si>
  <si>
    <t>Zyras Biryani house</t>
  </si>
  <si>
    <t>moin.khan@capsdelivery.com</t>
  </si>
  <si>
    <t>plot no.03-805,shop no.2 ground floor M and M elite home,sri swamy ayyappa co-op Hs madhapur,hyd</t>
  </si>
  <si>
    <t>Natva Santosh kumar</t>
  </si>
  <si>
    <t>plot no.03-805,shop no.2 ground floor M and M elite home,sri swamy ayyappa co-op Hs madhapur,hyd,500081</t>
  </si>
  <si>
    <t>6302181276</t>
  </si>
  <si>
    <t>nsantosh086@gmail.com</t>
  </si>
  <si>
    <t>kotak mahindra bank</t>
  </si>
  <si>
    <t>KKBK0000561</t>
  </si>
  <si>
    <t>https://drive.google.com/drive/folders/1UCJPJOZGe8jeYMBocwtl6TwiAGnpIlby?usp=sharing</t>
  </si>
  <si>
    <t>Alankrutha multi cuisine Restaurant</t>
  </si>
  <si>
    <t>proprietorship</t>
  </si>
  <si>
    <t>plot no-1206,madhapur,kondukur,rangareddy,telangana</t>
  </si>
  <si>
    <t>chatne akash</t>
  </si>
  <si>
    <t>plot no-1206,madhapur,kondukur,rangareddy,telangana,500081</t>
  </si>
  <si>
    <t>8341514984</t>
  </si>
  <si>
    <t>cakash121@gmail.com</t>
  </si>
  <si>
    <t>BARBODBMDHP</t>
  </si>
  <si>
    <t>https://drive.google.com/drive/folders/1vjzFqzXaDbk0UgQjX9vk9TtWw7QA1ZRo?usp=drive_link</t>
  </si>
  <si>
    <t>Alnkarutha multicusine Restaurant</t>
  </si>
  <si>
    <t>plot no.1206,madhapur,kandukur,rangareddy, telangana</t>
  </si>
  <si>
    <t>Chatne akash</t>
  </si>
  <si>
    <t>plot no.1206,madhapur,kandukur,rangareddy, telangana-500081</t>
  </si>
  <si>
    <t>Ankapur Military Hotel Madhapur</t>
  </si>
  <si>
    <t>Merchant asked to visit directly &amp; explain the details.</t>
  </si>
  <si>
    <t>Ankapur village a military hotel</t>
  </si>
  <si>
    <t>LLP</t>
  </si>
  <si>
    <t>1-98/2,durgam chervu,inorbit mall rd, hyd</t>
  </si>
  <si>
    <t>Ankapur village hotels llp</t>
  </si>
  <si>
    <t>H.no:1-89/2/1/21,plot no-10,21,21/a,21/a, sy no.37,38,39,40,46,47 to 49,inorbit mall road, madhapur</t>
  </si>
  <si>
    <t>Venudhar reddy malakapalli</t>
  </si>
  <si>
    <t>9642883377</t>
  </si>
  <si>
    <t>venudharr@gmail.com</t>
  </si>
  <si>
    <t>Avhllp sambal</t>
  </si>
  <si>
    <t>HDFC0003739</t>
  </si>
  <si>
    <t xml:space="preserve">Ankapur village-a military hotel (kokapet) </t>
  </si>
  <si>
    <t>osman sagar, kokapet gandipet, hyd,telangana</t>
  </si>
  <si>
    <t>A unit of Ankapur village hotels llp</t>
  </si>
  <si>
    <t>s.v no.167/1,madhuri sadan osman nagar road,opp ocean park kokapet hyd</t>
  </si>
  <si>
    <t>Venudhar reddy</t>
  </si>
  <si>
    <t>8121040277</t>
  </si>
  <si>
    <t>Avhllp kokapet</t>
  </si>
  <si>
    <t>HDFC0000021</t>
  </si>
  <si>
    <t>Govindas cafe</t>
  </si>
  <si>
    <t>Trust(company)</t>
  </si>
  <si>
    <t>plot no.220,mushak mahal residential, attapur,hyd</t>
  </si>
  <si>
    <t>Sachinandan hari das</t>
  </si>
  <si>
    <t>plot no.220,mushak mahal residential complex huda,attapur,hyd</t>
  </si>
  <si>
    <t>9392038004</t>
  </si>
  <si>
    <t>admin.govindasatiskconattapur.com</t>
  </si>
  <si>
    <t>iskcon-Govindas</t>
  </si>
  <si>
    <t>https://drive.google.com/drive/folders/1dSwEyifkPxUG9QNgXPEPSPe9Wz37Yjpx</t>
  </si>
  <si>
    <t>Guntur Mess</t>
  </si>
  <si>
    <t>manikonda, ayyappa society</t>
  </si>
  <si>
    <t>Siva Rama Krishna</t>
  </si>
  <si>
    <t>Manikonda</t>
  </si>
  <si>
    <t>Zone 3 Raidurg</t>
  </si>
  <si>
    <t>9391167117</t>
  </si>
  <si>
    <t>shivakandavelli@gmail.com</t>
  </si>
  <si>
    <t>Kandavelli Siva Rama Krishna</t>
  </si>
  <si>
    <t>Unioun bank of india</t>
  </si>
  <si>
    <t>UBIN0813567</t>
  </si>
  <si>
    <t xml:space="preserve"> </t>
  </si>
  <si>
    <t>Today bt eod</t>
  </si>
  <si>
    <t>Lassi corner</t>
  </si>
  <si>
    <t>plot no 7,syno 17 ground floor R.R district 500047</t>
  </si>
  <si>
    <t>Ashok thapa,Vishu thapa</t>
  </si>
  <si>
    <t>plot no 7 ground floor,gandamguda 500045</t>
  </si>
  <si>
    <t>Ashok thapa</t>
  </si>
  <si>
    <t>7995109409</t>
  </si>
  <si>
    <t>vishnuthapaa@gmail.com</t>
  </si>
  <si>
    <r>
      <rPr>
        <color rgb="FF1155CC"/>
        <u/>
      </rPr>
      <t>h.no</t>
    </r>
    <r>
      <rPr/>
      <t>:1-98/6a/14,plot no 42 road no.3, patrikanagar hitech city,madhapur, hitech city</t>
    </r>
  </si>
  <si>
    <t>venudhar reddy</t>
  </si>
  <si>
    <t>Ankapur village-A military hotel</t>
  </si>
  <si>
    <t>h.no:1-98/6a/14,plot no 42 road no.3, patrikanagar hitech city,madhapur, hitech city</t>
  </si>
  <si>
    <t>7995854986</t>
  </si>
  <si>
    <t>Avhllp military hotel</t>
  </si>
  <si>
    <t>Namaste the Indian kitchen</t>
  </si>
  <si>
    <t>plot no. 501,sy no.11/14.11/15,11/16,khanamet village ayyappa society,htd</t>
  </si>
  <si>
    <t>V6 ventures LLP</t>
  </si>
  <si>
    <t>Bulding no/Flat no, sy no.64, mindspace road, madhapur</t>
  </si>
  <si>
    <t>Raghav</t>
  </si>
  <si>
    <t>9972901941</t>
  </si>
  <si>
    <t>V6 venturesllp@gmail.com</t>
  </si>
  <si>
    <t>ICIC0000040</t>
  </si>
  <si>
    <t>Anexure Missing</t>
  </si>
  <si>
    <t>Rayalaseema spice Restaurant</t>
  </si>
  <si>
    <t>plot no.1208,g1andg2,ground floor,ayyappa society,madhapur,hyd,telangan</t>
  </si>
  <si>
    <t>Pokuri prathyusha</t>
  </si>
  <si>
    <t>plot no.1208,g1andg2,ground floor,ayyappa society,madhapur,hyd,telangan,500081</t>
  </si>
  <si>
    <t>Narupu reddy</t>
  </si>
  <si>
    <t>6301782448</t>
  </si>
  <si>
    <t>rayalaseemaspicefamilyvetaura@gmail.com</t>
  </si>
  <si>
    <t>Bandhan Bank</t>
  </si>
  <si>
    <t>BDBL0002722</t>
  </si>
  <si>
    <t>https://drive.google.com/drive/folders/1O9zT56Qjx_Fn-1HXs44MbW70lNaEY6eu?usp=sharing</t>
  </si>
  <si>
    <t xml:space="preserve">not answering calls </t>
  </si>
  <si>
    <t xml:space="preserve">Rolo one Bakers </t>
  </si>
  <si>
    <r>
      <rPr>
        <color rgb="FF1155CC"/>
        <u/>
      </rPr>
      <t>p.no</t>
    </r>
    <r>
      <rPr/>
      <t>.4(a),1-89/8/4, madhapur ,hyd,telangana</t>
    </r>
  </si>
  <si>
    <t>Ragavendra Gm</t>
  </si>
  <si>
    <t>Rolo one Bakers</t>
  </si>
  <si>
    <t>p.no.4(a),1-89/8/4, madhapur ,hyd,telangana,500081</t>
  </si>
  <si>
    <t>9963968917</t>
  </si>
  <si>
    <t>raghavs2606@yahoo.com</t>
  </si>
  <si>
    <t>Muni Ragavendra gandavadi</t>
  </si>
  <si>
    <t>Central Bank Of India</t>
  </si>
  <si>
    <t>CBIN0280814</t>
  </si>
  <si>
    <t>https://drive.google.com/drive/folders/1fMxi-4kuAYVRCumBpHT0cJ0OQJGZKWP9?usp=sharing</t>
  </si>
  <si>
    <t>Shree balaji tiffin center</t>
  </si>
  <si>
    <t>4-17-12,hitech city santosh residency,beside farmaish Restaurant,gandamguda,hyd</t>
  </si>
  <si>
    <t>B.Raja yashwanth kumar</t>
  </si>
  <si>
    <t>Gandamguda</t>
  </si>
  <si>
    <t>4-17-12,hitech city santosh residency,hyd</t>
  </si>
  <si>
    <t>9705812524</t>
  </si>
  <si>
    <t>yeshwanth.bugude@gmail.com</t>
  </si>
  <si>
    <t>BARBOVJBUND</t>
  </si>
  <si>
    <t>Shri balaji family dhaba</t>
  </si>
  <si>
    <t>Gudi malkapur,12-2-417/46/9,sharada nagar colony gudimalk</t>
  </si>
  <si>
    <t>Bidhaniyasoni</t>
  </si>
  <si>
    <t>Gudimalkapur</t>
  </si>
  <si>
    <t>12-2-417/46/9,sharada nagar colony gudimalk,500028</t>
  </si>
  <si>
    <t>Rihaan</t>
  </si>
  <si>
    <t>04023536061</t>
  </si>
  <si>
    <t>bighaniyasony@gmail.com</t>
  </si>
  <si>
    <t>B.soni</t>
  </si>
  <si>
    <t xml:space="preserve">DCB bank </t>
  </si>
  <si>
    <t>;02711500006880</t>
  </si>
  <si>
    <t>DCBL0000027</t>
  </si>
  <si>
    <t>Sri Udupi grand pure veg</t>
  </si>
  <si>
    <t>Gudimalkapur, hyderabad 13-6-460/112, mahesh nagar gudimalkapur</t>
  </si>
  <si>
    <t>Manjunath</t>
  </si>
  <si>
    <t>13-6-460/112, mahesh nagar gudimalkapur</t>
  </si>
  <si>
    <t>9032944860</t>
  </si>
  <si>
    <t>bmanjunathkotteri@gmail.com</t>
  </si>
  <si>
    <t>Bailu Manjunath</t>
  </si>
  <si>
    <t>City union bank ltd</t>
  </si>
  <si>
    <t>CIUB0000386</t>
  </si>
  <si>
    <t>https://drive.google.com/drive/folders/1feNNzyCdx3sxbzFyqJhVyFJNTvoq8k2G</t>
  </si>
  <si>
    <t>Vidhusekhara pizzeria</t>
  </si>
  <si>
    <t>Pvt ltd</t>
  </si>
  <si>
    <t>plot no.o1,first floor survey no,12 kondapur village serlingampally circle</t>
  </si>
  <si>
    <t>Madyapaga Ravindra</t>
  </si>
  <si>
    <t>Kondapur</t>
  </si>
  <si>
    <t>Zone 5 Kukatpally</t>
  </si>
  <si>
    <t>Vidhusekhara pizzeria private limited</t>
  </si>
  <si>
    <t>plot no.o1,first floor survey no,12 kondapur village serlingampally circle,500019</t>
  </si>
  <si>
    <t>Grandi sravan kumar</t>
  </si>
  <si>
    <t>7347337323</t>
  </si>
  <si>
    <t>vidhusekharapizzeria@gmail.com</t>
  </si>
  <si>
    <t>UBIN0822671</t>
  </si>
  <si>
    <t>KONDAPUR</t>
  </si>
  <si>
    <t>just menu pending  will receive today</t>
  </si>
  <si>
    <t>Vrindaas kitchen</t>
  </si>
  <si>
    <t>shopon plot no.2a in sy no 2a in sy no.12, situated at 500084</t>
  </si>
  <si>
    <t>Abhilash Thota</t>
  </si>
  <si>
    <t>7416814310</t>
  </si>
  <si>
    <t>abhigupta143@gmail.com</t>
  </si>
  <si>
    <t>Thota abhilash</t>
  </si>
  <si>
    <t>RBL Bank</t>
  </si>
  <si>
    <t>RATN000208</t>
  </si>
  <si>
    <t>All done</t>
  </si>
  <si>
    <t>Ahladha kitchen</t>
  </si>
  <si>
    <t xml:space="preserve">plot no 68,shop no 5,Ayyappa society main road,madhapur,serlingampally circle no20 hyd </t>
  </si>
  <si>
    <t>Penubua kula sai</t>
  </si>
  <si>
    <t>plot no-68 shop no-5 ayyappa socity circle-20 hyd,500081</t>
  </si>
  <si>
    <t>naveen</t>
  </si>
  <si>
    <t>9849975158</t>
  </si>
  <si>
    <t>ahladha2025@gmail.com</t>
  </si>
  <si>
    <t>Induslnd Bank</t>
  </si>
  <si>
    <t>INDB0001805</t>
  </si>
  <si>
    <t>menu pending</t>
  </si>
  <si>
    <t xml:space="preserve">Flavours of biryani cafe </t>
  </si>
  <si>
    <t>6-1-964,shop no 2, khairthabad circel, no.17</t>
  </si>
  <si>
    <t>Mangalarapu sai teja</t>
  </si>
  <si>
    <t>Khairathabad</t>
  </si>
  <si>
    <t>6-1-964,shop no 2, khairthabad circel, no.17,hyderabad telangana500004</t>
  </si>
  <si>
    <t>9642897117</t>
  </si>
  <si>
    <t>flavourbiryanicafe@gmail.com</t>
  </si>
  <si>
    <t>M. sai teja</t>
  </si>
  <si>
    <t>Indian bank</t>
  </si>
  <si>
    <t>IDIB000k284</t>
  </si>
  <si>
    <t>https://drive.google.com/drive/folders/1XNX_PCNBMLG34jK7wyR_ALjgQ6bEz51m</t>
  </si>
  <si>
    <t>Food 4 U (Rahath)</t>
  </si>
  <si>
    <t>12-1-486/b/4 krishan nagar</t>
  </si>
  <si>
    <t>Mohd Arshad</t>
  </si>
  <si>
    <t>Asif nagar</t>
  </si>
  <si>
    <t>12-1-486/b/4 krishan nagar, 500006</t>
  </si>
  <si>
    <t>https://drive.google.com/drive/folders/1WEpYZjSzuc3cu3dsjnK0dhwMDIyFdwMG</t>
  </si>
  <si>
    <t>Hunan chinese cuisine</t>
  </si>
  <si>
    <t xml:space="preserve">jap  hind gandhi road near ayyappa society hyd telangana </t>
  </si>
  <si>
    <t>Rai shankar</t>
  </si>
  <si>
    <t>Hunan Chinese Cuisine</t>
  </si>
  <si>
    <t>Jai Hind Gandhi Rd, near Ayyappa Society, VIP Hills, Silicon Valley, Madhapur, Hyderabad, Telangana 500081, Chandanagar circle No 21, Hyderabad, Telangana - 500081</t>
  </si>
  <si>
    <t>ravi</t>
  </si>
  <si>
    <t>7396735758</t>
  </si>
  <si>
    <t>thehunanspice@gamil.com</t>
  </si>
  <si>
    <t>KKBK0007466</t>
  </si>
  <si>
    <t>https://drive.google.com/drive/folders/1s9cQYCodLGci_eu5hOKUMbv1xL8syNuT?usp=sharing</t>
  </si>
  <si>
    <t>krishna teeram</t>
  </si>
  <si>
    <t>Ground flooor, plot no 84 sy no.11 swamy apyyappa housing society khanamet,hyd</t>
  </si>
  <si>
    <t>Krishna teeram</t>
  </si>
  <si>
    <t>Plot no-84,sy no 11 swamy ayyappa housing society khanamet, hyd 500081</t>
  </si>
  <si>
    <t>suresh</t>
  </si>
  <si>
    <t>9985609966</t>
  </si>
  <si>
    <t>krishnateeram2025@gmail.com</t>
  </si>
  <si>
    <t xml:space="preserve">not mentioned </t>
  </si>
  <si>
    <t>Bank details and menu pending</t>
  </si>
  <si>
    <t>lucky Multicusine Restaurant  madhapur</t>
  </si>
  <si>
    <t>sy no. 54,58,59 plot no 1,part gb guttala begumpet madhapur road</t>
  </si>
  <si>
    <t>Md mansoor</t>
  </si>
  <si>
    <t>lucky Multicusine Restaurant</t>
  </si>
  <si>
    <t>9676213874</t>
  </si>
  <si>
    <t>y96822534@gamil.com</t>
  </si>
  <si>
    <t>Lucky multi cuisine Restaurant</t>
  </si>
  <si>
    <t>HDFC0004277</t>
  </si>
  <si>
    <t>https://drive.google.com/drive/folders/103H3SyeCFb1aeW4_nmJsLx1A-k8jd-yJ?usp=sharing</t>
  </si>
  <si>
    <t>rahat Restaurant</t>
  </si>
  <si>
    <t xml:space="preserve">12-1-486/b/4/1,kishan nagar, tappachabutra road,hyd </t>
  </si>
  <si>
    <t>Mohammed feroz</t>
  </si>
  <si>
    <t>12-1-486/b/4/1,kishan nagar, tappachabutra road,hyd 500006</t>
  </si>
  <si>
    <t>mohammed feroz</t>
  </si>
  <si>
    <t>7097949648</t>
  </si>
  <si>
    <t>ak.8977.ak@gmail.com</t>
  </si>
  <si>
    <t>mohammed froz</t>
  </si>
  <si>
    <t>INDB0001052</t>
  </si>
  <si>
    <t>Tahari house (rahaat fast food)</t>
  </si>
  <si>
    <t>12-1-486/b/2/5 krishan nagar,Tappachabuta</t>
  </si>
  <si>
    <t>Mohanmed feroz</t>
  </si>
  <si>
    <t xml:space="preserve">Tahari house </t>
  </si>
  <si>
    <t>12-1-486/b/2/5 krishan nagar</t>
  </si>
  <si>
    <t>https://drive.google.com/drive/folders/1jLPstIiQGwHXYF9SbDs4WLQgUwAvIFMx</t>
  </si>
  <si>
    <t>vijay durga pre veg tiffin and meals</t>
  </si>
  <si>
    <r>
      <rPr>
        <color rgb="FF1155CC"/>
        <u/>
      </rPr>
      <t>H.no</t>
    </r>
    <r>
      <rPr/>
      <t>:1-90/7/b/173,plot no.5,madhapur,selingampally circle no.20,hyd, telangana</t>
    </r>
  </si>
  <si>
    <t>karempudi vijava durga</t>
  </si>
  <si>
    <r>
      <rPr>
        <color rgb="FF1155CC"/>
        <u/>
      </rPr>
      <t>H.no</t>
    </r>
    <r>
      <rPr/>
      <t>:1-90/7/b/173,plot no.5,madhapur,selingampally circle no.20,hyd, telangana,500081</t>
    </r>
  </si>
  <si>
    <t>6303274660</t>
  </si>
  <si>
    <t>vijayvijju8096@gmail.com</t>
  </si>
  <si>
    <t>kolli tirunala ravindra</t>
  </si>
  <si>
    <t>https://maps.app.goo.gl/MJ7UedzFq2PJ6SB88</t>
  </si>
  <si>
    <t>Almas multi cusine Restaurant</t>
  </si>
  <si>
    <t>SR Nagar</t>
  </si>
  <si>
    <t xml:space="preserve">Anand Bhavan mess </t>
  </si>
  <si>
    <r>
      <rPr>
        <color rgb="FF1155CC"/>
        <u/>
      </rPr>
      <t>H.no</t>
    </r>
    <r>
      <rPr/>
      <t>:1-98/9/3/74/2,R L raidurg,jai hind enclave,seasons pool, madhapur,hyd</t>
    </r>
  </si>
  <si>
    <t>Juturi Rama seshagiri</t>
  </si>
  <si>
    <t>H.no:1-98/9/3/74/2,R L raidurg,jai hind enclave,seasons pool, madhapur,hyd,500081</t>
  </si>
  <si>
    <t>V. Shankar</t>
  </si>
  <si>
    <t>7093762666</t>
  </si>
  <si>
    <t>anandbhavanmess@gmail.com</t>
  </si>
  <si>
    <t>Anand Bhavan mess</t>
  </si>
  <si>
    <t>YESB0000183</t>
  </si>
  <si>
    <t>https://drive.google.com/drive/folders/1tbQKo0BRhM1KMeFlCGTLyg8pB7WVsxpT?usp=sharing</t>
  </si>
  <si>
    <t>17.447125553953608, 78.38804061226678</t>
  </si>
  <si>
    <t>Brew commune cafe and bistro</t>
  </si>
  <si>
    <t>shop no 7 first floor,plot no 2-56/11/53/a survey no 11/6 telangana</t>
  </si>
  <si>
    <t>Challa Triveni</t>
  </si>
  <si>
    <t>first floor,plot no 2-56/11/53/a survey no 11/6,100ft road, near by meridian school,telangana</t>
  </si>
  <si>
    <t>Triveni</t>
  </si>
  <si>
    <t>8333833299</t>
  </si>
  <si>
    <t>brewcommunecafe@gmail.com</t>
  </si>
  <si>
    <t>SBIN0014676</t>
  </si>
  <si>
    <t>Kissme mandi</t>
  </si>
  <si>
    <t>DROPPED</t>
  </si>
  <si>
    <t>Madapuram Restaurant</t>
  </si>
  <si>
    <r>
      <rPr>
        <color rgb="FF1155CC"/>
        <u/>
      </rPr>
      <t>D.no</t>
    </r>
    <r>
      <rPr/>
      <t>:2-46/1,plot no 33/a megha hills cahndanagar circle,hyd,Telangana</t>
    </r>
  </si>
  <si>
    <t>Madapuram anil kumar</t>
  </si>
  <si>
    <t>Chandanagar</t>
  </si>
  <si>
    <r>
      <rPr>
        <color rgb="FF1155CC"/>
        <u/>
      </rPr>
      <t>D.no</t>
    </r>
    <r>
      <rPr/>
      <t>:2-46/1,plot no 33/a megha hills cahndanagar circle,hyd,Telangana,500081</t>
    </r>
  </si>
  <si>
    <t>7893713995</t>
  </si>
  <si>
    <t>danil madapuram@gmail.com</t>
  </si>
  <si>
    <t>https://drive.google.com/drive/folders/1UWFy24j0VbJy49ZBFd7Md1mSffwvmJFM?usp=sharing</t>
  </si>
  <si>
    <t>Its under renovation,need 4 days of time</t>
  </si>
  <si>
    <t xml:space="preserve">Meraj's Restaurant </t>
  </si>
  <si>
    <t>x road, royal colony,mehidpatnam</t>
  </si>
  <si>
    <t>Mohammed umar khan</t>
  </si>
  <si>
    <t>Meraj's Restaurant</t>
  </si>
  <si>
    <t>x road, royal colony,mehidpatnam,500028</t>
  </si>
  <si>
    <t>mohd umar khan</t>
  </si>
  <si>
    <t>9885199151</t>
  </si>
  <si>
    <t>amer786khan@gmil.com</t>
  </si>
  <si>
    <t>Canara bank</t>
  </si>
  <si>
    <t>CNRB0013007</t>
  </si>
  <si>
    <t>https://drive.google.com/drive/folders/1ZhgTUeICe7C_yN0M6r9sIqQsX2RirxEj</t>
  </si>
  <si>
    <t>Naseeb cafe</t>
  </si>
  <si>
    <t>13-1-1234,salum nasseb complex a/1,tappa</t>
  </si>
  <si>
    <t>Mohammed Quddus hussain</t>
  </si>
  <si>
    <t>13-1-1234,salum nasseb complex,500006</t>
  </si>
  <si>
    <t>Quddus hussain</t>
  </si>
  <si>
    <t>9182466676</t>
  </si>
  <si>
    <t>khuddushussain7@gmail.com</t>
  </si>
  <si>
    <t>SBIN0005322</t>
  </si>
  <si>
    <t>https://drive.google.com/drive/folders/1r91rV1Plcx98BlVs7U95ATjl8nVQIxPT</t>
  </si>
  <si>
    <t>Sri balaji family Dhaba</t>
  </si>
  <si>
    <t xml:space="preserve">12-2-417/46/9,sharada nagarn colony gudimalk </t>
  </si>
  <si>
    <t>12-2-417/46/9,sharada nagarn colony gudimalkpur 500028</t>
  </si>
  <si>
    <t>4023536061</t>
  </si>
  <si>
    <t>bidhaniyasony@gmail.com</t>
  </si>
  <si>
    <t>https://drive.google.com/drive/folders/13RR--Sp7G4RzGdjYpim1KYichrJ67D1q?usp=drive_link</t>
  </si>
  <si>
    <t>The burger kitchen</t>
  </si>
  <si>
    <t>plot no 51 khanamet,attapur,chandanagar,circle no2 hyd</t>
  </si>
  <si>
    <t>Smash city</t>
  </si>
  <si>
    <t>plot no 51 khanamet,attapur,chandanagar,circle no2 hyd,500084</t>
  </si>
  <si>
    <t>Pranay kumar</t>
  </si>
  <si>
    <t>9963967706</t>
  </si>
  <si>
    <t>smashcity.bk2025@gmail.com</t>
  </si>
  <si>
    <t>NFSC000033</t>
  </si>
  <si>
    <t>Babu Gari Ruchulu and curry point</t>
  </si>
  <si>
    <t>Lakshmi's United kitchen</t>
  </si>
  <si>
    <t>100feet road, madhapur</t>
  </si>
  <si>
    <t xml:space="preserve">V J food partners </t>
  </si>
  <si>
    <r>
      <rPr>
        <color rgb="FF1155CC"/>
        <u/>
      </rPr>
      <t>H.no</t>
    </r>
    <r>
      <rPr/>
      <t>:27-3/26, shiva sai nagar-11-bairaguda,hyd,500091</t>
    </r>
  </si>
  <si>
    <t>vidya sagar kadali</t>
  </si>
  <si>
    <t>709504025</t>
  </si>
  <si>
    <t>vjfoodprenures@gmail.com</t>
  </si>
  <si>
    <t>VJ food prenures</t>
  </si>
  <si>
    <t>HDFC0003949</t>
  </si>
  <si>
    <t>Lakshmi's United Kitchen</t>
  </si>
  <si>
    <t>Bakeway Bakers</t>
  </si>
  <si>
    <t>sumadhur.mummadi@capsdelivery.com</t>
  </si>
  <si>
    <t>7-1-455/12 opposite Bata showroom, Balkampet road,Ameerpet Hyd</t>
  </si>
  <si>
    <t>K. Naga Bhushan Rao</t>
  </si>
  <si>
    <t>8501024577</t>
  </si>
  <si>
    <t>bhushankotta valasa@gmail.com</t>
  </si>
  <si>
    <t>HDFC0001627</t>
  </si>
  <si>
    <t>https://drive.google.com/drive/folders/12SN4-iTB989RjZFQ6mgf4CcnuRI5Bjgs</t>
  </si>
  <si>
    <t>17°26'12.6"N 78°26'53.5"E</t>
  </si>
  <si>
    <t>C'est la vie bakes and cakes (pure veg)</t>
  </si>
  <si>
    <t xml:space="preserve">138/1,flat no 45 sham apt,secunderabad 138/1,flat no 45 shama apt sindi colony pg road </t>
  </si>
  <si>
    <t>Juhi sanjay sajnani</t>
  </si>
  <si>
    <t>secunderabad</t>
  </si>
  <si>
    <t>138/1,flat no 45 shama apt sindi colony pg road 500005</t>
  </si>
  <si>
    <t>9133847766</t>
  </si>
  <si>
    <t>frostbakery@gmail.com</t>
  </si>
  <si>
    <t>frost bakery</t>
  </si>
  <si>
    <t>UTIB0003484</t>
  </si>
  <si>
    <t>https://drive.google.com/drive/folders/1qqDAuHRUNSZORJNHvCtEG8P1NW_AwUL7</t>
  </si>
  <si>
    <t>Cafe Reels</t>
  </si>
  <si>
    <r>
      <rPr/>
      <t>floor no:ground floor,building no.1,</t>
    </r>
    <r>
      <rPr>
        <color rgb="FF1155CC"/>
        <u/>
      </rPr>
      <t>d.no</t>
    </r>
    <r>
      <rPr/>
      <t>:1-98/90c beside durgamma temple,ayyappa society road</t>
    </r>
  </si>
  <si>
    <t>Building no/flat no.1-98/90c,beside durgamma temple,ayyappa society road,madhapur</t>
  </si>
  <si>
    <t>Naveen reddy</t>
  </si>
  <si>
    <t>9676945646</t>
  </si>
  <si>
    <t>Donut O' clock (pure veg)</t>
  </si>
  <si>
    <t>138/1,flat no 45 shama apt sindi colony pg road 500007</t>
  </si>
  <si>
    <t>https://drive.google.com/drive/folders/1qqDAuHRUNSZORJNHvCtEG8P1NW_AwUL10</t>
  </si>
  <si>
    <t>Frost Bake Studio (pure veg)</t>
  </si>
  <si>
    <t>secunderbad circle 138/1,flat no 45 sham apt,secunderabad</t>
  </si>
  <si>
    <t>138/1,flat no 45 shama apt sindi colony pg road</t>
  </si>
  <si>
    <t>frostbakeryindia@gmail.com</t>
  </si>
  <si>
    <t>Frost Bakery (pure veg)</t>
  </si>
  <si>
    <t>138/1,flat no 45 sham apt,secunderabad 138/1,flat no 45 shama apt sindi colony pg road 500003</t>
  </si>
  <si>
    <t>138/1,flat no 45 shama apt sindi colony pg road 500003</t>
  </si>
  <si>
    <t>Gupshup Bistro</t>
  </si>
  <si>
    <r>
      <rPr>
        <color rgb="FF1155CC"/>
        <u/>
      </rPr>
      <t>H.no</t>
    </r>
    <r>
      <rPr/>
      <t>:1-8-125/1/ g-2, shop no.2 , shop no.3 Aman arcade pg road, secundarabad, no. 129, hyderabad telangana</t>
    </r>
  </si>
  <si>
    <t>Sonal mohit mehta</t>
  </si>
  <si>
    <t>H.NO: 1-8-125/1/G-2, SHOP NO. 2, AMAN ARCADE, P.G ROAD, SECUNDERABAD,Secunderabad Circle No.29, Hyderabad,Telangana - 500003</t>
  </si>
  <si>
    <t>9603939777</t>
  </si>
  <si>
    <t>gupshupbistro@gmail.com</t>
  </si>
  <si>
    <t>KKBK0007515</t>
  </si>
  <si>
    <t>https://drive.google.com/drive/folders/1K6pBmqU93pqRUCSJpntmoI1L3BMw5xgl</t>
  </si>
  <si>
    <t>Just so wow cakes</t>
  </si>
  <si>
    <t>138/1,flat no 45 shama apt sindi colony pg road 500004</t>
  </si>
  <si>
    <t>Kshatriya Grand</t>
  </si>
  <si>
    <r>
      <rPr>
        <color rgb="FF1155CC"/>
        <u/>
      </rPr>
      <t>H.no</t>
    </r>
    <r>
      <rPr/>
      <t>: 4/1 Mig, ground floor , kphb colony, kukatpally,hyd</t>
    </r>
  </si>
  <si>
    <t>Karthik</t>
  </si>
  <si>
    <t>Kukatpally</t>
  </si>
  <si>
    <t>H.no: 4/1 Mig, ground floor , kphb colony, kukatpally,hyd-5000072</t>
  </si>
  <si>
    <t>9642431013</t>
  </si>
  <si>
    <t>tkartheek.516@gmail.com</t>
  </si>
  <si>
    <t>Therala kartheek</t>
  </si>
  <si>
    <t>KKBK0000560</t>
  </si>
  <si>
    <t>https://drive.google.com/drive/folders/15_T7Ws4Hj0dUpZmHv1fPfcXjqwgZ3bqF?usp=drive_link</t>
  </si>
  <si>
    <t>La boulangerie (pure veg)</t>
  </si>
  <si>
    <t>138/1,flat no 45, sham apts, secunderabad,sindhi colony pg road</t>
  </si>
  <si>
    <t>138/1,flat no 45,secunderabad 500003</t>
  </si>
  <si>
    <t>Mokshi kitchen</t>
  </si>
  <si>
    <t>plot no.2/a,whitefeilds,kondapur,serlingampally circle no 20,hyd</t>
  </si>
  <si>
    <t>K.Rajesh</t>
  </si>
  <si>
    <t>Serilingampally</t>
  </si>
  <si>
    <t>paper missing</t>
  </si>
  <si>
    <t>papper missing</t>
  </si>
  <si>
    <t>MOKSHI KITCHEN // KETHINENI RAJESH</t>
  </si>
  <si>
    <t>plot no.2/a,whitefeilds,kondapur,serlingampally circle no 20,hyd,500084</t>
  </si>
  <si>
    <t>Kethineni Rajesh</t>
  </si>
  <si>
    <t>7306445599</t>
  </si>
  <si>
    <t>sambasiva rao kethineni</t>
  </si>
  <si>
    <t>SBIN0014170</t>
  </si>
  <si>
    <t>Mokshi Kitchen</t>
  </si>
  <si>
    <t>https://maps.app.goo.gl/Sq2bCzb7zN1sfzjj8</t>
  </si>
  <si>
    <t>did not lift the call</t>
  </si>
  <si>
    <t>North indian hub</t>
  </si>
  <si>
    <t>sutter no.3, plot no .2a sy no.12,kondapur serlingampally circle no.20 hyd</t>
  </si>
  <si>
    <t>Ashish kumar</t>
  </si>
  <si>
    <t>sutter no.3, plot no .2a sy no.12,kondapur serlingampally circle no.20 hyd,500084</t>
  </si>
  <si>
    <t>9398556461</t>
  </si>
  <si>
    <t>BDBL0001160</t>
  </si>
  <si>
    <t>North Indian Hub</t>
  </si>
  <si>
    <t xml:space="preserve">will share it with parthive </t>
  </si>
  <si>
    <t>Rivora</t>
  </si>
  <si>
    <t>Gokul plots no.397and 492,VR Colony,beside vijetha super market,kphb</t>
  </si>
  <si>
    <t>Vamshi krishna</t>
  </si>
  <si>
    <t>KBHP</t>
  </si>
  <si>
    <t>KPHP</t>
  </si>
  <si>
    <t>Gokul plots no.397and 492,VR Colony,beside vijetha super market,kphb,500085</t>
  </si>
  <si>
    <t>9959357179</t>
  </si>
  <si>
    <t>vasmshikrishnamarch20@gmail.com</t>
  </si>
  <si>
    <t>https://drive.google.com/drive/folders/1kjGHv9fx_gvyji9Qe3xnW2P5yjNLNsOr</t>
  </si>
  <si>
    <t>Say cheese patisserie (pure veg)</t>
  </si>
  <si>
    <t>https://drive.google.com/drive/folders/1qqDAuHRUNSZORJNHvCtEG8P1NW_AwUL9</t>
  </si>
  <si>
    <t xml:space="preserve">Sri sai ram food zone </t>
  </si>
  <si>
    <t>Mig-64 dharmareddy colony phase-1 kphb colony kukatpally,moosapet circle no.23,</t>
  </si>
  <si>
    <t>Dinesh</t>
  </si>
  <si>
    <t>Sri sai ram food zone</t>
  </si>
  <si>
    <t>Mig-64 dharmareddy colony phase-1 kphb colony kukatpally</t>
  </si>
  <si>
    <t>6281821329</t>
  </si>
  <si>
    <t>dinesg.pedamallu@gmail.com</t>
  </si>
  <si>
    <t>Pedamallu dinesh sai</t>
  </si>
  <si>
    <t>IDBI Bank</t>
  </si>
  <si>
    <t>IBKL0001510</t>
  </si>
  <si>
    <t>https://drive.google.com/drive/folders/16gfbzzZAYHYsCWvtHbZJvY-ryyLeZfvh</t>
  </si>
  <si>
    <t>Tempt Chocolates</t>
  </si>
  <si>
    <t>138/1,flat no 45 shama apt sindi colony pg road 500006</t>
  </si>
  <si>
    <t>https://drive.google.com/drive/folders/1qqDAuHRUNSZORJNHvCtEG8P1NW_AwUL8</t>
  </si>
  <si>
    <t>The good sparrow</t>
  </si>
  <si>
    <t>sy no.274(a) aparnahills park, commerical buildings behind gangaram lake, chanda nagar</t>
  </si>
  <si>
    <t>Ramchandra rao</t>
  </si>
  <si>
    <t>Good sparrow millets private limited</t>
  </si>
  <si>
    <t xml:space="preserve">2nd floor, 2-12-66 using B,kalyanamandapam west maredpally </t>
  </si>
  <si>
    <t>8977709421</t>
  </si>
  <si>
    <t>info@thegoodsparrow.com</t>
  </si>
  <si>
    <t>Good sparrow foods private limited</t>
  </si>
  <si>
    <t>ICIC0001116</t>
  </si>
  <si>
    <t>The Good Sparrow 1</t>
  </si>
  <si>
    <t>The Good Sparrow (Millet Tiffins)</t>
  </si>
  <si>
    <t>Jsr mall,vidia colony,madeenaguda,near allywn x road,miyapur</t>
  </si>
  <si>
    <t>Miyapur</t>
  </si>
  <si>
    <t>2nd floor,2-12-66,using kalyanamadapam, west marredpally</t>
  </si>
  <si>
    <t>info@thegoodsparrow.in</t>
  </si>
  <si>
    <t>The Good Sparrow 2</t>
  </si>
  <si>
    <t>1-55/196 and 199A botanical garden road,serilingampally circle co 20</t>
  </si>
  <si>
    <t>2nd floor,2-12-66,west maredpally</t>
  </si>
  <si>
    <t>The Good Sparrow 3</t>
  </si>
  <si>
    <t>Times Green Energy India Limited</t>
  </si>
  <si>
    <r>
      <rPr/>
      <t xml:space="preserve">somajiguda, jumaaldinne laxmi,shop no 7, </t>
    </r>
    <r>
      <rPr>
        <color rgb="FF1155CC"/>
        <u/>
      </rPr>
      <t>H.no</t>
    </r>
    <r>
      <rPr/>
      <t xml:space="preserve"> 6-3-650</t>
    </r>
  </si>
  <si>
    <t>Yashwanth</t>
  </si>
  <si>
    <t>Somajiguda</t>
  </si>
  <si>
    <t>Times green enugy india limited</t>
  </si>
  <si>
    <t>no 7, H.no 6-3-650, 500082</t>
  </si>
  <si>
    <t>G.Yashwanth meher</t>
  </si>
  <si>
    <t>7702632033</t>
  </si>
  <si>
    <t>yashwanthmeher@gmail.com</t>
  </si>
  <si>
    <t>SBIN0020684</t>
  </si>
  <si>
    <t>https://drive.google.com/drive/folders/1E4Ykj6WozePtfLrLIk_S1m_2LpR40ZCm</t>
  </si>
  <si>
    <t xml:space="preserve">Veera Di chaap </t>
  </si>
  <si>
    <r>
      <rPr>
        <color rgb="FF1155CC"/>
        <u/>
      </rPr>
      <t>H.no</t>
    </r>
    <r>
      <rPr/>
      <t>: 1-8-153/2, shop no-1 ground floor pg road, paradise, secunderbad</t>
    </r>
  </si>
  <si>
    <r>
      <rPr>
        <color rgb="FF1155CC"/>
        <u/>
      </rPr>
      <t>H.no</t>
    </r>
    <r>
      <rPr/>
      <t>: 1-8-153/2, shop no-1 ground floor pg road, paradise, secunderbad,500003</t>
    </r>
  </si>
  <si>
    <t>7842804422</t>
  </si>
  <si>
    <t>veeradichaap1@gmail.com</t>
  </si>
  <si>
    <t>IDFC first bank</t>
  </si>
  <si>
    <t>IDFB0080205</t>
  </si>
  <si>
    <t>https://drive.google.com/drive/folders/1xZcfj_aVWNi54pSCdPOTDkp-TusuAqYC</t>
  </si>
  <si>
    <t>Veeramma gari vantillu</t>
  </si>
  <si>
    <t>plot no.11-12,block-f2, sainnath enclave, venkatramana colony, gokul plots, kphb, kukatpally</t>
  </si>
  <si>
    <t>Yarlagadda Suryam</t>
  </si>
  <si>
    <t>suryam</t>
  </si>
  <si>
    <t>9849995653</t>
  </si>
  <si>
    <t>veerammagarivantillu@gmail.com</t>
  </si>
  <si>
    <t>SBIN0032241</t>
  </si>
  <si>
    <t>https://drive.google.com/drive/folders/1VOBUtu-z39SH2yaFZY4oZPcdzzygkse8?usp=drive_link</t>
  </si>
  <si>
    <t>New York Slice pizza</t>
  </si>
  <si>
    <t>sai gayathri towers finacial district Nanakramguda,Telangana</t>
  </si>
  <si>
    <t>Nanakramguda</t>
  </si>
  <si>
    <t>Sri sai and co.</t>
  </si>
  <si>
    <t>sai gayathri towers finacial district Nanakramguda,Telangana 500033</t>
  </si>
  <si>
    <t>9100112336</t>
  </si>
  <si>
    <t>SBIN0018047</t>
  </si>
  <si>
    <t>https://drive.google.com/drive/folders/1Pxy8lK7igSsskr30ZhKGFIpPz7wV_jBt</t>
  </si>
  <si>
    <t xml:space="preserve">Soy &amp; Sesame </t>
  </si>
  <si>
    <t xml:space="preserve">sai gayathri towers finacial district Nanakramguda,Telangana </t>
  </si>
  <si>
    <t>sai gayathri towers finacial district Nanakramguda,Telangana 500032</t>
  </si>
  <si>
    <t>HDFC0004299</t>
  </si>
  <si>
    <t>https://drive.google.com/drive/folders/1tqp8TfFW2_AiRzRoXvlt4cRRsEyGUaRx</t>
  </si>
  <si>
    <t>The Emperor</t>
  </si>
  <si>
    <t>10-4-3,afia plaxa,near NMDC-vijay nagar colony,masab tank,hyd,telangana</t>
  </si>
  <si>
    <t>Not mentioned</t>
  </si>
  <si>
    <t>No Contact Info</t>
  </si>
  <si>
    <t>Thinnu mama</t>
  </si>
  <si>
    <t>Anu archana kitchen</t>
  </si>
  <si>
    <r>
      <rPr>
        <color rgb="FF1155CC"/>
        <u/>
      </rPr>
      <t>h.no</t>
    </r>
    <r>
      <rPr/>
      <t>:8-1-284/ou/152,ou colony,shaikpet,jubilee hills circle no.18,hyd,telangana</t>
    </r>
  </si>
  <si>
    <t>Medikonda kondaiah</t>
  </si>
  <si>
    <t>shaikpet</t>
  </si>
  <si>
    <t>h.no:8-1-284/ou/152,ou colony,shaikpet,jubliee hills</t>
  </si>
  <si>
    <t>9989071021</t>
  </si>
  <si>
    <t>South Indian bank</t>
  </si>
  <si>
    <t>;0597073000000451</t>
  </si>
  <si>
    <t>SIBL0000591</t>
  </si>
  <si>
    <t>Anu Archana kitchen</t>
  </si>
  <si>
    <t>https://www.google.com/maps/place/Anu+Archana+Kitchen/@17.4083423,78.3904879,17z/data=!3m1!4b1!4m6!3m5!1s0x3bcb97000c2a71c3:0xf15817e8716a38db!8m2!3d17.4083372!4d78.3930628!16s%2Fg%2F11xr_gtynz?entry=ttu&amp;g_ep=EgoyMDI2MDIxMS4wIKXMDSoASAFQAw%3D%3D</t>
  </si>
  <si>
    <t>Brew and bloom heaven coffee shop</t>
  </si>
  <si>
    <t>sri sai arcade,beside prince biryani point,khairatabad circle no.17 hyd</t>
  </si>
  <si>
    <t>Konda stella mary</t>
  </si>
  <si>
    <t>sri sai arcade,beside prince biryani point,khairatabad circle no.17 hyd,500016</t>
  </si>
  <si>
    <t>Deepak kumar</t>
  </si>
  <si>
    <t>9966591281</t>
  </si>
  <si>
    <t>dhanyasideepakvarma@gmail.com</t>
  </si>
  <si>
    <t>SBI003257</t>
  </si>
  <si>
    <t>https://drive.google.com/drive/folders/1E9-9yixpt3TDMvd6hro7csptgS61njEI</t>
  </si>
  <si>
    <t>17.437127,78.447463</t>
  </si>
  <si>
    <t>Laxmi addikecharla</t>
  </si>
  <si>
    <t>flat no.5 1st floor block no-6 municipal no;15-31-21-6/5,kphb colony,hyd</t>
  </si>
  <si>
    <t>flat no.5 1st floor block no-6 municipal no;15-31-21-6/5,kphb colony,hyd,500072</t>
  </si>
  <si>
    <t>omkar.A</t>
  </si>
  <si>
    <t>7032735002</t>
  </si>
  <si>
    <t>addomkar@gmail.com</t>
  </si>
  <si>
    <t>chinthamani pulaous</t>
  </si>
  <si>
    <t>The Gayatri Co-operative urban bank ltd</t>
  </si>
  <si>
    <t>HDFCOCTGCUB</t>
  </si>
  <si>
    <t>https://drive.google.com/drive/folders/17e5ZoJ64peB0BjuARtUdrR5R8zWWHQuI</t>
  </si>
  <si>
    <t xml:space="preserve">lucky Multicusine Restaurant </t>
  </si>
  <si>
    <t>Door no.6-3-1089/f/3/3 somajiguda,hyd,telangana</t>
  </si>
  <si>
    <t>Khasim</t>
  </si>
  <si>
    <t>Door no.6-3-1089/f/3/3 somajiguda,hyd,telangana,500082</t>
  </si>
  <si>
    <t>9849108337</t>
  </si>
  <si>
    <t>HDFC000512</t>
  </si>
  <si>
    <t>https://drive.google.com/drive/folders/1f4awwnmjkQ5VpEsLZr8FHC4T73B6cs-e?usp=sharing</t>
  </si>
  <si>
    <t>Manasa kitchen swagrha sweets</t>
  </si>
  <si>
    <r>
      <rPr>
        <color rgb="FF1155CC"/>
        <u/>
      </rPr>
      <t>H.no</t>
    </r>
    <r>
      <rPr/>
      <t>:15-31-2L-1-5/275/3,lig-5/2,phase-3,kphb colony,kukatpally,hyd</t>
    </r>
  </si>
  <si>
    <t>Sudheer kumar</t>
  </si>
  <si>
    <t>Manasa kitchen and swagrha sweets</t>
  </si>
  <si>
    <t>kukatpally,hyd,500072</t>
  </si>
  <si>
    <t>8185802329</t>
  </si>
  <si>
    <t>sudheer2409@gmail.com</t>
  </si>
  <si>
    <t>Gogineni v j sudheer kumar</t>
  </si>
  <si>
    <t>;000101558510</t>
  </si>
  <si>
    <t>ICIC0000001</t>
  </si>
  <si>
    <t>https://drive.google.com/drive/folders/1z0sETsfH5F3Pi2AvC3G2RfzWuQW8x-4d?usp=drive_link</t>
  </si>
  <si>
    <t>MM cake factory and bakers</t>
  </si>
  <si>
    <t>opposite metro pillar no 833 beside vikings cricket, sangeet nagar,kukatpally,hyd</t>
  </si>
  <si>
    <t>Musthakin</t>
  </si>
  <si>
    <t>opposite metro pillar no 833 beside vikings cricket, sangeet nagar,kukatpally,hyd,500072</t>
  </si>
  <si>
    <t>9963317579</t>
  </si>
  <si>
    <t>mmbakers8052@gmail.com</t>
  </si>
  <si>
    <t>KKBK0007535</t>
  </si>
  <si>
    <t>https://drive.google.com/drive/folders/1KkZU6RKi0QkgkyOtEjtz_QuS0voG0ou5</t>
  </si>
  <si>
    <t>Pooja Dine Inn</t>
  </si>
  <si>
    <r>
      <rPr>
        <color rgb="FF1155CC"/>
        <u/>
      </rPr>
      <t>H.no</t>
    </r>
    <r>
      <rPr/>
      <t>:1-8-155/A 1st floor, pg road, secunderabad,begumpet circle no.30 Hyd, telangana</t>
    </r>
  </si>
  <si>
    <t>Pooja Karthik</t>
  </si>
  <si>
    <t>H.no:1-8-155/A 1st floor, pg road, secunderabad,begumpet circle no.30 Hyd, telangana,500016</t>
  </si>
  <si>
    <t>9160602527</t>
  </si>
  <si>
    <t>poojasdinein@gmail.com</t>
  </si>
  <si>
    <t>For Poojas dine IN</t>
  </si>
  <si>
    <t>Indian Overseas Bank</t>
  </si>
  <si>
    <t>IOBA0000200</t>
  </si>
  <si>
    <t>subham grand multicusine family Restaurant</t>
  </si>
  <si>
    <r>
      <rPr>
        <color rgb="FF1155CC"/>
        <u/>
      </rPr>
      <t>H.no</t>
    </r>
    <r>
      <rPr/>
      <t>:6-3-902/2and3,first floor,raj bhavan road,somajiguda,hyd,telangana</t>
    </r>
  </si>
  <si>
    <t>sudarsan nayak</t>
  </si>
  <si>
    <t>H.no:6-3-902/2and3,first floor,raj bhavan road,somajiguda,hyd,telangana,500082</t>
  </si>
  <si>
    <t>8008623545</t>
  </si>
  <si>
    <t>hsgsubhamgrand@gmail.com</t>
  </si>
  <si>
    <t>UTIB0003305</t>
  </si>
  <si>
    <t>https://drive.google.com/drive/folders/1lwnoJfXa3KkWswaN1pg1EuD4LTJyD5En?usp=sharing</t>
  </si>
  <si>
    <t>Al saba Restaurant</t>
  </si>
  <si>
    <r>
      <rPr>
        <color rgb="FF1155CC"/>
        <u/>
      </rPr>
      <t>h.no</t>
    </r>
    <r>
      <rPr/>
      <t>:8-3-222/c/1/12,ground floor,madhura nagar,yousufnagar,hyd,telangana</t>
    </r>
  </si>
  <si>
    <t>K. Shiv kumar</t>
  </si>
  <si>
    <t>Madhura nagar</t>
  </si>
  <si>
    <t>h.no:8-3-222/c/1/12,ground floor,madhura nagar,voulanfguda circle no.19</t>
  </si>
  <si>
    <t>shivam</t>
  </si>
  <si>
    <t>9392458574</t>
  </si>
  <si>
    <t>Hdfc Bank</t>
  </si>
  <si>
    <t>HDFC0000642</t>
  </si>
  <si>
    <t xml:space="preserve">Al-saba Restaurant </t>
  </si>
  <si>
    <t>Al Saba Cafe</t>
  </si>
  <si>
    <t>Amma chethi ruchulu</t>
  </si>
  <si>
    <t>8-3-6333/82/1,ali nagar, tawwal nagar,yella reddy,hyd,telangana</t>
  </si>
  <si>
    <t>Yellareddy guda</t>
  </si>
  <si>
    <t>arun</t>
  </si>
  <si>
    <t>9652222583</t>
  </si>
  <si>
    <t>arukhaflavours@gmail.com</t>
  </si>
  <si>
    <t>arukha flavours</t>
  </si>
  <si>
    <t>YESB0001476</t>
  </si>
  <si>
    <t>Amma Chethi Ruchulu</t>
  </si>
  <si>
    <t>ARUKHAFLAVORS</t>
  </si>
  <si>
    <t>Andhra kitchens</t>
  </si>
  <si>
    <t>8-3/633/82/1,ali nagar,tawak kal, vellareddy guda,khairthabad circle no.17 hyd</t>
  </si>
  <si>
    <t>ali nagar,khairthabad circle no.17</t>
  </si>
  <si>
    <t>Arun</t>
  </si>
  <si>
    <t>Andhra Kitchens</t>
  </si>
  <si>
    <t>Arm coffee place</t>
  </si>
  <si>
    <t>plot no:11and12,sai nath enclave,gokul plots venkata ramana colony kphb,kukatpally</t>
  </si>
  <si>
    <t>M.Sanjeev reddy</t>
  </si>
  <si>
    <t>plot no:11and12,sai nath enclave,gokul plots venkata ramana colony kphb,kukatpally 500085</t>
  </si>
  <si>
    <t>8125125635</t>
  </si>
  <si>
    <t>jaimaanukanda7@gmail.com</t>
  </si>
  <si>
    <t>the Gayatri Co-operative urban bank ltd</t>
  </si>
  <si>
    <t>https://drive.google.com/drive/folders/1qqGSu3p0OVLxVrQcgpXnUrmht0w0OURK</t>
  </si>
  <si>
    <t>Arukha flavours</t>
  </si>
  <si>
    <t>Arukha flavours/Arun</t>
  </si>
  <si>
    <t>SRINAGAR COLONY</t>
  </si>
  <si>
    <t>Ali nagar,yellareddy,madhura nagar</t>
  </si>
  <si>
    <t>Arukha Flavours</t>
  </si>
  <si>
    <t>Bunty biryanis</t>
  </si>
  <si>
    <t>Ali Nagar</t>
  </si>
  <si>
    <t>Bunty biryani</t>
  </si>
  <si>
    <t>Bunty Biryani's</t>
  </si>
  <si>
    <t xml:space="preserve">Eden Ice Treats </t>
  </si>
  <si>
    <t>shop no.5, Manjira plaza,opposite Aadithya trade centre,near maithrivanam road,srinivas nagar,ameerpet,hyd,telangana</t>
  </si>
  <si>
    <t>Enoch Chowdary</t>
  </si>
  <si>
    <t>Eden Ice Treats</t>
  </si>
  <si>
    <t>shop no.5, Manjira plaza,opposite Aadithya trade centre,near maithrivanam road,srinivas nagar,ameerpet,hyd,telangana,500038</t>
  </si>
  <si>
    <t>9550930115</t>
  </si>
  <si>
    <t>contact.edenindustries@gmail.com</t>
  </si>
  <si>
    <t>Eden industries</t>
  </si>
  <si>
    <t>https://drive.google.com/drive/folders/1KuOUXuC2qGOX8IivMWfrHVjxheMyFa1a</t>
  </si>
  <si>
    <t>17.437412,78.446691</t>
  </si>
  <si>
    <t>G Hitech Bawarchi food court</t>
  </si>
  <si>
    <t>1-21/1 Madhapur,hyd,circle no.20,serlingampally</t>
  </si>
  <si>
    <t>Hitech bawarchi food court</t>
  </si>
  <si>
    <r>
      <rPr>
        <color rgb="FF1155CC"/>
        <u/>
      </rPr>
      <t>h.no:12</t>
    </r>
    <r>
      <rPr/>
      <t>,17,opp indian oil petrol pump,madhapur</t>
    </r>
  </si>
  <si>
    <t>Mohammed ilyas</t>
  </si>
  <si>
    <t>9618291465</t>
  </si>
  <si>
    <t>mohdilyas13@gmail.com</t>
  </si>
  <si>
    <t xml:space="preserve">Axis bank </t>
  </si>
  <si>
    <t>UTIN0001628</t>
  </si>
  <si>
    <t>https://drive.google.com/drive/folders/14dWR2loYkBJGSKHxp4kTMqsqOOtdr2sa?usp=sharing</t>
  </si>
  <si>
    <t>Hotel farzaan</t>
  </si>
  <si>
    <t xml:space="preserve">gate no 4,toulichowki gate no4,paramount colony near toulichowki </t>
  </si>
  <si>
    <t>mohammed masurd</t>
  </si>
  <si>
    <t xml:space="preserve">Hotel farzaan </t>
  </si>
  <si>
    <t>gate no.4 toulichowki</t>
  </si>
  <si>
    <t>7416826069</t>
  </si>
  <si>
    <t>faheen88977@gmail.com</t>
  </si>
  <si>
    <t>Mohammed masoor</t>
  </si>
  <si>
    <t>Canara Bank</t>
  </si>
  <si>
    <t>CBRB0013054</t>
  </si>
  <si>
    <t>TOWLICHOWKI</t>
  </si>
  <si>
    <t>Konaseema biryani</t>
  </si>
  <si>
    <t>Ali nagar</t>
  </si>
  <si>
    <t>kharitabad circle no.17,yella reddy</t>
  </si>
  <si>
    <t>Konaseema Biryani</t>
  </si>
  <si>
    <t>Krishna magic kitchen</t>
  </si>
  <si>
    <t>8-3-6338/82/1,ali nagar,yella reddy,hyd,telangana</t>
  </si>
  <si>
    <t>Krishna's Magic Kitchen</t>
  </si>
  <si>
    <t>Padmavathi food court</t>
  </si>
  <si>
    <r>
      <rPr/>
      <t xml:space="preserve">Two shutter no.1 and 2, in </t>
    </r>
    <r>
      <rPr>
        <color rgb="FF1155CC"/>
        <u/>
      </rPr>
      <t>h.no</t>
    </r>
    <r>
      <rPr/>
      <t>:8-3-318/6/3/13/1/18,ali nagar,tella reddy guda,yousufguda circle no.19,hyd</t>
    </r>
  </si>
  <si>
    <t>Kataru padmavathi</t>
  </si>
  <si>
    <t>yousufguda</t>
  </si>
  <si>
    <t xml:space="preserve">Padmavathi food court </t>
  </si>
  <si>
    <t>two shutters no.1and 2,yousufguda circle no.19,hyd</t>
  </si>
  <si>
    <t>8121749748</t>
  </si>
  <si>
    <t>padmavathi food court</t>
  </si>
  <si>
    <t>Federal bank</t>
  </si>
  <si>
    <t>FDRL0001473</t>
  </si>
  <si>
    <t>Padmavati Food Court</t>
  </si>
  <si>
    <t>Padmavathi Food Court</t>
  </si>
  <si>
    <t>Punjabi Dhaba</t>
  </si>
  <si>
    <t xml:space="preserve">SNS bake house bakery and cafe </t>
  </si>
  <si>
    <r>
      <rPr>
        <color rgb="FF1155CC"/>
        <u/>
      </rPr>
      <t>h.no</t>
    </r>
    <r>
      <rPr/>
      <t>:33-a,aphb colony,indira nagar,gachibowli,serlingampally circle no-20,hyd</t>
    </r>
  </si>
  <si>
    <t>Vakalapudi subhash chowdary</t>
  </si>
  <si>
    <t>Gachibowli</t>
  </si>
  <si>
    <t>SNS bakehouse bakery and cafe</t>
  </si>
  <si>
    <r>
      <rPr>
        <color rgb="FF1155CC"/>
        <u/>
      </rPr>
      <t>H.no</t>
    </r>
    <r>
      <rPr/>
      <t>:33-a,aphb colony,indira nagar,gachibowli,serlingampally,circle no-20,hyd,telangana,500032</t>
    </r>
  </si>
  <si>
    <t>Subhash</t>
  </si>
  <si>
    <t>9494399656</t>
  </si>
  <si>
    <t>bakehousesns@gmail.com</t>
  </si>
  <si>
    <t>https://drive.google.com/drive/folders/1145tVUDZf_FIW0FsugIqK0IjD23RxzfY?usp=sharing</t>
  </si>
  <si>
    <t>Suryakantham military hotel</t>
  </si>
  <si>
    <t>h.no:8/1,in sector-2 of hudo techno enclave,madhapur,seringampally,rangareddy</t>
  </si>
  <si>
    <t>Sri latha kakarla</t>
  </si>
  <si>
    <t>suryakantham military hotel</t>
  </si>
  <si>
    <r>
      <rPr>
        <color rgb="FF1155CC"/>
        <u/>
      </rPr>
      <t>h.no:8/1</t>
    </r>
    <r>
      <rPr/>
      <t>,in sector-2 of hudo techno enclave,madhapur,seringampally,rangareddy,500081</t>
    </r>
  </si>
  <si>
    <t>sri latha kakarla</t>
  </si>
  <si>
    <t>9959223649</t>
  </si>
  <si>
    <t>srichandrakakarla@gmail.com</t>
  </si>
  <si>
    <t xml:space="preserve">castal kitchen </t>
  </si>
  <si>
    <t>ICICI Bank</t>
  </si>
  <si>
    <t>UICIC0003892</t>
  </si>
  <si>
    <t>https://drive.google.com/drive/folders/1rmhQ_lZDAnRsbd2gdGPdwddiXsEBnkxe?usp=drive_link</t>
  </si>
  <si>
    <t>Trinetra cafe and Restaurant</t>
  </si>
  <si>
    <t>no.2-22-311/53 A and 82a/31/a,p.no-53-a and 82-A, addagutta co-op society,bhagya nagar colony,kukatpally</t>
  </si>
  <si>
    <t>Manikenteswara reddy.E</t>
  </si>
  <si>
    <t>910001662</t>
  </si>
  <si>
    <t>emkreddy.19@gmail.com</t>
  </si>
  <si>
    <t>Evuri manikanteswara reddy</t>
  </si>
  <si>
    <t>;067901002598</t>
  </si>
  <si>
    <t>ICIC0000679</t>
  </si>
  <si>
    <t>Salary account</t>
  </si>
  <si>
    <t>https://drive.google.com/drive/folders/1eP2mhLyzu7U0Ldw8ueLsjOCBg_MBeYyr</t>
  </si>
  <si>
    <t>Yummy foods</t>
  </si>
  <si>
    <r>
      <rPr/>
      <t xml:space="preserve">ground floor, </t>
    </r>
    <r>
      <rPr>
        <color rgb="FF1155CC"/>
        <u/>
      </rPr>
      <t>H.no</t>
    </r>
    <r>
      <rPr/>
      <t>:7-14/32/2b/g-01,Rajendra nagar,R.R dist</t>
    </r>
  </si>
  <si>
    <t>sonagiri samrajua lakshmi c/o mrtthym jaya</t>
  </si>
  <si>
    <r>
      <rPr/>
      <t xml:space="preserve">ground floor, </t>
    </r>
    <r>
      <rPr>
        <color rgb="FF1155CC"/>
        <u/>
      </rPr>
      <t>H.no</t>
    </r>
    <r>
      <rPr/>
      <t>:7-14/32/2b/g-01,alkapur township</t>
    </r>
  </si>
  <si>
    <t>santhosh</t>
  </si>
  <si>
    <t>8466082222</t>
  </si>
  <si>
    <t>punjabijunctionyf@gmail.com</t>
  </si>
  <si>
    <t>Central Bank of India</t>
  </si>
  <si>
    <t>CBIN0285206</t>
  </si>
  <si>
    <t>Al shawrma bites</t>
  </si>
  <si>
    <t>Manikonda,nanakramguda,selingampally circle no.20,hyd,telangana</t>
  </si>
  <si>
    <t>plot no.1 road no.27,alkapur twp,manikonda</t>
  </si>
  <si>
    <t>Syed ali</t>
  </si>
  <si>
    <t>7995150934</t>
  </si>
  <si>
    <t>alshawrmabites@gamil.com</t>
  </si>
  <si>
    <t>;047761900002984</t>
  </si>
  <si>
    <t>YES80000477</t>
  </si>
  <si>
    <t>https://drive.google.com/drive/folders/1KcwZz915JQlYso88EWcAtaDyCS3hyNy7</t>
  </si>
  <si>
    <t>Amogha cafe and Restaurant</t>
  </si>
  <si>
    <r>
      <rPr>
        <color rgb="FF1155CC"/>
        <u/>
      </rPr>
      <t>H.no</t>
    </r>
    <r>
      <rPr/>
      <t>:2-23-310/83C ground floor,Addagutta society,pragthi road kukatpally,hyd</t>
    </r>
  </si>
  <si>
    <t>Prasad</t>
  </si>
  <si>
    <t>8317636360</t>
  </si>
  <si>
    <t>amoghcafe1@gmail.com</t>
  </si>
  <si>
    <t>Bamma Tiffins</t>
  </si>
  <si>
    <t>7-18-25/27/101,plot no.25,26,27,Alkapur,Ranga Reddy,Telangana</t>
  </si>
  <si>
    <t>Naveen</t>
  </si>
  <si>
    <r>
      <rPr>
        <color rgb="FF1155CC"/>
        <u/>
      </rPr>
      <t>H.no</t>
    </r>
    <r>
      <rPr/>
      <t>:7-18-25/27/101, plot no.25,26,27,alkapur</t>
    </r>
  </si>
  <si>
    <t>9885215007</t>
  </si>
  <si>
    <t>naveenaryanchowdary@gmail.com</t>
  </si>
  <si>
    <t>Sindhu sha</t>
  </si>
  <si>
    <t>BARBOBJMAKO</t>
  </si>
  <si>
    <t>Bulli Abbai Kodi Palau</t>
  </si>
  <si>
    <t>kavya deluxe apartment,lata enclave,madhuranagar,hyderabad</t>
  </si>
  <si>
    <t>Bulliabbai kodi palau</t>
  </si>
  <si>
    <t>shop no.8-3-22/16A and 16/B,madhura nagar</t>
  </si>
  <si>
    <t>Venkata reddy</t>
  </si>
  <si>
    <t>9493989362</t>
  </si>
  <si>
    <t>bulliabbhai@gmail.com</t>
  </si>
  <si>
    <t>IDIB000H601</t>
  </si>
  <si>
    <t>Buli Abbai Kodi Palau</t>
  </si>
  <si>
    <t>Bulli Abbai Kodi Pulav7</t>
  </si>
  <si>
    <t>Delhi Muradabadi Biryani</t>
  </si>
  <si>
    <t>plot no.242,bayuth colony,pippalaguda,manikonda,Rajendra nagar,rangareddy</t>
  </si>
  <si>
    <t>Delhi Muradaladi Biryani</t>
  </si>
  <si>
    <t>plot no.242,bayuth colony,pippalaguda,manikonda`</t>
  </si>
  <si>
    <t>Alam</t>
  </si>
  <si>
    <t>9911911949</t>
  </si>
  <si>
    <t>royalgaming51945@gmail.com</t>
  </si>
  <si>
    <t>Imtiaz alam</t>
  </si>
  <si>
    <t>BARBOSUARXX</t>
  </si>
  <si>
    <t>https://drive.google.com/drive/folders/1wj1STRyWLksx3sLrcUKwC3FpyEaJB7LV</t>
  </si>
  <si>
    <t>Hanuman Juice and salad</t>
  </si>
  <si>
    <r>
      <rPr>
        <color rgb="FF1155CC"/>
        <u/>
      </rPr>
      <t>H.no</t>
    </r>
    <r>
      <rPr/>
      <t>:B/22,23,24,vengal rao nagar,khairtabad circle no.17,hyd.telangana</t>
    </r>
  </si>
  <si>
    <t>D.Venkata ramana</t>
  </si>
  <si>
    <t>H.no:B/22,23,24,vengal rao nagar,khairtabad circle no.17,hyd.telangana,500038</t>
  </si>
  <si>
    <t>Venkata ramana</t>
  </si>
  <si>
    <t>9885552731</t>
  </si>
  <si>
    <t>hjjuicesalad@gmail.com</t>
  </si>
  <si>
    <t>IOBA0001696</t>
  </si>
  <si>
    <t>https://drive.google.com/drive/folders/1iGkq5x63L9MzLTFtbpSSdoRb2Z16w-QN</t>
  </si>
  <si>
    <t>17.440225,78.439709</t>
  </si>
  <si>
    <t>Hitech Bawarchi food zone</t>
  </si>
  <si>
    <t>MIG-154,gachibowli,selingampally circle-20,hyderabad,telangana</t>
  </si>
  <si>
    <t>Paper missing</t>
  </si>
  <si>
    <t>MIG-154,gachibowli,selingampally circle-20,hyderabad,telangana,500081</t>
  </si>
  <si>
    <t>Mohammed Ishaq</t>
  </si>
  <si>
    <t>8247569561</t>
  </si>
  <si>
    <t>ishaq.1963@yahoo.com</t>
  </si>
  <si>
    <t>Mohammed ishaq</t>
  </si>
  <si>
    <t>;0798101023882</t>
  </si>
  <si>
    <t>CNRB0013051</t>
  </si>
  <si>
    <t>https://drive.google.com/drive/folders/1jbV98BQzIy5aax4E6TPt3kY2XFBwzOGp?usp=drive_link</t>
  </si>
  <si>
    <t>menu from zomato nd swiggy</t>
  </si>
  <si>
    <t>Hitech Biryani house</t>
  </si>
  <si>
    <t>Kaaram the Authntic telangana spice kitchnen</t>
  </si>
  <si>
    <t>plot no.64,opp HP petrol pump,peeramchervu,Gandhamguda,Bandlaguda jagir,hyd</t>
  </si>
  <si>
    <t>Srikanth</t>
  </si>
  <si>
    <t>Banglaguda</t>
  </si>
  <si>
    <t>25% including GST</t>
  </si>
  <si>
    <t>plot no.64,opp HP petrol pump,peeramchervu,Gandhamguda,Bandlaguda jagir,hyd,500086</t>
  </si>
  <si>
    <t>9912699903</t>
  </si>
  <si>
    <t>kaaramthspicekitchen@gmail.com</t>
  </si>
  <si>
    <t>Hdfc bank</t>
  </si>
  <si>
    <t>HDFC0006456</t>
  </si>
  <si>
    <t>https://drive.google.com/drive/folders/1O255hMRb9Bs_e18IkE82rtizAXPSGzhn</t>
  </si>
  <si>
    <t>Mother's kitchen</t>
  </si>
  <si>
    <t>H.no:1-59/8/2, nandi co-operative society,miyapur,serlingampally ranga reddy district hyd</t>
  </si>
  <si>
    <t>Velagapudi meghana</t>
  </si>
  <si>
    <t>H.no:1-59/8/2, nandi co-operative society,miyapur,serlingampally ranga reddy district hyd 500049</t>
  </si>
  <si>
    <t>Ravi Kumar</t>
  </si>
  <si>
    <t>9177960195</t>
  </si>
  <si>
    <t>velagapudi6@gmail.com</t>
  </si>
  <si>
    <t>V.Meghana</t>
  </si>
  <si>
    <t>HDFC0001021</t>
  </si>
  <si>
    <t>https://drive.google.com/drive/folders/1P3phSrvfEDSf9PhVaBz-jexhTOJBQMS1</t>
  </si>
  <si>
    <t>New Udupi sri krishna grand</t>
  </si>
  <si>
    <r>
      <rPr>
        <color rgb="FF1155CC"/>
        <u/>
      </rPr>
      <t>H.no</t>
    </r>
    <r>
      <rPr/>
      <t>:4-28 plot no.28,dwauak nagar colony,banglaguda jagir,rajendra nagar</t>
    </r>
  </si>
  <si>
    <t>Ravikanth Rao</t>
  </si>
  <si>
    <r>
      <rPr>
        <color rgb="FF1155CC"/>
        <u/>
      </rPr>
      <t>H.no</t>
    </r>
    <r>
      <rPr/>
      <t>:4-28 plot no.28,dwauak nagar colony,banglaguda jagir,rajendra nagar,500086</t>
    </r>
  </si>
  <si>
    <t>Nallari Ravi</t>
  </si>
  <si>
    <t>9490840633</t>
  </si>
  <si>
    <t>ravikanthnalari@gmail.com</t>
  </si>
  <si>
    <t>Nallari Ravikanth rao</t>
  </si>
  <si>
    <t>SBIN0020121</t>
  </si>
  <si>
    <t>https://drive.google.com/drive/folders/1q5m_oIPtx_q6EBqzQVHbpbGSahH2dFcx</t>
  </si>
  <si>
    <t>Oye punjabi</t>
  </si>
  <si>
    <t>manikonda</t>
  </si>
  <si>
    <t>Paruchuri foods</t>
  </si>
  <si>
    <t>shop no.8,kk towers,yousufguda main road,engineers colony,telangana</t>
  </si>
  <si>
    <t>Yousufguda</t>
  </si>
  <si>
    <t>P.Chandra shekar Rao</t>
  </si>
  <si>
    <t>9391007154</t>
  </si>
  <si>
    <t>HDFC0004348</t>
  </si>
  <si>
    <t>Parchuri Foods</t>
  </si>
  <si>
    <t>Paruchuri Foods</t>
  </si>
  <si>
    <t>Sahi Nawab's Kitchen</t>
  </si>
  <si>
    <t>8-3-222/8/76/G2, Madhura nagar, Circle No/17 hyderabad  HYD</t>
  </si>
  <si>
    <t>Jamgam Rambabu</t>
  </si>
  <si>
    <t>Rambabu</t>
  </si>
  <si>
    <t>9000002378</t>
  </si>
  <si>
    <t xml:space="preserve">ICICI Bank </t>
  </si>
  <si>
    <t>ICIC0000069</t>
  </si>
  <si>
    <t>Sahi Nawabi's Kitchen</t>
  </si>
  <si>
    <t>SHAHI NAWABS KITCHEN</t>
  </si>
  <si>
    <t>Sri Aadhya Delicious</t>
  </si>
  <si>
    <t>plot no.82/c road no.3,shutter no.1,Addaguta society,kukatpally,hyd</t>
  </si>
  <si>
    <t>Manikanta Reddy</t>
  </si>
  <si>
    <t>83339336696</t>
  </si>
  <si>
    <t>saimanikantareddy8172@gmail.com</t>
  </si>
  <si>
    <t>Peram sai manikanta reddy</t>
  </si>
  <si>
    <t>HDFC0001624</t>
  </si>
  <si>
    <t>https://drive.google.com/drive/folders/1ywQmsXc-ZPzeIVEY4qw95oG5GpkRx0tz?usp=drive_link</t>
  </si>
  <si>
    <t>Sri Bhimanaram Thali/ Tangella Ravali</t>
  </si>
  <si>
    <t>51/b  vengal rao nagar,hyd,yousufguda circel no.19,hyd,telangana</t>
  </si>
  <si>
    <t>T.Ravali</t>
  </si>
  <si>
    <t>Sri Bhimanaram Thali/Tangella Ravali</t>
  </si>
  <si>
    <t>51/b  vengal rao nagar,hyd,yousufguda circel no.19,hyd,telangana,500045</t>
  </si>
  <si>
    <t>Satish</t>
  </si>
  <si>
    <t>7066346634</t>
  </si>
  <si>
    <t>sribhimavaramthali@gmail.com</t>
  </si>
  <si>
    <t>Equitas small business bank</t>
  </si>
  <si>
    <t>ESFB0005004</t>
  </si>
  <si>
    <t>https://drive.google.com/drive/folders/14gLod5g9ejIgDgoScB7Vcn_7rb662Fqr</t>
  </si>
  <si>
    <t>17.441117,78.439259</t>
  </si>
  <si>
    <t>SS. Bawarchi</t>
  </si>
  <si>
    <t>Gandipet no.75,76,77,dwauaka nagar main road</t>
  </si>
  <si>
    <t>Prashanth Singh</t>
  </si>
  <si>
    <t>Dwauaka Nagar</t>
  </si>
  <si>
    <t>SS.Bawarchi</t>
  </si>
  <si>
    <t xml:space="preserve">plot no.75,76,77,dwauaka nagar </t>
  </si>
  <si>
    <t>9032000555</t>
  </si>
  <si>
    <t>prashanthhaakur6@gmail.com</t>
  </si>
  <si>
    <t>Thakur Prasanth singh</t>
  </si>
  <si>
    <t>https://drive.google.com/drive/folders/1GqMoz5620uZSNOJ3mml6RyVQEDJmVWHm</t>
  </si>
  <si>
    <t>Vindhu maharaj</t>
  </si>
  <si>
    <t>h.no:1-59/8/2, nandi co-operative society,miyapur,serlingampally ranga reddy district hyd</t>
  </si>
  <si>
    <t>V.Ravi Kumar</t>
  </si>
  <si>
    <t>1-59/8/2, nandi co-operative society,miyapur,serlingampally ranga reddy district hyd 500049</t>
  </si>
  <si>
    <t>SBIN0017744</t>
  </si>
  <si>
    <t>https://drive.google.com/drive/folders/1On2GNKh6wS0zpO3GoBDYsrEBYzgEtpWb</t>
  </si>
  <si>
    <t>Vinni Cabin Cafe</t>
  </si>
  <si>
    <r>
      <rPr>
        <color rgb="FF1155CC"/>
        <u/>
      </rPr>
      <t>H.no</t>
    </r>
    <r>
      <rPr/>
      <t>:2-27/7,vinayak nagar,gachibowlli,hyd,telagana</t>
    </r>
  </si>
  <si>
    <t>Aripelli VInesh</t>
  </si>
  <si>
    <t>Vinnin Cabin Cafe</t>
  </si>
  <si>
    <t>H.no:2-27/7,vinayak nagar,gachibowlli,hyd,telagana,500032</t>
  </si>
  <si>
    <t>8374628209</t>
  </si>
  <si>
    <t>avinesh363@gmail.com</t>
  </si>
  <si>
    <t>UCO bank</t>
  </si>
  <si>
    <t>UCBA0002110</t>
  </si>
  <si>
    <t>https://drive.google.com/drive/folders/1seQsw5LSW2e0tDBx-adbu1pr_Zk1JZLw?usp=sharing</t>
  </si>
  <si>
    <t>Zeeshan Restaurant</t>
  </si>
  <si>
    <t>Rajendra nagar,hyderabad,1-224,kistmathpur,rajendra nagar</t>
  </si>
  <si>
    <t>Tokala mahendra reddy</t>
  </si>
  <si>
    <t>Hyderabad</t>
  </si>
  <si>
    <t>Mahendra reddy</t>
  </si>
  <si>
    <t>9490701464</t>
  </si>
  <si>
    <t>humaenterprises1982@gmail.com</t>
  </si>
  <si>
    <t>Huma Enterprises</t>
  </si>
  <si>
    <t>Indian overseas Bank</t>
  </si>
  <si>
    <t>IOBA0001571</t>
  </si>
  <si>
    <t>https://drive.google.com/drive/folders/1U13VSi8AdHY1-kfcRQSIsNhtOFIIlglH</t>
  </si>
  <si>
    <t>Ahara kitchen</t>
  </si>
  <si>
    <r>
      <rPr>
        <color rgb="FF1155CC"/>
        <u/>
      </rPr>
      <t>h.no</t>
    </r>
    <r>
      <rPr/>
      <t>:2-92/32,shop no.4,kondapur whitefields,selingampally circle no.20,hyd,telangana</t>
    </r>
  </si>
  <si>
    <t>Venu prakash gunda</t>
  </si>
  <si>
    <r>
      <rPr>
        <color rgb="FF1155CC"/>
        <u/>
      </rPr>
      <t>h.no</t>
    </r>
    <r>
      <rPr/>
      <t>:2-92/32,shop no.4,telangana,500084</t>
    </r>
  </si>
  <si>
    <t>venu</t>
  </si>
  <si>
    <t>9493106693</t>
  </si>
  <si>
    <t>gundavenuprakash74@gmail.com</t>
  </si>
  <si>
    <t>HDFC0004216</t>
  </si>
  <si>
    <t>https://drive.google.com/drive/folders/1aHf2ExbPPUc59fLkesjNJN2JBnS0Uy1Q?usp=sharing</t>
  </si>
  <si>
    <t>Sada me Brands of Bhimavarman (BOB)</t>
  </si>
  <si>
    <t>CCPQ+HH8,yousufguda main road,lata enclave,besides,rayalavari ruchulu,madhura nagar,hyd,telangana</t>
  </si>
  <si>
    <t>E.Balaji</t>
  </si>
  <si>
    <t>CCPQ+HH8,circle no.17,madhura nagar,500073</t>
  </si>
  <si>
    <t>9700553599</t>
  </si>
  <si>
    <t>balu.evana396@gmail.com</t>
  </si>
  <si>
    <t>Padavala Rama lakshmi</t>
  </si>
  <si>
    <t>state bank of india</t>
  </si>
  <si>
    <t>SBIN0020530</t>
  </si>
  <si>
    <t>Sada Me Brands Of bhimavaram</t>
  </si>
  <si>
    <t>1m, Yousufguda Main Rd</t>
  </si>
  <si>
    <t>Sri sai rama tiffins</t>
  </si>
  <si>
    <t>8-3-222/8/72,G-4,madhuranagar,yousufguda,hyd circel no.19,hyd</t>
  </si>
  <si>
    <t>yousufguda circle no.19,hyd,telangana,500038</t>
  </si>
  <si>
    <t>Vijay kumar</t>
  </si>
  <si>
    <t>7799208404</t>
  </si>
  <si>
    <t>vijjuvo52@gmail.com</t>
  </si>
  <si>
    <t>Axis bank</t>
  </si>
  <si>
    <t>UTIB0004719</t>
  </si>
  <si>
    <t>Sri Sai rama Tiffins</t>
  </si>
  <si>
    <t>Om Sai Ram Tiffins</t>
  </si>
  <si>
    <t>Sri varahi sampradaya vindhu</t>
  </si>
  <si>
    <t>8-3-228/1280/46,jawahar nagar,yousufguda,hyd</t>
  </si>
  <si>
    <t>K.Amulya</t>
  </si>
  <si>
    <t>-3-228/1280/46,circle no.19,hyd,500045</t>
  </si>
  <si>
    <t>sujeeth karnala</t>
  </si>
  <si>
    <t>8328378624</t>
  </si>
  <si>
    <t>sujith.atrity@gmail.com</t>
  </si>
  <si>
    <t xml:space="preserve">kanchu musthyam </t>
  </si>
  <si>
    <t>SBIN0020593</t>
  </si>
  <si>
    <t>sri vaarahi Sampradaya Vindhu</t>
  </si>
  <si>
    <t>Sri Varahi Sampradaya Vindhu</t>
  </si>
  <si>
    <t>A Balaji family dhaba</t>
  </si>
  <si>
    <t>9-1-364/G/1, Bapu ghat,langarlouz,hyd,500008,karwan circle no.13,hyd,telangana</t>
  </si>
  <si>
    <t>Dilip Deva</t>
  </si>
  <si>
    <t>9-1-364/G/1, Bapu ghat,langarlouz,hyd,500008,karwan circle no.13,hyd,telangana,500008</t>
  </si>
  <si>
    <t>9666650269</t>
  </si>
  <si>
    <t>dilipdevda2004@gmail.com</t>
  </si>
  <si>
    <t>HDFC0006995</t>
  </si>
  <si>
    <t>https://drive.google.com/drive/folders/1ry4NkINKPYXMKd9jVxYbWCN5YjjETQTV</t>
  </si>
  <si>
    <t>Al-Aadaab Arabian mandi Restaurant</t>
  </si>
  <si>
    <r>
      <rPr>
        <color rgb="FF1155CC"/>
        <u/>
      </rPr>
      <t>D.no</t>
    </r>
    <r>
      <rPr/>
      <t>:2-22-134/A/1,vijaya nagar colony,opposite,patel kunta huda park,kukatpally,hyd</t>
    </r>
  </si>
  <si>
    <t>Sai lakshmi</t>
  </si>
  <si>
    <t>kukatpally</t>
  </si>
  <si>
    <t>8801656811</t>
  </si>
  <si>
    <t>lakshmisai349@gmail.com</t>
  </si>
  <si>
    <t>INDB0001507</t>
  </si>
  <si>
    <t>https://drive.google.com/drive/folders/13QD9S9A9XKyaIsHMElIz8XGXsJMcHthf?usp=drive_link</t>
  </si>
  <si>
    <t>Aroma biryanis and pulao's</t>
  </si>
  <si>
    <t>SHOP NO:10, Abhuyudaya Nagar-Anandh nagar colony-Himayathsagar village),Gandipet, Rangareddy, Telangana -500075</t>
  </si>
  <si>
    <t>Ravi Teja</t>
  </si>
  <si>
    <t>9505154858</t>
  </si>
  <si>
    <t>aromabiryanisandpulao@gmail.com</t>
  </si>
  <si>
    <t>Polanati Mowlikasri</t>
  </si>
  <si>
    <t>BARB0VJBUND</t>
  </si>
  <si>
    <t>https://drive.google.com/drive/folders/1Y4XVfH0he62lVDBe_LdMTnd90sOu6-5o</t>
  </si>
  <si>
    <t>Flavours of andhra (authentic andra cuisine)</t>
  </si>
  <si>
    <t>5-69 and 70/2 opposite,ratanadeep,select market westend colony,bangladuga jagir,hyd</t>
  </si>
  <si>
    <t>Abhishek</t>
  </si>
  <si>
    <t>5-69 and 70/2 opposite,ratanadee[,delect market westend colony,bangladuga jagir,hyd,500091</t>
  </si>
  <si>
    <t>9000162702</t>
  </si>
  <si>
    <t>foabanglaguda@gmail.com and hsreddy81@gmail.com</t>
  </si>
  <si>
    <t>Arya and srinika's kitchen</t>
  </si>
  <si>
    <t>IDFB0080218</t>
  </si>
  <si>
    <t>https://drive.google.com/drive/folders/1NoK9RFWRs9eBAc-uc5OGV2U5hx2zF9V8</t>
  </si>
  <si>
    <t>IQ shawarma</t>
  </si>
  <si>
    <t>8-3-228/678/1395,sri ram nagar,yousufguda circle no.19,hyderabad</t>
  </si>
  <si>
    <t>MD.Ghouse</t>
  </si>
  <si>
    <t>Sri ram nagar,yousufguda,hyd,500045</t>
  </si>
  <si>
    <t>8801925991</t>
  </si>
  <si>
    <t>saudimd28@gmail.com</t>
  </si>
  <si>
    <t>HDFC000626</t>
  </si>
  <si>
    <t>IQ Shawarma</t>
  </si>
  <si>
    <t>Kings Kohinoor hotel</t>
  </si>
  <si>
    <t>2-94-,youth colony,beside flyover,opposite genpact,old hafeezpet, hyd ,telangana</t>
  </si>
  <si>
    <t>Mohammed Khaleel</t>
  </si>
  <si>
    <t>Hafeezpet</t>
  </si>
  <si>
    <t>8897351867</t>
  </si>
  <si>
    <t>khaleelmohameed232@gmail.com</t>
  </si>
  <si>
    <t>https://drive.google.com/drive/folders/10Ix6Ggp0NqgRJ1pLNoj-UiHZkJBg6jrC?usp=drive_link</t>
  </si>
  <si>
    <t>Mana inti bojanam</t>
  </si>
  <si>
    <t>Langarhouz</t>
  </si>
  <si>
    <t>Jagan</t>
  </si>
  <si>
    <t>9393132929</t>
  </si>
  <si>
    <t>not answering thw call</t>
  </si>
  <si>
    <t>Mom's recipe</t>
  </si>
  <si>
    <t>plot no.2A,opposite,divya shree,kondapur,hyd,serlingampally circle no.20,hyd,telangana</t>
  </si>
  <si>
    <t>Monica Surana</t>
  </si>
  <si>
    <t>plot no.2A,sy no.12,opposite divya shree,hyd,500084</t>
  </si>
  <si>
    <t>Monica</t>
  </si>
  <si>
    <t>8897928087</t>
  </si>
  <si>
    <t>msuranaktm@gmail.com</t>
  </si>
  <si>
    <t>Monica surana</t>
  </si>
  <si>
    <t>1282120100003325</t>
  </si>
  <si>
    <t>UBIN0812820</t>
  </si>
  <si>
    <t>Mom's Recipe</t>
  </si>
  <si>
    <t>Mysore bakery/dinesh kumar</t>
  </si>
  <si>
    <t>shop no.5 and 6 suitated opposite pochama galli dusakot village,gandipet</t>
  </si>
  <si>
    <t>Dinesh kumar</t>
  </si>
  <si>
    <t>Mysore bakery</t>
  </si>
  <si>
    <t>shop no.5 and 6 suitated opposite pochama galli dusakot village,gandipet,500091</t>
  </si>
  <si>
    <t>9885238434</t>
  </si>
  <si>
    <t>dineshdiyya@gmail.com</t>
  </si>
  <si>
    <t>SBIN0021357</t>
  </si>
  <si>
    <t>https://drive.google.com/drive/folders/1o3BavNI9DdCbKnrrrpHuc6X6BoVb7JRn?usp=sharing</t>
  </si>
  <si>
    <t>Oak Bistro</t>
  </si>
  <si>
    <r>
      <rPr/>
      <t>plot no.1,dargakhaliz khan,LV prasad eye instituation,</t>
    </r>
    <r>
      <rPr>
        <color rgb="FF1155CC"/>
        <u/>
      </rPr>
      <t>h.no:14</t>
    </r>
    <r>
      <rPr/>
      <t>,,kismatpur,</t>
    </r>
  </si>
  <si>
    <t>Sheik faehaan</t>
  </si>
  <si>
    <t>plot no.1,darga khaliz khan,LV prasad eye instituation,h.no:14,200003,kismatpur,500086</t>
  </si>
  <si>
    <t>6281817630</t>
  </si>
  <si>
    <t>oakbistro@gmail.com</t>
  </si>
  <si>
    <t>Roast and krunch cafe</t>
  </si>
  <si>
    <t>HDFC0005790</t>
  </si>
  <si>
    <t>https://drive.google.com/drive/folders/1dTS0kUR8NALwTE7yBbHIzAtGkyg2sqOI</t>
  </si>
  <si>
    <t>Palapiltta Ruchulu</t>
  </si>
  <si>
    <t>1-90/2/E/A,sri sai nilayam,vinyaka nagar colony,madhapur,hyd</t>
  </si>
  <si>
    <t>Manne Hanumanth</t>
  </si>
  <si>
    <t>1-90/2/E/A,sri sai nilayam,vinyaka nagar colony,madhapur,hyd,500081</t>
  </si>
  <si>
    <t>7331139799</t>
  </si>
  <si>
    <t>hanumudiraj@gmail.com</t>
  </si>
  <si>
    <t>SBI South Indian</t>
  </si>
  <si>
    <t>;0726073000000346</t>
  </si>
  <si>
    <t>SIBL0000726</t>
  </si>
  <si>
    <t>https://drive.google.com/drive/folders/1F80kBNoOK3wMGQkHgnSRHBgjnZpsBHC8?usp=drive_link</t>
  </si>
  <si>
    <t>menu from zomato</t>
  </si>
  <si>
    <t>Priyansh Fast Food</t>
  </si>
  <si>
    <r>
      <rPr>
        <color rgb="FF1155CC"/>
        <u/>
      </rPr>
      <t>h.no</t>
    </r>
    <r>
      <rPr/>
      <t>:3-3/55,tulja bhavani nilayam vinay aka nagar colony,banglaguda jagir,rajendra nagar</t>
    </r>
  </si>
  <si>
    <t>Megha vath venkatesh</t>
  </si>
  <si>
    <t>8328568920</t>
  </si>
  <si>
    <t>rathodvenkat62@gmail.com</t>
  </si>
  <si>
    <t>KKBK0007472</t>
  </si>
  <si>
    <t>https://drive.google.com/drive/folders/1m4N2PJVDiX8H3NdIUa4jjRzLaTv7ySG_?usp=sharing</t>
  </si>
  <si>
    <t>Rajasaab Royal kitchen</t>
  </si>
  <si>
    <t>6-58,dargha khaliz khan,kismatpur,rajendranagar,rangareddy</t>
  </si>
  <si>
    <t>Dodda krupakar</t>
  </si>
  <si>
    <t>6-58,dargha khalj khan,kismatpur,rajendranagar,rangareddy</t>
  </si>
  <si>
    <t>6301302857</t>
  </si>
  <si>
    <t>rajaasab@03@gmail.com</t>
  </si>
  <si>
    <t>UBIN0813397</t>
  </si>
  <si>
    <t>Samsatha tiffins</t>
  </si>
  <si>
    <t>plot no.21A,sy no.12,whitefeilds,opposite,divya shree omega,kondapur,hyderabad,selingampally circle no&gt;20,hyd</t>
  </si>
  <si>
    <t>B.Hsarsha vardhan Raju</t>
  </si>
  <si>
    <t>Samastha tiffins</t>
  </si>
  <si>
    <t>plot no.21A,sy no.12,kondapur,500084</t>
  </si>
  <si>
    <t>Harsha vardhan raju</t>
  </si>
  <si>
    <t>9704204592</t>
  </si>
  <si>
    <t>vardhan2563@gmail.com</t>
  </si>
  <si>
    <t>Gold kumar</t>
  </si>
  <si>
    <t>IBBI bank</t>
  </si>
  <si>
    <t>;0446104000204927</t>
  </si>
  <si>
    <t>IBKL0000446</t>
  </si>
  <si>
    <t>samastha Tiffins</t>
  </si>
  <si>
    <t>SAMASTHA TIFFIN'S</t>
  </si>
  <si>
    <t>santhakam Ruchulu</t>
  </si>
  <si>
    <r>
      <rPr>
        <color rgb="FF1155CC"/>
        <u/>
      </rPr>
      <t>D.no</t>
    </r>
    <r>
      <rPr/>
      <t>:6-3-1192/1/G/8,white house,G4,kundanbagh,begumpet,hyd,telangana</t>
    </r>
  </si>
  <si>
    <t>Yeshwanth</t>
  </si>
  <si>
    <r>
      <rPr>
        <color rgb="FF1155CC"/>
        <u/>
      </rPr>
      <t>D.no</t>
    </r>
    <r>
      <rPr>
        <color rgb="FF000000"/>
      </rPr>
      <t>:6-3-1192/1/G/8,white house G4,hyd,500016</t>
    </r>
  </si>
  <si>
    <t>Yeshwanth undragunta</t>
  </si>
  <si>
    <t>9515758788</t>
  </si>
  <si>
    <t>santhakamruchulu@gmail.com</t>
  </si>
  <si>
    <t>Industrial bank</t>
  </si>
  <si>
    <t>INDB0000004</t>
  </si>
  <si>
    <t>Santhakam Ruchulu</t>
  </si>
  <si>
    <t>White House Block B</t>
  </si>
  <si>
    <t>Shasha shandaar shawarma</t>
  </si>
  <si>
    <t>sy no.20/AA western colony,gandhmguda,banglaguda,telangana,gandipet</t>
  </si>
  <si>
    <t>Sri hari</t>
  </si>
  <si>
    <t>Hari food</t>
  </si>
  <si>
    <t>sy no.20/AA western colony,gandhmguda,banglaguda,telangana,500086-gandipet</t>
  </si>
  <si>
    <t>9502157868</t>
  </si>
  <si>
    <t>pedhdhoda97@gmail.com</t>
  </si>
  <si>
    <t>Goundla srihari goud</t>
  </si>
  <si>
    <t>;044910100104136</t>
  </si>
  <si>
    <t>UBIN0804495</t>
  </si>
  <si>
    <t>https://drive.google.com/drive/folders/1Zin3G8LACrq7KQRRTaP3Q2EBWYsJhoev</t>
  </si>
  <si>
    <t>Spice theory</t>
  </si>
  <si>
    <t>survey no.37,himayath sagar village,gandipet mandal,rangareddy district,telangana</t>
  </si>
  <si>
    <t>Naveeed khan ahsan mohammed khan</t>
  </si>
  <si>
    <t>survey no.37,himayath sagar village,gandipet mandal,rangareddy district,telangana-500091</t>
  </si>
  <si>
    <t>8623075235</t>
  </si>
  <si>
    <t>aakham302@gmail.com</t>
  </si>
  <si>
    <t>;047761900001031</t>
  </si>
  <si>
    <t>YESB0000477</t>
  </si>
  <si>
    <t>Sri ramana maharshi food court</t>
  </si>
  <si>
    <t>h.no:5-68,shantinagar,hydershakote,banglaguda(jagir),rajendranagar</t>
  </si>
  <si>
    <t>Padmavathi</t>
  </si>
  <si>
    <t>h.no:5-68,shantinagar,hydershakote</t>
  </si>
  <si>
    <t>kassa  venkata padmavathi</t>
  </si>
  <si>
    <t>8008049249</t>
  </si>
  <si>
    <t>padmakasa76@gmail.com</t>
  </si>
  <si>
    <t>SBIN0000788</t>
  </si>
  <si>
    <t>https://drive.google.com/drive/folders/19aGVt24O-BsWXrVVsZEgQU1WzvieiPwy</t>
  </si>
  <si>
    <t>Tealogy cafe</t>
  </si>
  <si>
    <t>shop no.101 plot no.36 st.mincheals colony,banglaguda,gandipet</t>
  </si>
  <si>
    <t>kotha akshok</t>
  </si>
  <si>
    <t>shop no.101 plot no.36 st.mincheals colony,banglaguda,gandipet,500086</t>
  </si>
  <si>
    <t xml:space="preserve">Ashok </t>
  </si>
  <si>
    <t>9980102334</t>
  </si>
  <si>
    <t>kothaashok25@gmail.com</t>
  </si>
  <si>
    <t>kotha ashok</t>
  </si>
  <si>
    <t>HDFC0001031</t>
  </si>
  <si>
    <t>https://drive.google.com/drive/folders/1DTAi45bEtiO_tl1QsFPsc9Pqc9bGx17X</t>
  </si>
  <si>
    <t>Telugu patnam ruchulu</t>
  </si>
  <si>
    <r>
      <rPr/>
      <t>shutter no-1,first floor,</t>
    </r>
    <r>
      <rPr>
        <color rgb="FF1155CC"/>
        <u/>
      </rPr>
      <t>h.no:2/17</t>
    </r>
    <r>
      <rPr/>
      <t>,satya towers,opposite,hanuman mandir,kothguda,hyd</t>
    </r>
  </si>
  <si>
    <t>Aduru sai charitha</t>
  </si>
  <si>
    <t>shutter no-1,first floor,h.no:2/17,satya towers,opposite,hanuman,kothguda,hyd,500084</t>
  </si>
  <si>
    <t>Nithish</t>
  </si>
  <si>
    <t>9000464440</t>
  </si>
  <si>
    <t>patnamruchulu@gmail.com</t>
  </si>
  <si>
    <t>HDFC0011675</t>
  </si>
  <si>
    <t>https://drive.google.com/drive/folders/188nldy4XpU1zhZAGouXDMVLnD3YlSe6e?usp=drive_link</t>
  </si>
  <si>
    <t>The royal plate Restaurant</t>
  </si>
  <si>
    <t>sy no.88, near old hafeezpet,sai nagar,opposite genpact company,serilingampally, hyd</t>
  </si>
  <si>
    <t>Mohammed Bin Mansoor Al Jabri</t>
  </si>
  <si>
    <t>sy no.88, near old hafeezpet,sai nagar,opposite genpact company,serilingampally, hyd,500049</t>
  </si>
  <si>
    <t>Imran khan</t>
  </si>
  <si>
    <t>8247527217</t>
  </si>
  <si>
    <t>mohammedjabri599@gmail.com</t>
  </si>
  <si>
    <t>DCBL0000049</t>
  </si>
  <si>
    <t>https://drive.google.com/drive/folders/1ltWiHDaVWZ5EReOj8YuPp7qCJEvtdxgr</t>
  </si>
  <si>
    <t>yousif shahed fain kalyani biryani</t>
  </si>
  <si>
    <t>8-3-228/678/1398,sri ram nagar,near syedna omar masjid,yousufguda circel no.19,telangana</t>
  </si>
  <si>
    <t>Syed shahed</t>
  </si>
  <si>
    <t>yousufain kalyani biryani</t>
  </si>
  <si>
    <t>syedna omer masjid,yousufguda circle no.19,500045</t>
  </si>
  <si>
    <t>syed shahed</t>
  </si>
  <si>
    <t>8367007137</t>
  </si>
  <si>
    <t>syedshahed509@gmail.com</t>
  </si>
  <si>
    <t>KKBK0007488</t>
  </si>
  <si>
    <t>Yousfian Restaurent</t>
  </si>
  <si>
    <t>Moulana Kalyani Biryani Hotel</t>
  </si>
  <si>
    <t>Yum yard</t>
  </si>
  <si>
    <t>5-12A,darga khaliz,khaan guda,telangana</t>
  </si>
  <si>
    <t>5-12A,darga khaliz,khaan guda</t>
  </si>
  <si>
    <t>Zamana shawarma and fast food</t>
  </si>
  <si>
    <r>
      <rPr>
        <color rgb="FF1155CC"/>
        <u/>
      </rPr>
      <t>h.no</t>
    </r>
    <r>
      <rPr/>
      <t>:8-228/b/b/b,rd no.3,banjara hills,jubliee hills circle no.18,hyderabad</t>
    </r>
  </si>
  <si>
    <t>Lakshman kumar yadav</t>
  </si>
  <si>
    <t>Banjara Hills</t>
  </si>
  <si>
    <t>Banjara hills,500034</t>
  </si>
  <si>
    <t>8102839784</t>
  </si>
  <si>
    <t>alisahil66636@gmail.com</t>
  </si>
  <si>
    <t>zamin ali</t>
  </si>
  <si>
    <t>UBIN0905909</t>
  </si>
  <si>
    <t>Zamana Shawarma</t>
  </si>
  <si>
    <t>G.S Plaza</t>
  </si>
  <si>
    <t>Bhimavaram vari unlimited ruchulu</t>
  </si>
  <si>
    <t>LIG 153,KPHB phase 7,kukatpally,moosapet circle no.23,hyd</t>
  </si>
  <si>
    <t>shiv kumar patil</t>
  </si>
  <si>
    <t>LIG 153,KPHB phase 7,kukatpally,moosapet circle no.23,hyd,500085</t>
  </si>
  <si>
    <t>7336446648</t>
  </si>
  <si>
    <t>shiv.patil006@gmail.com</t>
  </si>
  <si>
    <t>HDFC0002243</t>
  </si>
  <si>
    <t>https://drive.google.com/drive/folders/1Xv6LjNqBmzeoppDB0jf4_Eca-MR_jGWC</t>
  </si>
  <si>
    <t>Blend and roast cafe</t>
  </si>
  <si>
    <t>8-3-235,yousufguda,hyd,khairthabad,circle no.17,hyderabad</t>
  </si>
  <si>
    <t>8-3-235,Yousufguda,500045</t>
  </si>
  <si>
    <t>Mohammed</t>
  </si>
  <si>
    <t>9912340407</t>
  </si>
  <si>
    <t>kadiyalmohd7@gmail.com</t>
  </si>
  <si>
    <t>Mohammed Zahera Begum</t>
  </si>
  <si>
    <t xml:space="preserve">ICIC000111 </t>
  </si>
  <si>
    <t>Blend and roast</t>
  </si>
  <si>
    <t>Blend &amp; Roast Cafe6</t>
  </si>
  <si>
    <t>chicken shawarma hut</t>
  </si>
  <si>
    <t>plot no.146,beside dry fruit shop srinagar colony,main road hyderabad circle no.17</t>
  </si>
  <si>
    <t>mohammed Ameen Uddin</t>
  </si>
  <si>
    <t>Srinagar colony</t>
  </si>
  <si>
    <t>9618096343</t>
  </si>
  <si>
    <t>Alameen1srinagar@gmail.com</t>
  </si>
  <si>
    <t>Al Ameen Shawarma</t>
  </si>
  <si>
    <t>HDFC0002391</t>
  </si>
  <si>
    <t>Chicken Shawarma Hut</t>
  </si>
  <si>
    <t>Deerga ayushman bhava</t>
  </si>
  <si>
    <t>6-3-598/5 ground floor,venkataramana colony,khairatabad circle  no.17,hyd,telangana</t>
  </si>
  <si>
    <t>Gudelli srinivas</t>
  </si>
  <si>
    <t>6-3-598/5 ground floor,venkataramana colony,khairatabad circle  no.17,hyd,telangana,500004</t>
  </si>
  <si>
    <t>9618084946</t>
  </si>
  <si>
    <t>srinivas.gudelli@gmail.com</t>
  </si>
  <si>
    <t>paka niharika</t>
  </si>
  <si>
    <t>SBIN0021404</t>
  </si>
  <si>
    <t>https://drive.google.com/drive/folders/1F5chHSsOpX-3cp_PH91MHBtPBoJQDuth</t>
  </si>
  <si>
    <t>17.413410,78.453940</t>
  </si>
  <si>
    <t>Fusion@49</t>
  </si>
  <si>
    <r>
      <rPr/>
      <t>Ishaq ahemed,</t>
    </r>
    <r>
      <rPr>
        <color rgb="FF1155CC"/>
        <u/>
      </rPr>
      <t>h.no</t>
    </r>
    <r>
      <rPr/>
      <t>:2-499,sai nagar,old hafeezpet,selingampally circle no.20,hyd</t>
    </r>
  </si>
  <si>
    <t>Ishaq ahmed</t>
  </si>
  <si>
    <t>Ishaq ahemed,h.no:2-499,sai nagar,old hafeezpet,selingampally circle no.20,hyd</t>
  </si>
  <si>
    <t>6300993721</t>
  </si>
  <si>
    <t>fusion49.theRestaurant@gmail.com</t>
  </si>
  <si>
    <t>SBIN0022063</t>
  </si>
  <si>
    <t>https://drive.google.com/drive/folders/1weI-DZjKo4mNFEQqfcqluiEMbhxtdD1t</t>
  </si>
  <si>
    <t>Kamakshi curries,snacks and meals</t>
  </si>
  <si>
    <t>plot no.212,prashanth nagar,kothaguda kondapur</t>
  </si>
  <si>
    <t>0%%</t>
  </si>
  <si>
    <t>Kamaskshi tiffins and snacks</t>
  </si>
  <si>
    <t>plot no.212,prashanth nagar,kothaguda kondapur,500084</t>
  </si>
  <si>
    <t>P.SRINIVASHULU</t>
  </si>
  <si>
    <t>8096234311</t>
  </si>
  <si>
    <t>SBIN0011081</t>
  </si>
  <si>
    <t>Sri Kamakshi Tiffin Centre And Curry Point</t>
  </si>
  <si>
    <t>Lassi store</t>
  </si>
  <si>
    <t>H NO 1-31/A SRI RAMNA ARCADE KONDAPUR, Serlingampally Circle No 20,Hyderabad, Telangana - 500084</t>
  </si>
  <si>
    <t>Sita Ram</t>
  </si>
  <si>
    <t>gachibowli</t>
  </si>
  <si>
    <t>LASSI STORY</t>
  </si>
  <si>
    <t>H NO 1-31/A SRI RAMNA ARCADE KONDAPUR, Serlingampally Circle No 20, Hyderabad, Telangana - 500084</t>
  </si>
  <si>
    <t>Sita ram</t>
  </si>
  <si>
    <t>9491064999</t>
  </si>
  <si>
    <t>https://drive.google.com/drive/folders/18YrIVLCVPITeKdR7kOJEh-1SCF6Tcx-s?usp=sharing</t>
  </si>
  <si>
    <t>Mahren's Kitchen</t>
  </si>
  <si>
    <t>Yadagiri nagar rd,Jawahar nagar,yousfguda,khairthabad circle no.17,hyd</t>
  </si>
  <si>
    <t>Mehreen</t>
  </si>
  <si>
    <t>Mahreen's kitchen</t>
  </si>
  <si>
    <t>Yousufguda,hyderabad,500045</t>
  </si>
  <si>
    <t xml:space="preserve"> sk janbee</t>
  </si>
  <si>
    <t>9573462351</t>
  </si>
  <si>
    <t>sk.janbee28@gmail.com</t>
  </si>
  <si>
    <t>Shaik janbee</t>
  </si>
  <si>
    <t>State bank of india</t>
  </si>
  <si>
    <t>SBIN0040479</t>
  </si>
  <si>
    <t>mehreens kitchen</t>
  </si>
  <si>
    <t>https://maps.app.goo.gl/jLsyvQaRHEvnUupz9</t>
  </si>
  <si>
    <t>My Biryani</t>
  </si>
  <si>
    <t>Road no.30,alkapoori township,hyd,rangareddy district</t>
  </si>
  <si>
    <t>Road no.30,alkapoori township,manikonda,rangareddy district,hyd,500089,gandipet,500089</t>
  </si>
  <si>
    <t>Shailaja reddy</t>
  </si>
  <si>
    <t>8801297760</t>
  </si>
  <si>
    <t>Telangana Grameena Bank</t>
  </si>
  <si>
    <t>TGRB0000292</t>
  </si>
  <si>
    <t>Nellore Padmavathi Ruchulu</t>
  </si>
  <si>
    <t>Seeramnagar colony,puppalguda village and G.P,rajendranagar mandal,puppalguda</t>
  </si>
  <si>
    <t>Seeramnagar colony,puppalguda village</t>
  </si>
  <si>
    <t>Sudarshan reddy</t>
  </si>
  <si>
    <t>9502547468</t>
  </si>
  <si>
    <t>sudarshanreddy2676@gmail.com</t>
  </si>
  <si>
    <t>HDFC0000813</t>
  </si>
  <si>
    <t>https://drive.google.com/drive/folders/148iESv4zc3tFe4YmYrnGG51eXgJ9kTRM</t>
  </si>
  <si>
    <t>RR Food court</t>
  </si>
  <si>
    <r>
      <rPr>
        <color rgb="FF1155CC"/>
        <u/>
      </rPr>
      <t>H.no:37/4</t>
    </r>
    <r>
      <rPr/>
      <t>,near malaysian township,kphb colony,kukatpally circle no.24,hyd</t>
    </r>
  </si>
  <si>
    <t>Rakesh</t>
  </si>
  <si>
    <t>RR food court</t>
  </si>
  <si>
    <t>8374675950</t>
  </si>
  <si>
    <t>https://drive.google.com/drive/folders/1Wkavl_hgYXeUYK_rzCr0prN85ZK_L2g5?usp=drive_link</t>
  </si>
  <si>
    <t>SS live kitchen</t>
  </si>
  <si>
    <r>
      <rPr/>
      <t>sy no.88/9,</t>
    </r>
    <r>
      <rPr>
        <color rgb="FF1155CC"/>
        <u/>
      </rPr>
      <t>h.no</t>
    </r>
    <r>
      <rPr/>
      <t>:1-85/5/A,old hafeezpet,miyapur,hyd circle no.12,</t>
    </r>
  </si>
  <si>
    <t>Hemanta kumar jena</t>
  </si>
  <si>
    <t>6281737216</t>
  </si>
  <si>
    <t>sapankumar6281737216@gmail.com</t>
  </si>
  <si>
    <t>Sapan kumar jena</t>
  </si>
  <si>
    <t>INDB0000417</t>
  </si>
  <si>
    <t>https://drive.google.com/drive/folders/1glngCKOO93-NehocMIKTPeJ4gi3eZFjZ?usp=drive_link</t>
  </si>
  <si>
    <t>Syed mohammed yasar (Grill on Fire)</t>
  </si>
  <si>
    <t>survey no.82,raidurg,panmaktha,serllingampally circle no.20,Hyd,telangana</t>
  </si>
  <si>
    <t>Syed mohammed yasar</t>
  </si>
  <si>
    <t>survey no.82,raidurg,panmaktha,500081</t>
  </si>
  <si>
    <t>9985396392</t>
  </si>
  <si>
    <t>fawwazenterprises3@gmail.com</t>
  </si>
  <si>
    <t>Fawwwaz Enterprises</t>
  </si>
  <si>
    <t xml:space="preserve">Times food court </t>
  </si>
  <si>
    <t>sr.botanical garden road,hyd,kondapur,telangana</t>
  </si>
  <si>
    <t>Ramakrishna reddy gaddampally</t>
  </si>
  <si>
    <t>Times food court</t>
  </si>
  <si>
    <t>Botanical garden road,hyd,kondapur,telangana,500084</t>
  </si>
  <si>
    <t>8977945506</t>
  </si>
  <si>
    <t>2 days time</t>
  </si>
  <si>
    <t>Tulija bhavani hotel</t>
  </si>
  <si>
    <t>LIG 222,7th phase,kukatpally circle no.24,hyd,telangana</t>
  </si>
  <si>
    <t>Kailash</t>
  </si>
  <si>
    <t>9000027744</t>
  </si>
  <si>
    <t>K.Kailash</t>
  </si>
  <si>
    <t>https://drive.google.com/drive/folders/1diN7skbrMSWYjP7Rvn4Zc4emPAaut_T0?usp=drive_link</t>
  </si>
  <si>
    <t>Mr.Chopsticks</t>
  </si>
  <si>
    <t>CRQR+ PJ. hyderabad, near lotus community srinivas nagar, madhura nagar</t>
  </si>
  <si>
    <t>360 Degree Biryani's</t>
  </si>
  <si>
    <t>Madhura Nagar, Hyderabad</t>
  </si>
  <si>
    <t>Mujeeb</t>
  </si>
  <si>
    <t>9032099121</t>
  </si>
  <si>
    <t>Aahara food court</t>
  </si>
  <si>
    <t>6-1-9,shop no.47,savinagar,pottisree Ramulu maig,khairtabad circle no.17,hyd,telangana</t>
  </si>
  <si>
    <t>Ajay</t>
  </si>
  <si>
    <t>9247109555</t>
  </si>
  <si>
    <t>aaharaajjus@gmail.com</t>
  </si>
  <si>
    <t>Gunda Ajay kumar</t>
  </si>
  <si>
    <t>FDRL0001332</t>
  </si>
  <si>
    <t>asked to call in some time he will send the menu</t>
  </si>
  <si>
    <t>Astrio Restaurant</t>
  </si>
  <si>
    <t>Khairatabad</t>
  </si>
  <si>
    <t>ABRAR</t>
  </si>
  <si>
    <t>9542781785</t>
  </si>
  <si>
    <t>Biryani's &amp; co</t>
  </si>
  <si>
    <t>Villa 05, Wonder cherish villas, masjid banda, hyd, telangana</t>
  </si>
  <si>
    <t>Chalavadi Pavan Kalyan</t>
  </si>
  <si>
    <r>
      <rPr>
        <color rgb="FF1155CC"/>
        <u/>
      </rPr>
      <t>p.no</t>
    </r>
    <r>
      <rPr/>
      <t xml:space="preserve"> 30 and 31,sy no 16,17 ,Villa 05, Wonder cherish villas, masjid banda, hyd, telangana, 500084</t>
    </r>
  </si>
  <si>
    <t>7330991470</t>
  </si>
  <si>
    <t>mayabazaar24@gmail.com</t>
  </si>
  <si>
    <t>Chalavadi pavan Kalyan</t>
  </si>
  <si>
    <t>ICIC0007620</t>
  </si>
  <si>
    <t>https://drive.google.com/drive/folders/1vCpm3qMxifko_SQQeMj_t2zOwBoe6lNE?usp=sharing</t>
  </si>
  <si>
    <t>Bites and Delights</t>
  </si>
  <si>
    <t>G1 Anusha Enclave Golden Temple, Rd, Secretariat  colony, Sri ram nagar colony,</t>
  </si>
  <si>
    <t>Cherry's restaurant</t>
  </si>
  <si>
    <t>8-1-284/472,ou colony,shaikpet,hyderabad,jubliee hills circle shop no.18</t>
  </si>
  <si>
    <t>Shaikhpet</t>
  </si>
  <si>
    <t>Cherrys restaurant</t>
  </si>
  <si>
    <t>Umamaheshwari devi</t>
  </si>
  <si>
    <t>9010089099</t>
  </si>
  <si>
    <t>Chinese from Mayabazaar</t>
  </si>
  <si>
    <t>Villa 05, Wonder Cherish Villas, Masjid Banda,, Serlingampally Circle No 20,Hyderabad, Telangana - 500084</t>
  </si>
  <si>
    <t>Venkata Triven kumar Akula</t>
  </si>
  <si>
    <t>serlingampally</t>
  </si>
  <si>
    <t>Venkata Triven Kumar Akula</t>
  </si>
  <si>
    <t>Dragon kitchen</t>
  </si>
  <si>
    <r>
      <rPr/>
      <t>suryarao gonthireddy,</t>
    </r>
    <r>
      <rPr>
        <color rgb="FF1155CC"/>
        <u/>
      </rPr>
      <t>h.no</t>
    </r>
    <r>
      <rPr/>
      <t>:5-3-37/B,madinaguda,chandanagar circle no.21,hyd,telangana</t>
    </r>
  </si>
  <si>
    <t>Nagendra</t>
  </si>
  <si>
    <t>Dragan kitchen</t>
  </si>
  <si>
    <r>
      <rPr/>
      <t>suryarao gonthireddy,</t>
    </r>
    <r>
      <rPr>
        <color rgb="FF1155CC"/>
        <u/>
      </rPr>
      <t>h.no</t>
    </r>
    <r>
      <rPr/>
      <t>:5-3-37/B,madinaguda,500049</t>
    </r>
  </si>
  <si>
    <t>8639337298</t>
  </si>
  <si>
    <t>roosterkitchen2025@gmail.com</t>
  </si>
  <si>
    <t>https://drive.google.com/drive/folders/1L3_cpB25gbYgd5XGSgEX7_lz_gBBsjkK?usp=drive_link</t>
  </si>
  <si>
    <t>Jai Bhavani food court</t>
  </si>
  <si>
    <t xml:space="preserve">Praveen Kumar </t>
  </si>
  <si>
    <t>Jai Bhavani AK food court</t>
  </si>
  <si>
    <t>Praveen Kumar</t>
  </si>
  <si>
    <t>8096631022</t>
  </si>
  <si>
    <t>kgajielapraveen@gmail.com</t>
  </si>
  <si>
    <t>did not answer the call</t>
  </si>
  <si>
    <t>M/S Bhavani Mess</t>
  </si>
  <si>
    <r>
      <rPr>
        <color rgb="FF1155CC"/>
        <u/>
      </rPr>
      <t>H.no</t>
    </r>
    <r>
      <rPr/>
      <t xml:space="preserve">:6-3-347/9/4/c, dwarakapuri colony,panjagutta,khairatabad circle, hyderabad,telangana </t>
    </r>
  </si>
  <si>
    <t>Laxman</t>
  </si>
  <si>
    <t>Panjagutta</t>
  </si>
  <si>
    <r>
      <rPr>
        <color rgb="FF1155CC"/>
        <u/>
      </rPr>
      <t>H.no</t>
    </r>
    <r>
      <rPr/>
      <t>:6-3-347/9/4/c, dwarakapuri colony,panjagutta,khairatabad circle, hyderabad,telangana - 500082</t>
    </r>
  </si>
  <si>
    <t>laxman</t>
  </si>
  <si>
    <t>9346075821</t>
  </si>
  <si>
    <t>Bhavani Mess</t>
  </si>
  <si>
    <t>Federal bank ,khairatabad</t>
  </si>
  <si>
    <t>https://drive.google.com/drive/folders/1iCC4LdpKxTdf4mXURVvoLUoPo9L617vd?usp=drive_link</t>
  </si>
  <si>
    <t>Made in Andhra</t>
  </si>
  <si>
    <t>H.No-3/14/15, plot No 141 eg. No. 222, sai Tulasi enclave -1, Vallinagulapath, village, Narsingi.</t>
  </si>
  <si>
    <t>Narsingi</t>
  </si>
  <si>
    <r>
      <rPr>
        <color rgb="FF1155CC"/>
        <u/>
      </rPr>
      <t>H.No</t>
    </r>
    <r>
      <rPr/>
      <t>. 5-3/14/15, plot No.14, eg. No 222</t>
    </r>
  </si>
  <si>
    <t>Sunil</t>
  </si>
  <si>
    <t>7702090120</t>
  </si>
  <si>
    <t>madeinandhra777@gmail.com</t>
  </si>
  <si>
    <t>HDFC Bank</t>
  </si>
  <si>
    <t>HDFC0066398</t>
  </si>
  <si>
    <t>https://drive.google.com/drive/folders/1GR-UG90j7C2quoVQcTZszanRIJM9YpI6</t>
  </si>
  <si>
    <t>Mayabazar</t>
  </si>
  <si>
    <r>
      <rPr>
        <color rgb="FF1155CC"/>
        <u/>
      </rPr>
      <t>p.no</t>
    </r>
    <r>
      <rPr/>
      <t xml:space="preserve"> 30 &amp;31, s y no 167, villa no 5, wonder cherish villas, masjid banda, kondapur, HYD,Telangana</t>
    </r>
  </si>
  <si>
    <r>
      <rPr>
        <color rgb="FF1155CC"/>
        <u/>
      </rPr>
      <t>p.no</t>
    </r>
    <r>
      <rPr/>
      <t xml:space="preserve"> 30 &amp;31, s y no 167, villa no 5, wonder cherish villas, masjid banda, kondapur, HYD,Telangana, 500084</t>
    </r>
  </si>
  <si>
    <t>Triven Kumar</t>
  </si>
  <si>
    <t>Mayabazaar</t>
  </si>
  <si>
    <t>Mcs twilight</t>
  </si>
  <si>
    <t>Twilight, Road number 1, Neknampur Rd,Puppalguda, Rajendranagar, Rangareddy,Telangana - 500089</t>
  </si>
  <si>
    <t>MCS TWILIGHT</t>
  </si>
  <si>
    <t>https://drive.google.com/drive/folders/1kXpRrgaHWEjNLxQ_bb9FjgVz6OExoqIg</t>
  </si>
  <si>
    <t>Pasidipuri Kitchen</t>
  </si>
  <si>
    <t>sy no-192, Camelot layout, kondapur, sangareddy, Telangana</t>
  </si>
  <si>
    <t>Allampally Suresh</t>
  </si>
  <si>
    <t>sy no-192, Camelot layout, kondapur, sangareddy, Telangana, 500084</t>
  </si>
  <si>
    <t>6300546345</t>
  </si>
  <si>
    <t>pasidipurikitchen@gmail.com</t>
  </si>
  <si>
    <t>Umadevi Alampally</t>
  </si>
  <si>
    <t xml:space="preserve">SBI </t>
  </si>
  <si>
    <t>SBIN0062234</t>
  </si>
  <si>
    <t>https://drive.google.com/drive/folders/1LbSlZUSrAgRjiWIjCiQxlblX1saAyVF9?usp=drive_link</t>
  </si>
  <si>
    <t>Pizza Mania</t>
  </si>
  <si>
    <t xml:space="preserve">G2 beside,baskin robbins, smr vinay hiland,miyapur,hyderabad </t>
  </si>
  <si>
    <t>Narsimha</t>
  </si>
  <si>
    <t>9391389840</t>
  </si>
  <si>
    <t>rjenterpriser1103@gmail.com</t>
  </si>
  <si>
    <t>not metioned</t>
  </si>
  <si>
    <t>https://drive.google.com/drive/folders/10e-FD2lMTrMhkl-PMJbSeP6PhkO2TD2Z?usp=drive_link</t>
  </si>
  <si>
    <t>Qubz Restaurant</t>
  </si>
  <si>
    <r>
      <rPr/>
      <t>shop no.1,</t>
    </r>
    <r>
      <rPr>
        <color rgb="FF1155CC"/>
        <u/>
      </rPr>
      <t>D.no</t>
    </r>
    <r>
      <rPr/>
      <t>:8-1-28/ou/448,Dream vally rd,ou colony,shaikpet,hyd</t>
    </r>
  </si>
  <si>
    <r>
      <rPr/>
      <t>shop no.1-2,</t>
    </r>
    <r>
      <rPr>
        <color rgb="FF1155CC"/>
        <u/>
      </rPr>
      <t>D.no</t>
    </r>
    <r>
      <rPr/>
      <t>:8-1-28/ou/448,Dream vally rd,ou colony,shaikpet,hyd,500104</t>
    </r>
  </si>
  <si>
    <t>8125526123</t>
  </si>
  <si>
    <t>Rooster kitchen</t>
  </si>
  <si>
    <t>5-3/37/6,SR enclave,manjeera pipeline road,opposite raycon residency,mandinaguda,hyd,telangana</t>
  </si>
  <si>
    <t>Mandinaguda</t>
  </si>
  <si>
    <t>mandinaguda</t>
  </si>
  <si>
    <t>https://drive.google.com/drive/folders/1zGiFryCv814QmdTCuiyeggpt5Z9ErX6W?usp=drive_link</t>
  </si>
  <si>
    <t>Sangam Dhaba</t>
  </si>
  <si>
    <t>himyathnagar</t>
  </si>
  <si>
    <t xml:space="preserve">kailesh </t>
  </si>
  <si>
    <t>Himayahnagar</t>
  </si>
  <si>
    <t>9502236565</t>
  </si>
  <si>
    <t>Sangam family dhaba</t>
  </si>
  <si>
    <t>Innu ringroad ground floor 3-4-104/1/,hyderguda 404 road attapur,hyd</t>
  </si>
  <si>
    <t>Roopchand</t>
  </si>
  <si>
    <t>Sangam dhaba</t>
  </si>
  <si>
    <t>Innu ringroad ground floor 3-4-104/1/,hyderguda 404 road attapur,hyd,500048</t>
  </si>
  <si>
    <t>9010772255</t>
  </si>
  <si>
    <t>roopchand7545@gmail.com</t>
  </si>
  <si>
    <t>shru santhosh family dhaba</t>
  </si>
  <si>
    <t>https://drive.google.com/drive/folders/1gohRLrQvHzM3fYz34d2k8CZNZLlB7vqN</t>
  </si>
  <si>
    <t>plot no.16,madinaguda main road,chandanagar,hyderabad,chandanagar circle no.21,hyd,madinaguda</t>
  </si>
  <si>
    <t>plot no.16,madinaguda</t>
  </si>
  <si>
    <t>Rukima</t>
  </si>
  <si>
    <t>https://drive.google.com/drive/folders/1hi7PMSsUqFKeMP_LU-JgY6G-cpf5a1t8</t>
  </si>
  <si>
    <t>6-1-82 and 83/gf/1,ground floor ssr chambers,lakdikapool,hyderabad,khairthabad circle no.17</t>
  </si>
  <si>
    <t>Lakdikapool</t>
  </si>
  <si>
    <t>6-1-82 and 83/gf/1,ground floor ssr chambers,lakdikapool,hyderabad,khairthabad circle no.17,500004</t>
  </si>
  <si>
    <t>santosh family dhaba</t>
  </si>
  <si>
    <t>https://drive.google.com/drive/folders/1HBMP98c20eM8AnyU4HvOCH1ugHw4Bz3h</t>
  </si>
  <si>
    <t>Shawarma house</t>
  </si>
  <si>
    <t>Cfrp+M7h pg road sappu bagh apartement sindi colony,begumpet hyd</t>
  </si>
  <si>
    <t>Cfrp+M7h pg road sappu bagh apartement sindi colony,begumpet hyd,500003</t>
  </si>
  <si>
    <t>Subrata chaki</t>
  </si>
  <si>
    <t>7002940025</t>
  </si>
  <si>
    <t>subratachaki390@gmail.com</t>
  </si>
  <si>
    <t>Gopal chaki</t>
  </si>
  <si>
    <t>SBIN0060427</t>
  </si>
  <si>
    <t>https://drive.google.com/drive/folders/1frBF37bh59l809SqnrUSJtFHHjGhWlbf</t>
  </si>
  <si>
    <t>Sindhu tiffins and meals</t>
  </si>
  <si>
    <t>shop no.07,block 01,RBR complex,miyapur,chandanagar circle no 21,hyderabad</t>
  </si>
  <si>
    <t>G.Rajendra reddy</t>
  </si>
  <si>
    <t>shop no.07,block 01,RBR complex,miyapur,chandanagar circle no 21,hyderabad,500049</t>
  </si>
  <si>
    <t>Rajendra reddy</t>
  </si>
  <si>
    <t>9640134565</t>
  </si>
  <si>
    <t>rajendhrag1982@gmail.com</t>
  </si>
  <si>
    <t>Karur vysya bank</t>
  </si>
  <si>
    <t>KKVBLooo1481</t>
  </si>
  <si>
    <t>https://drive.google.com/drive/folders/1bVbYDnHXAF5z2Gh1G42X8KDeZWe8iPnR</t>
  </si>
  <si>
    <t>SKG Nawab biryanis</t>
  </si>
  <si>
    <t>1-27-356,Bapuji nagar,content munt aua except csds cantonment secunderabad,tealngana</t>
  </si>
  <si>
    <t>Regu srinivas</t>
  </si>
  <si>
    <t>9908670223</t>
  </si>
  <si>
    <t>srinivasyadav798@gmail.com</t>
  </si>
  <si>
    <t>SBIN0013138</t>
  </si>
  <si>
    <t>https://drive.google.com/drive/folders/1Unu3wU1bORkMQXtFIeU6fCA3Em_1n92N</t>
  </si>
  <si>
    <t>Spicy Xpress</t>
  </si>
  <si>
    <t>HIG 41/1,9th phase rd,kphb phase 6,kukatpally,hyderabad,telangana</t>
  </si>
  <si>
    <t>Y.Niraj</t>
  </si>
  <si>
    <t>9957470763</t>
  </si>
  <si>
    <t>neerupinky.neeraja172gmail.com</t>
  </si>
  <si>
    <t>Niraj</t>
  </si>
  <si>
    <t>SBIN0021646</t>
  </si>
  <si>
    <t>https://drive.google.com/drive/folders/1FqUin4hqvIZl72PCfBw98PGsEjh-yBdJ?usp=drive_link</t>
  </si>
  <si>
    <t>The Fusion Street</t>
  </si>
  <si>
    <t>Puppalguda, Alkarpur township, 500089 Alwal circle No.23, hyderabad</t>
  </si>
  <si>
    <t xml:space="preserve">The Fusion Street </t>
  </si>
  <si>
    <t>Puppalguda Alkapur township, 500089</t>
  </si>
  <si>
    <t>Yanugunti Akhil</t>
  </si>
  <si>
    <t>8885260445</t>
  </si>
  <si>
    <t>akhilvinay@gmail.com</t>
  </si>
  <si>
    <t>Bank of India</t>
  </si>
  <si>
    <t>BKID0008628</t>
  </si>
  <si>
    <t>https://drive.google.com/drive/folders/1P7G5VhQMdQOr-nZ8QMRUk6ZeRelNh1sm</t>
  </si>
  <si>
    <t>Times Tiffins And Meals</t>
  </si>
  <si>
    <t xml:space="preserve">Shop No.1, Block No:1, RBR Complex, Miyapur Chandanagar circle No 21, Hyderabad </t>
  </si>
  <si>
    <t>Amarnadh Reddy</t>
  </si>
  <si>
    <t>Times Tiffins and Meals</t>
  </si>
  <si>
    <t>Shop No-1, Block No:1 RBR  complex, Miyapur chandanagar circle NO 21, Hyderabad - 500049</t>
  </si>
  <si>
    <t>9949212817</t>
  </si>
  <si>
    <t>timestiffinsandmeals@gmail.com</t>
  </si>
  <si>
    <t>Times tiffins and Meals</t>
  </si>
  <si>
    <t xml:space="preserve">HDFC Bank </t>
  </si>
  <si>
    <t>https://drive.google.com/drive/folders/15UHO6kmicCW9vnN6myvd_upidjd7Lw-7</t>
  </si>
  <si>
    <t>Rayalaseema Ruchulu</t>
  </si>
  <si>
    <t>Serlingampally circle no.20,hyd,telangana</t>
  </si>
  <si>
    <t>Santhosh</t>
  </si>
  <si>
    <t>9989151245</t>
  </si>
  <si>
    <t>akshayabhojanam@gmail.com</t>
  </si>
  <si>
    <t>Akshaya Bhojanam</t>
  </si>
  <si>
    <t>HDFC0006575</t>
  </si>
  <si>
    <t xml:space="preserve">Q city road,near US consultancy,serlingampally circle no.20,hyd,telangana </t>
  </si>
  <si>
    <t xml:space="preserve">circle no.20,Q city road,near US consultancy,serlingampally,hyd,telangana </t>
  </si>
  <si>
    <t>Aahara Aahvanam</t>
  </si>
  <si>
    <t xml:space="preserve">SY NO-78, KOLAN Rangareddy Function Hall Complex, Hyder Nagar, Nizampet, Kukatpally </t>
  </si>
  <si>
    <t>Sai Kumar</t>
  </si>
  <si>
    <t>Nizampet</t>
  </si>
  <si>
    <t>9700119173</t>
  </si>
  <si>
    <t>hangouthospilatities@gmail.com</t>
  </si>
  <si>
    <t>Hangout Hospilatities@gmail.com</t>
  </si>
  <si>
    <t>SIBL0000597</t>
  </si>
  <si>
    <t>https://drive.google.com/drive/folders/1ERLRlQH5cBVNKhL_y0J-cilFrPuYDboF?usp=drive_link</t>
  </si>
  <si>
    <t>Aham Parabrahma</t>
  </si>
  <si>
    <t xml:space="preserve">Plot No 20/9, SY NO 1009, 1st floor, 6th phase KPHB colony, Moosapet circle No 23, Hyderabad, Telangana </t>
  </si>
  <si>
    <t>Suryamanohara S Chivukula</t>
  </si>
  <si>
    <t>Annam Parabrahma</t>
  </si>
  <si>
    <t>Surya Manohar</t>
  </si>
  <si>
    <t>7702484488</t>
  </si>
  <si>
    <t>annamparabrahmapb@gmail.com</t>
  </si>
  <si>
    <t xml:space="preserve">Annam Parabrahma </t>
  </si>
  <si>
    <t>SIBL0000514</t>
  </si>
  <si>
    <t>https://drive.google.com/drive/folders/1llIbrhchyJeTK44W6Ej52Gq9r2ytLAHW?usp=drive_link</t>
  </si>
  <si>
    <t>Asian Pan House and Restaurant</t>
  </si>
  <si>
    <t>13-6-815/13/1 ambedkar nagar langr house mehdipatnam circle no 12, hyderabad</t>
  </si>
  <si>
    <t>Narasimha Murthy</t>
  </si>
  <si>
    <t>Asian Pan House and Restaurent</t>
  </si>
  <si>
    <t>13-6-815/13/1 ambedkar nagar langri house mehdipatnam circle no 12, hyderabad, 500008</t>
  </si>
  <si>
    <t>7730072371</t>
  </si>
  <si>
    <t>murthysamo7@gmail.com</t>
  </si>
  <si>
    <t>different</t>
  </si>
  <si>
    <t>Ayaansh Food Court</t>
  </si>
  <si>
    <t xml:space="preserve">20/10,6 phase Kphb, Kukatpally Circle NO 24, Hyderabad, Telangana </t>
  </si>
  <si>
    <t>Anjaneyareddy</t>
  </si>
  <si>
    <t>Ayaansh Food Corner</t>
  </si>
  <si>
    <t>8143603999</t>
  </si>
  <si>
    <t>anjireddygali@gmail.com</t>
  </si>
  <si>
    <t>Gali Anjaneya Reddy</t>
  </si>
  <si>
    <t>ICIC0006305</t>
  </si>
  <si>
    <t>Savaings Account</t>
  </si>
  <si>
    <t>https://drive.google.com/drive/folders/1YleF3SKypXSBkLYs9XDsJCYPpuvL46-G?usp=drive_link</t>
  </si>
  <si>
    <t>chinese express</t>
  </si>
  <si>
    <t>f908+gjh,shop no.1,siddhiq kebab centre dhaba, kondapur lane,gachibowli</t>
  </si>
  <si>
    <t>kothaguda,hyderabad</t>
  </si>
  <si>
    <t>keethi kumar</t>
  </si>
  <si>
    <t>8978795897</t>
  </si>
  <si>
    <t>laxmi shailaja sutrave</t>
  </si>
  <si>
    <t>KKBK0007489</t>
  </si>
  <si>
    <t>Chinese Express</t>
  </si>
  <si>
    <t>https://maps.app.goo.gl/XmKzaEksajZUJrq79</t>
  </si>
  <si>
    <t>BBQ Bites And Kitchen</t>
  </si>
  <si>
    <t>momi gupta, plot no 111, sunrise colony, sajjan singh layout, narsingi, gandipet, mandar, r.r  dist</t>
  </si>
  <si>
    <t>Raj</t>
  </si>
  <si>
    <t>9059457021</t>
  </si>
  <si>
    <t>priyamoff05@gmail.com</t>
  </si>
  <si>
    <t>Momi Gupta</t>
  </si>
  <si>
    <t>Kotak Mahindra</t>
  </si>
  <si>
    <t>KKBK0000555</t>
  </si>
  <si>
    <t>East and west kitchen</t>
  </si>
  <si>
    <t>portion no.4,first floor,sp's saroja complex,plot no.20/9,sy no.1009,situated at 6th phase kphb colony,kukatpally</t>
  </si>
  <si>
    <t>Kakumanu sai teja</t>
  </si>
  <si>
    <t>portion no.4,first floor,sp's saroja complex,plot no.20/9,sy no.1009,situated at 6th phase kphb colony,kukatpally,500072</t>
  </si>
  <si>
    <t>Sai teja</t>
  </si>
  <si>
    <t>7981516906</t>
  </si>
  <si>
    <t>eastandwestkitchen.kphb@gmail.com</t>
  </si>
  <si>
    <t>;0514073000000572</t>
  </si>
  <si>
    <t>https://drive.google.com/drive/folders/1SaTfyf3skIpsD9YuzOx08isGUMGbDEvQ</t>
  </si>
  <si>
    <t>Ichirakau ramen house</t>
  </si>
  <si>
    <t>sri ram nagar colony,serlingampally circle no.20,hyd</t>
  </si>
  <si>
    <t>kondapur,circle no.20</t>
  </si>
  <si>
    <t>Purna chandhar rao</t>
  </si>
  <si>
    <t>9390077903</t>
  </si>
  <si>
    <t>SBIN0012741</t>
  </si>
  <si>
    <t>Ichiraku Ramen House</t>
  </si>
  <si>
    <t>Kamakshi tiffins</t>
  </si>
  <si>
    <t>Kamakshi tiffins and sancks</t>
  </si>
  <si>
    <t>plot no.212,prashanth nagar,kondapur,500084</t>
  </si>
  <si>
    <t xml:space="preserve">Kamakshi Tiffins </t>
  </si>
  <si>
    <t>KAMAKSHI TIFFINS AND SNACKS</t>
  </si>
  <si>
    <t>Kings M Biryani Adda</t>
  </si>
  <si>
    <t>7-4-413/11 ASR nagar east ameerpet, amberpet circle no. 16, hyderabad, telangana,</t>
  </si>
  <si>
    <t>A. Mahesh</t>
  </si>
  <si>
    <t>kings M Biryani Adda</t>
  </si>
  <si>
    <t>7-4-413/11 ASR nagar east ameerpet, amberpet circle no. 16, hyderabad, telangana, 500016</t>
  </si>
  <si>
    <t>A.Mahesh</t>
  </si>
  <si>
    <t>6281528028</t>
  </si>
  <si>
    <t>maheshanthati34@gmail.com</t>
  </si>
  <si>
    <t>KKBK0007453</t>
  </si>
  <si>
    <t xml:space="preserve">madhura restraunt bar </t>
  </si>
  <si>
    <t xml:space="preserve">patnership </t>
  </si>
  <si>
    <t>5-5-69 &amp; 70 Opp Jain Apartment, Gandipet, Rangareddi, Telangana</t>
  </si>
  <si>
    <t xml:space="preserve">makkala narsing roa </t>
  </si>
  <si>
    <t xml:space="preserve">madhura restraunt and bar </t>
  </si>
  <si>
    <t>5-5-69 &amp; 70 Opp Jain Apartment, Gandipet, 
Rangareddi, Telangana-500086</t>
  </si>
  <si>
    <t>9640166669</t>
  </si>
  <si>
    <t>madhurarestrauntbar444@gmail.com</t>
  </si>
  <si>
    <t xml:space="preserve">hdfc bank </t>
  </si>
  <si>
    <t>hdfc0004299</t>
  </si>
  <si>
    <t>https://drive.google.com/drive/folders/1y_AghwAl9LKZhbvQ-Izkv6n-beuJrDpW</t>
  </si>
  <si>
    <t>Mohammed yaser (Tiffin Xpress)</t>
  </si>
  <si>
    <t>6-73/241,Bayuth colony,alkapur road,hyd,khairtabad circle no.17</t>
  </si>
  <si>
    <t>Mohammed yaser(Tiffin Xpress)</t>
  </si>
  <si>
    <t>6-73/241,bayuth colony,alkapur road</t>
  </si>
  <si>
    <t>Mohammed yasar</t>
  </si>
  <si>
    <t>YES Properity</t>
  </si>
  <si>
    <t>YESB0001526</t>
  </si>
  <si>
    <t>https://drive.google.com/drive/folders/1hutovAp34wwO07iA5UeOPeiXF3D-Esg_</t>
  </si>
  <si>
    <t>Naidus food court</t>
  </si>
  <si>
    <t xml:space="preserve">c/o diyi satanayan plot no 151 h no 20-151 , surabhi colony, lingampally, lingampally, kv reddy, serlingampally </t>
  </si>
  <si>
    <t>Tataya Naidu</t>
  </si>
  <si>
    <t>Naidu Food Court</t>
  </si>
  <si>
    <t>c/o h no 20-151 , surabhi colony, lingampally, lingampally, kv ranga reddy, serlingampally - 500019</t>
  </si>
  <si>
    <t>Diyi Tatayya Naidu</t>
  </si>
  <si>
    <t>7981933914</t>
  </si>
  <si>
    <t>foodcourtnaidu@gmail.com</t>
  </si>
  <si>
    <t>https://drive.google.com/drive/folders/1crbLWLnQPIV462vFtmDAYe_RXSAiTLZU?usp=sharing</t>
  </si>
  <si>
    <t>asked to call tommrow</t>
  </si>
  <si>
    <t>Punjabi Chaska</t>
  </si>
  <si>
    <r>
      <rPr>
        <color rgb="FF1155CC"/>
        <u/>
      </rPr>
      <t>h.no</t>
    </r>
    <r>
      <rPr/>
      <t xml:space="preserve"> 1-90/c/8, inside sri krishna food court, hudo techno enclave, opp LP tower, vittalrao nagar, hitech city </t>
    </r>
  </si>
  <si>
    <t>Angad Singh</t>
  </si>
  <si>
    <t>Hitech city</t>
  </si>
  <si>
    <r>
      <rPr>
        <color rgb="FF1155CC"/>
        <u/>
      </rPr>
      <t>h.no</t>
    </r>
    <r>
      <rPr/>
      <t xml:space="preserve"> 1-90/c/8, inside sri krishna food court, hudo techno enclave, opp LP tower, vittalrao nagar, hitech city 500081</t>
    </r>
  </si>
  <si>
    <t>6300840049</t>
  </si>
  <si>
    <t>fatch.singh091996@gmail.com</t>
  </si>
  <si>
    <t>Gangan Preet Monga</t>
  </si>
  <si>
    <t>Adarsh Bank</t>
  </si>
  <si>
    <t>ICIC00ADRSH</t>
  </si>
  <si>
    <t>https://drive.google.com/drive/folders/1gcfnSr_9IHoQAQwn81hq4PKIDQOJA1E-?usp=sharing</t>
  </si>
  <si>
    <t>menu needs to increase</t>
  </si>
  <si>
    <t xml:space="preserve">Rao gari military hotel </t>
  </si>
  <si>
    <t>sai raghava enclave,beside vijetha,super market,ameenapur,chandanagar,selingampally</t>
  </si>
  <si>
    <t>Ameenapur</t>
  </si>
  <si>
    <t>Rao gari military hotel</t>
  </si>
  <si>
    <t>Ameenapur,selingampally,500050</t>
  </si>
  <si>
    <t>mahesh.D</t>
  </si>
  <si>
    <t>7406466642</t>
  </si>
  <si>
    <t>maheshdontam@gmail.com</t>
  </si>
  <si>
    <t>Dontham mahesh</t>
  </si>
  <si>
    <t>SBIN0001441</t>
  </si>
  <si>
    <t>Rao gari military hotel 1</t>
  </si>
  <si>
    <t>Rao Gari Military Hotel</t>
  </si>
  <si>
    <r>
      <rPr>
        <color rgb="FF1155CC"/>
        <u/>
      </rPr>
      <t>h.no</t>
    </r>
    <r>
      <rPr/>
      <t>:2-41/5/A,3rd street,police colony,hanuman nagar,kondapur</t>
    </r>
  </si>
  <si>
    <t>kondapur,hyderabad</t>
  </si>
  <si>
    <t>Rao Gari military hotel 2</t>
  </si>
  <si>
    <t>https://maps.app.goo.gl/DMWV52m7TT1eoeza9</t>
  </si>
  <si>
    <t>Red bucket biryani</t>
  </si>
  <si>
    <t>hyderabad bucket and kunda biryani,2,bus stop,15-25-890/3,temple beside vijetha super market,kphb phase 1,kukatpally</t>
  </si>
  <si>
    <t>Anjaneya reddy</t>
  </si>
  <si>
    <t>Royal odisha dhaba</t>
  </si>
  <si>
    <r>
      <rPr>
        <color rgb="FF1155CC"/>
        <u/>
      </rPr>
      <t>H.no</t>
    </r>
    <r>
      <rPr/>
      <t>:2-41/1 kothaguda,prashanth nagar colony,kondapur,serlingampally circle no .20,hyd</t>
    </r>
  </si>
  <si>
    <t>Royal odisha daba</t>
  </si>
  <si>
    <r>
      <rPr>
        <color rgb="FF1155CC"/>
        <u/>
      </rPr>
      <t>h.no</t>
    </r>
    <r>
      <rPr/>
      <t>:2-41/1,kothaguda,prashant nagar</t>
    </r>
  </si>
  <si>
    <t>sk .Jani bakeas</t>
  </si>
  <si>
    <t>8790689367</t>
  </si>
  <si>
    <t>skjani19892@gmail.com</t>
  </si>
  <si>
    <t>sekh jani bakes</t>
  </si>
  <si>
    <t>HDFC0001821</t>
  </si>
  <si>
    <t>royal odisha Daba</t>
  </si>
  <si>
    <t>Royal Odisha Dhaba</t>
  </si>
  <si>
    <t>Sarasam the legacy of food</t>
  </si>
  <si>
    <t>tngo'S colony,phase 2,gachibowli</t>
  </si>
  <si>
    <t>Nayan Mitra</t>
  </si>
  <si>
    <t>8918098855</t>
  </si>
  <si>
    <t>nayanmitra2111@gmail.com</t>
  </si>
  <si>
    <t>Nayan mitra</t>
  </si>
  <si>
    <t>IBKL0001251</t>
  </si>
  <si>
    <t>Unresponsive.</t>
  </si>
  <si>
    <t>Sip and Chill Juice Bar</t>
  </si>
  <si>
    <r>
      <rPr>
        <color rgb="FF1155CC"/>
        <u/>
      </rPr>
      <t>H.NO</t>
    </r>
    <r>
      <rPr/>
      <t>.: 16-31-20/1/S2, Shop No 2 SVS Elegant Phase-6 , KPHB colony, kukatpally</t>
    </r>
  </si>
  <si>
    <t>Sravan Kumar</t>
  </si>
  <si>
    <r>
      <rPr>
        <color rgb="FF1155CC"/>
        <u/>
      </rPr>
      <t>H.NO</t>
    </r>
    <r>
      <rPr/>
      <t>. 16-31-20/1/S2 Shop NO 2 SVS elegant phase-6, KPHB colony, Kukatpally - 500072, Hyderabad.</t>
    </r>
  </si>
  <si>
    <t>8184836524</t>
  </si>
  <si>
    <t>devilsravan5@gmail.com</t>
  </si>
  <si>
    <t>Veedulakanty Sravan Kumar</t>
  </si>
  <si>
    <t>SBI Bank</t>
  </si>
  <si>
    <t>SBIN0061790</t>
  </si>
  <si>
    <t>https://drive.google.com/drive/folders/15BwYHjSnPvzYdnyirWqjdTil-X4rzucn</t>
  </si>
  <si>
    <t>Slice and Bytes</t>
  </si>
  <si>
    <t xml:space="preserve">Road no.5 KPHB kukatpally opposite punjab national bank beside american tourister, Kukatpally </t>
  </si>
  <si>
    <t>Sandeep</t>
  </si>
  <si>
    <t>9885869143</t>
  </si>
  <si>
    <t>sandeep.zombie123@gmail.com</t>
  </si>
  <si>
    <t>HDFC0000700</t>
  </si>
  <si>
    <t>https://drive.google.com/drive/folders/11Vdd0BmSFEeNQRIvOy_xaGxTvAEfZ526?usp=drive_link</t>
  </si>
  <si>
    <t>Spicy Food Court</t>
  </si>
  <si>
    <r>
      <rPr>
        <color rgb="FF1155CC"/>
        <u/>
      </rPr>
      <t>h.no</t>
    </r>
    <r>
      <rPr/>
      <t xml:space="preserve"> 1-57, serlingampally, circle no 20, hyd, telangana </t>
    </r>
  </si>
  <si>
    <t>Syed Hisan Uddin</t>
  </si>
  <si>
    <r>
      <rPr>
        <color rgb="FF1155CC"/>
        <u/>
      </rPr>
      <t>h.no</t>
    </r>
    <r>
      <rPr/>
      <t xml:space="preserve"> 1-57, serlingampally, circle no 20, hyd, telangana - 500084</t>
    </r>
  </si>
  <si>
    <t>Syed Hisam Uddin</t>
  </si>
  <si>
    <t>8341901102</t>
  </si>
  <si>
    <t>syedhissamuddin2580@gmail.com</t>
  </si>
  <si>
    <t>Syed Hissam Uddin</t>
  </si>
  <si>
    <t>Kotak</t>
  </si>
  <si>
    <t>KKBK0007469</t>
  </si>
  <si>
    <t>https://drive.google.com/drive/folders/146P5cb0Y1pjxIgqP-KQS09YsNPioI6pV?usp=sharing</t>
  </si>
  <si>
    <t>weneed to change the price on offline menu</t>
  </si>
  <si>
    <t>Squid Kitchen</t>
  </si>
  <si>
    <t>TNGO's colony, phase-2 , gachibowli, hyderabad</t>
  </si>
  <si>
    <t>7718423292</t>
  </si>
  <si>
    <t>feedback@byaa.in</t>
  </si>
  <si>
    <t>Saraswati Biswas</t>
  </si>
  <si>
    <t>Punjab national bank</t>
  </si>
  <si>
    <t>PUNB0103020</t>
  </si>
  <si>
    <t xml:space="preserve">Thulasi villas </t>
  </si>
  <si>
    <t>23-83, BESIDE CMR SHOPPING MALL, BHEL, CHANDA NAGAR, HYDERABAD -500050, Chandanagar circle No 21, Hyderabad, Telangana-</t>
  </si>
  <si>
    <t>karani nagendra varama</t>
  </si>
  <si>
    <t>Thualsi villas</t>
  </si>
  <si>
    <t>23-83, BESIDE CMR SHOPPING MALL, BHEL, CHANDA NAGAR, HYDERABAD -500050, Chandanagar circle No 21, Hyderabad, Telangana-500050</t>
  </si>
  <si>
    <t xml:space="preserve">karani nagendra varma </t>
  </si>
  <si>
    <t>897729979</t>
  </si>
  <si>
    <t>nagendravarma1419@gmail.com</t>
  </si>
  <si>
    <t xml:space="preserve">karani nagendra varama </t>
  </si>
  <si>
    <t>;090310100076569</t>
  </si>
  <si>
    <t>UBIN0809039</t>
  </si>
  <si>
    <t>https://drive.google.com/drive/folders/1o5zjTbzfGpp-9jwka6gfbQnF1TC3vXsH</t>
  </si>
  <si>
    <t>Tuyaa the taste of india</t>
  </si>
  <si>
    <t>tngo'S colony,phase 2,gachibowli,Hyderabad</t>
  </si>
  <si>
    <t>Tuga the taste of india</t>
  </si>
  <si>
    <t>feedback@tuyaa.in</t>
  </si>
  <si>
    <t>Victoria Tiffins and Biryani's</t>
  </si>
  <si>
    <t>kommala Krishna Nihar</t>
  </si>
  <si>
    <t>Nihar</t>
  </si>
  <si>
    <t>8007452222</t>
  </si>
  <si>
    <t>niharkommulanaidu99@gmail.com</t>
  </si>
  <si>
    <t>Kommula Krishna Nihar</t>
  </si>
  <si>
    <t>SBIN0014571</t>
  </si>
  <si>
    <t>Aadhya hotel</t>
  </si>
  <si>
    <t>chinna rao</t>
  </si>
  <si>
    <t>Bab Al Mandi</t>
  </si>
  <si>
    <t>beside hyderabad golf club, near banjara darwaza, golconda, fort road,tolichowki,hyderabad</t>
  </si>
  <si>
    <t>Fathima</t>
  </si>
  <si>
    <t>Bab - Al - Mandi</t>
  </si>
  <si>
    <t>9000160480</t>
  </si>
  <si>
    <t>eshalfatima152008@gmail.com</t>
  </si>
  <si>
    <t>Five Star Chicken</t>
  </si>
  <si>
    <t>Srivani.reddy@capsdelivery.com</t>
  </si>
  <si>
    <t xml:space="preserve">plot no - 149, kismatpur road, near velly view enclave bandlaguda, hyderabad </t>
  </si>
  <si>
    <t>A. Anil Kumar</t>
  </si>
  <si>
    <t>plot no - 149, kismatpur road, near velly view enclave bandlaguda, hyderabad - 500086</t>
  </si>
  <si>
    <t>9676509251</t>
  </si>
  <si>
    <t>aakumar4280@gmail.com</t>
  </si>
  <si>
    <t>Indusland Bank</t>
  </si>
  <si>
    <t>INDB0001910</t>
  </si>
  <si>
    <t>https://drive.google.com/drive/folders/1oEICQpTpdFDN7oTZN0hyjmhHclqCLvLi?usp=sharing</t>
  </si>
  <si>
    <t xml:space="preserve">Narsingi </t>
  </si>
  <si>
    <t>Fssai &amp; Menu Pending.</t>
  </si>
  <si>
    <t>not answering calls</t>
  </si>
  <si>
    <t>ORUGALLU RUCHULU</t>
  </si>
  <si>
    <t>7-1-282/C sriram nagar colony, Balkampet , hyd 500018, Begumpet circle NO 30</t>
  </si>
  <si>
    <t>Annapurna</t>
  </si>
  <si>
    <t>7-1-28 2/C/69, sriram nagar BK guda Balkampet, hyd 500018</t>
  </si>
  <si>
    <t>7337309794</t>
  </si>
  <si>
    <t xml:space="preserve">Chemmala Rajender </t>
  </si>
  <si>
    <t>IOBA0003518</t>
  </si>
  <si>
    <t>Mickey's Tiffin</t>
  </si>
  <si>
    <t xml:space="preserve">Plot No. 279 27/a, khanamet village, Hi-tech city. Seringampally near SSR on the way drive in , Seringampally </t>
  </si>
  <si>
    <t>HItech City</t>
  </si>
  <si>
    <t xml:space="preserve">Mickey's Tiffin </t>
  </si>
  <si>
    <t>Hitech City, Hyderabad - 500081</t>
  </si>
  <si>
    <t>Kamlesh Dayal</t>
  </si>
  <si>
    <t>7386013565</t>
  </si>
  <si>
    <t>kamleshdayal53@gmail.com</t>
  </si>
  <si>
    <t>J Manikanth</t>
  </si>
  <si>
    <t>Kotak Mahendra Bank</t>
  </si>
  <si>
    <t>KKBK0007452</t>
  </si>
  <si>
    <t>Not Mentioned</t>
  </si>
  <si>
    <t>https://maps.app.goo.gl/ov9jTkpC6RafJUgCA</t>
  </si>
  <si>
    <r>
      <rPr>
        <color rgb="FF1155CC"/>
        <u/>
      </rPr>
      <t>h.no</t>
    </r>
    <r>
      <rPr/>
      <t>:1-72/3, p no.7,sy no.18,gachibowli village,serlingampally mandal,rangareddy</t>
    </r>
  </si>
  <si>
    <t>Sunny kumar arora</t>
  </si>
  <si>
    <t>h.no:1-72/3, p no.7,sy no.18,gachibowli village,serlingampally mandal,rangareddy</t>
  </si>
  <si>
    <t>8555936674</t>
  </si>
  <si>
    <t>oyepunjabi65@gmail.com</t>
  </si>
  <si>
    <t>IDFC bank</t>
  </si>
  <si>
    <t>IDFC0080228</t>
  </si>
  <si>
    <t>he is out of station,didnt got the exact date when he will return,menu from swiggy and zomato</t>
  </si>
  <si>
    <t>Raju gari bhimavaram biryani</t>
  </si>
  <si>
    <t>S.R ecclave,5-3/37/6,manjeera pipelane rd,oppsite,raycon residency,mvtri nagar,phase-3,miyapur</t>
  </si>
  <si>
    <t>miyapur</t>
  </si>
  <si>
    <t>Ajay kumar</t>
  </si>
  <si>
    <t>8121340883</t>
  </si>
  <si>
    <t>https://drive.google.com/drive/folders/1awDT6H5xNM7SRMxXKGzlfQrHhu-RiZqH?usp=drive_link</t>
  </si>
  <si>
    <t>Rowdy Momo expresses</t>
  </si>
  <si>
    <t>Kismatpur</t>
  </si>
  <si>
    <t>plot no 149, kistmatpur road, near velley view enclave banglaguda jagir, hyderabad - 500086</t>
  </si>
  <si>
    <t>9676509250</t>
  </si>
  <si>
    <t>INDB0001909</t>
  </si>
  <si>
    <t>https://drive.google.com/drive/folders/1-Bg57ELrElx4xZdC1S8HDu-uXWcOR2Ig</t>
  </si>
  <si>
    <t>Sai Mumbai famous</t>
  </si>
  <si>
    <t>LIG:35/3,3rd phase,kphb colony,hyd,kukatpally circle no.24,hyd,telangana</t>
  </si>
  <si>
    <t>sonali avinash jadhav</t>
  </si>
  <si>
    <t>70202266949</t>
  </si>
  <si>
    <t>avinashjadhav@gmail.com</t>
  </si>
  <si>
    <t>Andhra bank</t>
  </si>
  <si>
    <t>ANDB0001112</t>
  </si>
  <si>
    <t>https://drive.google.com/drive/folders/1xWjqdV_lCsQYYb3NTy3F4IubdxFg7Zm-?usp=drive_link</t>
  </si>
  <si>
    <t>Sravanti Biryani</t>
  </si>
  <si>
    <t xml:space="preserve">HNO No. 2-41/11/10/11, G3, Sri sai shanti residency prashanth nagar, kothaguda circle </t>
  </si>
  <si>
    <t xml:space="preserve">Manoj Reddy </t>
  </si>
  <si>
    <t>Kothaguda</t>
  </si>
  <si>
    <t>sravanti food court</t>
  </si>
  <si>
    <t>kothaguda kondapur</t>
  </si>
  <si>
    <t>Manoj</t>
  </si>
  <si>
    <t>949473281</t>
  </si>
  <si>
    <t>Mandala Rama krishna reddy</t>
  </si>
  <si>
    <t>UNION Bank</t>
  </si>
  <si>
    <t>UBIN0804070</t>
  </si>
  <si>
    <t>Sravanthi Biryani</t>
  </si>
  <si>
    <t xml:space="preserve">kukatpally </t>
  </si>
  <si>
    <t xml:space="preserve">Sravanti Fast Food </t>
  </si>
  <si>
    <t xml:space="preserve">Door No, 2-41/11/10/, G3, Sri sai residancy prashanth nagar, kothaguda circle </t>
  </si>
  <si>
    <t>Kothaguda Kondapur</t>
  </si>
  <si>
    <t>Sravanti Fastfood</t>
  </si>
  <si>
    <t>Sravanti Mess</t>
  </si>
  <si>
    <t xml:space="preserve">Door No, 2-41/11/10/, G3, Sri sai residancy prashanth nagar, kothaguda </t>
  </si>
  <si>
    <t>Sravanthi Mess</t>
  </si>
  <si>
    <t xml:space="preserve">Kukatpally </t>
  </si>
  <si>
    <t>Sravanti Tiffins</t>
  </si>
  <si>
    <t>kothaguda HYD</t>
  </si>
  <si>
    <t>Sravanthi Tiffins</t>
  </si>
  <si>
    <t>Sri annapurna kitchen</t>
  </si>
  <si>
    <t>not mentionrd</t>
  </si>
  <si>
    <t>Sri Sattibabu Biryani</t>
  </si>
  <si>
    <t xml:space="preserve">plot no 749, sy no 61, sri ramnagar colony, gandipet, rangareddy, telangana </t>
  </si>
  <si>
    <t>Prashanth Vunnam</t>
  </si>
  <si>
    <t>plot no 749, sy no 61, sri ramnagar colony, gandipet, rangareddy, telangana - 500089</t>
  </si>
  <si>
    <t>9347727393</t>
  </si>
  <si>
    <t>vunnamprashanth955@gmail.com</t>
  </si>
  <si>
    <t>Kotak Mahindra bank</t>
  </si>
  <si>
    <t>https://drive.google.com/drive/folders/1FwtPr1DGQ2TayamqzucX6EiHKyoIIatV?usp=sharing</t>
  </si>
  <si>
    <t>Thunderbolts</t>
  </si>
  <si>
    <t>anisha.poddar@capsdelivery.com</t>
  </si>
  <si>
    <t>bilwa 36,5th floor,plot no.1101,road no.36,next to IDBI bank,cbi colony,jubliee hills,hyd</t>
  </si>
  <si>
    <t>Jubliee hills</t>
  </si>
  <si>
    <t>Samika Agarwal</t>
  </si>
  <si>
    <t>Abhishek aggarwal</t>
  </si>
  <si>
    <t>9866650027</t>
  </si>
  <si>
    <t>info@bilwa36.com</t>
  </si>
  <si>
    <t>S P Enterprises</t>
  </si>
  <si>
    <t>HDFC0000081</t>
  </si>
  <si>
    <t>Zafaron shawarma nd Chinese fast food</t>
  </si>
  <si>
    <t>plot no.145,babu khan line,PJR nagar,Gachibowli,serlingampally circle no.20,hyd</t>
  </si>
  <si>
    <t>Mohammed Rasheed</t>
  </si>
  <si>
    <t>9700481723</t>
  </si>
  <si>
    <t>king9966859723@gmail.com</t>
  </si>
  <si>
    <t>Zafaron food court</t>
  </si>
  <si>
    <t>Axix bank</t>
  </si>
  <si>
    <t>UTIB0000733</t>
  </si>
  <si>
    <t>https://drive.google.com/drive/folders/19uVt0fQevfxr-B1IKMVVumtg7_nUqoxP?usp=drive_link</t>
  </si>
  <si>
    <t>Zaiqa-11</t>
  </si>
  <si>
    <t>Again onboarded by chankaya</t>
  </si>
  <si>
    <t>Lassi shop</t>
  </si>
  <si>
    <t>Hasi's kitchen</t>
  </si>
  <si>
    <t>Hasi's pulavs</t>
  </si>
  <si>
    <t>Spice Soiree</t>
  </si>
  <si>
    <t>plot no.1031,matrusri nagar colony,miyapur,hyd</t>
  </si>
  <si>
    <t>Amerendra Naidu</t>
  </si>
  <si>
    <t>9642498490</t>
  </si>
  <si>
    <t>amarendranaidu@hotmail.com</t>
  </si>
  <si>
    <t>Gondi Amerendra Naidu</t>
  </si>
  <si>
    <t>SBIN0000905</t>
  </si>
  <si>
    <t>Sai Rishitha food centre</t>
  </si>
  <si>
    <t>flat no.G2,mythri bhavan,veshweshwara nagar,madinaguda,serlingampally circle no.20,hyd</t>
  </si>
  <si>
    <t>Thirumala Reddy Balashow reddy</t>
  </si>
  <si>
    <t>The Sipping adda</t>
  </si>
  <si>
    <t>flat no.G2,mythri bhavan,veshweshwara nagar,madinaguda,serlingampally circle no.20,hyd,500049</t>
  </si>
  <si>
    <t>9666674299</t>
  </si>
  <si>
    <t>bala.thirumalareddy111@gmail.com</t>
  </si>
  <si>
    <t>South indian Bank</t>
  </si>
  <si>
    <t>;0548053000006314</t>
  </si>
  <si>
    <t>SBIL0000548</t>
  </si>
  <si>
    <t>NA, Yes</t>
  </si>
  <si>
    <t>https://drive.google.com/drive/folders/1g1blutVC6IM_k2KynZjyUnvO3LXTEpB6?usp=sharing</t>
  </si>
  <si>
    <t>Sri Venkareswara food court</t>
  </si>
  <si>
    <r>
      <rPr/>
      <t>shop no.3,</t>
    </r>
    <r>
      <rPr>
        <color rgb="FF1155CC"/>
        <u/>
      </rPr>
      <t>h.no</t>
    </r>
    <r>
      <rPr/>
      <t>:6-94/17/1,MIG-101,Noorjahan complex,huda colony,chandanagar,hyd</t>
    </r>
  </si>
  <si>
    <r>
      <rPr/>
      <t>shop no.3,</t>
    </r>
    <r>
      <rPr>
        <color rgb="FF1155CC"/>
        <u/>
      </rPr>
      <t>h.no</t>
    </r>
    <r>
      <rPr/>
      <t>:6-94/17/1,MIG-101,Noorjahan complex,huda colony,chandanagar,hyd,500050</t>
    </r>
  </si>
  <si>
    <t>manda Tirupathi</t>
  </si>
  <si>
    <t>9866983997</t>
  </si>
  <si>
    <t>https://drive.google.com/drive/folders/1jiDmiF4YUcXOyUTOvY3NlMJnOdRXZ6g_?usp=sharing</t>
  </si>
  <si>
    <t>The Irawat Kitchen</t>
  </si>
  <si>
    <t>Prashanth prasad</t>
  </si>
  <si>
    <t>7780460241</t>
  </si>
  <si>
    <t>need to increase price</t>
  </si>
  <si>
    <t>Fresh Fruit Juices 'n' Bowls</t>
  </si>
  <si>
    <t xml:space="preserve">plot 5-327, sree ram nagar colony, puppalguda rajendra nagar mandal, rangareddy district </t>
  </si>
  <si>
    <t>Fresh fruit Juices 'n' bowles</t>
  </si>
  <si>
    <t>Ravi</t>
  </si>
  <si>
    <t>9573144658</t>
  </si>
  <si>
    <t>ravichinna198@gmail.com</t>
  </si>
  <si>
    <t>S.Ravi</t>
  </si>
  <si>
    <t>HDFC</t>
  </si>
  <si>
    <t>HDFC0009182</t>
  </si>
  <si>
    <t>Supreeth Currries and Meals</t>
  </si>
  <si>
    <t>plot no  -199,TNGO's colony, financial district, rajendra nagar</t>
  </si>
  <si>
    <t>Supreet Grand</t>
  </si>
  <si>
    <t>plot no- 199 TNGO's colony, financial district</t>
  </si>
  <si>
    <t>Ajay Reddy</t>
  </si>
  <si>
    <t>9908866994</t>
  </si>
  <si>
    <t>ajay201.eee@gmail.com</t>
  </si>
  <si>
    <t>Sugathi Homestays</t>
  </si>
  <si>
    <t>KKBK000561</t>
  </si>
  <si>
    <t>Supreeth Grand</t>
  </si>
  <si>
    <t>plot no 419,  j-heights, TNGO's colony, financial district, gachibowli,manikonda, rajendra nagar</t>
  </si>
  <si>
    <t>9908866993</t>
  </si>
  <si>
    <t>Snacking Cafe Private limited</t>
  </si>
  <si>
    <t xml:space="preserve">RHS-R6-UE, Near Nift college, Hitech city metro chanda nagar Circle No 21, HYD </t>
  </si>
  <si>
    <t>Hitech City</t>
  </si>
  <si>
    <t>Snaking Cafe Private Limited</t>
  </si>
  <si>
    <t>RHS-Rb-UE, Near . NIFI College Hyd - 500081</t>
  </si>
  <si>
    <t>Jagadeesh</t>
  </si>
  <si>
    <t>9989981294</t>
  </si>
  <si>
    <t>snakingcafe@gmail.com</t>
  </si>
  <si>
    <t>SNAKING CAFE PVT.LTD</t>
  </si>
  <si>
    <t>IDFC . First bank</t>
  </si>
  <si>
    <t>IDFB0080222</t>
  </si>
  <si>
    <t>Srinivasa Mixture hub</t>
  </si>
  <si>
    <t>17° 26' 54.9636" N 78° 22' 51.9726" E</t>
  </si>
  <si>
    <t>Sravanam 4am Biryani</t>
  </si>
  <si>
    <t xml:space="preserve">Plot No. 35, khampet , Hitech city, Chandanagar circle No. 21, Hyderbad </t>
  </si>
  <si>
    <t>Sravanam 4am biryani</t>
  </si>
  <si>
    <t xml:space="preserve">Hitech City, Hyderabad </t>
  </si>
  <si>
    <t>Chandu</t>
  </si>
  <si>
    <t>6303702150</t>
  </si>
  <si>
    <t>gunjichandrashekar0924@gmail.com</t>
  </si>
  <si>
    <t>Gunji Shekar</t>
  </si>
  <si>
    <t>Induslnd bank</t>
  </si>
  <si>
    <t>Sravanam 4Am Biryani</t>
  </si>
  <si>
    <t>SRAVANAM 4AM KUSHKA BIRYANI</t>
  </si>
  <si>
    <t>Sravanam 4am kuska</t>
  </si>
  <si>
    <t>partnership</t>
  </si>
  <si>
    <t>plot no.35,khanmet,chandanagar circle no.21</t>
  </si>
  <si>
    <t>Gunji chandra shekar</t>
  </si>
  <si>
    <t>Hitech city,telangana</t>
  </si>
  <si>
    <t xml:space="preserve">Chandu </t>
  </si>
  <si>
    <t>Gunji chndra shekhar</t>
  </si>
  <si>
    <t>Tasty flavours</t>
  </si>
  <si>
    <t>Sy No. 183, maseed banda kondapur, serlingampally circle NO 20. Telangana - 500084</t>
  </si>
  <si>
    <t>Jai sri ram Tasty flavours</t>
  </si>
  <si>
    <t>Kondapur, Telangana - 500084</t>
  </si>
  <si>
    <t>Santosh</t>
  </si>
  <si>
    <t>9703166696</t>
  </si>
  <si>
    <t>Kottu Adiwarayana</t>
  </si>
  <si>
    <t>KKBK0008398</t>
  </si>
  <si>
    <t>Nadeem hotel</t>
  </si>
  <si>
    <r>
      <rPr>
        <color rgb="FF1155CC"/>
        <u/>
      </rPr>
      <t>h.no</t>
    </r>
    <r>
      <rPr/>
      <t>:8-3-228/678/140,sri ram nagar,moti nagar,yousufguda circle no.19,hyd,telangana</t>
    </r>
  </si>
  <si>
    <t>2%%</t>
  </si>
  <si>
    <t>Nadeem Hotel</t>
  </si>
  <si>
    <r>
      <rPr>
        <color rgb="FF1155CC"/>
        <u/>
      </rPr>
      <t>h.no</t>
    </r>
    <r>
      <rPr/>
      <t>:8-3-228/678/140,sri ram nagar,moti nagar,yousufguda circle no.19,hyd,telangana,500045</t>
    </r>
  </si>
  <si>
    <t>Junaid</t>
  </si>
  <si>
    <t>9390463901</t>
  </si>
  <si>
    <t>https://drive.google.com/drive/folders/1hzVDTdS8M0l-ry7H5ZN3yyJve-VveP-p</t>
  </si>
  <si>
    <t>Aaha Bhojanam</t>
  </si>
  <si>
    <t>sy no.203, to 210p1,Tngo colony,backside Q city,gachibowli,selingampally,circle no 20</t>
  </si>
  <si>
    <t>Sri Vigneshwara Aaha biryani</t>
  </si>
  <si>
    <t>financilal district,hyd,500046</t>
  </si>
  <si>
    <t>7893053090</t>
  </si>
  <si>
    <t>jagadeshnagothu88@gmail.com</t>
  </si>
  <si>
    <t>YESB0001432</t>
  </si>
  <si>
    <t>Sri Vigneshwara Aaha Bhojanam</t>
  </si>
  <si>
    <t>Aahar vilas</t>
  </si>
  <si>
    <t>plot no:1449,sy no.78,gokul plots,venkata ramana colony,hyderabad</t>
  </si>
  <si>
    <t>plot no:1449,sy no.78,gokul plots</t>
  </si>
  <si>
    <t>keerthana</t>
  </si>
  <si>
    <t>9494968626</t>
  </si>
  <si>
    <t>aaharvilas@gmail.com</t>
  </si>
  <si>
    <t>Indualand bank</t>
  </si>
  <si>
    <t>INDB0001418</t>
  </si>
  <si>
    <t>https://drive.google.com/drive/folders/1HuYxw4VAjfY00qs4hwHt-P_34_9m9z6Q</t>
  </si>
  <si>
    <t xml:space="preserve">Anu Kitchen </t>
  </si>
  <si>
    <t>Plot No 1, Amrutha Enclave, Gandipet, Bandlaguda Jagir Rajendranagar, rangareddy, Telangana - 500086</t>
  </si>
  <si>
    <t>Burra Rakesh Gound</t>
  </si>
  <si>
    <t>bandlaguda</t>
  </si>
  <si>
    <t>Burra rakesh gound</t>
  </si>
  <si>
    <t>plot no-1, amrutha enclave, bandlaguda, bandlaguda jagir, rajendranagar, rangareddy, telangana- 500086.</t>
  </si>
  <si>
    <t>9553442334</t>
  </si>
  <si>
    <t>anukitchen2026@gmail.com</t>
  </si>
  <si>
    <t>Kotak Bank</t>
  </si>
  <si>
    <t>KKBK0008397</t>
  </si>
  <si>
    <t>https://drive.google.com/drive/folders/1D6ABY-wJcIGqRhaWsbxv8e-Gp35t-zin?usp=drive_link</t>
  </si>
  <si>
    <t>Langar Houz</t>
  </si>
  <si>
    <t>Have been reaching to mx on call since 3 days, he is unresponsive.Will make sure to collect as earliest convenience.</t>
  </si>
  <si>
    <t>Bakely Bakers</t>
  </si>
  <si>
    <r>
      <rPr>
        <color rgb="FF1155CC"/>
        <u/>
      </rPr>
      <t>H.no</t>
    </r>
    <r>
      <rPr/>
      <t xml:space="preserve">:4-229 and 230,plot no.227,sy no.78-93,Raja rajeshwara nagar,kondapur,selingampally circle </t>
    </r>
  </si>
  <si>
    <t xml:space="preserve">The Bakely </t>
  </si>
  <si>
    <t>Kondapur,Telangana</t>
  </si>
  <si>
    <t>Sumanth</t>
  </si>
  <si>
    <t>9394141282</t>
  </si>
  <si>
    <t>thebakely@gmail.com</t>
  </si>
  <si>
    <t>The Bakely</t>
  </si>
  <si>
    <t>Bank of maharashtra</t>
  </si>
  <si>
    <t>MAHB001361</t>
  </si>
  <si>
    <t>The Bakely Bakers</t>
  </si>
  <si>
    <t>Bakely</t>
  </si>
  <si>
    <t xml:space="preserve">Bakely cafe </t>
  </si>
  <si>
    <r>
      <rPr>
        <color rgb="FF1155CC"/>
        <u/>
      </rPr>
      <t>H.no</t>
    </r>
    <r>
      <rPr/>
      <t xml:space="preserve">:4-229 and 230,plot no.227,sy no.78-93,Raja rajeshwara nagar,kondapur,selingampally circle </t>
    </r>
  </si>
  <si>
    <t>The Bakely Cafe</t>
  </si>
  <si>
    <t>Cafe 74</t>
  </si>
  <si>
    <t>Tngo's colony,plot no.243,phase 1,kv ranga rao circle no.20</t>
  </si>
  <si>
    <t>financilal district,hyd</t>
  </si>
  <si>
    <t>Nanda kishore</t>
  </si>
  <si>
    <t>6301730136</t>
  </si>
  <si>
    <t>cafe74tangos@gmail.com</t>
  </si>
  <si>
    <t>Nandha kishore</t>
  </si>
  <si>
    <t>CNRB0013313</t>
  </si>
  <si>
    <t>CAFE 74</t>
  </si>
  <si>
    <t>Club 10 chicken</t>
  </si>
  <si>
    <t>Baditha priyanka,plot no.782,seven hills driven,gopal nagar,Hafeezper,hyd</t>
  </si>
  <si>
    <t>Priyanka</t>
  </si>
  <si>
    <t>9133944255</t>
  </si>
  <si>
    <t>kurellasai@gmail.com</t>
  </si>
  <si>
    <t>https://drive.google.com/drive/folders/1wGKQl8bK8Rrz8H23b5SRyYeFBMPv9DIL?usp=drive_link</t>
  </si>
  <si>
    <t>Dostan biryani</t>
  </si>
  <si>
    <t>sy no.38,39,40,khanmet village,serlingampally circle no.20,hyd</t>
  </si>
  <si>
    <t>Bashetty vennala</t>
  </si>
  <si>
    <t>madhapur,hyd,500081</t>
  </si>
  <si>
    <t>Anil kumar</t>
  </si>
  <si>
    <t>7032209668</t>
  </si>
  <si>
    <t>D Indra</t>
  </si>
  <si>
    <t>HDFC0006765</t>
  </si>
  <si>
    <t>Dostan Biryani</t>
  </si>
  <si>
    <t>https://maps.app.goo.gl/E5xhqBiRDxNfMXBD8</t>
  </si>
  <si>
    <t>Dostan fast foods</t>
  </si>
  <si>
    <t>Dostan Fast Food</t>
  </si>
  <si>
    <t>https://maps.app.goo.gl/E5xhqBiRDxNfMXBD9</t>
  </si>
  <si>
    <t>Dostan meals and snacks</t>
  </si>
  <si>
    <t>Dostan Meals And Snacks</t>
  </si>
  <si>
    <t>https://maps.app.goo.gl/E5xhqBiRDxNfMXBD10</t>
  </si>
  <si>
    <t>Dosthan shawarma</t>
  </si>
  <si>
    <t>Dostan Shawarma</t>
  </si>
  <si>
    <t>https://maps.app.goo.gl/E5xhqBiRDxNfMXBD11</t>
  </si>
  <si>
    <t>Dosthan Tiffins</t>
  </si>
  <si>
    <t>Dostan Tiffins</t>
  </si>
  <si>
    <t>https://maps.app.goo.gl/E5xhqBiRDxNfMXBD12</t>
  </si>
  <si>
    <t>Hydes Diner</t>
  </si>
  <si>
    <r>
      <rPr>
        <color rgb="FF1155CC"/>
        <u/>
      </rPr>
      <t>H.no</t>
    </r>
    <r>
      <rPr/>
      <t>:8-2-248,shop no.G4,lumbini amrutha chambers,road no.3,banjara hills,hyd,telangana</t>
    </r>
  </si>
  <si>
    <t>Rahul Gupta</t>
  </si>
  <si>
    <r>
      <rPr>
        <color rgb="FF1155CC"/>
        <u/>
      </rPr>
      <t>H.no</t>
    </r>
    <r>
      <rPr/>
      <t>:8-2-248,shop no.G4,lumbini amrutha chambers,road no.3,banjara hills,jubilee hills circle no.18,hyd,telangana,500034</t>
    </r>
  </si>
  <si>
    <t>9985700007</t>
  </si>
  <si>
    <t>HDFC0000621</t>
  </si>
  <si>
    <t>Khans Shawarma house ( arabian )</t>
  </si>
  <si>
    <t>8-1-398/ PM/175, paramount colony telangana - 500008 gate no. - 3, jubliee hill circle no. 18, hyd.</t>
  </si>
  <si>
    <t>Naseer khan</t>
  </si>
  <si>
    <t>8-1-398/PM/paramont colony, gate no:-3, tolichowki, jubliee hills circle no:-18, Hyderabad, telangana - 500008</t>
  </si>
  <si>
    <t>Naseer Khan</t>
  </si>
  <si>
    <t>9704141884</t>
  </si>
  <si>
    <t>https://drive.google.com/drive/folders/15s6wZSxk9l_GyCQRrweygRiPAO5LbhIH?usp=sharing</t>
  </si>
  <si>
    <t>Bismillah Hotel</t>
  </si>
  <si>
    <t>plot no.22,part 1,amartahanda nagar,new hafeezpet,miyapur,selingampally,hyd</t>
  </si>
  <si>
    <t>MD kaleem Blsmillah hotel kalyani and chicken biryani</t>
  </si>
  <si>
    <t>Plot no.22,part 1, amartahanda nagar</t>
  </si>
  <si>
    <t>shaik khizar ahmed</t>
  </si>
  <si>
    <t>9700226988</t>
  </si>
  <si>
    <t>shaikqhizar@gmail.com</t>
  </si>
  <si>
    <t>Follow up required, Merchant is busy right now.</t>
  </si>
  <si>
    <t>Perch 24 Cafe</t>
  </si>
  <si>
    <t>Shadab</t>
  </si>
  <si>
    <t>Snack Bite</t>
  </si>
  <si>
    <t>Plot No. 7, Near Crayon Hospital, Prasanth Nagar Colony, Bandlaguda (Jagir),Rajendranagar, Rangareddy, Telangana -500091</t>
  </si>
  <si>
    <t>Madaram Shailaja</t>
  </si>
  <si>
    <t>SNACKBITE (MADARAM SHAILAJA)</t>
  </si>
  <si>
    <t xml:space="preserve">Madaram Shailaja </t>
  </si>
  <si>
    <t>9100267638</t>
  </si>
  <si>
    <t>madaramshailajak@gmail.com</t>
  </si>
  <si>
    <t>Mrs. Madaram Shailaja</t>
  </si>
  <si>
    <t>IOBA0000572</t>
  </si>
  <si>
    <t>https://drive.google.com/drive/folders/1VZj4TVwdlk6PvQtXFIOGTE1VFpy-qDEF?usp=sharing</t>
  </si>
  <si>
    <t>Duplicate entry created - Pls delete</t>
  </si>
  <si>
    <t>SnackBite</t>
  </si>
  <si>
    <t>Plot No:- 7, Near Crayon Hospital, Prasanth nagar colony Bandlaguda Jagir, Rajendranagar, Rangareddy, Telangana - 500091</t>
  </si>
  <si>
    <t>Plot No- 7, Near Gayon hospital, prasanth nagar colony, bandlaguda jagir, Rajendranagar, Rangareddy, Telangana 500091</t>
  </si>
  <si>
    <t>17.4030848,78.4269312</t>
  </si>
  <si>
    <t>Snap foods and beverages</t>
  </si>
  <si>
    <t>plot no.84/1,miyapur,chandanagar circle no.21,hyd,telangana</t>
  </si>
  <si>
    <t>Snap fooda and beverages</t>
  </si>
  <si>
    <t>plot no.84/1,miyapur,chandanagar circle no.21</t>
  </si>
  <si>
    <t>Sharath</t>
  </si>
  <si>
    <t>8886633304</t>
  </si>
  <si>
    <t>chennuricharat@gmail.com</t>
  </si>
  <si>
    <t>sharat chandra chennuri</t>
  </si>
  <si>
    <t>UBIN0815128</t>
  </si>
  <si>
    <t>https://drive.google.com/drive/folders/1ptGqmobNv-AF9wklOrwpiATBWB2I1d-i</t>
  </si>
  <si>
    <t>Sri nakshatra chinese hub</t>
  </si>
  <si>
    <t>syapu kiran babu,plot no.782,seven hills,driveinn,gopal nagar,hafeezpet</t>
  </si>
  <si>
    <t>https://drive.google.com/drive/folders/1TDGTkjgN8AV4VWnj9BFSNZ1yd8sKs4Tz?usp=drive_link</t>
  </si>
  <si>
    <t>Sri Vigneshwara Aaha Bhojnam</t>
  </si>
  <si>
    <t>Sri vigneshwara nellore Ruchulu</t>
  </si>
  <si>
    <t>plot no.212,Tngo's colony,wipro circle,near appolo pharmacy,circle no.20,hyd</t>
  </si>
  <si>
    <t>Nagothu rajesh kumar</t>
  </si>
  <si>
    <t>Rajesh kumar</t>
  </si>
  <si>
    <t>9293245150</t>
  </si>
  <si>
    <t>nrrajesh2@gmail.com</t>
  </si>
  <si>
    <t>N.Rajesh kumar</t>
  </si>
  <si>
    <t>YESB0001196</t>
  </si>
  <si>
    <t>Sri Vigneshwara Nellore Chepala Pulusu</t>
  </si>
  <si>
    <t>https://maps.app.goo.gl/Poy4P6VsexDRpvWv5</t>
  </si>
  <si>
    <t>The hungry spot</t>
  </si>
  <si>
    <t>Raja rajeshwarangar,GF9C4+2x9,kondapur,gachibowli,telangana</t>
  </si>
  <si>
    <t>Ibrahim</t>
  </si>
  <si>
    <t>9866305968</t>
  </si>
  <si>
    <t>Mohammed Ibrahim</t>
  </si>
  <si>
    <t>CBIN0283836</t>
  </si>
  <si>
    <t>the Hungry Spot</t>
  </si>
  <si>
    <t>56/135</t>
  </si>
  <si>
    <t>M/S QUBZ the shawarma revolution</t>
  </si>
  <si>
    <r>
      <rPr/>
      <t>shop no.3,</t>
    </r>
    <r>
      <rPr>
        <color rgb="FF1155CC"/>
        <u/>
      </rPr>
      <t>H.no</t>
    </r>
    <r>
      <rPr/>
      <t>:5-3/12,plot no.12,sai tulsai enclave,rattinagulapally,gandipet(19),ranga reddy</t>
    </r>
  </si>
  <si>
    <t>Mohan</t>
  </si>
  <si>
    <t>plot no.12,sai tulsai enclave,vattinagulapally,gandipet(19),ranga reddy</t>
  </si>
  <si>
    <t>uday Bhaskar</t>
  </si>
  <si>
    <t>9849117567</t>
  </si>
  <si>
    <t>tealogy.hyd2@gmail.com</t>
  </si>
  <si>
    <t>Tealogy Cafe Private Limited</t>
  </si>
  <si>
    <r>
      <rPr>
        <color rgb="FF1155CC"/>
        <u/>
      </rPr>
      <t>h.no</t>
    </r>
    <r>
      <rPr/>
      <t xml:space="preserve"> 5-3/12, plot no 12, phase-I, sai tulasi enclave, vattinagullapally,rajendranagar</t>
    </r>
  </si>
  <si>
    <t>5-3/12,plot no 12, phase-I, sai tulasi enclave, vattinagulapally, rajendranagar</t>
  </si>
  <si>
    <t>Uday Bhaskar</t>
  </si>
  <si>
    <t>teology.hyd2@gmail.com</t>
  </si>
  <si>
    <t>ICIC0005693</t>
  </si>
  <si>
    <t>Akshaya patra</t>
  </si>
  <si>
    <t>369,swathi avenu,ameerpet,khairtabad circle no.17,hyd,telangana</t>
  </si>
  <si>
    <t>Pidathala bharathi</t>
  </si>
  <si>
    <t>7989456218</t>
  </si>
  <si>
    <t>pidathalabharathi@gmail.com</t>
  </si>
  <si>
    <t>https://drive.google.com/drive/folders/1H2L0OLXryJitPqdT3cUvQ03DeZU7C5wX?usp=sharing</t>
  </si>
  <si>
    <t>Anagha kitchen</t>
  </si>
  <si>
    <t>11-05-167/2,bhavani nagar,near pochamma temple,moosapet,hyd</t>
  </si>
  <si>
    <t>Venkatesh vessam</t>
  </si>
  <si>
    <t>Moosapet,hyd,500018</t>
  </si>
  <si>
    <t>7396680184</t>
  </si>
  <si>
    <t>Padmavathi vessam</t>
  </si>
  <si>
    <t>BARBOSRIHYD</t>
  </si>
  <si>
    <t>Anagha Kitchen</t>
  </si>
  <si>
    <t>N/A</t>
  </si>
  <si>
    <t>Avacado on wheels</t>
  </si>
  <si>
    <t>shop no.1,patrika nagar,SLR guest house,selingampally circle no.20,hyd</t>
  </si>
  <si>
    <t xml:space="preserve">Yakkanti Jahnavi </t>
  </si>
  <si>
    <t>Hitech city,hyderabad</t>
  </si>
  <si>
    <t>sri charen</t>
  </si>
  <si>
    <t>8247837141</t>
  </si>
  <si>
    <t>charcoalsbbqhyd@gmail.co,</t>
  </si>
  <si>
    <t>srikanth charan</t>
  </si>
  <si>
    <t>SBIN0021830</t>
  </si>
  <si>
    <t>Avacado On Wheels</t>
  </si>
  <si>
    <t>Charcoals Shawarma &amp; Kebabs</t>
  </si>
  <si>
    <t>Bhavani food court</t>
  </si>
  <si>
    <t>7-1-403,balkampet road,ameerpet,khairtabad circle no.17,hyd,telangana</t>
  </si>
  <si>
    <t>Biradar Pradeep</t>
  </si>
  <si>
    <t>7-1-403,balkampet road,ameerpet,khairtabad circle no.17,hyd,telangana,500016</t>
  </si>
  <si>
    <t>7989953036</t>
  </si>
  <si>
    <t>pradipbiradar1433@gmail.com</t>
  </si>
  <si>
    <t>UBIN0550833</t>
  </si>
  <si>
    <t>https://drive.google.com/drive/folders/1ISrBU0FLBTh_Xu1e1kDHoKE886k9J9uF?usp=drive_link</t>
  </si>
  <si>
    <t xml:space="preserve">Charcoal sahwarma </t>
  </si>
  <si>
    <t>Jahnavi</t>
  </si>
  <si>
    <t>9900942019</t>
  </si>
  <si>
    <t>Yakkanti Jahnavi</t>
  </si>
  <si>
    <t>HDFC0000545</t>
  </si>
  <si>
    <t>Charcoal Shawarma</t>
  </si>
  <si>
    <t>Famous arabian shawarma</t>
  </si>
  <si>
    <t>8-4-548/s 116/1,sanathnagar,erragada,hyd</t>
  </si>
  <si>
    <t>Shajit sha</t>
  </si>
  <si>
    <t>9398294016</t>
  </si>
  <si>
    <t>15 days to send documents</t>
  </si>
  <si>
    <t>Hayansh Kitchen(Authentic Andra Cuisine)</t>
  </si>
  <si>
    <t xml:space="preserve">plot no 122, venkateshwara colony oppo hospital kistmapur, rangareddy telangana </t>
  </si>
  <si>
    <t>Shravan Kumar</t>
  </si>
  <si>
    <t>Hayansh Kitchen</t>
  </si>
  <si>
    <t>plot no 122 venkateshwara colony opp hospital bandlaguda   , jagir, bandlaguda, 500086</t>
  </si>
  <si>
    <t>Shravan</t>
  </si>
  <si>
    <t>9000550143</t>
  </si>
  <si>
    <t>shravanmaya@gmail.com</t>
  </si>
  <si>
    <t>Janapally Shravan Kumar</t>
  </si>
  <si>
    <t>https://drive.google.com/drive/folders/1TpUo-klquf21FsZynXsRQJkFKvbRwakN</t>
  </si>
  <si>
    <t>Kolipaka Srikanth(Araah Cafe)</t>
  </si>
  <si>
    <t>plot no 34 &amp; 5 park KFC lane near jv colony jubilee hills circle no 18,hyderabad telangana</t>
  </si>
  <si>
    <t>Kolipaka Srikanth</t>
  </si>
  <si>
    <t>plot no 43,44 and 45 jv colony park gachibowli hyderabad jubilee hills</t>
  </si>
  <si>
    <t>6300227403</t>
  </si>
  <si>
    <t>srikanthrock6300@gmail.com</t>
  </si>
  <si>
    <t>Srikanth Kolipaka</t>
  </si>
  <si>
    <t>YESB0000097</t>
  </si>
  <si>
    <t>https://drive.google.com/drive/folders/14Gp6EZt8td6kqLeuFRK9bWHdkqJEncnj</t>
  </si>
  <si>
    <t>Nawabi cafeteria and restaurant</t>
  </si>
  <si>
    <t>road opposite LV prasad eye institute abhyudaya nagar,dargha khaliz khan,kismatpur</t>
  </si>
  <si>
    <t>Mohammed Irfaan</t>
  </si>
  <si>
    <t>Nawabi cafeteria</t>
  </si>
  <si>
    <t>1-121,dargah khaliz,kismatpur,gandipet,rangareddy,telangana,5000861-121,dargah khaliz,kismatpur,gandipet,rangareddy,telangana,500086</t>
  </si>
  <si>
    <t>Mohammed Osman</t>
  </si>
  <si>
    <t>8919193385</t>
  </si>
  <si>
    <t>mohammedirfaan5131@gmail.com</t>
  </si>
  <si>
    <t>kotak mahindra bank bank</t>
  </si>
  <si>
    <t>KKBK0007478</t>
  </si>
  <si>
    <t>https://drive.google.com/drive/folders/18p6doDdKQm-sXq4NKmJgqZNVB8YeaJ3M?usp=sharing</t>
  </si>
  <si>
    <t>Nawabi cafeteria Waffles</t>
  </si>
  <si>
    <t>1-121,dargah khaliz,kismatpur,gandipet,rangareddy,telangana,500086</t>
  </si>
  <si>
    <t>https://drive.google.com/drive/folders/1G_ky93niBmaL40jVSzHRR0MVNCTo-gnU</t>
  </si>
  <si>
    <t xml:space="preserve">Oh My Momo's </t>
  </si>
  <si>
    <t>Mamatha budhani</t>
  </si>
  <si>
    <t>Nithin Dev</t>
  </si>
  <si>
    <t>9028234693</t>
  </si>
  <si>
    <t>ICICI bank</t>
  </si>
  <si>
    <t>;025301617423</t>
  </si>
  <si>
    <t>ICIC0000253</t>
  </si>
  <si>
    <t>Oh My Momo's</t>
  </si>
  <si>
    <t>Preeti tiffins</t>
  </si>
  <si>
    <t>sy no.104-106,beside vaishnavi oasis,bandlaguda jagir,kismatpur road</t>
  </si>
  <si>
    <t>Meghana</t>
  </si>
  <si>
    <t>kismatpur</t>
  </si>
  <si>
    <t>sy no.104,105,106,Bandlaguda,Bandlaguda jagir,rajendranagar,rangareddy,telangana,500030</t>
  </si>
  <si>
    <t>8897622869</t>
  </si>
  <si>
    <t>sgbhutada@gmail.com</t>
  </si>
  <si>
    <t>Andhra pradesh mahesh cooperative urban bank limited</t>
  </si>
  <si>
    <t>APMC0000029</t>
  </si>
  <si>
    <t>https://drive.google.com/drive/folders/19y8lAY0XDQMK9FbVoJXfmatv8ozU2C7U</t>
  </si>
  <si>
    <t>sy no.104,beside vaishnavi oasis,bandlaguda jagir,kismatpur road</t>
  </si>
  <si>
    <t>PREETI TIFFINS</t>
  </si>
  <si>
    <t>Sy.No.104,105,106, Bandlaguda, Bandlaguda (Jagir), Rajendranagar,Rangareddi, , Telangana, 500030</t>
  </si>
  <si>
    <t>Union Bank</t>
  </si>
  <si>
    <t>UBIN0816213</t>
  </si>
  <si>
    <t>https://drive.google.com/drive/folders/1NCZe63ZgVZfOwmax02-xtsw36zzp3ZiC?usp=sharing</t>
  </si>
  <si>
    <t>will send the document by tommrow</t>
  </si>
  <si>
    <t>sekh raphik</t>
  </si>
  <si>
    <t>L135/3 3rd phase,bsnl road,temple,bus stand,kphb colony,kukatpally circle</t>
  </si>
  <si>
    <t>L135/3 3rd phase,bsnl road,temple,bus stand</t>
  </si>
  <si>
    <t>8979949479</t>
  </si>
  <si>
    <t>shaikmustak960@gmail.com</t>
  </si>
  <si>
    <t>CBIN0284086</t>
  </si>
  <si>
    <t>https://drive.google.com/drive/folders/1xUSMmrAXAuVsBbV5E7GFJhdECj8W_Xbd</t>
  </si>
  <si>
    <t>Shaik sartaz alli</t>
  </si>
  <si>
    <t>plot no.156,part 1,narsingini,manikonda,rajendra nagar,rangareddy</t>
  </si>
  <si>
    <t>plot no.156,part 1,narsingini,manikonda</t>
  </si>
  <si>
    <t>shaik sartaz ali</t>
  </si>
  <si>
    <t>8686092883</t>
  </si>
  <si>
    <t>mdtaj8994@gmail.com</t>
  </si>
  <si>
    <t>CNRB0013434</t>
  </si>
  <si>
    <t>https://drive.google.com/drive/folders/1CYVvWZYBbQk2ThPlpELGy8j4CArNdBrw</t>
  </si>
  <si>
    <t>plot no 202, beside kamadhenu jewellers, TNGO's colony, gachibowli, hyderabad,telangana</t>
  </si>
  <si>
    <t>Bhimalla Shiva Shankar</t>
  </si>
  <si>
    <t>7893194466</t>
  </si>
  <si>
    <t>snackbite.gachibowli@gmail.com</t>
  </si>
  <si>
    <t>Federal Bank</t>
  </si>
  <si>
    <t>FDRL0002378</t>
  </si>
  <si>
    <t>https://drive.google.com/drive/folders/11I8R1DR_Jn8VRg8y-vZyv_Zm_70sqneU?usp=drive_link</t>
  </si>
  <si>
    <t>17.4302523,78.1125558</t>
  </si>
  <si>
    <t>The Boat House Express</t>
  </si>
  <si>
    <t>no. 4/5/6, shop no.2, kismatpur,shivasai colony, kismatpur, rajendranagar, rangareddy, telangana, 500030</t>
  </si>
  <si>
    <t>Hema Addanki</t>
  </si>
  <si>
    <t>9030058654</t>
  </si>
  <si>
    <t>tulasinandan654@gmail.com</t>
  </si>
  <si>
    <t>The Boat House</t>
  </si>
  <si>
    <t>ICIC0001974</t>
  </si>
  <si>
    <t>https://drive.google.com/drive/folders/1SiRVQA2LbArGXGV8EORPi4nOZloYVdsk?usp=sharing</t>
  </si>
  <si>
    <t>17.346937,78.391701</t>
  </si>
  <si>
    <t>collect menu from support@petpooja.com</t>
  </si>
  <si>
    <t>Wraps N More</t>
  </si>
  <si>
    <t>8-4-549/26,netaji nagar,erragada,yousuf guda circle no.19,hyd,</t>
  </si>
  <si>
    <t>Mohammed Afroz</t>
  </si>
  <si>
    <t>7981177252</t>
  </si>
  <si>
    <t>One week</t>
  </si>
  <si>
    <t>5ves Diner</t>
  </si>
  <si>
    <r>
      <rPr>
        <color rgb="FF1155CC"/>
        <u/>
      </rPr>
      <t>H.no</t>
    </r>
    <r>
      <rPr/>
      <t>:1-72/3/316/27,plot no.27 and 37,gachibowli,serlingampally circle no.20</t>
    </r>
  </si>
  <si>
    <r>
      <rPr>
        <color rgb="FF1155CC"/>
        <u/>
      </rPr>
      <t>H.no</t>
    </r>
    <r>
      <rPr/>
      <t>:1-72/3/316/27,plot no.27 and 37,gachibowli,serlingampally circle no.20,500032</t>
    </r>
  </si>
  <si>
    <t>abdul rasheed and Iliyas</t>
  </si>
  <si>
    <t>8074708028</t>
  </si>
  <si>
    <t>5vesrestaurent@gmail.com</t>
  </si>
  <si>
    <t>5ves restaurant</t>
  </si>
  <si>
    <t>HDFC bank</t>
  </si>
  <si>
    <t>HDFC0009095</t>
  </si>
  <si>
    <t>5ves Restaurant</t>
  </si>
  <si>
    <t>Amulya Abhiruchi Biryani</t>
  </si>
  <si>
    <t>kedarisetty veera venta satya,MIG-264,shop no.3,road no.4,near apollo,kphb,kukatpally</t>
  </si>
  <si>
    <t>satya prasad</t>
  </si>
  <si>
    <t>7013883666</t>
  </si>
  <si>
    <t>kvvsatyaprasad1974@gmail.com</t>
  </si>
  <si>
    <t xml:space="preserve">Amulya Abhiruchi </t>
  </si>
  <si>
    <t>kotak bank</t>
  </si>
  <si>
    <t>KKBK0007475</t>
  </si>
  <si>
    <t>https://drive.google.com/drive/folders/1rgE6TiCyfdq4tV32zeWB_ZnfAjpWfoBY?usp=drive_link</t>
  </si>
  <si>
    <t>Amulya Abhiruchi fast food</t>
  </si>
  <si>
    <t>MIG-264,shop no.3,road no.4,near apollo,kphb,kukatpally</t>
  </si>
  <si>
    <t>Appis natural fresh juice</t>
  </si>
  <si>
    <t>shop no.1,JSR classic,vijetha super market,pragathi nagar,nizampet</t>
  </si>
  <si>
    <t>Auti Eknath</t>
  </si>
  <si>
    <t>9398293706</t>
  </si>
  <si>
    <t>Beyond kimchi-The taste of korea</t>
  </si>
  <si>
    <t>Ragiv gandhi nagar,langarhouz,hyderabad,telangana</t>
  </si>
  <si>
    <t>Krishna roa reddy</t>
  </si>
  <si>
    <t>plot no.51,serimallegardens attapur,mehadipatnam circle no.12,hyd,500004</t>
  </si>
  <si>
    <t>9986881566</t>
  </si>
  <si>
    <t>epicbawarchirestraunt@gmail.com</t>
  </si>
  <si>
    <t>Epic Bawarchi</t>
  </si>
  <si>
    <t>KKBK0007509</t>
  </si>
  <si>
    <t>https://drive.google.com/drive/folders/1HwRsI1zSxQFLedtpqh3GoMVCb5vzc1dy</t>
  </si>
  <si>
    <t>Caffine Biryani</t>
  </si>
  <si>
    <r>
      <rPr>
        <color rgb="FF1155CC"/>
        <u/>
      </rPr>
      <t>h.no</t>
    </r>
    <r>
      <rPr/>
      <t>:8-3-229/D175,ventatagiri,yousufguda,hyd,telangana</t>
    </r>
  </si>
  <si>
    <t>caffeine hub</t>
  </si>
  <si>
    <t xml:space="preserve">Yousufguda,hyderabad </t>
  </si>
  <si>
    <t>Usha rani</t>
  </si>
  <si>
    <t>9059524358</t>
  </si>
  <si>
    <t>caffine hub</t>
  </si>
  <si>
    <t>UTIB0003386</t>
  </si>
  <si>
    <t>caffine hub Biryani's</t>
  </si>
  <si>
    <t>Caffeine Hub - Awaken your senses &amp; Rejuvenate your mind....</t>
  </si>
  <si>
    <t>caffine hub fast food</t>
  </si>
  <si>
    <r>
      <rPr>
        <color rgb="FF1155CC"/>
        <u/>
      </rPr>
      <t>h.no</t>
    </r>
    <r>
      <rPr/>
      <t>:8-3-229/D175,ventatagiri,yousufguda,hyd,telangana</t>
    </r>
  </si>
  <si>
    <t>Not Mentioned in Whatsapp</t>
  </si>
  <si>
    <t>Caffine juice and milk shake</t>
  </si>
  <si>
    <r>
      <rPr>
        <color rgb="FF1155CC"/>
        <u/>
      </rPr>
      <t>h.no</t>
    </r>
    <r>
      <rPr/>
      <t>:8-3-229/D175,ventatagiri,yousufguda,hyd,telangana</t>
    </r>
  </si>
  <si>
    <t>caffine hub milkshaes and juice</t>
  </si>
  <si>
    <t>Caffine meals and staters</t>
  </si>
  <si>
    <r>
      <rPr>
        <color rgb="FF1155CC"/>
        <u/>
      </rPr>
      <t>h.no</t>
    </r>
    <r>
      <rPr/>
      <t>:8-3-229/D175,ventatagiri,yousufguda,hyd,telangana</t>
    </r>
  </si>
  <si>
    <t>caffine hub Meals</t>
  </si>
  <si>
    <t>Caffine snacks</t>
  </si>
  <si>
    <r>
      <rPr>
        <color rgb="FF1155CC"/>
        <u/>
      </rPr>
      <t>h.no</t>
    </r>
    <r>
      <rPr/>
      <t>:8-3-229/D175,ventatagiri,yousufguda,hyd,telangana</t>
    </r>
  </si>
  <si>
    <t>caffine hub snacks</t>
  </si>
  <si>
    <t>Cake corner Bakery</t>
  </si>
  <si>
    <t>8-3-228/A/12,RRV apartments,opposite srisalam yadav</t>
  </si>
  <si>
    <t>Toufeeq shaik</t>
  </si>
  <si>
    <t>saleem shaik</t>
  </si>
  <si>
    <t>8978565854</t>
  </si>
  <si>
    <t>cake corner bakers confectioners</t>
  </si>
  <si>
    <t>HDFC0001626</t>
  </si>
  <si>
    <t>Cake Corner Bakery</t>
  </si>
  <si>
    <t>CAKE'S CORNER</t>
  </si>
  <si>
    <t>Chai kaburlu</t>
  </si>
  <si>
    <t>shop no.6,partika nagar,madhapur,serlingampally circle</t>
  </si>
  <si>
    <t>Sai kiran</t>
  </si>
  <si>
    <t>7036356575</t>
  </si>
  <si>
    <t>Bhandhan bank</t>
  </si>
  <si>
    <t>BDBL0001608</t>
  </si>
  <si>
    <t xml:space="preserve">Chai Kaburlu Hitech city </t>
  </si>
  <si>
    <t>Chai Kaburlu</t>
  </si>
  <si>
    <t>NO ACCESS</t>
  </si>
  <si>
    <t>LIG 22/2,ramya grounds road,3rd phase KPHB,moosapet circle</t>
  </si>
  <si>
    <t>KPHB</t>
  </si>
  <si>
    <t>KPHB,hyderabad</t>
  </si>
  <si>
    <t>Chai Kaburlu Kphb</t>
  </si>
  <si>
    <t>Chai Kaburlu KPHB</t>
  </si>
  <si>
    <t>classic crown restaurant</t>
  </si>
  <si>
    <t>11-1-12751B,new bhoiguda,afzal sagar,goshamahal circle no.14,hyd,telangana</t>
  </si>
  <si>
    <t>Korman sai krishna</t>
  </si>
  <si>
    <t>mehdipatnam</t>
  </si>
  <si>
    <t>8074527844</t>
  </si>
  <si>
    <t>ksai5908@gmail.com</t>
  </si>
  <si>
    <t>telangana co-operative bank</t>
  </si>
  <si>
    <t>TSAB0015001</t>
  </si>
  <si>
    <t>https://drive.google.com/drive/folders/1RQ1pnFVLBRz27A_mF2Ec5PhMM6F9WJND?usp=sharing</t>
  </si>
  <si>
    <t>need to increase price ans still we have more menu</t>
  </si>
  <si>
    <t>Corner fast food</t>
  </si>
  <si>
    <t>corner fast food</t>
  </si>
  <si>
    <t>Corner foods</t>
  </si>
  <si>
    <t>corner foods</t>
  </si>
  <si>
    <t>Corner juice and milk shake</t>
  </si>
  <si>
    <t>corner Juice and MilkShake</t>
  </si>
  <si>
    <t>Crispy crunch dinner</t>
  </si>
  <si>
    <t>1-19,narayankhed,abenda,narayankhed,pragathi nagar,kukatpally</t>
  </si>
  <si>
    <t>1-19,narayankhed,abenda,narayankhed</t>
  </si>
  <si>
    <t>D and D caterers</t>
  </si>
  <si>
    <t>6-1-69/1,plot no.68,street no.7,bhagyalaxmi colony,manikonda,telangana</t>
  </si>
  <si>
    <t>6-1-69/1,plot no.68,street no.7,bhagyalaxmi colony,manikonda</t>
  </si>
  <si>
    <t>Shankar reddy</t>
  </si>
  <si>
    <t>8790436037</t>
  </si>
  <si>
    <t>shankarreddy.vogala@gmail.com</t>
  </si>
  <si>
    <t>Dum biryani adda</t>
  </si>
  <si>
    <t>plot no.13,bandlaguda jagir,rajendra nagar circle no.11,hyd,telangana</t>
  </si>
  <si>
    <t>Dasari kiran (Gani)</t>
  </si>
  <si>
    <t>plot no.13,bandlaguda jagir,rajendra nagar circle no.11,hyd,telangana,500086</t>
  </si>
  <si>
    <t>7842712111</t>
  </si>
  <si>
    <t>saudasari051997@gmail.com</t>
  </si>
  <si>
    <t>HDFC0009395</t>
  </si>
  <si>
    <t>https://drive.google.com/drive/folders/1D7vvwcDNPi26kQgLMzJAd0UaIJ4RF6on?usp=sharing</t>
  </si>
  <si>
    <t>Had a word with mx, he will be sharing by tomorrow.</t>
  </si>
  <si>
    <t xml:space="preserve">will share documents in half an hour </t>
  </si>
  <si>
    <t xml:space="preserve">Epic bawarchi </t>
  </si>
  <si>
    <t>Ragiv gandhi nagar,langarhouz,hyderabad,telangana,500048</t>
  </si>
  <si>
    <t>https://drive.google.com/drive/folders/1MP29qumV0dDkQUnwm9NXBk0hTcUvLMGx</t>
  </si>
  <si>
    <t>Epic bawarchi chat bhandar</t>
  </si>
  <si>
    <t>Epic bawarchi tiffin centre</t>
  </si>
  <si>
    <t>Ragiv gandhi nagar,langarhouz,hyderabad,telangan,500048</t>
  </si>
  <si>
    <t>Healthy food promised</t>
  </si>
  <si>
    <t>https://drive.google.com/drive/folders/1o9WkuGsuyo3pqZjmQ9WwPhG1Q7hZFAWo</t>
  </si>
  <si>
    <t>Healthy juices promised</t>
  </si>
  <si>
    <t>Healthy juice promised</t>
  </si>
  <si>
    <t>https://drive.google.com/drive/folders/1pypXriyPoaCuTefIgFu6okYD9GpZ4cK9</t>
  </si>
  <si>
    <t>Klassic Bakers and shawarma cafe</t>
  </si>
  <si>
    <t>Building no/flat no.8-1-284/ou/307,OU colony,shaikpet,hyd</t>
  </si>
  <si>
    <t>Saba fathima</t>
  </si>
  <si>
    <t>Nehad Siddiqui</t>
  </si>
  <si>
    <t>9100031572</t>
  </si>
  <si>
    <t>nehadsiddiqui7@gmail.com</t>
  </si>
  <si>
    <t>Kondapalli vijay kumar</t>
  </si>
  <si>
    <t>plot no.691,692,OU colony main road,near dream valley villas, tanasha nagar</t>
  </si>
  <si>
    <t>vijay kumar</t>
  </si>
  <si>
    <t>9957456056</t>
  </si>
  <si>
    <t>freevfn@gmail.com</t>
  </si>
  <si>
    <t>HDFC0008929</t>
  </si>
  <si>
    <t>Yes, No</t>
  </si>
  <si>
    <t>https://drive.google.com/drive/folders/1vR-h7mk1tgx-5c0LK4VB1GazhrKLwpyk</t>
  </si>
  <si>
    <t>Mana Vizag ruchulu</t>
  </si>
  <si>
    <t>3-3-114/51,serimallegardens,phase-2,hyderguda,rajendra nagar circle no.11,hyderabad,500048</t>
  </si>
  <si>
    <t>https://drive.google.com/drive/folders/1JYNwylgLMuIt7gJI3LCAIUnmOly6KUWf</t>
  </si>
  <si>
    <t>Military reddy tiffins</t>
  </si>
  <si>
    <t>https://drive.google.com/drive/folders/1tDiCtk7CUbRaGRm1jguQte10gmLWwcu8</t>
  </si>
  <si>
    <t xml:space="preserve">Mini Udipi's </t>
  </si>
  <si>
    <t>plot no.2,ganesh nagar,kismatpur,gandiper,rangareddy,telangana</t>
  </si>
  <si>
    <t>Sammidi Ranjith reddy</t>
  </si>
  <si>
    <t>plot no.2,ganesh nagar,kismatpur,gandiper,rangareddy,telangana,500086</t>
  </si>
  <si>
    <t>8328177189</t>
  </si>
  <si>
    <t>ranjithreddy.s1983@gmail.com</t>
  </si>
  <si>
    <t>UTIB0005921</t>
  </si>
  <si>
    <t>https://drive.google.com/drive/folders/1BHdcDDkcCJv7dgCKmBXXUyFUnbSHifFo?usp=sharing</t>
  </si>
  <si>
    <t>17.334330,78.390114</t>
  </si>
  <si>
    <t>Nellore Vantakallu</t>
  </si>
  <si>
    <t>https://drive.google.com/drive/folders/1_7YFtbk37Ihid-uHltIsZO1pLxGKCghg</t>
  </si>
  <si>
    <t xml:space="preserve">Raghuram dosa </t>
  </si>
  <si>
    <t>shop no.6,badam sohana apartment,3-1085,Raj bhavan rd,somajiguda,hyd,telangana</t>
  </si>
  <si>
    <t>Raghavendra</t>
  </si>
  <si>
    <t>9032306096</t>
  </si>
  <si>
    <t>raghavbillam019@gmail.com</t>
  </si>
  <si>
    <t>Billam Raghavendra</t>
  </si>
  <si>
    <t>SBIN0005893</t>
  </si>
  <si>
    <t>https://drive.google.com/drive/folders/1mQ70ZCt5MHLiv1QjKhiC8b_Ia7Lw48P7</t>
  </si>
  <si>
    <t>Relax cafe</t>
  </si>
  <si>
    <t>Anuhav Art of Irumy road no.25,alkaprui township,manikonda,rajendra nagar</t>
  </si>
  <si>
    <t>Anuhav Art of Irumy road no.25,alkaprui township,manikonda,rajendra nagar,500089</t>
  </si>
  <si>
    <t>Sravani</t>
  </si>
  <si>
    <t>9032428282</t>
  </si>
  <si>
    <t>merampallysravani@gmail.com</t>
  </si>
  <si>
    <t>Sip of health</t>
  </si>
  <si>
    <t>https://drive.google.com/drive/folders/1DcVdLDNik8t3h4nrqUoGYEkbgvlh-sGj</t>
  </si>
  <si>
    <t>Slice and Bytes Biryani</t>
  </si>
  <si>
    <t>Road no.5,KPHB opposite punjabi national bank,kukatpally,hyd</t>
  </si>
  <si>
    <t>Slice and Bytes biryani</t>
  </si>
  <si>
    <t>Slice and Bytes food court</t>
  </si>
  <si>
    <t>Wrong Entry</t>
  </si>
  <si>
    <t>Sri Aadhya food court</t>
  </si>
  <si>
    <t>plot no.82/c,road no.3,shutter no.1,addaguta society,kukatpally</t>
  </si>
  <si>
    <t>Sai manikanta reddy</t>
  </si>
  <si>
    <t>8333936696</t>
  </si>
  <si>
    <t>Sri Raghavendra tiffins</t>
  </si>
  <si>
    <t>Plot no.1,Bandlaguda jagir,rajendra nagar,rangareddy,telangana,500091</t>
  </si>
  <si>
    <t>Karthik Reddy</t>
  </si>
  <si>
    <t>Sri Raghavendra Bhavan Pure Veg</t>
  </si>
  <si>
    <t>Pandu Ranga Reddy</t>
  </si>
  <si>
    <t>6301645687</t>
  </si>
  <si>
    <t>karthik46@yahoo.com</t>
  </si>
  <si>
    <t>SBIN0017236</t>
  </si>
  <si>
    <t>https://drive.google.com/drive/folders/1Znvvb3ha4nr4KtUkvajlNfpK3UQU2hYE</t>
  </si>
  <si>
    <t>Sri Tejas kitchen</t>
  </si>
  <si>
    <t>Pendyala teja arun kumar,plot no-2,survey no.155,to 165(p),vasavi co-operative housing,pragathi nagar</t>
  </si>
  <si>
    <t>Pendyala teja arun kumar</t>
  </si>
  <si>
    <t>Vasavi co-operative housing society hyd,pragathi nagar,500090</t>
  </si>
  <si>
    <t>812171982</t>
  </si>
  <si>
    <t>tejaarunkumar147@gmail.com</t>
  </si>
  <si>
    <t>UTIB0002908</t>
  </si>
  <si>
    <t>https://drive.google.com/drive/folders/1wXg_2Mwz9SuhQbgwmk5UncbAIJ-8z_2Q?usp=sharing</t>
  </si>
  <si>
    <t>Taaza Tiffins</t>
  </si>
  <si>
    <t>sy no.13 and 16,Bandlaguda jagir,gandipet mandal,rangareddy district,telangana</t>
  </si>
  <si>
    <t>N. Goutham kumar</t>
  </si>
  <si>
    <t>sy no.13 and 16,Bandlaguda jagir,gandipet mandal,rangareddy district,telangana,500091</t>
  </si>
  <si>
    <t>9052736666</t>
  </si>
  <si>
    <t>taazatiffinsbandlagudajagir@gmail.com</t>
  </si>
  <si>
    <t>Sri lakshmi Enterprises</t>
  </si>
  <si>
    <t>https://drive.google.com/drive/folders/1OyoNoWyyjL1UVLZ4O_B4BQAIwOXQtxNy?usp=sharing</t>
  </si>
  <si>
    <t>17.36293,78.39071</t>
  </si>
  <si>
    <t>Menu price hike has been done - GTG</t>
  </si>
  <si>
    <t>Telangana cuisine(Indian and chinese)</t>
  </si>
  <si>
    <t>shop no.3,996V+nf5,kismatpur road,banglaguda jagir,telangana</t>
  </si>
  <si>
    <t>Deepak</t>
  </si>
  <si>
    <t>7816087272</t>
  </si>
  <si>
    <t>deepak2002114@gmail.com</t>
  </si>
  <si>
    <t>KKBK0007451</t>
  </si>
  <si>
    <t>will  send documents by tommrow</t>
  </si>
  <si>
    <t>The brazilian juice bar</t>
  </si>
  <si>
    <t>https://drive.google.com/drive/folders/1-QkiG04iDyX3SQI6wvy7t-s5XLjDzHdE</t>
  </si>
  <si>
    <t xml:space="preserve"> will  send documents by tommrow</t>
  </si>
  <si>
    <t>The chinese zhag family</t>
  </si>
  <si>
    <t>https://drive.google.com/drive/folders/1dl735FRgk9S5yYlgpzJe9x0Tqj_LaJLg</t>
  </si>
  <si>
    <t>The english kitchen</t>
  </si>
  <si>
    <t>https://drive.google.com/drive/folders/1WHdhu8E5KLUFUJEP-4Qux5rC4mYpqvl_</t>
  </si>
  <si>
    <t>The nice juice junction</t>
  </si>
  <si>
    <t>plot no.51,serimallegardens attapur,mehadipatnam circle no.12,hyd</t>
  </si>
  <si>
    <t>https://drive.google.com/drive/folders/1QKRLIeiaLBqT7fAC1kUJjOLLy_kyItmP</t>
  </si>
  <si>
    <t>Vizag beach street food</t>
  </si>
  <si>
    <t>https://drive.google.com/drive/folders/1Xr3ORWnbqT-bcymgvf0XzBqPDmW6R7iN</t>
  </si>
  <si>
    <t>8-1-293/4,situated at dwaraka nagar colony,shaikpet,jubliee hills circle no.18</t>
  </si>
  <si>
    <t>Soheb</t>
  </si>
  <si>
    <t>Mohammed soheb</t>
  </si>
  <si>
    <t>sohemdya@gmail.com</t>
  </si>
  <si>
    <t>17.40954470540178, 78.39901650838479</t>
  </si>
  <si>
    <t>Telugu Ruchulu's Biryani</t>
  </si>
  <si>
    <t>High tension,line rd,raghavendra colony,kondapur,telangana</t>
  </si>
  <si>
    <t>Telugu Ruchulu</t>
  </si>
  <si>
    <t>kondapur,telangana,500084</t>
  </si>
  <si>
    <t>Rama krishna</t>
  </si>
  <si>
    <t>9347207020</t>
  </si>
  <si>
    <t>Mutta Gopal Ramakrishna</t>
  </si>
  <si>
    <t>Karur Vysya Bank</t>
  </si>
  <si>
    <t>KUBI0004801</t>
  </si>
  <si>
    <t>Telugu Ruchulu's FastFood</t>
  </si>
  <si>
    <t>Telugu Ruchulu's Tiffins</t>
  </si>
  <si>
    <t>Telugu Ruchulu's Curries and snacks</t>
  </si>
  <si>
    <t>Telugu Ruchulu's Meals</t>
  </si>
  <si>
    <t>SK foods</t>
  </si>
  <si>
    <t xml:space="preserve">Raidurga panmaktha near TCS , building madhapur, serlingampally circle no-2 , hyderabad </t>
  </si>
  <si>
    <t>Raidurg</t>
  </si>
  <si>
    <t xml:space="preserve">Raidurg, panmaktha near Tcs building </t>
  </si>
  <si>
    <t>M. Gopinath</t>
  </si>
  <si>
    <t>800783939</t>
  </si>
  <si>
    <t>sunnycool.mech9@gmail.com</t>
  </si>
  <si>
    <t>M.gopinath</t>
  </si>
  <si>
    <t>https://drive.google.com/drive/folders/17iZlXjrl-a78j7bzmVn_qEdESs1kQ1fk</t>
  </si>
  <si>
    <t>Amritsari Dhaba</t>
  </si>
  <si>
    <t xml:space="preserve">will- Mallipaathi po -malipathi, 210-C Sri Ram Kondapur </t>
  </si>
  <si>
    <t xml:space="preserve">Ravi </t>
  </si>
  <si>
    <t>8019112034</t>
  </si>
  <si>
    <t>Ravi kumar</t>
  </si>
  <si>
    <t>UTIB0000404</t>
  </si>
  <si>
    <t>Mummy Ki Rassoi</t>
  </si>
  <si>
    <t>Amritsari Khana</t>
  </si>
  <si>
    <t>Chaiminar cafe</t>
  </si>
  <si>
    <t>plot no.50,sri laxmi nagar colony,manikonda,hyd,telangana</t>
  </si>
  <si>
    <t>City chefs kitchen</t>
  </si>
  <si>
    <t>plot no.822,100 feet road,ayyappa society,madhapur,hyd,telangana</t>
  </si>
  <si>
    <t>Kannavarapu Narendra babu</t>
  </si>
  <si>
    <t>plot no.822,100 feet road,ayyappa society,madhapur,hyd,telangana,500081</t>
  </si>
  <si>
    <t>8885578925</t>
  </si>
  <si>
    <t>citychefskitchen@gmail.com</t>
  </si>
  <si>
    <t>https://drive.google.com/drive/folders/10qR_JemDKbdInAVrBoMflJbViaHxfmk6?usp=sharing</t>
  </si>
  <si>
    <t>Crispy hot wings</t>
  </si>
  <si>
    <t>plot no.13,sipa paradise,pragathi nagar</t>
  </si>
  <si>
    <t>Raju gari sruthi</t>
  </si>
  <si>
    <t>Hot wings shawarma and fried chicken</t>
  </si>
  <si>
    <t>plot no.13,sipa paradise,pragathi nagar,500090</t>
  </si>
  <si>
    <t>7411228981</t>
  </si>
  <si>
    <t>hotwings.business1@gmail.com</t>
  </si>
  <si>
    <t>SBIN0021399</t>
  </si>
  <si>
    <t>https://drive.google.com/drive/folders/1KNk4vNX0ZABsIZWLiv1omzYre8jK0xS3?usp=sharing</t>
  </si>
  <si>
    <t>Deccan's Bawarchi restaurant</t>
  </si>
  <si>
    <t>shop no.2,stilt floor,puppalaguda,rangareddy</t>
  </si>
  <si>
    <t>Dosa mart</t>
  </si>
  <si>
    <t>madhapur</t>
  </si>
  <si>
    <t>6305683109</t>
  </si>
  <si>
    <t>kurnoolsurekhalaw@gmail.com</t>
  </si>
  <si>
    <t>Godavari vari vindhu maryada</t>
  </si>
  <si>
    <r>
      <rPr>
        <color rgb="FF1155CC"/>
        <u/>
      </rPr>
      <t>h.no</t>
    </r>
    <r>
      <rPr/>
      <t>:1-26,survey no.61,ground floor and first floor road no.36 old road guttala begumpet,madhapur</t>
    </r>
  </si>
  <si>
    <t>Satya vara prasad</t>
  </si>
  <si>
    <r>
      <rPr>
        <color rgb="FF1155CC"/>
        <u/>
      </rPr>
      <t>h.no</t>
    </r>
    <r>
      <rPr/>
      <t>:1-26,survey no.61,ground floor and first floor road no.36 old road guttala begumpet,madhapur,500081</t>
    </r>
  </si>
  <si>
    <t>9553119997</t>
  </si>
  <si>
    <t>godavari9997@gmail.com</t>
  </si>
  <si>
    <t>HDFC0002083</t>
  </si>
  <si>
    <t>https://drive.google.com/drive/folders/1RZHZgNYOYvHOpDJ0PPGejPemPE0ZpKUA</t>
  </si>
  <si>
    <t xml:space="preserve">Hot momo's </t>
  </si>
  <si>
    <t>Hot shawarma and Wings</t>
  </si>
  <si>
    <t>Hot Wings</t>
  </si>
  <si>
    <t>Konaseema peddi raju ruchulu</t>
  </si>
  <si>
    <t>sri laxmi nagar colony,manikonda,hyd</t>
  </si>
  <si>
    <t>Ravi teja</t>
  </si>
  <si>
    <t>raviskonaseemapeddirajuruchulu@gmail.com</t>
  </si>
  <si>
    <t>Konsaseema Peddiraju ruchulu</t>
  </si>
  <si>
    <t>Lasya fast food</t>
  </si>
  <si>
    <r>
      <rPr>
        <color rgb="FF1155CC"/>
        <u/>
      </rPr>
      <t>H.NO</t>
    </r>
    <r>
      <rPr/>
      <t>:1-90/7/B/126,</t>
    </r>
    <r>
      <rPr>
        <color rgb="FF1155CC"/>
        <u/>
      </rPr>
      <t>P.no</t>
    </r>
    <r>
      <rPr/>
      <t>:53A,street-1,patrika nagar,madhapur</t>
    </r>
  </si>
  <si>
    <t>Darapuneni stores and Bakery</t>
  </si>
  <si>
    <t>hitech city</t>
  </si>
  <si>
    <t>venkat</t>
  </si>
  <si>
    <t>9133991020</t>
  </si>
  <si>
    <t>9210200049729747</t>
  </si>
  <si>
    <t>UTIB000030</t>
  </si>
  <si>
    <t>Lasya Fast Food Centre</t>
  </si>
  <si>
    <t>https://maps.app.goo.gl/yWw2wQT97SkCbQMK8</t>
  </si>
  <si>
    <t>Ma oori vanta</t>
  </si>
  <si>
    <t>Borabanda</t>
  </si>
  <si>
    <t>Mallesh mama fast food</t>
  </si>
  <si>
    <r>
      <rPr/>
      <t>plot no.91/part,</t>
    </r>
    <r>
      <rPr>
        <color rgb="FF1155CC"/>
        <u/>
      </rPr>
      <t>sy.no</t>
    </r>
    <r>
      <rPr/>
      <t>.11/19,11/20 and 11/21,khanamet,madhapur,chandanagar circle no.21,hyd</t>
    </r>
  </si>
  <si>
    <t>Methri mallesh</t>
  </si>
  <si>
    <t>khanamet,madhapur,chandanagar circle no.21,hyd,telangana,500081</t>
  </si>
  <si>
    <t>9908312934</t>
  </si>
  <si>
    <t>yadavmallesh17101@gmail.com</t>
  </si>
  <si>
    <t>methri mallesh</t>
  </si>
  <si>
    <t>https://drive.google.com/drive/folders/1XdPT9XqQwqU_bmkQ6YgTiv-7QOY_uSy_?usp=drive_link</t>
  </si>
  <si>
    <t>Mankikanta's Eat hotsopt</t>
  </si>
  <si>
    <t>plot no.9,ground floor,shiva bhagh,Ameerpet,hyd</t>
  </si>
  <si>
    <t>Rambala sanjay</t>
  </si>
  <si>
    <t>plot no.9,ground floor,shiva bhagh,Ameerpet,hyd,500016</t>
  </si>
  <si>
    <t>6303439490</t>
  </si>
  <si>
    <t>sanjayrambala99@gmail.com</t>
  </si>
  <si>
    <t>UBIN0817147</t>
  </si>
  <si>
    <t>https://drive.google.com/drive/folders/1-KSmOTbX2Vt3MR7WouOkO7yh4rBY1-Zl?usp=sharing</t>
  </si>
  <si>
    <t>Mexician fried chicken</t>
  </si>
  <si>
    <t>plot no.16/B,Addagutta,beside arjun theatre,jKPHB,kukatpally circle no.24,hyd</t>
  </si>
  <si>
    <t>7337595099</t>
  </si>
  <si>
    <t>dk15200215@gmail.com</t>
  </si>
  <si>
    <t>KKBK0007876</t>
  </si>
  <si>
    <t>https://drive.google.com/drive/folders/19ma5o56uR2rOP3Xstkh04kZCutwT955P?usp=drive_link</t>
  </si>
  <si>
    <t>Mummy ki Partha</t>
  </si>
  <si>
    <t>Mummy ki rassoi</t>
  </si>
  <si>
    <t>Mummy ki Khana</t>
  </si>
  <si>
    <t>N Hot Chinese</t>
  </si>
  <si>
    <t>Nikhil's Feast (A feast to be rembered)</t>
  </si>
  <si>
    <t>Mayabrahma nikhil</t>
  </si>
  <si>
    <t>Nikhil's feast</t>
  </si>
  <si>
    <t>Nikhil</t>
  </si>
  <si>
    <t>9505032225</t>
  </si>
  <si>
    <t>nikhilsfeast@fgmail.com</t>
  </si>
  <si>
    <t>https://drive.google.com/drive/folders/1rkDNGF-Erc2YOHJiq5qMY1bUxf0R9Mha?usp=drive_link</t>
  </si>
  <si>
    <t>No Access</t>
  </si>
  <si>
    <t>Nostic Natural fruit ice cream</t>
  </si>
  <si>
    <t>plot no.897,SS Drive in,S.A society,khanamet,madhapur,serlingampally circle no.20,hyd ,telangana,500081</t>
  </si>
  <si>
    <t>Shyammala sai prasad</t>
  </si>
  <si>
    <t>4565000100039825</t>
  </si>
  <si>
    <t>PUNB0456500</t>
  </si>
  <si>
    <t>https://drive.google.com/drive/folders/1ljeb_TY4E9Ja4YNOa2fi7TVbxpEJrpGe</t>
  </si>
  <si>
    <t>Rayalaseema Biryani</t>
  </si>
  <si>
    <t>Addagutta ,hmt sathavahana nagar,kukatpally,hyd,telangana</t>
  </si>
  <si>
    <t>Rayalaseema meals and curries</t>
  </si>
  <si>
    <t>9652750853</t>
  </si>
  <si>
    <t>Rayalaseema chinese</t>
  </si>
  <si>
    <t>Second wife Biriyani</t>
  </si>
  <si>
    <t>plot no.410,raja reshwara nagar,kondapur,serlingampally</t>
  </si>
  <si>
    <t>Second wife C/O Gunthur</t>
  </si>
  <si>
    <t>kondapur,kothaguda</t>
  </si>
  <si>
    <t>9094642222</t>
  </si>
  <si>
    <t>SeocndWife Biryani</t>
  </si>
  <si>
    <t>SECOND WIFE C/O GUNTUR</t>
  </si>
  <si>
    <t>Second wife fast food</t>
  </si>
  <si>
    <t>Second Wife Fast Food</t>
  </si>
  <si>
    <t>Second wife Meals C/O Guntur</t>
  </si>
  <si>
    <t>Second Wife Melas</t>
  </si>
  <si>
    <t>Second wife rolls and snacks</t>
  </si>
  <si>
    <t>Second Wife Rolls And Snacks</t>
  </si>
  <si>
    <t>Second wife Tiffins C/O Guntur</t>
  </si>
  <si>
    <t>Second wife tiffins</t>
  </si>
  <si>
    <t>Shri Balaji chennai spices Restaurant</t>
  </si>
  <si>
    <r>
      <rPr>
        <color rgb="FF1155CC"/>
        <u/>
      </rPr>
      <t>h.no</t>
    </r>
    <r>
      <rPr/>
      <t>:7-1-621/269,S R nagar,khairthabad circle no.17,hyderabad,Telangana</t>
    </r>
  </si>
  <si>
    <t>Madhuri chand</t>
  </si>
  <si>
    <r>
      <rPr>
        <color rgb="FF1155CC"/>
        <u/>
      </rPr>
      <t>h.no</t>
    </r>
    <r>
      <rPr/>
      <t>:7-1-621/269,S R nagar,khairtabad circle no.17,hyderabad,Telangana,500038</t>
    </r>
  </si>
  <si>
    <t>9849869084</t>
  </si>
  <si>
    <t>https://drive.google.com/drive/folders/1e-m6A_mbsgZDnRcx5fuor5vkPnr4mkCB?usp=sharing</t>
  </si>
  <si>
    <t>SRG Restro inn</t>
  </si>
  <si>
    <r>
      <rPr>
        <color rgb="FF1155CC"/>
        <u/>
      </rPr>
      <t>H.no:7-1-304/2/64</t>
    </r>
    <r>
      <rPr/>
      <t>,BK guda,SR nagar,khairthabad circle no.17,hyd,telangana</t>
    </r>
  </si>
  <si>
    <r>
      <rPr>
        <color rgb="FF1155CC"/>
        <u/>
      </rPr>
      <t>H.no:7-1-304/2/64</t>
    </r>
    <r>
      <rPr/>
      <t>,BK guda,SR nagar,khairthabad circle no.17,hyd,telangana</t>
    </r>
  </si>
  <si>
    <t>https://drive.google.com/drive/folders/193aEDwzsy_aMRJyjG_y-u9sXzoevxyUB?usp=sharing</t>
  </si>
  <si>
    <t>Tealogy Cafe</t>
  </si>
  <si>
    <r>
      <rPr/>
      <t xml:space="preserve">(pratap ward) </t>
    </r>
    <r>
      <rPr>
        <color rgb="FF1155CC"/>
        <u/>
      </rPr>
      <t>d.no</t>
    </r>
    <r>
      <rPr/>
      <t>:1-140/3/7/h/p2,Huda techno enclave sector,madhapur,serlingampally circle no.20</t>
    </r>
  </si>
  <si>
    <t>17.42617867388426, 78.3294032883618</t>
  </si>
  <si>
    <t>The kebab kingdom(K24)</t>
  </si>
  <si>
    <t>kokkigaddam prema raju plot no.897,Ayyappa society,madhapur,chandanagar</t>
  </si>
  <si>
    <t>Prem raju</t>
  </si>
  <si>
    <t>Kokkiligadda prema raju,plot no.897,S.S driven In,ayyappa  society,madhapur,chandanagar circle no 21,hyd,telangan,500081</t>
  </si>
  <si>
    <t>9880212337</t>
  </si>
  <si>
    <t>k24.thekebabkingdom@yahoo,com</t>
  </si>
  <si>
    <t>Kokkilihada lankamma</t>
  </si>
  <si>
    <t>FDRL0002249</t>
  </si>
  <si>
    <t>https://drive.google.com/drive/folders/1pogsK5-PXtHNeT9p1A_GFM_hqvyuV5r4</t>
  </si>
  <si>
    <t>Venkateshwara Bakery</t>
  </si>
  <si>
    <r>
      <rPr>
        <color rgb="FF1155CC"/>
        <u/>
      </rPr>
      <t>H.NO</t>
    </r>
    <r>
      <rPr/>
      <t>:1-90/7/B/126,P.no:53A,street-1,patrika nagar,madhapur</t>
    </r>
  </si>
  <si>
    <t>Venkateshwara Biryani</t>
  </si>
  <si>
    <r>
      <rPr>
        <color rgb="FF1155CC"/>
        <u/>
      </rPr>
      <t>H.NO</t>
    </r>
    <r>
      <rPr/>
      <t>:1-90/7/B/126,P.no:53A,street-1,patrika nagar,madhapur</t>
    </r>
  </si>
  <si>
    <t>https://maps.app.goo.gl/yWw2wQT97SkCbQMK9</t>
  </si>
  <si>
    <t>Venkateshwara Meals and curries</t>
  </si>
  <si>
    <r>
      <rPr>
        <color rgb="FF1155CC"/>
        <u/>
      </rPr>
      <t>H.NO</t>
    </r>
    <r>
      <rPr/>
      <t>:1-90/7/B/126,P.no:53A,street-1,patrika nagar,madhapur</t>
    </r>
  </si>
  <si>
    <t>Venkaeshwara Meals</t>
  </si>
  <si>
    <t>https://maps.app.goo.gl/yWw2wQT97SkCbQMK10</t>
  </si>
  <si>
    <t>WOK 33</t>
  </si>
  <si>
    <t>Kondapur,sri ram nagar</t>
  </si>
  <si>
    <t xml:space="preserve">Ravi kiran </t>
  </si>
  <si>
    <t>Wok 33</t>
  </si>
  <si>
    <t>WOK 33 foods</t>
  </si>
  <si>
    <t>Wok 33 Foods</t>
  </si>
  <si>
    <t>Sainadh Snacks (Sainadh food court)</t>
  </si>
  <si>
    <t>mk plaza, marthanda nagar, new hafeezpet, telangana - 500049</t>
  </si>
  <si>
    <t xml:space="preserve">Sainadh fast food &amp; Tiffins &amp; snacks &amp; Tea </t>
  </si>
  <si>
    <r>
      <rPr>
        <color rgb="FF1155CC"/>
        <u/>
      </rPr>
      <t>h.no</t>
    </r>
    <r>
      <rPr/>
      <t xml:space="preserve"> 1-110/mn/18/1 RER, chandanagar- 500049</t>
    </r>
  </si>
  <si>
    <t xml:space="preserve">Ajay </t>
  </si>
  <si>
    <t>6300093627</t>
  </si>
  <si>
    <t>Ajay Kumar</t>
  </si>
  <si>
    <t>Bank of india</t>
  </si>
  <si>
    <t>BIKD0004891</t>
  </si>
  <si>
    <t>Sai Nadh Snacks</t>
  </si>
  <si>
    <t>F9G7+638</t>
  </si>
  <si>
    <t>Sainadh Fast Food( Sainadh Food Court)</t>
  </si>
  <si>
    <r>
      <rPr>
        <color rgb="FF1155CC"/>
        <u/>
      </rPr>
      <t>h.no</t>
    </r>
    <r>
      <rPr/>
      <t xml:space="preserve"> 1-110/mn/18/1 RER, chandanagar- 500049</t>
    </r>
  </si>
  <si>
    <t>Sai Nadh Fast Food</t>
  </si>
  <si>
    <t>Sainadh Tiffins(SainadhFood Court)</t>
  </si>
  <si>
    <r>
      <rPr>
        <color rgb="FF1155CC"/>
        <u/>
      </rPr>
      <t>h.no</t>
    </r>
    <r>
      <rPr/>
      <t xml:space="preserve"> 1-110/mn/18/1 RER, chandanagar- 500049</t>
    </r>
  </si>
  <si>
    <t>Sai Nadh Tiffins</t>
  </si>
  <si>
    <t xml:space="preserve">Sai nadh fast food </t>
  </si>
  <si>
    <t>H. No 4-188, premnagar, hafeezpet, chandanagar  hafeezpeyt, chandanagar, circle no 21, hyderabad - 500049</t>
  </si>
  <si>
    <t>hafeezpet</t>
  </si>
  <si>
    <t>sainadh fast food &amp; Tiffins</t>
  </si>
  <si>
    <t xml:space="preserve">h No .4-188 premnagar , hafeezpet , chandanagar-21 </t>
  </si>
  <si>
    <t>Sai Nadh Fastfood 2</t>
  </si>
  <si>
    <t xml:space="preserve">Sainadh tiffins </t>
  </si>
  <si>
    <t>Sai nadh tiffins</t>
  </si>
  <si>
    <t>Aahara Aahvanam Chinese</t>
  </si>
  <si>
    <t>SY NO-78, KOLAN RAGHAVAREDDY FUNCTION HALL COMPLEX, HYDER NAGAR , NIZAMPET, Kukatpally Circle No 24, Hyderabad, Telangana - 500090</t>
  </si>
  <si>
    <t>KARRI VENKATA SAI KUMAR C/O AAHAR AAHVANAM</t>
  </si>
  <si>
    <t>Aahara Aahvanam Juice and Ice cream</t>
  </si>
  <si>
    <t>Aahara Aahvanam Meals and curries</t>
  </si>
  <si>
    <t>sy no.-78,kolan raghavareddy function hall complex,hyder nagar,nizampet,kukatpally</t>
  </si>
  <si>
    <t>Sai kumar</t>
  </si>
  <si>
    <t>Aahara Aahvanam Tiffins</t>
  </si>
  <si>
    <t>6304772130</t>
  </si>
  <si>
    <t>Anji meals</t>
  </si>
  <si>
    <t>plot no.420,sy no.78-93,raja rajeswara nagar,kondapur,serlingampally circle no.20</t>
  </si>
  <si>
    <t>Veeranjaneyulu</t>
  </si>
  <si>
    <t>Anji Tiffins</t>
  </si>
  <si>
    <t>veeranjaneyulu</t>
  </si>
  <si>
    <t>9848067277</t>
  </si>
  <si>
    <t>Anji Tiffins and meals</t>
  </si>
  <si>
    <t>Bandhan bank</t>
  </si>
  <si>
    <t>BDBL0002716</t>
  </si>
  <si>
    <t>https://drive.google.com/drive/folders/1mtrcV4enefSXdg5VSo2irVr94_6WAY2y?usp=drive_link</t>
  </si>
  <si>
    <t>Anji tiffins</t>
  </si>
  <si>
    <t xml:space="preserve">Best biryani's and curries </t>
  </si>
  <si>
    <t>KPHB colony,kukatpally circle no.24,hyd</t>
  </si>
  <si>
    <t xml:space="preserve">Best biryani:s and curries </t>
  </si>
  <si>
    <t>Ground gloor,9thphase,KPHB colony,kukatpally,hyd,500072</t>
  </si>
  <si>
    <t>shyam</t>
  </si>
  <si>
    <t>9581948484</t>
  </si>
  <si>
    <t>bestbiryani'sandcurries@gmail.com</t>
  </si>
  <si>
    <t>https://drive.google.com/drive/folders/1Oj6rwRmvtkuhLa9tOWy-6mn4w2vFhveQ?usp=sharing</t>
  </si>
  <si>
    <t>Chandrasekahar Gullakunta (Meenakshi cafe)</t>
  </si>
  <si>
    <r>
      <rPr>
        <color rgb="FF1155CC"/>
        <u/>
      </rPr>
      <t>h.no</t>
    </r>
    <r>
      <rPr/>
      <t>:8-2-293/82/A/35,road number 5,jubliee hills,hyd,telangana</t>
    </r>
  </si>
  <si>
    <t>Meenakshi cafe</t>
  </si>
  <si>
    <r>
      <rPr>
        <color rgb="FF1155CC"/>
        <u/>
      </rPr>
      <t>h.no</t>
    </r>
    <r>
      <rPr/>
      <t>:8-2-293/82/A/35,road number 5,jubliee hills,hyd,telangana,500033</t>
    </r>
  </si>
  <si>
    <t>meenakshicafe.9@gmail.com</t>
  </si>
  <si>
    <t>https://drive.google.com/drive/folders/1ZuunOytbIbyIKC37IPWjg60vPcckmc-E</t>
  </si>
  <si>
    <t>Good moring cafe</t>
  </si>
  <si>
    <t>plot no.1774/1784/1,Incoyis circle,pragathi nagar road,3rd layout,a leap Industrial,telangana</t>
  </si>
  <si>
    <t>Sekhar</t>
  </si>
  <si>
    <t>Pragathi nagar</t>
  </si>
  <si>
    <t>9989907230</t>
  </si>
  <si>
    <t>durgaprasadbanswada@gmil.com</t>
  </si>
  <si>
    <t>Prabhakar</t>
  </si>
  <si>
    <t>SBIN0005650</t>
  </si>
  <si>
    <t>https://drive.google.com/drive/folders/141oWtHDKlk3EkxWEulFpluYYu2cqKw2u?usp=drive_link</t>
  </si>
  <si>
    <t>Good moring cafe(Fast food)</t>
  </si>
  <si>
    <t>Shiva karthik</t>
  </si>
  <si>
    <t>8008908443</t>
  </si>
  <si>
    <t>srisaitraders45@gmail.com</t>
  </si>
  <si>
    <t>IDIB000p171</t>
  </si>
  <si>
    <t>Gottipati military hotel</t>
  </si>
  <si>
    <r>
      <rPr>
        <color rgb="FF1155CC"/>
        <u/>
      </rPr>
      <t>h.no</t>
    </r>
    <r>
      <rPr/>
      <t>:1-90,shop no.1,huda techno enclave,hitech city,madhapur,serlingampally circle no.20,hyd</t>
    </r>
  </si>
  <si>
    <t>Suresh Reddy</t>
  </si>
  <si>
    <r>
      <rPr>
        <color rgb="FF1155CC"/>
        <u/>
      </rPr>
      <t>h.no</t>
    </r>
    <r>
      <rPr/>
      <t>:1-90,shop no.1,huda techno enclave,hitech city,madhapur,serlingampally circle no.20,hyd</t>
    </r>
  </si>
  <si>
    <t>9704003230</t>
  </si>
  <si>
    <t>gottipatimilitaryhotel@gmail.com</t>
  </si>
  <si>
    <t>HDFC0009607</t>
  </si>
  <si>
    <t>https://drive.google.com/drive/folders/1ohLkhEx6qYHs68na4EDFzBJu56_HPfvj</t>
  </si>
  <si>
    <t>Hammayya kadupu nindindi</t>
  </si>
  <si>
    <t>plot no.899,sy no.11/4 to 11/18,ayyappa society,khanamet,chandanagar circle no.1 500081</t>
  </si>
  <si>
    <t>Manideep</t>
  </si>
  <si>
    <t>970114700</t>
  </si>
  <si>
    <t>sp096482@gmail.com</t>
  </si>
  <si>
    <t xml:space="preserve">Magram madhuri </t>
  </si>
  <si>
    <t>BARBOPBBHYD</t>
  </si>
  <si>
    <t>https://drive.google.com/drive/folders/1XPPbdyalpAXLoz1I8G6PrkZH-KGKI2y8</t>
  </si>
  <si>
    <t>Hanvika grand Biriyani</t>
  </si>
  <si>
    <t>Hotel Hanvika Grand</t>
  </si>
  <si>
    <t>Nandini Talluru</t>
  </si>
  <si>
    <t>IDBI bank</t>
  </si>
  <si>
    <t>IBKL0000280</t>
  </si>
  <si>
    <t>https://drive.google.com/drive/folders/1F3FVRh68kWdVVMs0p7m-W2zohZOBrWTg?usp=drive_link</t>
  </si>
  <si>
    <t>Hanvika grand fast food</t>
  </si>
  <si>
    <t>House Of Dosa's</t>
  </si>
  <si>
    <t>plot no:- 17,8-2-350/1, road no:- 2, banjara hills, hyderabad, jubilee hills circle no - 18, hyderabad,telangana - 500034</t>
  </si>
  <si>
    <t>P. Mastan Rao</t>
  </si>
  <si>
    <t>Banjara hills</t>
  </si>
  <si>
    <t>8712828752</t>
  </si>
  <si>
    <t>massrajmassthan@gmail.com</t>
  </si>
  <si>
    <t>KURUKUTI RAM PRASAD</t>
  </si>
  <si>
    <t>Bank of Baroda</t>
  </si>
  <si>
    <t>BARB0SRIHYD</t>
  </si>
  <si>
    <t>https://drive.google.com/drive/folders/1xIxu-rPgK-3j5bcK-s2o4c-Bn2AM1aoU?usp=sharing</t>
  </si>
  <si>
    <t>All docs collected.</t>
  </si>
  <si>
    <t>Koodu-the taste of telangana</t>
  </si>
  <si>
    <t>chitari sai bhuvan p-no.879,ss drive in S.A society khan amet,madhapur,serlingampally</t>
  </si>
  <si>
    <t>Chithari sai bhuvan</t>
  </si>
  <si>
    <t>9182042737</t>
  </si>
  <si>
    <t>bhuvanpatel173@gmail.com</t>
  </si>
  <si>
    <t>Gaddam vishal</t>
  </si>
  <si>
    <t>HDFC0001993</t>
  </si>
  <si>
    <t>https://drive.google.com/drive/folders/1WyFaaBFzYOjYLTTJey9n9Henn1IRme_m</t>
  </si>
  <si>
    <t>Monkey's cafe</t>
  </si>
  <si>
    <t xml:space="preserve">16-31-390/2/NR,shop no.2,ground gloor,pranita residency,phase-6,KPHB colony,moosepet circle </t>
  </si>
  <si>
    <t>P.Satya sai</t>
  </si>
  <si>
    <t>Ganesh</t>
  </si>
  <si>
    <t>99019904554</t>
  </si>
  <si>
    <t>kallepalliganesh0454@gmail.com</t>
  </si>
  <si>
    <t>P Satya sai</t>
  </si>
  <si>
    <t>The adarsh CO-OP Urban Bank</t>
  </si>
  <si>
    <t>ADBK0001004</t>
  </si>
  <si>
    <t>https://drive.google.com/drive/folders/1X7EDuUfMZA3kObZCWl1HvMISM7j2Ia6x?usp=sharing</t>
  </si>
  <si>
    <t>P SATYA SAI, MIGH-574, H.No.15-25-574, Ground Floor, Road No.1, KPHB Colony, Kukatpally, Hyderabad, Moosapet Circle No 23, Hyderabad, Telangana - 500072</t>
  </si>
  <si>
    <t>P SATYA SAI,</t>
  </si>
  <si>
    <t>MONKEY'S CAFE</t>
  </si>
  <si>
    <t>P SATYA SAI</t>
  </si>
  <si>
    <t>My3 Kitchen Biryani</t>
  </si>
  <si>
    <t>20%+</t>
  </si>
  <si>
    <t>My3 Kitchen Chinese</t>
  </si>
  <si>
    <t>My3 Kitchen meals and curries</t>
  </si>
  <si>
    <t>My3 Kitchen tiffins</t>
  </si>
  <si>
    <t>Sherya fast food and momo</t>
  </si>
  <si>
    <t>Kismatpur road adjustent to vidyapeet school ,bhavani colony,velly viewen clave,Bandlaguda jagir,</t>
  </si>
  <si>
    <t>Chandan</t>
  </si>
  <si>
    <t>9955856460</t>
  </si>
  <si>
    <t>chandanbharti9831@gmail.com</t>
  </si>
  <si>
    <t>SWITCH OFF</t>
  </si>
  <si>
    <t>Snamk Hospitality</t>
  </si>
  <si>
    <r>
      <rPr/>
      <t>plot no.299,</t>
    </r>
    <r>
      <rPr>
        <color rgb="FF1155CC"/>
        <u/>
      </rPr>
      <t>h.no</t>
    </r>
    <r>
      <rPr/>
      <t>:8-2-309/7/3,sy no.129/81,ward no,10,block no.3,road no.14,Banjara hills,hyd</t>
    </r>
  </si>
  <si>
    <t>Mihir Khanna</t>
  </si>
  <si>
    <r>
      <rPr/>
      <t>plot no.299,</t>
    </r>
    <r>
      <rPr>
        <color rgb="FF1155CC"/>
        <u/>
      </rPr>
      <t>h.no</t>
    </r>
    <r>
      <rPr/>
      <t>:8-2-309/7/3,sy no.129/81,ward no,10,block no.3,road no.14,Banjara hills,hyd</t>
    </r>
  </si>
  <si>
    <t>9780978979</t>
  </si>
  <si>
    <t>mihirk10@icloud.com</t>
  </si>
  <si>
    <t>ICIC0000382</t>
  </si>
  <si>
    <t>https://drive.google.com/drive/folders/19ZljDLPARdNd98qqzsfjOfba81pRvlqH</t>
  </si>
  <si>
    <t>Sreeja's home foods</t>
  </si>
  <si>
    <t>Door no.6-MIG-82,Tanisha nagar huda layout manikonda,rajendra nagar,ranga reddy,telangana,</t>
  </si>
  <si>
    <t>Sivaji prasad vasireddy</t>
  </si>
  <si>
    <t>Tanisha nagar huda layout manikonda,rajendra nagar,ranga reddy,telangana,</t>
  </si>
  <si>
    <t>vasireddysivakumar@gmail.com</t>
  </si>
  <si>
    <t>Sreejas Home foods</t>
  </si>
  <si>
    <t>HDFC0003611</t>
  </si>
  <si>
    <t>Sy no.177/P,Anjamma residency,alkapur,township road,pupaalaguda,gandipet mandal</t>
  </si>
  <si>
    <t>Sy no.177/P,Anjamma residency,alkapur,township road,pupaalaguda,gandipet mandal,500089</t>
  </si>
  <si>
    <t>Door no.B-43,Journallist colony,Jubliee hills circle no.18,Hyd,telangana</t>
  </si>
  <si>
    <t>Plot no.149,opposite shivalaram main road ou, shaikpet,jubliee hills circle no.18</t>
  </si>
  <si>
    <t>Sweets dude signature PVT LTD</t>
  </si>
  <si>
    <t>plot no : 2s.263A, Ayyappa socity main Rd, sarojini naidu nagon, Madhapur, HYD, telangana 500081</t>
  </si>
  <si>
    <t>G. Naveen kumar</t>
  </si>
  <si>
    <t>Sweeis dude signature pvt ltd</t>
  </si>
  <si>
    <t>plot no 25, 263 A, Ayyappa socoety main rd sarojini naidu nagar, madhapur, HYD, Telangana</t>
  </si>
  <si>
    <t>Naveen kumar</t>
  </si>
  <si>
    <t>7416022022/ 7337445858</t>
  </si>
  <si>
    <t>naveen@sweetdude</t>
  </si>
  <si>
    <t>sweet dude signature PVT . LTD</t>
  </si>
  <si>
    <t>IDFC First</t>
  </si>
  <si>
    <t>IDFC 0080231</t>
  </si>
  <si>
    <t>The Hungry Kitchen</t>
  </si>
  <si>
    <r>
      <rPr>
        <color rgb="FF1155CC"/>
        <u/>
      </rPr>
      <t>H.NO</t>
    </r>
    <r>
      <rPr/>
      <t>.:1-110/MN/18/RER. Marthand nagar, new hafeezpet, chandanagar circle No 21, Hyderabad Telangana 500049</t>
    </r>
  </si>
  <si>
    <r>
      <rPr>
        <color rgb="FF1155CC"/>
        <u/>
      </rPr>
      <t>H.NO</t>
    </r>
    <r>
      <rPr/>
      <t>.:1-110/MN/18/RER. Marthand nagar, new hafeezpet, chandanagar circle No 21, Hyderabad Telangana 500049</t>
    </r>
  </si>
  <si>
    <t>https://drive.google.com/drive/folders/1E8JRaYu66cn7CFhIHFgD-0nOgW7OJyXp?usp=drive_link</t>
  </si>
  <si>
    <t>The Tasty Chapter</t>
  </si>
  <si>
    <t>plot no. 14, HIG 15, sy no. 4, tanasha residental complex,pokalwada , village, manikonda</t>
  </si>
  <si>
    <t>plot no. 14, HIG 15, sy no. 4, tanasha nagar</t>
  </si>
  <si>
    <t>B.V.D Phani Kumar</t>
  </si>
  <si>
    <t>9000037654</t>
  </si>
  <si>
    <t>YESB0001429</t>
  </si>
  <si>
    <t>https://drive.google.com/drive/folders/1EcFNC4da5qA_gfnZpxvqJRxhlMRdu87q</t>
  </si>
  <si>
    <t>Thopuri Lakshikanth(Biryani Mandirr)</t>
  </si>
  <si>
    <r>
      <rPr>
        <color rgb="FF1155CC"/>
        <u/>
      </rPr>
      <t>h.no</t>
    </r>
    <r>
      <rPr/>
      <t>: 6-13/MIG, bhagyalakshmi colony, tanasha nagar, manikonda, telangana, 500089</t>
    </r>
  </si>
  <si>
    <t>Thopuri Lakshmikanth</t>
  </si>
  <si>
    <r>
      <rPr>
        <color rgb="FF1155CC"/>
        <u/>
      </rPr>
      <t>h.no</t>
    </r>
    <r>
      <rPr/>
      <t>: 6-13/ MIG, bhagya lakshmi colony</t>
    </r>
  </si>
  <si>
    <t>8886044412</t>
  </si>
  <si>
    <t>biryanimandirr@gmail.com</t>
  </si>
  <si>
    <t>Biryani Mandirr</t>
  </si>
  <si>
    <t>BARBOVJRUPE</t>
  </si>
  <si>
    <t>https://drive.google.com/drive/folders/1I_tSOVQjsdczAnDiiPw7-vKjO8wZsdHL</t>
  </si>
  <si>
    <t>Zaiqa Bawarchi Restaurant</t>
  </si>
  <si>
    <t>plot no 16, 13-5-162/11/nr ramarao nagar, moosapet,hyderabad,moosapet circle no 23 - 500018</t>
  </si>
  <si>
    <t>ameerpet</t>
  </si>
  <si>
    <t>Zubair</t>
  </si>
  <si>
    <t>9391713197</t>
  </si>
  <si>
    <t>dropped</t>
  </si>
  <si>
    <t>DROPED</t>
  </si>
  <si>
    <t>Dosarani Chethivanta Biriyanis</t>
  </si>
  <si>
    <t>no.4,F9RW+5M8,sridevi residency road,near HDFC bank,kukatpally housing colony,KPHB phase-1,kukatpally</t>
  </si>
  <si>
    <t>Dosarani Chethivanta</t>
  </si>
  <si>
    <t>https://drive.google.com/drive/folders/1bUnygrdN92KDvA2L1wFjTXVDPjc7_bKs</t>
  </si>
  <si>
    <t>Dosarani Chethivanta Meals</t>
  </si>
  <si>
    <t>Dosarani Chethivanta Tiffins</t>
  </si>
  <si>
    <t>Kshithis kitchen</t>
  </si>
  <si>
    <r>
      <rPr>
        <color rgb="FF1155CC"/>
        <u/>
      </rPr>
      <t>D.no</t>
    </r>
    <r>
      <rPr/>
      <t>:8-3-229/D/77 and 79,hylan colony,venkatagiri,jubliee hills circle no.19,hyd</t>
    </r>
  </si>
  <si>
    <t>Modi venkata kishore Babu</t>
  </si>
  <si>
    <r>
      <rPr>
        <color rgb="FF1155CC"/>
        <u/>
      </rPr>
      <t>D.no</t>
    </r>
    <r>
      <rPr/>
      <t>:8-3-229/D/77 and 79,hylan colony,venkatagiri,jubliee hills circle no.19,hyd</t>
    </r>
  </si>
  <si>
    <t>https://drive.google.com/drive/folders/1rSNAn8wbMG3gxG3yP3cMM2Nn5mQrU-tP</t>
  </si>
  <si>
    <t>New Chanti mess biriyanis</t>
  </si>
  <si>
    <t>8-3-1060/B/1,srinagar colony beside post office khairthabad circle no.17,hyd</t>
  </si>
  <si>
    <t>M. Ramesh</t>
  </si>
  <si>
    <t>sri nagar colony</t>
  </si>
  <si>
    <t>New Chanti mess</t>
  </si>
  <si>
    <t>9110302879</t>
  </si>
  <si>
    <t>rameshmuchakota94@gmail.com</t>
  </si>
  <si>
    <t>Mucch kota Ramesh</t>
  </si>
  <si>
    <t>;054312010001541</t>
  </si>
  <si>
    <t>UBIN0805432</t>
  </si>
  <si>
    <t>https://drive.google.com/drive/folders/1aUqj7MSkXbTaBwCOz5adschNXFIhpCuY</t>
  </si>
  <si>
    <t>New Chanti mess meals</t>
  </si>
  <si>
    <t>New Chanti mess tiffins</t>
  </si>
  <si>
    <t>P.K Food court Biriyanis</t>
  </si>
  <si>
    <r>
      <rPr>
        <color rgb="FF1155CC"/>
        <u/>
      </rPr>
      <t>H.no</t>
    </r>
    <r>
      <rPr>
        <color rgb="FF000000"/>
      </rPr>
      <t>:8-3-232/c/35/1,Venkatagiri,yousufguda,hyd</t>
    </r>
  </si>
  <si>
    <t>https://drive.google.com/drive/folders/1ZuDwkIGBI9qAL6sVOKdsFKBguhHROKkW</t>
  </si>
  <si>
    <t>P.K Food court meals</t>
  </si>
  <si>
    <r>
      <rPr>
        <color rgb="FF1155CC"/>
        <u/>
      </rPr>
      <t>H.no</t>
    </r>
    <r>
      <rPr>
        <color rgb="FF000000"/>
      </rPr>
      <t>:8-3-232/c/35/1,Venkatagiri,yousufguda,hyd</t>
    </r>
  </si>
  <si>
    <t>P.K Food court tiffins</t>
  </si>
  <si>
    <r>
      <rPr>
        <color rgb="FF1155CC"/>
        <u/>
      </rPr>
      <t>H.no</t>
    </r>
    <r>
      <rPr>
        <color rgb="FF000000"/>
      </rPr>
      <t>:8-3-232/c/35/1,Venkatagiri,yousufguda,hyd</t>
    </r>
  </si>
  <si>
    <t>P.K Food court</t>
  </si>
  <si>
    <r>
      <rPr>
        <color rgb="FF1155CC"/>
        <u/>
      </rPr>
      <t>H.no</t>
    </r>
    <r>
      <rPr>
        <color rgb="FF000000"/>
      </rPr>
      <t>:8-3-232/c/35/1,Venkatagiri,yousufguda,hyd</t>
    </r>
  </si>
  <si>
    <t>Sri saravana food and Beverages</t>
  </si>
  <si>
    <r>
      <rPr>
        <color rgb="FF1155CC"/>
        <u/>
      </rPr>
      <t>H.no</t>
    </r>
    <r>
      <rPr/>
      <t>:25-35/4,plot no land 2 KN complex,survey no.167,ramachandra reddy nagar</t>
    </r>
  </si>
  <si>
    <t>RC puram</t>
  </si>
  <si>
    <r>
      <rPr>
        <color rgb="FF1155CC"/>
        <u/>
      </rPr>
      <t>H.no</t>
    </r>
    <r>
      <rPr/>
      <t>:25-35/4,plot no land 2 KN complex</t>
    </r>
  </si>
  <si>
    <t>Banupriya Saravanan</t>
  </si>
  <si>
    <t>9000608773</t>
  </si>
  <si>
    <t>bhanupriya@gmail.com</t>
  </si>
  <si>
    <t>UTIB0003365</t>
  </si>
  <si>
    <t>SYVM hospitality LLP</t>
  </si>
  <si>
    <t>shop no.S-8,block-A,pagadala pride,house no.6-250024,survey no.60,Bachupally</t>
  </si>
  <si>
    <t>SYVM hospitality</t>
  </si>
  <si>
    <t>shop no.S-8,block-A,pagadala pride</t>
  </si>
  <si>
    <t>Veluei sunil kumar</t>
  </si>
  <si>
    <t>953952885</t>
  </si>
  <si>
    <t>syvm.hospitality@gmail.com</t>
  </si>
  <si>
    <t>ICIC0002799</t>
  </si>
  <si>
    <t>https://drive.google.com/drive/folders/1ypn3AV0U8JSXUHqKMWOVCcx-wZckVuBH</t>
  </si>
  <si>
    <t>Ahmed Restaurant</t>
  </si>
  <si>
    <r>
      <rPr>
        <color rgb="FF1155CC"/>
        <u/>
      </rPr>
      <t>h.no</t>
    </r>
    <r>
      <rPr/>
      <t>:5-6,beside veterinary hospital,narsinginii</t>
    </r>
  </si>
  <si>
    <t>Syed Hajiali</t>
  </si>
  <si>
    <t>h.no:5-6,beside veterinary hospital,narsinginii</t>
  </si>
  <si>
    <t>Syed Haji ali</t>
  </si>
  <si>
    <t>9959610369</t>
  </si>
  <si>
    <t>syedhajiali028@gmail.com</t>
  </si>
  <si>
    <t>SYED Haji Ali</t>
  </si>
  <si>
    <t>CNRB0013021</t>
  </si>
  <si>
    <t>https://drive.google.com/drive/folders/1Yv_jzvYn8P0cowoQjEiffaLl9IAH9cuN?usp=sharing</t>
  </si>
  <si>
    <t>filled the document,soft copies im following up</t>
  </si>
  <si>
    <t>Avani Restaurant</t>
  </si>
  <si>
    <t xml:space="preserve">ground flor, razzak mazil G6, ambedkar colony, khairatabad, hyderabad,telangana </t>
  </si>
  <si>
    <t>6-1-61/1,G6,Razzak estate ground floor,beside kamat hotel,saifabad,hyd,500004,khairatabad circle no.17,hyd,telangana,500004</t>
  </si>
  <si>
    <t>Charan</t>
  </si>
  <si>
    <t>7207206239</t>
  </si>
  <si>
    <t>charankumar2202@gmail.com</t>
  </si>
  <si>
    <t>CNRB0013015</t>
  </si>
  <si>
    <t>https://drive.google.com/drive/folders/11gcG6fYUbVG55MFfUbxmOOFESBK9F7QY</t>
  </si>
  <si>
    <t>Bhawaanee Restaurant</t>
  </si>
  <si>
    <t>mumtaz hno 6-3-1090/a/2 circle no 20 opp katarya hotel towers, e, rajbhavan road, somajiguda, 500082</t>
  </si>
  <si>
    <t>Srinivas</t>
  </si>
  <si>
    <t>Bhawaanee Rest</t>
  </si>
  <si>
    <t>hno - 3 1090/a/2, raj bhawan road, somajiguda, khairathabad circle no 17, hyderabad , 500082</t>
  </si>
  <si>
    <t>9848232687</t>
  </si>
  <si>
    <t>ksrinavas1234@gmail.com</t>
  </si>
  <si>
    <t>Bhawanee Multicuisine restaurent</t>
  </si>
  <si>
    <t>https://drive.google.com/drive/folders/1Tu24kKTKiAXgbPwv0_kqy7DFYNBCYUVW</t>
  </si>
  <si>
    <t>Cheese and mix kitchen</t>
  </si>
  <si>
    <t>hno- 6-2-967/b/a/6, fatch manzil, khairathabad circle no - 17, hyderabad, telangana</t>
  </si>
  <si>
    <t>Hamdan Bin Masood</t>
  </si>
  <si>
    <t>8801417049</t>
  </si>
  <si>
    <t>hamdanalguthmi1234@gmail.com</t>
  </si>
  <si>
    <t>UTIB0000881</t>
  </si>
  <si>
    <t>https://drive.google.com/drive/folders/1IdblWCIs_-c8q_oYuoyNrzXsyWyPF6Kg?usp=sharing</t>
  </si>
  <si>
    <t>ASKED TO CALL TMMROW</t>
  </si>
  <si>
    <t>Chinese Adda</t>
  </si>
  <si>
    <t>kukatpally,allwyn colony,kukatpally circle no.24,hyd,telangana,</t>
  </si>
  <si>
    <t>kukatpally,allwyn colony,kukatpally circle no.24,hyd,telangana,500072</t>
  </si>
  <si>
    <t>https://drive.google.com/drive/folders/1P4F01iWyp-_yyPql3ubZ7AldsMEJYbmO</t>
  </si>
  <si>
    <t>Chinese Adda(Sri sai bakers)</t>
  </si>
  <si>
    <t>9030525248</t>
  </si>
  <si>
    <t>srikanthpeddi54@gmail.com</t>
  </si>
  <si>
    <t>Peddi naveen</t>
  </si>
  <si>
    <t>HDFC0003777</t>
  </si>
  <si>
    <t>https://drive.google.com/drive/folders/138S7kTUrJvuZPvFcl8fIgiNKngF3vzwj</t>
  </si>
  <si>
    <t>Darbar Street</t>
  </si>
  <si>
    <t>plot no 19, kismatpur road behind HP petrol bunk, sri venkateswara colony, 500086</t>
  </si>
  <si>
    <t>Sneha</t>
  </si>
  <si>
    <t>plot no 19, kismatpur road behind HP petrol bunk, sri venkateswara colony, banglaguda jagir</t>
  </si>
  <si>
    <t>7997107107</t>
  </si>
  <si>
    <t>sneharvinds@gmail.com</t>
  </si>
  <si>
    <t>Shena Yashwant randive</t>
  </si>
  <si>
    <t>https://drive.google.com/drive/folders/1_bYBHkhs3EZjkz4-6qfMtRRJb0GpzPrW</t>
  </si>
  <si>
    <t>Ellipaya Karam Express</t>
  </si>
  <si>
    <t>Gaulidoddi , Gachibowli, Plot no 18919 sai tulasi Enclave-1, gandipet, Rangareddy, Telangana -500075</t>
  </si>
  <si>
    <t>Divya</t>
  </si>
  <si>
    <t>Inikaa foods</t>
  </si>
  <si>
    <t xml:space="preserve">Anil  </t>
  </si>
  <si>
    <t>7794965800</t>
  </si>
  <si>
    <t>inikaafoods@gmail.com</t>
  </si>
  <si>
    <t>HDFC0008420</t>
  </si>
  <si>
    <t>Jaya laxmi food court center</t>
  </si>
  <si>
    <t>Jaya laxmi food center</t>
  </si>
  <si>
    <t>9949538044</t>
  </si>
  <si>
    <t>Kathmandu Momo's</t>
  </si>
  <si>
    <t>h 6-3-1247/237, rajbhavan road, rajnagar somajiguda, hyderabad</t>
  </si>
  <si>
    <t>Bishwash</t>
  </si>
  <si>
    <t>Kathmandu Momos</t>
  </si>
  <si>
    <t>8801858900</t>
  </si>
  <si>
    <t>https://drive.google.com/drive/folders/1flpE45zjQEEX1xFYQIVx73ifd2jwpOHO?usp=sharing</t>
  </si>
  <si>
    <t>17.4235064,78.4595902</t>
  </si>
  <si>
    <t>Lotus Biryani &amp; Fast Food Center</t>
  </si>
  <si>
    <t>House No. 5-1-119 Shop No. 4 Ground floor bus Stop Pillar No. A815 Kukatpally, Hyd - 500072</t>
  </si>
  <si>
    <t>Pradeep</t>
  </si>
  <si>
    <t>7095822597</t>
  </si>
  <si>
    <t>pulipradeepgoud1436@gmail.com</t>
  </si>
  <si>
    <t>Puli Pradeep</t>
  </si>
  <si>
    <t>SBI</t>
  </si>
  <si>
    <t>SBIN0014240</t>
  </si>
  <si>
    <t>https://drive.google.com/drive/folders/1nbJM9hIGI25SGmNzV4Xm1OXaz5EpihRR?usp=drive_link</t>
  </si>
  <si>
    <t>Mekala's Kitechen</t>
  </si>
  <si>
    <r>
      <rPr>
        <color rgb="FF1155CC"/>
        <u/>
      </rPr>
      <t>H.NO</t>
    </r>
    <r>
      <rPr/>
      <t xml:space="preserve">:2-35,neknampur village,manikonda,gandipet mandal, R.R district </t>
    </r>
  </si>
  <si>
    <t>Mekala Shasidar reddy</t>
  </si>
  <si>
    <r>
      <rPr>
        <color rgb="FF1155CC"/>
        <u/>
      </rPr>
      <t>H.NO</t>
    </r>
    <r>
      <rPr/>
      <t>:2-35,neknampur village,manikonda,gandipet mandal, R.R district ,500089</t>
    </r>
  </si>
  <si>
    <t>Mekala's shasidar reddy</t>
  </si>
  <si>
    <t>9666267966</t>
  </si>
  <si>
    <t>mekalaskitchenette@gmail.com</t>
  </si>
  <si>
    <t>Mr.N Gopichand and Mr.Mekala shesidhar reddy</t>
  </si>
  <si>
    <t>TSAB0000131</t>
  </si>
  <si>
    <t>https://drive.google.com/drive/folders/1gPUeYv_CBOdqQXjWbcgxyku9dlUuCwMq?usp=sharing</t>
  </si>
  <si>
    <t>They need time to share menu</t>
  </si>
  <si>
    <t>Mohammedia Shawarma</t>
  </si>
  <si>
    <r>
      <rPr>
        <color rgb="FF1155CC"/>
        <u/>
      </rPr>
      <t>h.no</t>
    </r>
    <r>
      <rPr/>
      <t>:- 6-2-967/b/a/6, fateh man zil, khairatabad circle no - 17, hyderabad, telangana - 500004</t>
    </r>
  </si>
  <si>
    <r>
      <rPr>
        <color rgb="FF1155CC"/>
        <u/>
      </rPr>
      <t>h.no</t>
    </r>
    <r>
      <rPr/>
      <t>:- 6-2-967/b/a/6, fateh man zil, khairatabad circle no - 17, hyderabad, telangana - 500004</t>
    </r>
  </si>
  <si>
    <t>https://drive.google.com/drive/folders/14oX5qzGPY-Fh2ar8zSRaXg8k583apCoi?usp=sharing</t>
  </si>
  <si>
    <t>17.4069137,78.4579542</t>
  </si>
  <si>
    <t>Nagalla's shaawarma and kababs</t>
  </si>
  <si>
    <t xml:space="preserve">H.NO:2-35,neknampur village,manikonda,gandipet mandal, R.R district </t>
  </si>
  <si>
    <t>Nagalla Tejasai</t>
  </si>
  <si>
    <t>H.NO:2-35,neknampur village,manikonda,gandipet mandal, R.R district,500089</t>
  </si>
  <si>
    <t>Nagalla Teja sai</t>
  </si>
  <si>
    <t>603972122</t>
  </si>
  <si>
    <t>ntsai143@gmail.com</t>
  </si>
  <si>
    <t>N.Gopichand</t>
  </si>
  <si>
    <t>https://drive.google.com/drive/folders/114UP2-3PTfk4i9-rw04RTToa_xTdCq6k?usp=sharing</t>
  </si>
  <si>
    <t>need to inrease price</t>
  </si>
  <si>
    <t>Sri shakambhari Restaurant</t>
  </si>
  <si>
    <t>16-31-245, KPHB, 6th PHASE Opp Bluedart, HYD 500072</t>
  </si>
  <si>
    <t>A. Naveen</t>
  </si>
  <si>
    <t>#16-31-245, KPHB, 6th Phase Opp Bluedart, hyderabad- 500072</t>
  </si>
  <si>
    <t>9908393938</t>
  </si>
  <si>
    <t>naveengoodchap120@gmail.com</t>
  </si>
  <si>
    <t>https://drive.google.com/drive/folders/1oVGNLk0-cTm_FjM80H1KcMoS7Ev-YqYc?usp=drive_link</t>
  </si>
  <si>
    <t>A . Naveen Kumar</t>
  </si>
  <si>
    <t>Swamy's kitchen</t>
  </si>
  <si>
    <t>https://drive.google.com/drive/folders/1aw7_v78KzDJNL_ONPaGdj-BaelJ6hyrS</t>
  </si>
  <si>
    <t>sy no.106/P,107/1,Gulmohar park colony,tara nagar serlingampally telangana,hyd</t>
  </si>
  <si>
    <t>V. Rama Devi</t>
  </si>
  <si>
    <t>8341395562</t>
  </si>
  <si>
    <t>ICIC0005702</t>
  </si>
  <si>
    <t>https://drive.google.com/drive/folders/1YsLka-4z-1FissFHsf9t7H-BwEWLGyLq</t>
  </si>
  <si>
    <t>B007,riddhis grand eur,neknampur road,manikonda,gandipet,rangareddy,telangana</t>
  </si>
  <si>
    <t>K.Navanitha</t>
  </si>
  <si>
    <t>B007,riddhis grand eur,neknampur road,manikonda,gandipet,rangareddy,telangana,500089</t>
  </si>
  <si>
    <t>9980505056</t>
  </si>
  <si>
    <t>urs.neethasai1612@gmail.com</t>
  </si>
  <si>
    <t>https://drive.google.com/drive/folders/1ecARZ7Loel2T5Yx-LAw6sj8BzufpTGBG?usp=sharing</t>
  </si>
  <si>
    <t>The boat house</t>
  </si>
  <si>
    <t>Hno:- 8-46/p, 1st floor, swaran arcade, sai ram nagar, colony, bandlaguda jagir, rangareddy, telangana 500086</t>
  </si>
  <si>
    <t>Hema addanki</t>
  </si>
  <si>
    <t>HNo- 8-46/p. 1st floor, swaran arcade sai ram nagar colony, bandlaguda jagir, rangareddy, telangana- 500086</t>
  </si>
  <si>
    <t xml:space="preserve">Udupi park pure veg </t>
  </si>
  <si>
    <r>
      <rPr>
        <color rgb="FF1155CC"/>
        <u/>
      </rPr>
      <t>D.no</t>
    </r>
    <r>
      <rPr/>
      <t>:7-1-419/9/MS/1-C,opposite prime hospital,manjeera square,ameerpet</t>
    </r>
  </si>
  <si>
    <t>Konda lokeswari</t>
  </si>
  <si>
    <t>Udupi park pure veg</t>
  </si>
  <si>
    <r>
      <rPr>
        <color rgb="FF1155CC"/>
        <u/>
      </rPr>
      <t>D.no</t>
    </r>
    <r>
      <rPr/>
      <t>:7-1-419/9/MS/1-C,opposite prime hospital,manjeera square,ameerpet</t>
    </r>
  </si>
  <si>
    <t>7013902284</t>
  </si>
  <si>
    <t>dudyaladineshkumar@gmail.com</t>
  </si>
  <si>
    <t>Ch Ramesh kumar</t>
  </si>
  <si>
    <t>UBIN0805050</t>
  </si>
  <si>
    <t>https://drive.google.com/drive/folders/1-9_XV3zbx6PJUEA-kTFMyHPpJs-qbnEZ?usp=sharing</t>
  </si>
  <si>
    <t>Chopsticks</t>
  </si>
  <si>
    <t>8-3-96019, sri nagar colony main rd, opp bank of baroda, yella reddy guda, telangana - 500073</t>
  </si>
  <si>
    <t>Sri nagar Colony</t>
  </si>
  <si>
    <t>Nagaraju/ Padma</t>
  </si>
  <si>
    <t>7416626655</t>
  </si>
  <si>
    <t>dineshbolla10@gmail.com</t>
  </si>
  <si>
    <t>UTIB000425</t>
  </si>
  <si>
    <t>Royal kitchen</t>
  </si>
  <si>
    <t>5-5-35/18,amma mess road beside canara bank,prashant nagar,kukatpally circle no.24</t>
  </si>
  <si>
    <t>Khairuddin</t>
  </si>
  <si>
    <t>Md.Khairuddin</t>
  </si>
  <si>
    <t>Amma mess road beside canara bank,prashant nagar,kukatpally</t>
  </si>
  <si>
    <t>8886555111</t>
  </si>
  <si>
    <t>khairuddinkhazi@gmail.com</t>
  </si>
  <si>
    <t>CNRB0002427</t>
  </si>
  <si>
    <t>Arya bhavan</t>
  </si>
  <si>
    <r>
      <rPr>
        <color rgb="FF1155CC"/>
        <u/>
      </rPr>
      <t>D.no</t>
    </r>
    <r>
      <rPr/>
      <t>:7-1-645/A/1/E,Erragada,yousufguda circle no.19,hyderabad,telangana</t>
    </r>
  </si>
  <si>
    <t>Annappa shetty</t>
  </si>
  <si>
    <t>Erragada</t>
  </si>
  <si>
    <t>Annapa shetty</t>
  </si>
  <si>
    <t>9849794341</t>
  </si>
  <si>
    <t>Arua bhavan udipi veg</t>
  </si>
  <si>
    <t>IOBA0001890</t>
  </si>
  <si>
    <t>https://drive.google.com/drive/folders/1XBNX_TDaQH1rYVPDv1yG1J0endNZiFO_?usp=drive_link</t>
  </si>
  <si>
    <t>Mamindla agrifarms and feeds pvt ltd</t>
  </si>
  <si>
    <t>prashanth nagar,kukatpally,hyd</t>
  </si>
  <si>
    <t>Suresh</t>
  </si>
  <si>
    <t>sri laxmi industruies,prashanth nagar kukatpally,hyd,kukatpally circle no.24,500072</t>
  </si>
  <si>
    <t>9441855617</t>
  </si>
  <si>
    <t>No, Yes</t>
  </si>
  <si>
    <t>Dostea</t>
  </si>
  <si>
    <t>plot no.41/A,Ameetpet road,opposite trends showroon,chandangar circle no.21,hyd,telangana</t>
  </si>
  <si>
    <t>Birader usha</t>
  </si>
  <si>
    <t>7981958799</t>
  </si>
  <si>
    <t>Kotak Mahindra Bank</t>
  </si>
  <si>
    <t>https://drive.google.com/drive/folders/1JPP61XTZhMtO0hhxR7R3y25F5LqOSd2j?usp=sharing</t>
  </si>
  <si>
    <t>Genz flavoria</t>
  </si>
  <si>
    <t>plot no.38,padmaja colony,chandanagar,hyderabad,telangana</t>
  </si>
  <si>
    <t>Vikram talasila</t>
  </si>
  <si>
    <t xml:space="preserve">Vikram </t>
  </si>
  <si>
    <t>96760993300</t>
  </si>
  <si>
    <t>genzflavoria@gmail.com</t>
  </si>
  <si>
    <t>https://drive.google.com/drive/folders/1EL0lKlZTCIr1OH3aoYgxcLVoZHlTbEgR?usp=sharing</t>
  </si>
  <si>
    <t xml:space="preserve">need to increase price </t>
  </si>
  <si>
    <t>K.G.N Hotel</t>
  </si>
  <si>
    <t>Moosepet Tanjayab nagar,mossapet,hyd,pillar no.891</t>
  </si>
  <si>
    <t>Amorz</t>
  </si>
  <si>
    <t>not  mentioned</t>
  </si>
  <si>
    <t>8019530803</t>
  </si>
  <si>
    <t>mdameerimaroz@gmail.com</t>
  </si>
  <si>
    <t>Madhapur Bawarchi</t>
  </si>
  <si>
    <t>C9XR+F87,Ayyappa society main road,megha hills,sri sai nagar.madhapur,hyd</t>
  </si>
  <si>
    <t>Shiva Kumar</t>
  </si>
  <si>
    <t>Pipaari Shin kumar</t>
  </si>
  <si>
    <t>8885303345</t>
  </si>
  <si>
    <t>b4ushiva@gmail.com</t>
  </si>
  <si>
    <t>IDFB0080201</t>
  </si>
  <si>
    <t>https://drive.google.com/drive/folders/1f85Ck-sDA3v26z1kzz8pC-yyZzqT6888?usp=sharing</t>
  </si>
  <si>
    <t>Mini cafe</t>
  </si>
  <si>
    <r>
      <rPr>
        <color rgb="FF1155CC"/>
        <u/>
      </rPr>
      <t>H.no</t>
    </r>
    <r>
      <rPr/>
      <t>:32-556/18,sai nagar X road kkukatpally circle no.24,hyderabad</t>
    </r>
  </si>
  <si>
    <t>Shabbir</t>
  </si>
  <si>
    <t>8125401252</t>
  </si>
  <si>
    <t>SK Shabbir</t>
  </si>
  <si>
    <t>https://drive.google.com/drive/folders/1mnk7kGXBo_V5L12OUDfiRjsZqJ8DuHxG?usp=drive_link</t>
  </si>
  <si>
    <r>
      <rPr>
        <color rgb="FF1155CC"/>
        <u/>
      </rPr>
      <t>H.no</t>
    </r>
    <r>
      <rPr/>
      <t>:32-556/18,sai nagar X road kkukatpally circle no.24,hyderabad</t>
    </r>
  </si>
  <si>
    <t>Open heart restaurant</t>
  </si>
  <si>
    <t>plot no.41,opposite rajendra reddy nagar colony,chandnagar</t>
  </si>
  <si>
    <t>openheartrestaurant@gmail.com</t>
  </si>
  <si>
    <t>open heart restaurant</t>
  </si>
  <si>
    <t>UTIB0006160</t>
  </si>
  <si>
    <t>https://drive.google.com/drive/folders/1hVcz0cxaHIgC5rkk7ErVuicPVUuxb9rc?usp=sharing</t>
  </si>
  <si>
    <t>R.K Biryani</t>
  </si>
  <si>
    <r>
      <rPr>
        <color rgb="FF1155CC"/>
        <u/>
      </rPr>
      <t>H.NO</t>
    </r>
    <r>
      <rPr/>
      <t>:13-6-815/A/2,ground floor,langarhouz,hyderabad karwan circle no.13,hyd</t>
    </r>
  </si>
  <si>
    <t>Alkehya</t>
  </si>
  <si>
    <t>Rk Biryani</t>
  </si>
  <si>
    <r>
      <rPr>
        <color rgb="FF1155CC"/>
        <u/>
      </rPr>
      <t>H.NO</t>
    </r>
    <r>
      <rPr/>
      <t>:13-6-815/A/2,ground floor,langarhouz,hyderabad karwan circle no.13,hyd</t>
    </r>
  </si>
  <si>
    <t>Dr.Ravi Kumar</t>
  </si>
  <si>
    <t>9396420235</t>
  </si>
  <si>
    <t>alekhyakotla23@gmail.com</t>
  </si>
  <si>
    <t>Kotla Alkhya</t>
  </si>
  <si>
    <t>UBIN0815675</t>
  </si>
  <si>
    <t>https://drive.google.com/drive/folders/1ttBxcCBo1M1E-pQhRwfkQu9h4S6-sosg</t>
  </si>
  <si>
    <t>Rajahmundry vaari real rose milk</t>
  </si>
  <si>
    <t>https://drive.google.com/drive/folders/10q2tzUQREXDA0tttRxtjlcDTCsRqedR4?usp=sharing</t>
  </si>
  <si>
    <t>Sri sai Raghavendra tiffins and meals</t>
  </si>
  <si>
    <t>plot no.1 and 2,padmaja colony,chandanagar,hyderabad,telangana</t>
  </si>
  <si>
    <t>Tatavarthi somnath</t>
  </si>
  <si>
    <t>Padmaja colony,chandanagar,500049</t>
  </si>
  <si>
    <t>9951698337</t>
  </si>
  <si>
    <t>https://drive.google.com/drive/folders/1PI4dgBlt2xoJcBBWPJhld9zZTHuDlQeB?usp=sharing</t>
  </si>
  <si>
    <t>Udipis ahaara arogya</t>
  </si>
  <si>
    <t>sy no.259,263,264,plot no.199,198,chandanagar,reddy colony,sangareddy</t>
  </si>
  <si>
    <t>M.Sai kiran</t>
  </si>
  <si>
    <t>8328047934</t>
  </si>
  <si>
    <t>ksai96376@gmail.com</t>
  </si>
  <si>
    <t>No, NA</t>
  </si>
  <si>
    <t>https://drive.google.com/drive/folders/1gsRP_llDBdgVHHQuAncpIEnMDxUMQ7Po?usp=sharing</t>
  </si>
  <si>
    <t>Zucifera</t>
  </si>
  <si>
    <t>7-1-399/ameetpet,sr nagar main road,near police station,srinivas nagar,hyd,telangana</t>
  </si>
  <si>
    <t>9177781711</t>
  </si>
  <si>
    <t>zucifera@gmail.com</t>
  </si>
  <si>
    <t>Bejam Harika</t>
  </si>
  <si>
    <t>HDFC0000045</t>
  </si>
  <si>
    <t>https://drive.google.com/drive/folders/1-HJ1jL1YM28Ts6V0Axg18KyglAMIcgxf?usp=drive_link</t>
  </si>
  <si>
    <t>Sri Vengamamba Tiffins</t>
  </si>
  <si>
    <t>Plot no: 1271, opp bharath petrol bunk road no:63, checkpost, Jubilee hills , hyderabad - 500033, jubilee hills, circle no: 18, hyd</t>
  </si>
  <si>
    <t>Sri vengamamba delux mess</t>
  </si>
  <si>
    <t>Jubilee hills</t>
  </si>
  <si>
    <t>jubliee hills zone 2</t>
  </si>
  <si>
    <t>Sri Vegamamba Deluxe mess</t>
  </si>
  <si>
    <t>Dyanshwar</t>
  </si>
  <si>
    <t>9000200207</t>
  </si>
  <si>
    <t>srivegamamadeluxmess@gmail.com</t>
  </si>
  <si>
    <t>Sri Vengamamba Deluxe mess</t>
  </si>
  <si>
    <t>SBIN0011745</t>
  </si>
  <si>
    <t>https://drive.google.com/drive/folders/1OM8WzyC_xGTQr4IkWQuMWzlxnSo6tw-S?usp=drive_link</t>
  </si>
  <si>
    <t>17.42662185713705, 78.41425202429257</t>
  </si>
  <si>
    <t>Jubilee Hills</t>
  </si>
  <si>
    <t>Sri vengamamba Deluxe mess</t>
  </si>
  <si>
    <t>Sri vengamamba chinese food</t>
  </si>
  <si>
    <t>(Burger) Munchies</t>
  </si>
  <si>
    <t>plot no.103 KSR, Enclave beside ayyappa swamy temple,chandanagar</t>
  </si>
  <si>
    <t>Kancharla Anand</t>
  </si>
  <si>
    <t>Muchies</t>
  </si>
  <si>
    <t>KSR, Enclave beside ayyappa swamy temple,chandanagar</t>
  </si>
  <si>
    <t>9542250303</t>
  </si>
  <si>
    <t>kancharalaanand18@gmail.com</t>
  </si>
  <si>
    <t>https://drive.google.com/drive/folders/1OjaURdVDXqH2PqZXgQhYKPYM2PHdaVgV</t>
  </si>
  <si>
    <t>Babai hotel est.1942</t>
  </si>
  <si>
    <t>Rd.1 kukatpallly housing board colony,phase 1,kukatpally,hyd</t>
  </si>
  <si>
    <t>Babai hotel</t>
  </si>
  <si>
    <t>KPHB,hyderabad,500072</t>
  </si>
  <si>
    <t xml:space="preserve">Siva </t>
  </si>
  <si>
    <t>6304551271</t>
  </si>
  <si>
    <t>babihotellest942@gmail.com</t>
  </si>
  <si>
    <t>Krilaba gana sathvikam</t>
  </si>
  <si>
    <t>UTIB0003385</t>
  </si>
  <si>
    <t>Babai Hotel Kphb</t>
  </si>
  <si>
    <t>Babai Hotel</t>
  </si>
  <si>
    <t xml:space="preserve">Bamboo chicken </t>
  </si>
  <si>
    <t>Shiva kumar</t>
  </si>
  <si>
    <t>Manjela shiva kumar</t>
  </si>
  <si>
    <t>6309781483</t>
  </si>
  <si>
    <t>manjelashivakumar33@gmail.com</t>
  </si>
  <si>
    <t>SBIN0030488</t>
  </si>
  <si>
    <t>https://drive.google.com/drive/folders/12KJHOtBmlR_YMQVp613rrKs8D_1VKaUT</t>
  </si>
  <si>
    <t>Biryani and More</t>
  </si>
  <si>
    <t>Biryani N Moree (Pot Biryani)</t>
  </si>
  <si>
    <t>Manjela Hanumantudu</t>
  </si>
  <si>
    <t>Exotica slice and sauce private limited</t>
  </si>
  <si>
    <t>Private limited company</t>
  </si>
  <si>
    <r>
      <rPr>
        <color rgb="FF1155CC"/>
        <u/>
      </rPr>
      <t>H.no</t>
    </r>
    <r>
      <rPr/>
      <t>:KIGH 145,KPHB 7th phase,opposite to GHMC basketball ground,kukatpally,moosapet circle no.23</t>
    </r>
  </si>
  <si>
    <t>Bhanu Prakash</t>
  </si>
  <si>
    <t>9615550066</t>
  </si>
  <si>
    <t>bhanuprakash.adabala@gmail.com</t>
  </si>
  <si>
    <t>IDFB0080226</t>
  </si>
  <si>
    <t>https://drive.google.com/drive/folders/16r9w-bHtOPEb56oIJBQk8XocLk_zp_ne?usp=drive_link</t>
  </si>
  <si>
    <t>Hotel the nawabi zaiqa(Bevarages)</t>
  </si>
  <si>
    <r>
      <rPr>
        <color rgb="FF1155CC"/>
        <u/>
      </rPr>
      <t>H.no:2-106/9/1</t>
    </r>
    <r>
      <rPr/>
      <t>,krisat colony,phase-4,gangaram chandanagar</t>
    </r>
  </si>
  <si>
    <t>Skindar</t>
  </si>
  <si>
    <t>Mohd Sikandar</t>
  </si>
  <si>
    <t>H.no:106/9/1,krisat colony,phase-4,gangaram chandanagar,500050</t>
  </si>
  <si>
    <t>9030785244</t>
  </si>
  <si>
    <t>sikandermohd376@gmail.com</t>
  </si>
  <si>
    <t>Skindar Mohammed</t>
  </si>
  <si>
    <t>UTIB0000538</t>
  </si>
  <si>
    <t>https://drive.google.com/drive/folders/1mUcGNB-msh0RrzzlAHfiyS-869YyUEA9</t>
  </si>
  <si>
    <t>Hotel the nawabi zaiqa(Biryani)</t>
  </si>
  <si>
    <r>
      <rPr>
        <color rgb="FF1155CC"/>
        <u/>
      </rPr>
      <t>H.no:2-106/9/1</t>
    </r>
    <r>
      <rPr/>
      <t>,krisat colony,phase-4,gangaram chandanagar</t>
    </r>
  </si>
  <si>
    <t>Hotel the nawabi zaiqa</t>
  </si>
  <si>
    <t>Hotel the nawabi zaiqa(chinese)</t>
  </si>
  <si>
    <r>
      <rPr>
        <color rgb="FF1155CC"/>
        <u/>
      </rPr>
      <t>H.no:2-106/9/1</t>
    </r>
    <r>
      <rPr/>
      <t>,krisat colony,phase-4,gangaram chandanagar</t>
    </r>
  </si>
  <si>
    <t>https://drive.google.com/drive/folders/1uTnWgbeLboqYJjrt4utbp1etKGVawHn2?usp=sharing</t>
  </si>
  <si>
    <t>Hotel the nawabi zaiqa(Non Veg Curries)</t>
  </si>
  <si>
    <r>
      <rPr>
        <color rgb="FF1155CC"/>
        <u/>
      </rPr>
      <t>H.no:2-106/9/1</t>
    </r>
    <r>
      <rPr/>
      <t>,krisat colony,phase-4,gangaram chandanagar</t>
    </r>
  </si>
  <si>
    <t>Hotel the nawabi zaiqa(Parata)</t>
  </si>
  <si>
    <r>
      <rPr>
        <color rgb="FF1155CC"/>
        <u/>
      </rPr>
      <t>H.no:2-106/9/1</t>
    </r>
    <r>
      <rPr/>
      <t>,krisat colony,phase-4,gangaram chandanagar</t>
    </r>
  </si>
  <si>
    <t>Hotel the nawabi zaiqa(Pulka)</t>
  </si>
  <si>
    <r>
      <rPr>
        <color rgb="FF1155CC"/>
        <u/>
      </rPr>
      <t>H.no:2-106/9/1</t>
    </r>
    <r>
      <rPr/>
      <t>,krisat colony,phase-4,gangaram chandanagar</t>
    </r>
  </si>
  <si>
    <t>Hotel the nawabi zaiqa(Rices)</t>
  </si>
  <si>
    <r>
      <rPr>
        <color rgb="FF1155CC"/>
        <u/>
      </rPr>
      <t>H.no:2-106/9/1</t>
    </r>
    <r>
      <rPr/>
      <t>,krisat colony,phase-4,gangaram chandanagar</t>
    </r>
  </si>
  <si>
    <t>Hotel the nawabi zaiqa(shawarama)</t>
  </si>
  <si>
    <r>
      <rPr>
        <color rgb="FF1155CC"/>
        <u/>
      </rPr>
      <t>H.no:2-106/9/1</t>
    </r>
    <r>
      <rPr/>
      <t>,krisat colony,phase-4,gangaram chandanagar</t>
    </r>
  </si>
  <si>
    <t>Hotel the nawabi zaiqa(Veg Curries)</t>
  </si>
  <si>
    <r>
      <rPr>
        <color rgb="FF1155CC"/>
        <u/>
      </rPr>
      <t>H.no:2-106/9/1</t>
    </r>
    <r>
      <rPr/>
      <t>,krisat colony,phase-4,gangaram chandanagar</t>
    </r>
  </si>
  <si>
    <t>IDV kitchen muntha masala</t>
  </si>
  <si>
    <t>plot no.31 and 32, KSR layout,PJR colony,serlingampally,chandanagar circle no.21,hyd,telangana</t>
  </si>
  <si>
    <t>Golla Venkateshwara Rao</t>
  </si>
  <si>
    <t>9550045222</t>
  </si>
  <si>
    <t>gollavenkat889@gmail.com</t>
  </si>
  <si>
    <t>Venkateshwara Rao</t>
  </si>
  <si>
    <t>SBIN0000996</t>
  </si>
  <si>
    <t>https://drive.google.com/drive/folders/1fj5yHNmi22FHFA4_lBC5P90AtU_7btJD?usp=sharing</t>
  </si>
  <si>
    <t>NEED TO INCREASE PRICE ON MENU</t>
  </si>
  <si>
    <t>Karthikeya Chitti Nethi idly</t>
  </si>
  <si>
    <t>Nallagandla, Tellapur,setlingampally circle no.20,hyd,telangana</t>
  </si>
  <si>
    <t>Sai Nagaraju Kumar</t>
  </si>
  <si>
    <t>6281337544</t>
  </si>
  <si>
    <t>sainagarajukumar183@gmail.com</t>
  </si>
  <si>
    <t>KKBK0007492</t>
  </si>
  <si>
    <t>https://drive.google.com/drive/folders/1aNS7_BLACWrD06CqafINzO9yQILI4Gd7?usp=sharing</t>
  </si>
  <si>
    <t>Karthikkeya Jain dosas</t>
  </si>
  <si>
    <t>https://drive.google.com/drive/folders/1_z4vloq2JCkb2QxaF4T2U_UGS36IOAS6</t>
  </si>
  <si>
    <t>Kolkata food plaza</t>
  </si>
  <si>
    <t>D&gt;NO:1-11/A/81,Plot no.81,gopal reddy nagar,opposite RTA office,kondapur,hyd</t>
  </si>
  <si>
    <t>Balaram Khuntia</t>
  </si>
  <si>
    <t>D&gt;NO:1-11/A/81,Plot no.81,gopal reddy nagar,opposite RTA office,kondapur,hyd,500084</t>
  </si>
  <si>
    <t>9618242571</t>
  </si>
  <si>
    <t>bkhuntia91@gmail.com</t>
  </si>
  <si>
    <t>1951102000000231</t>
  </si>
  <si>
    <t>IBKL0001951</t>
  </si>
  <si>
    <t>https://drive.google.com/drive/folders/1NNXMR6wV62PNzSlWdsyW7KkZH_49Ufko?usp=sharing</t>
  </si>
  <si>
    <t>17.47286,78.3616576</t>
  </si>
  <si>
    <t>Had a word with mx, he will be sharing by tomorrow. not answering</t>
  </si>
  <si>
    <t>Munchies (Shawarma)</t>
  </si>
  <si>
    <t>Pragatee Kitchen</t>
  </si>
  <si>
    <t>plot no.491,near monkey center,madhapur nagar,pragathi nagar,hyd,telangana</t>
  </si>
  <si>
    <t>Madduri Ravindhar Reddy</t>
  </si>
  <si>
    <t>9714582975</t>
  </si>
  <si>
    <t>racireddym111@gmail.com</t>
  </si>
  <si>
    <t>HDFC0004854</t>
  </si>
  <si>
    <t>https://drive.google.com/drive/folders/1Zd901LhdFDxOryUxC7oSebWz-GcEeJlk?usp=sharing</t>
  </si>
  <si>
    <t xml:space="preserve"> Labour license pending, had a word with mx on call, he will be sharing shortly.</t>
  </si>
  <si>
    <t xml:space="preserve">Royal Family Dhaba </t>
  </si>
  <si>
    <t>plot no.105/LIG plhase -XV KPHB colony,kukatpally circle no.24,hyd,</t>
  </si>
  <si>
    <t>Wasim Akram</t>
  </si>
  <si>
    <t>plot no.105/LIG phase-XV,KPHB colony</t>
  </si>
  <si>
    <t>7008264218</t>
  </si>
  <si>
    <t>wasimakram60652001@gmail.com</t>
  </si>
  <si>
    <t>SBIN0002109</t>
  </si>
  <si>
    <t>https://drive.google.com/drive/folders/1TDoFMFmzD24wTE35QejlYTl1U4JgL7p7?usp=sharing</t>
  </si>
  <si>
    <t>Royal Family Dhaba KEBAB</t>
  </si>
  <si>
    <t>https://drive.google.com/drive/folders/16uIYj4QrQu5CTOeDfqmlaS1Kihgd9-hL?usp=sharing</t>
  </si>
  <si>
    <t>Ruchi chupistha</t>
  </si>
  <si>
    <r>
      <rPr>
        <color rgb="FF1155CC"/>
        <u/>
      </rPr>
      <t>H.no</t>
    </r>
    <r>
      <rPr/>
      <t>:LIG 145,KPHB 7th phase,road,qutubullapur,telangana</t>
    </r>
  </si>
  <si>
    <t>Sunil Gowtham</t>
  </si>
  <si>
    <t>info@ruchichupistha.com</t>
  </si>
  <si>
    <t>Yes properity business</t>
  </si>
  <si>
    <t>YESB00001400</t>
  </si>
  <si>
    <t>https://drive.google.com/drive/folders/153jJPBBAc5J6R6QgL5wAeohQcCs2-h1y?usp=drive_link</t>
  </si>
  <si>
    <t xml:space="preserve">The Munchies (MOMO) </t>
  </si>
  <si>
    <t>Munchies</t>
  </si>
  <si>
    <t>The sandwiches</t>
  </si>
  <si>
    <t>The Sandwiches</t>
  </si>
  <si>
    <t>Plot no.103,KSR, Enclave beside ayyappa swamy temple,chandanagar</t>
  </si>
  <si>
    <t>https://drive.google.com/drive/folders/19R0DVL_OX8d9L9DzsD09wE4gW4XKX7xo</t>
  </si>
  <si>
    <t>Aroma Biryani's and Pulauo's</t>
  </si>
  <si>
    <r>
      <rPr>
        <color rgb="FF1155CC"/>
        <u/>
      </rPr>
      <t>H.NO</t>
    </r>
    <r>
      <rPr/>
      <t>:10-31-IX-H5,phase9,KPHB colony,kukatpally,moosapet circele no.23</t>
    </r>
  </si>
  <si>
    <t>Aroma Authentic kitchen</t>
  </si>
  <si>
    <t>phase-9,Kphb colony-500072</t>
  </si>
  <si>
    <t>Deepu</t>
  </si>
  <si>
    <t>9392580216</t>
  </si>
  <si>
    <t>Vinayanka Dileep varma kosuri</t>
  </si>
  <si>
    <t>UTIB0000193</t>
  </si>
  <si>
    <t>https://maps.app.goo.gl/ZtYwokMh4bckUTTK7</t>
  </si>
  <si>
    <t>Aroma Cafe (Biryani)</t>
  </si>
  <si>
    <r>
      <rPr>
        <color rgb="FF1155CC"/>
        <u/>
      </rPr>
      <t>H.NO</t>
    </r>
    <r>
      <rPr>
        <color rgb="FF000000"/>
      </rPr>
      <t xml:space="preserve"> P-13/B,Addagutta society,backside vishwanth theatre,kukatpally</t>
    </r>
  </si>
  <si>
    <t>Vinod</t>
  </si>
  <si>
    <t>Aroma Cafe</t>
  </si>
  <si>
    <t>Kukatapally</t>
  </si>
  <si>
    <t>9966887205</t>
  </si>
  <si>
    <t>vinod1991rocks@gmail.com</t>
  </si>
  <si>
    <t>Vinod Kumar</t>
  </si>
  <si>
    <t>SBIN0013272</t>
  </si>
  <si>
    <t>https://drive.google.com/drive/folders/1fQHHxSlxho0OTDvdGwB-GlmOPJN4_2QO?usp=drive_link</t>
  </si>
  <si>
    <t>Aroma Cafe (chinese)</t>
  </si>
  <si>
    <r>
      <rPr>
        <color rgb="FF1155CC"/>
        <u/>
      </rPr>
      <t>H.NO</t>
    </r>
    <r>
      <rPr>
        <color rgb="FF000000"/>
      </rPr>
      <t xml:space="preserve"> P-13/B,Addagutta society,backside vishwanth theatre,kukatpally</t>
    </r>
  </si>
  <si>
    <t>Aroma Cafe (snacks and juices)</t>
  </si>
  <si>
    <r>
      <rPr>
        <color rgb="FF1155CC"/>
        <u/>
      </rPr>
      <t>H.NO</t>
    </r>
    <r>
      <rPr>
        <color rgb="FF000000"/>
      </rPr>
      <t xml:space="preserve"> P-13/B,Addagutta society,backside vishwanth theatre,kukatpally</t>
    </r>
  </si>
  <si>
    <t>Aroma Cafe (Tiffins)</t>
  </si>
  <si>
    <r>
      <rPr>
        <color rgb="FF1155CC"/>
        <u/>
      </rPr>
      <t>H.NO</t>
    </r>
    <r>
      <rPr>
        <color rgb="FF000000"/>
      </rPr>
      <t xml:space="preserve"> P-13/B,Addagutta society,backside vishwanth theatre,kukatpally</t>
    </r>
  </si>
  <si>
    <t>Aroma meals and chinese</t>
  </si>
  <si>
    <t>Aroma,HIG,phase 9,kphb colony,kukatapally, moosapet circle no.23,500072</t>
  </si>
  <si>
    <t xml:space="preserve">Balaji kitchens </t>
  </si>
  <si>
    <t>plot number 828,venkata ramana colony ,gokul plots hyderabad -500072</t>
  </si>
  <si>
    <t xml:space="preserve">balaji kitchen </t>
  </si>
  <si>
    <t xml:space="preserve">kphb ,hyderabad </t>
  </si>
  <si>
    <t xml:space="preserve">srinivasulu </t>
  </si>
  <si>
    <t>9059977899</t>
  </si>
  <si>
    <t>balaji Kitchen</t>
  </si>
  <si>
    <t>https://maps.app.goo.gl/4TDTFE6tGGCzyzv48</t>
  </si>
  <si>
    <t xml:space="preserve">Balaji muntha masala </t>
  </si>
  <si>
    <t>Balaji Muntha Masala</t>
  </si>
  <si>
    <t>https://maps.app.goo.gl/4TDTFE6tGGCzyzv49</t>
  </si>
  <si>
    <t>DFC (Dodla Fire Chicken)</t>
  </si>
  <si>
    <t>KSR Enclave beside ayappa swamy temple,chandanagar,shop no.3,hyd,telangana</t>
  </si>
  <si>
    <t>Sirf Chinese</t>
  </si>
  <si>
    <t>KSR Enclave beside ayappa swamy temple,chandanagar,shop no.3,hyd,telangana,500049</t>
  </si>
  <si>
    <t>9304529259</t>
  </si>
  <si>
    <t>Dwaraka mai tiffins</t>
  </si>
  <si>
    <t>Anjanaya nagar,moosapet circle no.23,Hyderabad,telangana,500018</t>
  </si>
  <si>
    <t>Naga Lakshmi</t>
  </si>
  <si>
    <t>Ampa Nagalakshmi</t>
  </si>
  <si>
    <r>
      <rPr>
        <color rgb="FF1155CC"/>
        <u/>
      </rPr>
      <t>H.no</t>
    </r>
    <r>
      <rPr/>
      <t>: plot no.12,Anjanaya nagar,moosapet circle no.23,Hyderabad,telangana,500018</t>
    </r>
  </si>
  <si>
    <t>9177015185</t>
  </si>
  <si>
    <t>ampanagalakshmi5555@gmail.com</t>
  </si>
  <si>
    <t>Dwarakamayee Tiffins Centre</t>
  </si>
  <si>
    <t>The Eenadu corperative urban bank</t>
  </si>
  <si>
    <t>HDFCOCEENAD</t>
  </si>
  <si>
    <t>https://drive.google.com/drive/folders/1ym7dtu4I7Ex8aqa82MAyU2jPomQe9IP9?usp=sharing</t>
  </si>
  <si>
    <t>Hotel valentine</t>
  </si>
  <si>
    <t>1-59/8/A,miyapur PS,serlingampally circle no.20,hyderabad,Telangana</t>
  </si>
  <si>
    <t>Shivananda</t>
  </si>
  <si>
    <t>1-59/8/A,miyapur PS,Old Miyapur ps</t>
  </si>
  <si>
    <t>9739368004</t>
  </si>
  <si>
    <t>https://drive.google.com/drive/folders/15puFhg_dMbumboYY7eEty2LjQwUqgs3Q</t>
  </si>
  <si>
    <t>Hotel valentine Tiffins and meals</t>
  </si>
  <si>
    <t>KBR Crispy chicken</t>
  </si>
  <si>
    <t>Rayankathishravankumar,survey no.957,ICRISAT colony,Beeramguda 100feet road,502032</t>
  </si>
  <si>
    <t>9948310080</t>
  </si>
  <si>
    <t>kbrsravan999@gmail.com</t>
  </si>
  <si>
    <t>HDFC0000969</t>
  </si>
  <si>
    <t>https://drive.google.com/drive/folders/1OS2eq5ztA22Y0eoKiIJQiIbde5gOC7l7</t>
  </si>
  <si>
    <t>KBR Popcorn chicken</t>
  </si>
  <si>
    <r>
      <rPr>
        <color rgb="FF1155CC"/>
        <u/>
      </rPr>
      <t>P.no</t>
    </r>
    <r>
      <rPr/>
      <t>.14/part,sy no.2,PJR enclave road,opposite gonguras restaurant,chandanagar</t>
    </r>
  </si>
  <si>
    <r>
      <rPr>
        <color rgb="FF1155CC"/>
        <u/>
      </rPr>
      <t>P.no</t>
    </r>
    <r>
      <rPr/>
      <t>.14/part,sy no.2,PJR enclave road,opposite gonguras restaurant,chandanagar circle no.21,hyd,500050</t>
    </r>
  </si>
  <si>
    <t>9572638886</t>
  </si>
  <si>
    <t>abhishek.kumar728856@gmail.com</t>
  </si>
  <si>
    <t>https://drive.google.com/drive/folders/1xAL_mU4tChIozpHADi-67nK0k_6kLD92?usp=sharing</t>
  </si>
  <si>
    <t>Mammu's chinese kitchen</t>
  </si>
  <si>
    <r>
      <rPr>
        <color rgb="FF1155CC"/>
        <u/>
      </rPr>
      <t>H.NO</t>
    </r>
    <r>
      <rPr/>
      <t>:HIG 65 3rd phase near manjeera water tank kayaka parameshwari temple road,Kphb</t>
    </r>
  </si>
  <si>
    <t>M.V Prabhavathi</t>
  </si>
  <si>
    <r>
      <rPr>
        <color rgb="FF1155CC"/>
        <u/>
      </rPr>
      <t>H.NO</t>
    </r>
    <r>
      <rPr/>
      <t>:HIG 65 3rd phase near manjeera water tank kayaka parameshwari temple road,Kphb</t>
    </r>
  </si>
  <si>
    <t>prabhavathi</t>
  </si>
  <si>
    <t>9381245681</t>
  </si>
  <si>
    <t>n.prabhavathi555@gmail.com</t>
  </si>
  <si>
    <t>Mammu's kitchen</t>
  </si>
  <si>
    <t>;0514073000000598</t>
  </si>
  <si>
    <r>
      <rPr>
        <color rgb="FF1155CC"/>
        <u/>
      </rPr>
      <t>H.NO</t>
    </r>
    <r>
      <rPr/>
      <t>:HIG 65 3rd phase near manjeera water tank kayaka parameshwari temple road,Kphb</t>
    </r>
  </si>
  <si>
    <r>
      <rPr>
        <color rgb="FF1155CC"/>
        <u/>
      </rPr>
      <t>H.NO</t>
    </r>
    <r>
      <rPr/>
      <t>:HIG 65 3rd phase near manjeera water tank kayaka parameshwari temple road,Kphb</t>
    </r>
  </si>
  <si>
    <t>https://drive.google.com/drive/folders/1Ccf9zoq3j3CMZ2gtFexZekXr-nwQXzkB?usp=sharing</t>
  </si>
  <si>
    <t>Om sri Hanuman foods</t>
  </si>
  <si>
    <t>plot no.1452/p venkata ramana colony,gokul plots circle no21-hyderabad 500049</t>
  </si>
  <si>
    <t>OM SRI HAMNUMAN</t>
  </si>
  <si>
    <t xml:space="preserve">kphb </t>
  </si>
  <si>
    <t>7093010756</t>
  </si>
  <si>
    <t>srinuvasulureddy1985@gmail.com</t>
  </si>
  <si>
    <t xml:space="preserve">srinuvasulu reddy vada </t>
  </si>
  <si>
    <t>unioun bank of india</t>
  </si>
  <si>
    <t>UBIN0818348</t>
  </si>
  <si>
    <t>Om Shree Hanuman</t>
  </si>
  <si>
    <t>R.K Chinese</t>
  </si>
  <si>
    <r>
      <rPr>
        <color rgb="FF1155CC"/>
        <u/>
      </rPr>
      <t>H.NO</t>
    </r>
    <r>
      <rPr/>
      <t>:13-6-815/A/2,ground floor,langarhouz,hyderabad karwan circle no.13,hyd</t>
    </r>
  </si>
  <si>
    <r>
      <rPr>
        <color rgb="FF1155CC"/>
        <u/>
      </rPr>
      <t>H.NO</t>
    </r>
    <r>
      <rPr/>
      <t>:13-6-815/A/2,ground floor,langarhouz,hyderabad karwan circle no.13,hyd</t>
    </r>
  </si>
  <si>
    <t>https://drive.google.com/drive/folders/1k9-zjiVXVWIzMjkxjX0L9CnUeFZYZIIb?usp=sharing</t>
  </si>
  <si>
    <t>The Hazelnut Co</t>
  </si>
  <si>
    <t>plot no.8-2/19/2,beside SBI Bank,Rampally village,keesara,medchal,malkajgiri,telangana</t>
  </si>
  <si>
    <t>Menday Vamshi</t>
  </si>
  <si>
    <t xml:space="preserve">Medchal </t>
  </si>
  <si>
    <t>8919308595</t>
  </si>
  <si>
    <t>mendayvamshi28074@gmail.com</t>
  </si>
  <si>
    <t>UTIB0004508</t>
  </si>
  <si>
    <t>https://drive.google.com/drive/folders/1FS215BYHgZheiOilYgt2S-KGS6jYT2Jb?usp=sharing</t>
  </si>
  <si>
    <t>Medchal</t>
  </si>
  <si>
    <t xml:space="preserve">will share on wednesday </t>
  </si>
  <si>
    <t>Ala konaseemaloo currys</t>
  </si>
  <si>
    <t>MIG-42/1-6,kukatpally hosing board colony,phase3 hyd</t>
  </si>
  <si>
    <t>Arjun</t>
  </si>
  <si>
    <t>Dosari swapna priya</t>
  </si>
  <si>
    <t>MIG-42/1-6,kukatpally hosing board colony,phase3 hyd,500072</t>
  </si>
  <si>
    <t>9866687976</t>
  </si>
  <si>
    <t>sifoods1505@gmail.com</t>
  </si>
  <si>
    <t xml:space="preserve">Ala konaseemaloo </t>
  </si>
  <si>
    <t>https://drive.google.com/drive/folders/1vnW_s1NoUdHVwyVKe2Kjtcv4FBbNjxfe?usp=sharing</t>
  </si>
  <si>
    <t>VHR'S Tea @ Coffee</t>
  </si>
  <si>
    <t>KSR Enclave beside ayappa swamy temple,chandanagar,shop no.6,hyd,telangana</t>
  </si>
  <si>
    <t>Lalu Sekhar Gudavalli</t>
  </si>
  <si>
    <t>8688704595</t>
  </si>
  <si>
    <t>lalugudavalli@gamil.com</t>
  </si>
  <si>
    <t>SBIN0004808</t>
  </si>
  <si>
    <t>https://drive.google.com/drive/folders/1rJ3AqHsRWgZGUFMJHxs7B-OJJRUz2voh?usp=sharing</t>
  </si>
  <si>
    <t>Vinayaka Tiffins</t>
  </si>
  <si>
    <r>
      <rPr>
        <color rgb="FF1155CC"/>
        <u/>
      </rPr>
      <t>H.NO</t>
    </r>
    <r>
      <rPr/>
      <t>:13-6-815/A/2,ground floor,langarhouz,hyderabad karwan circle no.13,hyd</t>
    </r>
  </si>
  <si>
    <r>
      <rPr>
        <color rgb="FF1155CC"/>
        <u/>
      </rPr>
      <t>H.NO</t>
    </r>
    <r>
      <rPr/>
      <t>:13-6-815/A/2,ground floor,langarhouz,hyderabad karwan circle no.13,hyd</t>
    </r>
  </si>
  <si>
    <t>https://drive.google.com/drive/folders/1zfywuGVp3JnYdQ2_fX4coasmzkdzM4Vp</t>
  </si>
  <si>
    <t>Tea Time</t>
  </si>
  <si>
    <t>beside feather n splash, kukutpally housing board colony, hafeezpet, telangana - 500085</t>
  </si>
  <si>
    <t>Gurvik entirprises</t>
  </si>
  <si>
    <t>Gokul plots, venkata ramana - 500084</t>
  </si>
  <si>
    <t xml:space="preserve">Anil reddy </t>
  </si>
  <si>
    <t>8143586417</t>
  </si>
  <si>
    <t>Tea time</t>
  </si>
  <si>
    <t>ICIC000040</t>
  </si>
  <si>
    <t>Tea Time KPHB</t>
  </si>
  <si>
    <t>TEA TIME</t>
  </si>
  <si>
    <t xml:space="preserve">Adbuthaha Tiffins </t>
  </si>
  <si>
    <t>Plot no, 1618, Radha krishna rd, Venkat a rammana rd hyderabad telangana,</t>
  </si>
  <si>
    <t>Edumakants vasu</t>
  </si>
  <si>
    <t>gokul plots Hafeezpeet, telangana - 500049</t>
  </si>
  <si>
    <t>Anil</t>
  </si>
  <si>
    <t>Adbutaha Tiffins</t>
  </si>
  <si>
    <t>current Account</t>
  </si>
  <si>
    <t>Adbhutaha Tea, tiffins &amp; Chinese</t>
  </si>
  <si>
    <t>Pulavs By One Kitchen</t>
  </si>
  <si>
    <t>Ramya Ground RD,beside mad over maggi near vinayaka temple,kukatpally housing board</t>
  </si>
  <si>
    <t>Kphb</t>
  </si>
  <si>
    <t xml:space="preserve">Mad Over Maggies </t>
  </si>
  <si>
    <t>Godavari food court</t>
  </si>
  <si>
    <t>KPHB colony,temple bus stop,opposite mammus kitchen</t>
  </si>
  <si>
    <t>Seshu</t>
  </si>
  <si>
    <t>7601018276</t>
  </si>
  <si>
    <t>seshuachanta003@gmail.com</t>
  </si>
  <si>
    <t>https://drive.google.com/drive/folders/1CwYRsFbLxC01wP1H0WwPdjPAObGzdyip?usp=sharing</t>
  </si>
  <si>
    <t xml:space="preserve"> will get the documents within 2 day</t>
  </si>
  <si>
    <r>
      <rPr>
        <color rgb="FF1155CC"/>
        <u/>
      </rPr>
      <t>P.no:7/3/4</t>
    </r>
    <r>
      <rPr/>
      <t>,sector-03,huda technoE,madhapur,serlingampally circle no.20,hyderabad,telangana</t>
    </r>
  </si>
  <si>
    <t>Swarup Jana</t>
  </si>
  <si>
    <t>8125638358</t>
  </si>
  <si>
    <t>swarupjana@yahoo.com</t>
  </si>
  <si>
    <t>https://drive.google.com/drive/folders/1cPlVj7Ug6j6sJxzTV94u50omK-xjjdxJ?usp=drive_link</t>
  </si>
  <si>
    <t>Qubz</t>
  </si>
  <si>
    <t>survey 176,plot no c,addagutta housing society,circle no.24,kukatpally,hyderabad</t>
  </si>
  <si>
    <t>Vasanthi Polu</t>
  </si>
  <si>
    <t>Arbaaz</t>
  </si>
  <si>
    <t>6281762639</t>
  </si>
  <si>
    <t>qubzjntu@gmail.com</t>
  </si>
  <si>
    <t>Polu Vasanthi</t>
  </si>
  <si>
    <t>SBIN0020949</t>
  </si>
  <si>
    <t>https://drive.google.com/drive/folders/1RZPi-oKUaQwWCSPz9y_-sTGuZRe54rj0?usp=drive_link</t>
  </si>
  <si>
    <t>17.499254,78.396355</t>
  </si>
  <si>
    <t>Celebs</t>
  </si>
  <si>
    <t>plot no.22,MIG,KPHB phase 15,kukatpally,moosapet circle no.23,500072</t>
  </si>
  <si>
    <t>plot no.22,MIG,KPHB phase 15</t>
  </si>
  <si>
    <t>Darshan</t>
  </si>
  <si>
    <t>9494433673</t>
  </si>
  <si>
    <t>celebs.reloaded@gmail.com</t>
  </si>
  <si>
    <t>Rajkiran Darshan</t>
  </si>
  <si>
    <t>FDRL000777</t>
  </si>
  <si>
    <t>Mathani Juice Hub</t>
  </si>
  <si>
    <t>plot no.27,khanmet village,Hitech city,,serlingampally near on the way driven in,hyd,chandanagar</t>
  </si>
  <si>
    <t>Mohd Wajid Ali khan</t>
  </si>
  <si>
    <t>Hitech city,Hyderabad</t>
  </si>
  <si>
    <t>Wajid</t>
  </si>
  <si>
    <t>9392583121</t>
  </si>
  <si>
    <t>Mr. Mohd wajid ali khan</t>
  </si>
  <si>
    <t>SBIN0004904</t>
  </si>
  <si>
    <t>https://maps.app.goo.gl/d5iSsQWpfK3si4t47</t>
  </si>
  <si>
    <t>Rainbow foods</t>
  </si>
  <si>
    <r>
      <rPr>
        <color rgb="FF1155CC"/>
        <u/>
      </rPr>
      <t>H.NO</t>
    </r>
    <r>
      <rPr/>
      <t>:2-3-406/12/part,plot no.7,road no.2,Tulasinagar,near M2m jeans,kukatpally circle no.24</t>
    </r>
  </si>
  <si>
    <t>M.Satya Durga</t>
  </si>
  <si>
    <r>
      <rPr>
        <color rgb="FF1155CC"/>
        <u/>
      </rPr>
      <t>H.NO</t>
    </r>
    <r>
      <rPr/>
      <t>:2-3-406/12/part,plot no.7,road no.2,Tulasinagar,near M2m jeans,kukatpally circle no.24,hyd,500085</t>
    </r>
  </si>
  <si>
    <t>M.K.V.Swamy</t>
  </si>
  <si>
    <t>7989383201</t>
  </si>
  <si>
    <t>rainbowfood591@gmail.com</t>
  </si>
  <si>
    <t>Mattaparthi Durga</t>
  </si>
  <si>
    <t>YESB0001453</t>
  </si>
  <si>
    <t>https://drive.google.com/drive/folders/1J4xwanAmEh-myQuZqJLBwlE3kNlZHogt?usp=drive_link</t>
  </si>
  <si>
    <t>17.5124885098837, 78.39672735005787</t>
  </si>
  <si>
    <t>All docs in</t>
  </si>
  <si>
    <t>Maska Chaska  The Fast Food Company</t>
  </si>
  <si>
    <r>
      <rPr>
        <color rgb="FF1155CC"/>
        <u/>
      </rPr>
      <t>H.no</t>
    </r>
    <r>
      <rPr/>
      <t>:1-2-33/VP/76,Hydernagar,Balaji hills road,Ram naresh colony,Chandanagar circle no.24,hyd,telangana</t>
    </r>
  </si>
  <si>
    <t>Kale Shravan Kumar</t>
  </si>
  <si>
    <r>
      <rPr>
        <color rgb="FF1155CC"/>
        <u/>
      </rPr>
      <t>H.no</t>
    </r>
    <r>
      <rPr/>
      <t>:1-2-33/VP/76,Hydernagar,Balaji hills road,Ram naresh colony,Chandanagar circle no.24,hyd,telangana,500085</t>
    </r>
  </si>
  <si>
    <t>9000314794</t>
  </si>
  <si>
    <t>maskachaskaon@gmail.com</t>
  </si>
  <si>
    <t>Shravan Kumar Kale</t>
  </si>
  <si>
    <t>SBIN0021393</t>
  </si>
  <si>
    <t>https://drive.google.com/drive/folders/1celxmQz1C2smYZDKCQ8kVd4xCzzODd-W?usp=drive_link</t>
  </si>
  <si>
    <t>Candella heights LLP (Monday Hotels)</t>
  </si>
  <si>
    <r>
      <rPr>
        <color rgb="FF1155CC"/>
        <u/>
      </rPr>
      <t>PT.NO</t>
    </r>
    <r>
      <rPr/>
      <t>.52,SY.103/2,Jayabhari enclave,hyderabad</t>
    </r>
  </si>
  <si>
    <t>Candella heights LLP</t>
  </si>
  <si>
    <r>
      <rPr>
        <color rgb="FF1155CC"/>
        <u/>
      </rPr>
      <t>PT.NO</t>
    </r>
    <r>
      <rPr/>
      <t>.52 and 53,sy no.103 and Jayabhaeri enclave</t>
    </r>
  </si>
  <si>
    <t>Akhil</t>
  </si>
  <si>
    <t>9030501996</t>
  </si>
  <si>
    <r>
      <rPr/>
      <t>acc.gachibowli@</t>
    </r>
    <r>
      <rPr>
        <color rgb="FF1155CC"/>
        <u/>
      </rPr>
      <t>mondayhotels.com</t>
    </r>
  </si>
  <si>
    <t>Monday Hotel (Gachibowli)</t>
  </si>
  <si>
    <t>Destino by Monday Hotels Gachibowli</t>
  </si>
  <si>
    <t>Muisyle Elite Hospitality (Monday Hotels)</t>
  </si>
  <si>
    <t>plot no.744,road no.40,Ayyappa society,madhapur,hyderabad,telangana</t>
  </si>
  <si>
    <t>Muisyle Elite Hospitality Management LLP</t>
  </si>
  <si>
    <t>madhapur,hyderabad</t>
  </si>
  <si>
    <r>
      <rPr/>
      <t>acc.llm@</t>
    </r>
    <r>
      <rPr>
        <color rgb="FF1155CC"/>
        <u/>
      </rPr>
      <t>muslie.com</t>
    </r>
  </si>
  <si>
    <t>Muisyle Elite Hospitality</t>
  </si>
  <si>
    <t>IDFCB0080222</t>
  </si>
  <si>
    <t>Elsyuim (Restaurent)</t>
  </si>
  <si>
    <t>Elysium studio suites Madhapur</t>
  </si>
  <si>
    <t>Sri Venkateshwara Hospitality (Monday Hotels)</t>
  </si>
  <si>
    <t>2-91/14/8,whitefeilds,kondapur,hitech city,serlingampally circle no.20,telangana</t>
  </si>
  <si>
    <t>Sri Venkateshwara Hospitality</t>
  </si>
  <si>
    <t>Hitech city,kkondapur,hyderabad</t>
  </si>
  <si>
    <r>
      <rPr/>
      <t>acc.hite@</t>
    </r>
    <r>
      <rPr>
        <color rgb="FF1155CC"/>
        <u/>
      </rPr>
      <t>mondayhotels.com</t>
    </r>
  </si>
  <si>
    <t>IDFB008022</t>
  </si>
  <si>
    <t>Monday Hotel (Hi-tech City)</t>
  </si>
  <si>
    <t>Monday Hotels Hitec City</t>
  </si>
  <si>
    <t>2-91/14/8,whitefeilds,kondapur</t>
  </si>
  <si>
    <r>
      <rPr/>
      <t>acc.hite@</t>
    </r>
    <r>
      <rPr>
        <color rgb="FF1155CC"/>
        <u/>
      </rPr>
      <t>mondayhotels.com</t>
    </r>
  </si>
  <si>
    <t>Kunafa Cravings</t>
  </si>
  <si>
    <t>Shriman Hotels LLP (Monday Hotels)</t>
  </si>
  <si>
    <t>C9VV+26,megha hills,madhapur,telangana</t>
  </si>
  <si>
    <t>Shriman Hotels LLP</t>
  </si>
  <si>
    <r>
      <rPr/>
      <t>acc.madhapur"</t>
    </r>
    <r>
      <rPr>
        <color rgb="FF1155CC"/>
        <u/>
      </rPr>
      <t>mondayhotels.com</t>
    </r>
  </si>
  <si>
    <t>Monday Hotel (Madhapur)</t>
  </si>
  <si>
    <t>Monday Premium Madhapur</t>
  </si>
  <si>
    <t xml:space="preserve">Zufra Mandi </t>
  </si>
  <si>
    <r>
      <rPr>
        <color rgb="FF1155CC"/>
        <u/>
      </rPr>
      <t>p.no:897</t>
    </r>
    <r>
      <rPr/>
      <t>,ss drive in,S.A society,khanamet,madhapur,serlingampally circle no.20,hyderabad</t>
    </r>
  </si>
  <si>
    <t>Fahad Mon Kalathingal</t>
  </si>
  <si>
    <r>
      <rPr>
        <color rgb="FF1155CC"/>
        <u/>
      </rPr>
      <t>p.no:897</t>
    </r>
    <r>
      <rPr/>
      <t>,ss drive in,S.A society,khanamet,madhapur,serlingampally circle no.20,hyderabad,500081</t>
    </r>
  </si>
  <si>
    <t>8113961718</t>
  </si>
  <si>
    <t>fahadkalathingal007@gmail.com</t>
  </si>
  <si>
    <t>HDFC0007469</t>
  </si>
  <si>
    <t>https://drive.google.com/drive/folders/1o6hYRIHqj8mwR90M6Mn0yWWaja0SjwlL?usp=sharing</t>
  </si>
  <si>
    <t>Naivedya(Taste of Prasadam)</t>
  </si>
  <si>
    <t>shop no.4,plot no.897,ss drive in,ayappa society,madhapur,chandanagar,circle no.2,hyd,telangana</t>
  </si>
  <si>
    <t>Phani Kumar</t>
  </si>
  <si>
    <t>Phani Kumar Jallipalli</t>
  </si>
  <si>
    <t>shop no.4,plot no.897,ss drive in,ayappa society,madhapur,chandanagar,circle no.2,hyd,telangana,500081</t>
  </si>
  <si>
    <t>8686886219</t>
  </si>
  <si>
    <t>enterprisesnaivedya@gmail.com</t>
  </si>
  <si>
    <t>Naviedya enterprises</t>
  </si>
  <si>
    <t>Yes bank</t>
  </si>
  <si>
    <t>;048820700000592</t>
  </si>
  <si>
    <t>YESB0000488</t>
  </si>
  <si>
    <t>https://drive.google.com/drive/folders/1pKLJme-tVhwtkJCFs6PPmYMT6UBHFANe</t>
  </si>
  <si>
    <t>Zamindar's Cafe</t>
  </si>
  <si>
    <t>12-19-46/2,kukatpally circle no.24,hyderabad,telangana</t>
  </si>
  <si>
    <t>B.Ram Singh</t>
  </si>
  <si>
    <t>Banothy Ram Singh</t>
  </si>
  <si>
    <t>12-19-46/2,kukatpally circle no.24,hyderabad,telangana,500018</t>
  </si>
  <si>
    <t>8688077052</t>
  </si>
  <si>
    <t>ramsinghbanoth000@gmail.com</t>
  </si>
  <si>
    <t>BDBL0001635</t>
  </si>
  <si>
    <t>https://drive.google.com/drive/folders/1f9-zDVyxhcKYsd9eaYMjbK6_FUq9zxFC?usp=drive_link</t>
  </si>
  <si>
    <t>All docs in -price hike has to be done</t>
  </si>
  <si>
    <t>Garuda Cafe</t>
  </si>
  <si>
    <r>
      <rPr>
        <color rgb="FF1155CC"/>
        <u/>
      </rPr>
      <t>H.NO</t>
    </r>
    <r>
      <rPr/>
      <t>:8-3-214/54/1/B-3,Madhaura nagar,Ameerpet,hyderbad,telangana</t>
    </r>
  </si>
  <si>
    <t>Sambhashivarao</t>
  </si>
  <si>
    <r>
      <rPr>
        <color rgb="FF1155CC"/>
        <u/>
      </rPr>
      <t>H.NO</t>
    </r>
    <r>
      <rPr/>
      <t>:8-3-214/54/1/B-3,Madhaura nagar,Ameerpet,hyderbad,telangana,500038</t>
    </r>
  </si>
  <si>
    <t>9370093800</t>
  </si>
  <si>
    <t>garudacafeonline@gmail.com</t>
  </si>
  <si>
    <t>ICIC0001111</t>
  </si>
  <si>
    <t>Gonguras by Garuda</t>
  </si>
  <si>
    <t>R/O plot no B3,Kundacottage,madhura nagar,Ameerpet,hyderabad,telangana</t>
  </si>
  <si>
    <t>Pavithra</t>
  </si>
  <si>
    <t>R/O plot no B3,Kundacottage,madhura nagar,Ameerpet,hyderabad,telangana,500038</t>
  </si>
  <si>
    <t>gongurasbygaruda@gmail.com</t>
  </si>
  <si>
    <t>IDFB00B0225</t>
  </si>
  <si>
    <t>Prathika Fast Food and Biryani Center</t>
  </si>
  <si>
    <r>
      <rPr>
        <color rgb="FF1155CC"/>
        <u/>
      </rPr>
      <t>H.NO</t>
    </r>
    <r>
      <rPr/>
      <t>:7-1-632/17,Bapu nagar,sanjeeva reddy nagar,Khairthabad circle no.17,hyderabad</t>
    </r>
  </si>
  <si>
    <t>Ashok Kumar</t>
  </si>
  <si>
    <t>Nanavath Ashok Kumar</t>
  </si>
  <si>
    <r>
      <rPr>
        <color rgb="FF1155CC"/>
        <u/>
      </rPr>
      <t>H.NO</t>
    </r>
    <r>
      <rPr/>
      <t>:7-1-632/17,Bapu nagar,sanjeeva reddy nagar,Khairthabad circle no.17,hyderabad,500038</t>
    </r>
  </si>
  <si>
    <t>Ashok kumar</t>
  </si>
  <si>
    <t>8688562257</t>
  </si>
  <si>
    <t>nanavathashok8@gmail.com</t>
  </si>
  <si>
    <t>Grand Lucky Restaurant</t>
  </si>
  <si>
    <t>7-1-621/289/5/A,Bapu Nagar,SR Nagar,hyderabad,telangana</t>
  </si>
  <si>
    <t>Irfaan</t>
  </si>
  <si>
    <t>7-1-621/289/5/A,Bapu Nagar,SR Nagar,hyderabad,telangana,500038</t>
  </si>
  <si>
    <t>9885835714</t>
  </si>
  <si>
    <t>irfan021085jassery@gmail.com</t>
  </si>
  <si>
    <t>Syed Irfaan Hussain Jaffery</t>
  </si>
  <si>
    <t>IDIB000D102</t>
  </si>
  <si>
    <t>Lassi Story</t>
  </si>
  <si>
    <t>Flat no.909,block-A,Raghavendra's Mirra Pan chajan,Miyapur,AS Raj Miyapur,serlingampally circle no.20</t>
  </si>
  <si>
    <t>G.Bhanu Prasad</t>
  </si>
  <si>
    <t>Gorijala Bhanu Prasad</t>
  </si>
  <si>
    <t>Flat no.909,block-A,Raghavendra's Mirra Pan chajan,Miyapur,AS Raj Miyapur,serlingampally circle no.20,500049</t>
  </si>
  <si>
    <t>7386840498</t>
  </si>
  <si>
    <t>lassistorymayurinagark@gmail.com</t>
  </si>
  <si>
    <t>Bhanu Food Hub</t>
  </si>
  <si>
    <t>Ch Raja Anvesh C/O Ulava Padu Biryani and Pulaos</t>
  </si>
  <si>
    <t>32B,Opposite,Community Hall,SR Nagar,Hyderabad,Khairthabad circle no.17,Hyd,Telangana</t>
  </si>
  <si>
    <t>Raja Chandra Sekhar Chevula</t>
  </si>
  <si>
    <t>CH.Raja Anvesh</t>
  </si>
  <si>
    <t>32B,Opposite,Community Hall,SR Nagar,Hyderabad,Khairthabad circle no.17,Hyd,Telangana,500038</t>
  </si>
  <si>
    <t>Avensh</t>
  </si>
  <si>
    <t>9010667686</t>
  </si>
  <si>
    <t>ulavapudubiryanispulaos@gmail.com</t>
  </si>
  <si>
    <t>Ulavapudu Biryani and Pulaos</t>
  </si>
  <si>
    <t>ICIC0001119</t>
  </si>
  <si>
    <t>Olden Days Tiffins</t>
  </si>
  <si>
    <t>Kalidini Swathi</t>
  </si>
  <si>
    <t>Kaldini Swathi</t>
  </si>
  <si>
    <t>Oldendays Tiffins</t>
  </si>
  <si>
    <t>SBIN0020072</t>
  </si>
  <si>
    <t>Aaha Kitchen</t>
  </si>
  <si>
    <r>
      <rPr>
        <color rgb="FF1155CC"/>
        <u/>
      </rPr>
      <t>H.NO</t>
    </r>
    <r>
      <rPr/>
      <t>:7-1-209,Sy No.153,Sanjeeva Reddy Nagar,Ameerpet,Hyderabad,Telanagana</t>
    </r>
  </si>
  <si>
    <t>HemKumar</t>
  </si>
  <si>
    <t xml:space="preserve">Aaha Kitchen </t>
  </si>
  <si>
    <r>
      <rPr>
        <color rgb="FF1155CC"/>
        <u/>
      </rPr>
      <t>H.NO</t>
    </r>
    <r>
      <rPr/>
      <t>:7-1-209,Sy No.153,Sanjeeva Reddy Nagar,Ameerpet,Hyderabad,Telanagana,500038</t>
    </r>
  </si>
  <si>
    <t>8790664378</t>
  </si>
  <si>
    <t>anandobrahma2022@gmail.com</t>
  </si>
  <si>
    <t>Anandobrahma</t>
  </si>
  <si>
    <t>ICIC0002363</t>
  </si>
  <si>
    <t>Anandobrabma</t>
  </si>
  <si>
    <r>
      <rPr>
        <color rgb="FF1155CC"/>
        <u/>
      </rPr>
      <t>H.NO</t>
    </r>
    <r>
      <rPr/>
      <t>:7-1-209,Sy No.153,Sanjeeva Reddy Nagar,Ameerpet,Hyderabad,Telanagana</t>
    </r>
  </si>
  <si>
    <r>
      <rPr>
        <color rgb="FF1155CC"/>
        <u/>
      </rPr>
      <t>H.NO</t>
    </r>
    <r>
      <rPr/>
      <t>:7-1-209,Sy No.153,Sanjeeva Reddy Nagar,Ameerpet,Hyderabad,Telanagana,500038</t>
    </r>
  </si>
  <si>
    <t>Restaurant name</t>
  </si>
  <si>
    <t xml:space="preserve">location </t>
  </si>
  <si>
    <t>poc name</t>
  </si>
  <si>
    <t>contact no.</t>
  </si>
  <si>
    <t>person went</t>
  </si>
  <si>
    <t>comment</t>
  </si>
  <si>
    <t>Follow up date</t>
  </si>
  <si>
    <t>Follow up time</t>
  </si>
  <si>
    <t>Google links</t>
  </si>
  <si>
    <t>Column 11</t>
  </si>
  <si>
    <t>Column 12</t>
  </si>
  <si>
    <t>Column 13</t>
  </si>
  <si>
    <t>Column 14</t>
  </si>
  <si>
    <t>Column 15</t>
  </si>
  <si>
    <t>Column 16</t>
  </si>
  <si>
    <t>Column 17</t>
  </si>
  <si>
    <t>Column 18</t>
  </si>
  <si>
    <t>Column 19</t>
  </si>
  <si>
    <t>Column 20</t>
  </si>
  <si>
    <t>Column 21</t>
  </si>
  <si>
    <t>Column 22</t>
  </si>
  <si>
    <t>Column 23</t>
  </si>
  <si>
    <t>Column 24</t>
  </si>
  <si>
    <t>Column 25</t>
  </si>
  <si>
    <t>Column 26</t>
  </si>
  <si>
    <t>Beyniaz shawarm</t>
  </si>
  <si>
    <t xml:space="preserve">Ameerpet </t>
  </si>
  <si>
    <t xml:space="preserve">tarun </t>
  </si>
  <si>
    <t>sumadhur</t>
  </si>
  <si>
    <t>Today 4pm</t>
  </si>
  <si>
    <t>Pachakattu dosa</t>
  </si>
  <si>
    <t xml:space="preserve">mukesh </t>
  </si>
  <si>
    <t xml:space="preserve">moin.khan@capsdelivery.com </t>
  </si>
  <si>
    <t>Tommorow</t>
  </si>
  <si>
    <t xml:space="preserve">cake factory </t>
  </si>
  <si>
    <t>owner will get back</t>
  </si>
  <si>
    <t xml:space="preserve">SSR FOOD zone </t>
  </si>
  <si>
    <t>onboarded</t>
  </si>
  <si>
    <t>1000 Biryani</t>
  </si>
  <si>
    <t>Pondy parottas</t>
  </si>
  <si>
    <t>owner available after 2pm</t>
  </si>
  <si>
    <t>Roti Ruchulu</t>
  </si>
  <si>
    <t>Discuss with the partner</t>
  </si>
  <si>
    <t>Bojam taiyaru</t>
  </si>
  <si>
    <t>intersted will get back to us tomorrow by 6pm</t>
  </si>
  <si>
    <t>Vela bites</t>
  </si>
  <si>
    <t>Akhil Reddy</t>
  </si>
  <si>
    <t>meet on wednesday for onboarding</t>
  </si>
  <si>
    <t xml:space="preserve">Bowls and Bites </t>
  </si>
  <si>
    <t>owner will be available after 2 to 3 hours</t>
  </si>
  <si>
    <t xml:space="preserve">Hari Balaji Dhaba </t>
  </si>
  <si>
    <t>Pappanam</t>
  </si>
  <si>
    <t>Sai Krishna</t>
  </si>
  <si>
    <t>meet tomorrow sai krishna</t>
  </si>
  <si>
    <t>Grand Spicy Bawarchi</t>
  </si>
  <si>
    <t>Muqeeb</t>
  </si>
  <si>
    <t>owner not available</t>
  </si>
  <si>
    <t xml:space="preserve">The Good Sparrow Millests food </t>
  </si>
  <si>
    <t>Kondapur/miyapur/Chandanagar</t>
  </si>
  <si>
    <t>onboarded 3 oulets</t>
  </si>
  <si>
    <t>Dinesh reddy</t>
  </si>
  <si>
    <t>he will meet after a week</t>
  </si>
  <si>
    <t>Abhiruchi Biryani</t>
  </si>
  <si>
    <t>will be onboarding tommorow</t>
  </si>
  <si>
    <t>Mehfil Restaurant</t>
  </si>
  <si>
    <t>will be available on wednesday</t>
  </si>
  <si>
    <t>mandi@36 arabian kitchen</t>
  </si>
  <si>
    <t>meet owner at banjara hills in evenig times</t>
  </si>
  <si>
    <t>Darbar Family</t>
  </si>
  <si>
    <t>owner will available tomorrow at 12pm</t>
  </si>
  <si>
    <t>The Bougainvillea</t>
  </si>
  <si>
    <t>Jubliee Hills</t>
  </si>
  <si>
    <t>intersted he need a trail run once with our app</t>
  </si>
  <si>
    <t>Toppa</t>
  </si>
  <si>
    <t>manager wiil be available after 4pm</t>
  </si>
  <si>
    <t>The Hole In The Wall Cafe</t>
  </si>
  <si>
    <t>we can meet tomorrow</t>
  </si>
  <si>
    <t>he needs lesser cpmmission than 17%</t>
  </si>
  <si>
    <t>Concu</t>
  </si>
  <si>
    <t>they will get back to us as they want detailed in everthing</t>
  </si>
  <si>
    <t>Brown Bear</t>
  </si>
  <si>
    <t>he will talk with MD and get back tomorrow</t>
  </si>
  <si>
    <t>99 Pancake</t>
  </si>
  <si>
    <t>interstead get back tomorrow</t>
  </si>
  <si>
    <t>Rivora the cafe</t>
  </si>
  <si>
    <t>Nasir</t>
  </si>
  <si>
    <t>as documents not available in this branch going to onboard tomorrow</t>
  </si>
  <si>
    <t>Coffee Place</t>
  </si>
  <si>
    <t>interseted get back tomorrow</t>
  </si>
  <si>
    <t>Veeramagearu vantillu</t>
  </si>
  <si>
    <t>Bhadrakali hotel</t>
  </si>
  <si>
    <t>owner will get back tomorrow</t>
  </si>
  <si>
    <t>North indian hub only veg</t>
  </si>
  <si>
    <t>Kavya Tiffins</t>
  </si>
  <si>
    <t>tomorrow morning will be onboarded</t>
  </si>
  <si>
    <t>Heart cup coffee</t>
  </si>
  <si>
    <t>meeting fixed at 6pm</t>
  </si>
  <si>
    <t>Deccan chillis</t>
  </si>
  <si>
    <t>meeting tomorrow with the owner</t>
  </si>
  <si>
    <t>Lassi Store</t>
  </si>
  <si>
    <t>the owner is free after 8pm</t>
  </si>
  <si>
    <t>Aanandobrahma</t>
  </si>
  <si>
    <t>the owner is free after 7pm</t>
  </si>
  <si>
    <t>kush mandi</t>
  </si>
  <si>
    <t>will onboarded by thursday</t>
  </si>
  <si>
    <t>kadak house</t>
  </si>
  <si>
    <t>zaki</t>
  </si>
  <si>
    <t>Frost Bakery</t>
  </si>
  <si>
    <t>Frsot Bake Studio</t>
  </si>
  <si>
    <t xml:space="preserve">Just So wow cakes </t>
  </si>
  <si>
    <t>Donut O'clock</t>
  </si>
  <si>
    <t xml:space="preserve">C'est la vie bakes and cakes </t>
  </si>
  <si>
    <t>Say Cheese Patisserie</t>
  </si>
  <si>
    <t>La Boulangerie</t>
  </si>
  <si>
    <t>Veera di chaap</t>
  </si>
  <si>
    <t>Gupshup bistro</t>
  </si>
  <si>
    <t>Pakwan Grand</t>
  </si>
  <si>
    <t>owner will be onboard after the app</t>
  </si>
  <si>
    <t>Cafe reels</t>
  </si>
  <si>
    <t>I love Godavari</t>
  </si>
  <si>
    <t>Satya</t>
  </si>
  <si>
    <t>owner not available asked to come tomorrow</t>
  </si>
  <si>
    <t>Lucky Restaurant</t>
  </si>
  <si>
    <t xml:space="preserve">onboarded </t>
  </si>
  <si>
    <t>Sandarshini udipi pure veg</t>
  </si>
  <si>
    <t>Mahesh</t>
  </si>
  <si>
    <t>Not available asked to come tomorrow</t>
  </si>
  <si>
    <t xml:space="preserve">Cafe nandhini veg deluxe </t>
  </si>
  <si>
    <t>Hitech-city</t>
  </si>
  <si>
    <t>Rohith</t>
  </si>
  <si>
    <t>He has 12 outlets the owner is not available once he come back will arrange meeting ,got the manager number to follow up</t>
  </si>
  <si>
    <t>Good Flipping Burgers</t>
  </si>
  <si>
    <t>Head office in mumbai Area manager is in kondapur have to meet him in kondapur</t>
  </si>
  <si>
    <t xml:space="preserve">Cream Stone </t>
  </si>
  <si>
    <t>Anji</t>
  </si>
  <si>
    <t>owner is not available today so we scheduled a meeting after 11pm</t>
  </si>
  <si>
    <t>Scoops</t>
  </si>
  <si>
    <t>Froops</t>
  </si>
  <si>
    <t>Sarvi Restaurant</t>
  </si>
  <si>
    <t>Danial</t>
  </si>
  <si>
    <t xml:space="preserve">Asked to call at 5pm and check whether the owner is available or not </t>
  </si>
  <si>
    <t>500Foodies club</t>
  </si>
  <si>
    <t>uma(owner)</t>
  </si>
  <si>
    <t>owner will be available after 1 hour</t>
  </si>
  <si>
    <t xml:space="preserve">Habibi Mandi </t>
  </si>
  <si>
    <t>manager will be available after 3pm</t>
  </si>
  <si>
    <t>Krimmy Thickshakes</t>
  </si>
  <si>
    <t>Zakil(owner)</t>
  </si>
  <si>
    <t>Has 7 outlets owner available at 3:30pm</t>
  </si>
  <si>
    <t>Tipsy Topsy Bakers</t>
  </si>
  <si>
    <t>Zunaid</t>
  </si>
  <si>
    <t>call after 3</t>
  </si>
  <si>
    <t>New aritaku bhojanam</t>
  </si>
  <si>
    <t>The owner said to approch after the product lauch</t>
  </si>
  <si>
    <t>Brundavan pure veg</t>
  </si>
  <si>
    <t>shankara vara prasad</t>
  </si>
  <si>
    <t>main branch is in sr nagar can meet the owner there between 4-6pm</t>
  </si>
  <si>
    <t xml:space="preserve">Mozo pizza </t>
  </si>
  <si>
    <t>head office in mumbai Area manager is in kondapur have to meet him in kondapur</t>
  </si>
  <si>
    <t>Chubby cho</t>
  </si>
  <si>
    <t>Rajesh</t>
  </si>
  <si>
    <t>can meet the decision maker directly tomorrow</t>
  </si>
  <si>
    <t>Maraheb mandi</t>
  </si>
  <si>
    <t>can meet the owner after 2pm</t>
  </si>
  <si>
    <t>Arabian nights mandi</t>
  </si>
  <si>
    <t>can meet the owner after 6pm</t>
  </si>
  <si>
    <t>Punhabi affair</t>
  </si>
  <si>
    <t>santosh</t>
  </si>
  <si>
    <t>has 3 outlets owner will be available after 10 days</t>
  </si>
  <si>
    <t>yum yum tree</t>
  </si>
  <si>
    <t>sadhaam(manager)</t>
  </si>
  <si>
    <t>manager will be available after 8pm and has 7 outlets</t>
  </si>
  <si>
    <t>mandi king</t>
  </si>
  <si>
    <t>Ashwaq</t>
  </si>
  <si>
    <t>meet him in mehdipatnam branch</t>
  </si>
  <si>
    <t>mekong</t>
  </si>
  <si>
    <t>asked to call back after 3:30pm for the manager's availabilty</t>
  </si>
  <si>
    <t>Sithara</t>
  </si>
  <si>
    <t>Arvind Chowdary(owner)</t>
  </si>
  <si>
    <t>Had a word with him him asked to call back after 10 days due to renovation</t>
  </si>
  <si>
    <t>Aqeeq Restaurant</t>
  </si>
  <si>
    <t xml:space="preserve">majid </t>
  </si>
  <si>
    <t>owner not available today asked to come wednesday</t>
  </si>
  <si>
    <t>vasireddy swagruha foods</t>
  </si>
  <si>
    <t>upendra</t>
  </si>
  <si>
    <t>call again later busy</t>
  </si>
  <si>
    <t xml:space="preserve">Belgian waffle </t>
  </si>
  <si>
    <t>manoj and area manager (Avinash)</t>
  </si>
  <si>
    <t>call not answered</t>
  </si>
  <si>
    <t>Reddy Brothers</t>
  </si>
  <si>
    <t>meet afrer 8pm before call and coem</t>
  </si>
  <si>
    <t>Hiyya the chronic mandi</t>
  </si>
  <si>
    <t>swathi(manager)</t>
  </si>
  <si>
    <t>Manager will discuss with the owner, for the follow up i will call tomorrow</t>
  </si>
  <si>
    <t>Vellanki foods</t>
  </si>
  <si>
    <t>Any discussion should be done in kondapur main branch</t>
  </si>
  <si>
    <t>Pragathi sweets and savouries</t>
  </si>
  <si>
    <t>chandrashekar</t>
  </si>
  <si>
    <t>Head office in kukatpally have to visit directly</t>
  </si>
  <si>
    <t>Tinnu mawa</t>
  </si>
  <si>
    <t>ready to onboarded by 4-5 in the evening need his brothers signature</t>
  </si>
  <si>
    <t xml:space="preserve">Biryanis and more </t>
  </si>
  <si>
    <t>All decision are taken at Gachibowli branch. They told to talk to their marketing manager santhosh</t>
  </si>
  <si>
    <t>Toscano</t>
  </si>
  <si>
    <t>Bala</t>
  </si>
  <si>
    <t xml:space="preserve">Owner is in Banglore </t>
  </si>
  <si>
    <t>Navarasa</t>
  </si>
  <si>
    <t xml:space="preserve">Naveen </t>
  </si>
  <si>
    <t>He will call at 5pm now he is occupied with some work</t>
  </si>
  <si>
    <t>Frozen Bottles</t>
  </si>
  <si>
    <t>Brurma Restaurant</t>
  </si>
  <si>
    <t>kajal</t>
  </si>
  <si>
    <t>Discussed with the manager he shared our info with the marketing team once they get back manager will approch us</t>
  </si>
  <si>
    <t>Hard rock cafe</t>
  </si>
  <si>
    <t xml:space="preserve">Hitech city </t>
  </si>
  <si>
    <t>Ali firoz</t>
  </si>
  <si>
    <t>Discussed with manager, he is intersted but he need the proposal to sent on email with clear points about or platform and commission and the offers so that he can discuss with his higher officilals for approval</t>
  </si>
  <si>
    <t>Itlu Bobbatlu</t>
  </si>
  <si>
    <t>we are onboarding tomorrow</t>
  </si>
  <si>
    <t>Gabru Di chaap</t>
  </si>
  <si>
    <t>Fayz</t>
  </si>
  <si>
    <t>He will talk with the Marketing Team and inform tomorrow as he has 9 outlets</t>
  </si>
  <si>
    <t>Wow momo</t>
  </si>
  <si>
    <t>srinu</t>
  </si>
  <si>
    <t>After 5 he will available in the outlet as he has 35+outlets in hyd</t>
  </si>
  <si>
    <t>wow chicken</t>
  </si>
  <si>
    <t>manager will be available after 7pm they are not ready to give phone number or email id as they has 500+outlets</t>
  </si>
  <si>
    <t xml:space="preserve">Monday premium </t>
  </si>
  <si>
    <t>Onboarded</t>
  </si>
  <si>
    <t>Shahi Rasoi family Restaurant</t>
  </si>
  <si>
    <t>sahil</t>
  </si>
  <si>
    <t xml:space="preserve">owner will be available on friday as he is out of station </t>
  </si>
  <si>
    <t xml:space="preserve">Donne biryani house </t>
  </si>
  <si>
    <t>Rajshekhar(owner)</t>
  </si>
  <si>
    <t>has 8 outlerts owner will be available</t>
  </si>
  <si>
    <t>The emperor</t>
  </si>
  <si>
    <t>Satyanarayan mithai bhandar</t>
  </si>
  <si>
    <t>They have 3 branches decision are taken at main branch which is in begum bazar</t>
  </si>
  <si>
    <t>sm group, food network, by the bottle , president dhaba, krishnapatnam</t>
  </si>
  <si>
    <t xml:space="preserve">we have visited all this The decision maker will be available after feb 15 we have gm number same gm for president dhaba and krishnapatanam and by the bottle is only for dinein </t>
  </si>
  <si>
    <t>California Burrito</t>
  </si>
  <si>
    <t>surjit,Rithik(marketing team)</t>
  </si>
  <si>
    <t>outler 25 This member are the main contarcts for 25 outlets we can contact them</t>
  </si>
  <si>
    <t>mandi 36</t>
  </si>
  <si>
    <t>syed varis(owner)</t>
  </si>
  <si>
    <t>owner is not available today today asked to visit tomorrow</t>
  </si>
  <si>
    <t>parampara</t>
  </si>
  <si>
    <t>ali</t>
  </si>
  <si>
    <t>will meet after 7pm today</t>
  </si>
  <si>
    <t>maryada ramanna</t>
  </si>
  <si>
    <t xml:space="preserve">the manager will be available after 6:30 pm for discussion </t>
  </si>
  <si>
    <t>4 season</t>
  </si>
  <si>
    <t>main branch tolichowki manager will be available over there and has 3 outlets</t>
  </si>
  <si>
    <t>balaji family dhaba</t>
  </si>
  <si>
    <t xml:space="preserve">poc didn't give the number </t>
  </si>
  <si>
    <t xml:space="preserve">Barbeque nation </t>
  </si>
  <si>
    <t>head office in attapur asked to visit there directly</t>
  </si>
  <si>
    <t xml:space="preserve">Onesta pizzeria </t>
  </si>
  <si>
    <t xml:space="preserve">syed habid </t>
  </si>
  <si>
    <t>area manager in banglore</t>
  </si>
  <si>
    <t>kake di hatti</t>
  </si>
  <si>
    <t>prabhakar</t>
  </si>
  <si>
    <t>owner will be available ar Restaurant at 9 pm</t>
  </si>
  <si>
    <t>rayalaseema ruchulu</t>
  </si>
  <si>
    <t xml:space="preserve">rahini </t>
  </si>
  <si>
    <t>asked to discuss with the team and follow up meeting scheduled tomorrow at 10am in the marketing office</t>
  </si>
  <si>
    <t>rayalaseema spice</t>
  </si>
  <si>
    <t>narsigin rao</t>
  </si>
  <si>
    <t>he will discuss the owner and let us know</t>
  </si>
  <si>
    <t xml:space="preserve">4 season </t>
  </si>
  <si>
    <t>towli chowki</t>
  </si>
  <si>
    <t>zubair</t>
  </si>
  <si>
    <t>owner is in saudi will be back on a week asked to call after a week</t>
  </si>
  <si>
    <t>cafe cilantro</t>
  </si>
  <si>
    <t>she will discuss with owner and get back us</t>
  </si>
  <si>
    <t>vaikuntapuram</t>
  </si>
  <si>
    <t>venkatesh</t>
  </si>
  <si>
    <t xml:space="preserve">simply parottas </t>
  </si>
  <si>
    <t xml:space="preserve">Rupesh </t>
  </si>
  <si>
    <t>have expalined everything to the manager and he said he'll fix an appointement with the owners. told me to follow up on thursday</t>
  </si>
  <si>
    <t>soy N sesame New york slice pizza</t>
  </si>
  <si>
    <t>Bombay juice</t>
  </si>
  <si>
    <t>Appoitnment fixed tomorrow at 3pm</t>
  </si>
  <si>
    <t>mama thinu</t>
  </si>
  <si>
    <t>sai krishna</t>
  </si>
  <si>
    <t>Habibo</t>
  </si>
  <si>
    <t xml:space="preserve">spoke with the manager he said he'll call back </t>
  </si>
  <si>
    <t>Ice and spice</t>
  </si>
  <si>
    <t>Towlichowki</t>
  </si>
  <si>
    <t>Shakeel</t>
  </si>
  <si>
    <t>owner will talk with his partner and call back</t>
  </si>
  <si>
    <t>Arman hotel</t>
  </si>
  <si>
    <t>medhipatnam</t>
  </si>
  <si>
    <t>Ayub Quereshi</t>
  </si>
  <si>
    <t>owner will be available at 11pm in evening</t>
  </si>
  <si>
    <t>Palle vindu</t>
  </si>
  <si>
    <t>Shankar</t>
  </si>
  <si>
    <t xml:space="preserve">Manager is not available at the moment, I tired calling him but not reachable </t>
  </si>
  <si>
    <t>manasa.chigurupati@capsdelivery.com kitchen and Swagruha Sweets</t>
  </si>
  <si>
    <t>suryakantham</t>
  </si>
  <si>
    <t>Mahesh war rao</t>
  </si>
  <si>
    <t>As documents are not available now and need to discuss with MD asked to come tom</t>
  </si>
  <si>
    <t>D and D caters</t>
  </si>
  <si>
    <t>Ramya</t>
  </si>
  <si>
    <t>will onboard next sunday</t>
  </si>
  <si>
    <t>Chantabbai</t>
  </si>
  <si>
    <t>intersted to onboard 6 oulets will meet at jubliee hills today before 5pm</t>
  </si>
  <si>
    <t>Santosh dhaba</t>
  </si>
  <si>
    <t>Thalmal</t>
  </si>
  <si>
    <t>onwer will be available at 3pm</t>
  </si>
  <si>
    <t xml:space="preserve">samjam's pizza </t>
  </si>
  <si>
    <t>has 4 outlets owner will be available in half an hour will follow back</t>
  </si>
  <si>
    <t>TOC-The Original Chef</t>
  </si>
  <si>
    <t>has 2 outlet owner will be available after 2 houra</t>
  </si>
  <si>
    <t>kanch cafe</t>
  </si>
  <si>
    <t>Dhakshina murthy</t>
  </si>
  <si>
    <t>manager is not available now he will available in evening time</t>
  </si>
  <si>
    <t>Raju gari pulav</t>
  </si>
  <si>
    <t xml:space="preserve">jubliee hills </t>
  </si>
  <si>
    <t>srinivas</t>
  </si>
  <si>
    <t>interested he needs to discuss with other partners asked to visit again 2 days</t>
  </si>
  <si>
    <t>china town</t>
  </si>
  <si>
    <t xml:space="preserve">srinivas </t>
  </si>
  <si>
    <t>Gabbar dhaba</t>
  </si>
  <si>
    <t>Dosthugallu mandi</t>
  </si>
  <si>
    <t>sandhya rani</t>
  </si>
  <si>
    <t xml:space="preserve">has 2 outlet when owner come he will inform </t>
  </si>
  <si>
    <t>Namesthe</t>
  </si>
  <si>
    <t>he will talk with the owner and let us know</t>
  </si>
  <si>
    <t xml:space="preserve">owner not available asked to come Friday for onboarding </t>
  </si>
  <si>
    <t>abu layed bait</t>
  </si>
  <si>
    <t>abdul</t>
  </si>
  <si>
    <t>zomato order per day 40-50 Aov 400-500 manager will be available in the evening after 6pm</t>
  </si>
  <si>
    <t xml:space="preserve">spicy express </t>
  </si>
  <si>
    <t>Balu</t>
  </si>
  <si>
    <t>Ready for onboarding but he needs 2 days time</t>
  </si>
  <si>
    <t>The indian wok</t>
  </si>
  <si>
    <t>adi</t>
  </si>
  <si>
    <t>Need to discuss with other partners I will follow up</t>
  </si>
  <si>
    <t xml:space="preserve">sangam veg affair </t>
  </si>
  <si>
    <t>anil</t>
  </si>
  <si>
    <t xml:space="preserve">present owner is out of station he will be back after one week </t>
  </si>
  <si>
    <t>pappanmam</t>
  </si>
  <si>
    <t xml:space="preserve">Hitech City </t>
  </si>
  <si>
    <t>Chandrashekhar</t>
  </si>
  <si>
    <t>owner is busy he said to follow up after 4 days</t>
  </si>
  <si>
    <t>Chintamani Pulaos</t>
  </si>
  <si>
    <t>Daily orders : 80-100(might vary according to the weekend and weekends) Monthly revenue from online platforms :  500000 Discussed with @⁨~Manisha.poddar@capsdelivery.com Kumari⁩ and closing them on 16% base (16++)</t>
  </si>
  <si>
    <t xml:space="preserve">7 spices </t>
  </si>
  <si>
    <t xml:space="preserve">Mehdipatnam </t>
  </si>
  <si>
    <t>Ali</t>
  </si>
  <si>
    <t xml:space="preserve">owner will be available tomorrow </t>
  </si>
  <si>
    <t>Royal arabian mandi</t>
  </si>
  <si>
    <t>ashfaq</t>
  </si>
  <si>
    <t>brew and blow heaven coffee shop</t>
  </si>
  <si>
    <t>deepak</t>
  </si>
  <si>
    <t>Eden ice treats</t>
  </si>
  <si>
    <t>Jagdish roy</t>
  </si>
  <si>
    <t xml:space="preserve">Arabian vibes </t>
  </si>
  <si>
    <t>ibrahim</t>
  </si>
  <si>
    <t xml:space="preserve">will talk with the partner and inform tomorrow </t>
  </si>
  <si>
    <t xml:space="preserve">Aromas </t>
  </si>
  <si>
    <t>meeting fixed with the owner at 4pm today</t>
  </si>
  <si>
    <t xml:space="preserve">Hari dosa </t>
  </si>
  <si>
    <t>hari</t>
  </si>
  <si>
    <t xml:space="preserve">Asked me call back at 6pm for futher discussion </t>
  </si>
  <si>
    <t>Biryani and co</t>
  </si>
  <si>
    <t>Raza</t>
  </si>
  <si>
    <t>told to meet after 6:30 pm order per 30</t>
  </si>
  <si>
    <t xml:space="preserve">Royal tiffin centre </t>
  </si>
  <si>
    <t>Banjara hills,beside tv9</t>
  </si>
  <si>
    <t xml:space="preserve">owner will be available after 8:00 p.m. </t>
  </si>
  <si>
    <t>Ali seasons xprs</t>
  </si>
  <si>
    <t>sridhar</t>
  </si>
  <si>
    <t>manager is on leave available after 2 days</t>
  </si>
  <si>
    <t>shohrat</t>
  </si>
  <si>
    <t>sameer</t>
  </si>
  <si>
    <t>call and meet after 7pm</t>
  </si>
  <si>
    <t xml:space="preserve">Deccan biryani house and restaurant </t>
  </si>
  <si>
    <t xml:space="preserve">Panjagutta </t>
  </si>
  <si>
    <t>mohd amjad khan</t>
  </si>
  <si>
    <t>owner will be available after 8pm</t>
  </si>
  <si>
    <t xml:space="preserve">The thick shake factory </t>
  </si>
  <si>
    <t xml:space="preserve">Tasty fried chicken </t>
  </si>
  <si>
    <t xml:space="preserve">Arvind Reddy </t>
  </si>
  <si>
    <t>call after 6pm</t>
  </si>
  <si>
    <t>The shawarma kingdom</t>
  </si>
  <si>
    <t>aliaz</t>
  </si>
  <si>
    <t xml:space="preserve">number not given owner not available </t>
  </si>
  <si>
    <t>Raw bakers</t>
  </si>
  <si>
    <t xml:space="preserve">Pranay </t>
  </si>
  <si>
    <t xml:space="preserve">Discussed with one partner,ready to onboard and he need to discuss with other partner </t>
  </si>
  <si>
    <t xml:space="preserve">South n spice </t>
  </si>
  <si>
    <t>Abib</t>
  </si>
  <si>
    <t>Discussion done with owner,he need to check with his brother,follow up tomorrow in the evening after 18:00PM</t>
  </si>
  <si>
    <t>Mr faddy</t>
  </si>
  <si>
    <t xml:space="preserve">Tolichowki </t>
  </si>
  <si>
    <t>Hussain</t>
  </si>
  <si>
    <t xml:space="preserve">owner not available today asked to visit tomorrow </t>
  </si>
  <si>
    <t>vibe check</t>
  </si>
  <si>
    <t>abrar</t>
  </si>
  <si>
    <t>owner is in banglore will call once he is back</t>
  </si>
  <si>
    <t>crispy days</t>
  </si>
  <si>
    <t xml:space="preserve">has given my contact details he said he will follow up </t>
  </si>
  <si>
    <t xml:space="preserve">gyros doner by nice juice centre </t>
  </si>
  <si>
    <t>Abdul malik</t>
  </si>
  <si>
    <t>Owner asked to visit on friday as he is not available today and tommrow</t>
  </si>
  <si>
    <t xml:space="preserve">Qubz the shawarma revolution </t>
  </si>
  <si>
    <t>he will onboard tomorrow at 4pm</t>
  </si>
  <si>
    <t>kabul darbar</t>
  </si>
  <si>
    <t xml:space="preserve">shakeel </t>
  </si>
  <si>
    <t>owner will be available after 9pm</t>
  </si>
  <si>
    <t>karam dosa</t>
  </si>
  <si>
    <t>Prashant reddy</t>
  </si>
  <si>
    <t xml:space="preserve">spoke with him on call he said to meet at Saturday </t>
  </si>
  <si>
    <t>Ramu Villas</t>
  </si>
  <si>
    <t xml:space="preserve">will be available tomorrow </t>
  </si>
  <si>
    <t>viyyalavari sweets</t>
  </si>
  <si>
    <t>Hazrat</t>
  </si>
  <si>
    <t>he will onboarde 2 outlet tomorrow at Kukatpally branch after 7pm</t>
  </si>
  <si>
    <t>Aha</t>
  </si>
  <si>
    <t>raju</t>
  </si>
  <si>
    <t xml:space="preserve">owner will meet at 1990 restaurant tomorrow </t>
  </si>
  <si>
    <t>cafe morning raaga</t>
  </si>
  <si>
    <t xml:space="preserve">owner will be available after 6pm number not given </t>
  </si>
  <si>
    <t>military rajaana hotel</t>
  </si>
  <si>
    <t xml:space="preserve">manager will be available tomorrow </t>
  </si>
  <si>
    <t>sree vakula kitchen</t>
  </si>
  <si>
    <t>mahesh(nikithi)</t>
  </si>
  <si>
    <t>owner will be available after 3 days we can meet him</t>
  </si>
  <si>
    <t xml:space="preserve">Dragon restaurant </t>
  </si>
  <si>
    <t>shekhar</t>
  </si>
  <si>
    <t xml:space="preserve">he will connect with his partner and get back for 2 branches onboarding </t>
  </si>
  <si>
    <t xml:space="preserve">Tadipatri briyani </t>
  </si>
  <si>
    <t xml:space="preserve">per day order 25 AOV is 750 plus Told to meet at 2pm to discuss regarding commission </t>
  </si>
  <si>
    <t xml:space="preserve">MM cake factory and bakers </t>
  </si>
  <si>
    <t xml:space="preserve">Onboarded </t>
  </si>
  <si>
    <t xml:space="preserve">kings briyani adda </t>
  </si>
  <si>
    <t xml:space="preserve">Mahesh </t>
  </si>
  <si>
    <t>ready for onboarding asked me to meet tomorrow after 6pm</t>
  </si>
  <si>
    <t>Ma pottam ma Istam</t>
  </si>
  <si>
    <t>Thaiq,manchu manoj(owner)</t>
  </si>
  <si>
    <t xml:space="preserve">Tomorrow morning have to visit for onboarding </t>
  </si>
  <si>
    <t xml:space="preserve">kohinoor restaurant </t>
  </si>
  <si>
    <t>sajaz</t>
  </si>
  <si>
    <t>owner need 1 day time</t>
  </si>
  <si>
    <t>Sthali</t>
  </si>
  <si>
    <t>number not given manager will be available tomorrow afternoon</t>
  </si>
  <si>
    <t xml:space="preserve">Ice and Spice </t>
  </si>
  <si>
    <t>wajid</t>
  </si>
  <si>
    <t>owner said he will talk tomorrow</t>
  </si>
  <si>
    <t>Pooja dins inn</t>
  </si>
  <si>
    <t xml:space="preserve">Shubham grand family restaurant </t>
  </si>
  <si>
    <t xml:space="preserve">the  turban taste </t>
  </si>
  <si>
    <t>Amerrpet</t>
  </si>
  <si>
    <t>param</t>
  </si>
  <si>
    <t>follow up on monday</t>
  </si>
  <si>
    <t>cake exotica bakers</t>
  </si>
  <si>
    <t>Basha</t>
  </si>
  <si>
    <t>asked to meet after 2pm</t>
  </si>
  <si>
    <t>Arabian food corner</t>
  </si>
  <si>
    <t>We got the owner number Afc 2-3 pm we can call Daily orders 50 Order value 450 He have 2 outlet In new outlet they don’t have any Swiggy or Zomato</t>
  </si>
  <si>
    <t xml:space="preserve">Al rahman bakery </t>
  </si>
  <si>
    <t>Order value is -400 above He is not using any apps because of commissions and other reasons We talked we need to follow up</t>
  </si>
  <si>
    <t>Mayudri foods</t>
  </si>
  <si>
    <t>madhura nagar</t>
  </si>
  <si>
    <t>krishna</t>
  </si>
  <si>
    <t>owner is out of station follow up via call 4 branches</t>
  </si>
  <si>
    <t>Garuda cafe and new gongura</t>
  </si>
  <si>
    <t>shiva</t>
  </si>
  <si>
    <t>ready for onboarding asked to visit on 18-02-26 because their new Restaurant is lauching he will onboard on that day</t>
  </si>
  <si>
    <t>Honey foods</t>
  </si>
  <si>
    <t>have 5 outlets gave decision makers number</t>
  </si>
  <si>
    <t>Al baik cakes and Restaurant</t>
  </si>
  <si>
    <t>We can meet owner directly at 5 pm today Aov - 400 + They are in both Swiggy and Zomato Daily -15 -20 orders</t>
  </si>
  <si>
    <t>kalingapatnam</t>
  </si>
  <si>
    <t>vijay</t>
  </si>
  <si>
    <t>will get back on monday</t>
  </si>
  <si>
    <t>palleturi dosa</t>
  </si>
  <si>
    <t>praveen</t>
  </si>
  <si>
    <t>available after 6pm in the Restaurant 30 orders on online platform 60 on weekends</t>
  </si>
  <si>
    <t>kochinspices</t>
  </si>
  <si>
    <t>jeff</t>
  </si>
  <si>
    <t>200orders per day on online platform AOV-200-400 They are 4partners,Discussion done with one partner,he will discuss with other partners and get back,I will follow up for the feedback.</t>
  </si>
  <si>
    <t xml:space="preserve">Al saba cafe </t>
  </si>
  <si>
    <t xml:space="preserve">madhura nagar </t>
  </si>
  <si>
    <t>smoky docky</t>
  </si>
  <si>
    <t>sai kiran</t>
  </si>
  <si>
    <t>he will be available after 8pm in the store</t>
  </si>
  <si>
    <t>SNS bake</t>
  </si>
  <si>
    <t xml:space="preserve">gachibowli </t>
  </si>
  <si>
    <t>Gatox cafe</t>
  </si>
  <si>
    <t>sirish</t>
  </si>
  <si>
    <t>has 2 outlets will take to his finance team and get back tomorrow</t>
  </si>
  <si>
    <t>Al rikaab arabian</t>
  </si>
  <si>
    <t>Hakimpet</t>
  </si>
  <si>
    <t>Orders:- 20 AOV :- 250 Discussed with there Manager, Intrested But Owner is not available now at the res he Wil be available in the evng form filled</t>
  </si>
  <si>
    <t>gourmet shawarma, 100N,the homly bowls</t>
  </si>
  <si>
    <t>khan saaab</t>
  </si>
  <si>
    <t>Owner asked to meet on monday has 3 outlets</t>
  </si>
  <si>
    <t>missamma Restaurant</t>
  </si>
  <si>
    <t>moosapet</t>
  </si>
  <si>
    <t>can meet the owner from 5-6pm form filled</t>
  </si>
  <si>
    <t xml:space="preserve">the wine dine kitchen and bar </t>
  </si>
  <si>
    <t>sandeep</t>
  </si>
  <si>
    <t>said to follow up next week as the owner is out of station form filled</t>
  </si>
  <si>
    <t xml:space="preserve">coffee place </t>
  </si>
  <si>
    <t>MMD kitchens</t>
  </si>
  <si>
    <t>giri</t>
  </si>
  <si>
    <t>owner will be contacting soon</t>
  </si>
  <si>
    <t>poruginti chepala pulusu</t>
  </si>
  <si>
    <t>Mossapet</t>
  </si>
  <si>
    <t>he said to follow up next week</t>
  </si>
  <si>
    <t>united cafe</t>
  </si>
  <si>
    <t>we will onboarding them on monday Aov 300 above daily 30+orders</t>
  </si>
  <si>
    <t>Hitech Bawarchi</t>
  </si>
  <si>
    <t>onboarded Aov-350</t>
  </si>
  <si>
    <t>Zamindars cafe</t>
  </si>
  <si>
    <t>Moosapet</t>
  </si>
  <si>
    <t>Ram</t>
  </si>
  <si>
    <t>owner told to call back at 6pm form filled</t>
  </si>
  <si>
    <t>Sri vindha</t>
  </si>
  <si>
    <t>Dilip</t>
  </si>
  <si>
    <t>manager is available after 6pm Aov 300-400</t>
  </si>
  <si>
    <t>hulchal desserts and bakers</t>
  </si>
  <si>
    <t xml:space="preserve">Awaiz </t>
  </si>
  <si>
    <t>owner will be available after 18th of this month</t>
  </si>
  <si>
    <t>chandu</t>
  </si>
  <si>
    <t>main branch at kukatpally ,vivekananda nagar any discussion should be made there. form filled</t>
  </si>
  <si>
    <t>Arukha flavours cloud kitchen and takeaway</t>
  </si>
  <si>
    <t>has 5 outlets has exclusive with zomato 13+ asking if we can reduce more than that he is already to onboard 5 oulets</t>
  </si>
  <si>
    <t xml:space="preserve">Udipi Uphar </t>
  </si>
  <si>
    <t>sharan</t>
  </si>
  <si>
    <t>Manisha.poddar@capsdelivery.com</t>
  </si>
  <si>
    <t>head office is in kondapur asked to directly visit the head office</t>
  </si>
  <si>
    <t>Farzan</t>
  </si>
  <si>
    <t>hakimpet</t>
  </si>
  <si>
    <t>onboarded Aov-300 order-55 form filled</t>
  </si>
  <si>
    <t>Rainbow mandi and Restaurant</t>
  </si>
  <si>
    <t>said to call and come to the Restaurant after 3 hrs form filled</t>
  </si>
  <si>
    <t>Royal darbar</t>
  </si>
  <si>
    <t>POC not available</t>
  </si>
  <si>
    <t>sabiib Restaurant</t>
  </si>
  <si>
    <t>we have talked everything we need to follow up order value 400+ orders 75+</t>
  </si>
  <si>
    <t>padmavathi</t>
  </si>
  <si>
    <t>onboarded AOV 120</t>
  </si>
  <si>
    <t>Italian sahke cafe</t>
  </si>
  <si>
    <t>Nageshwar Rao</t>
  </si>
  <si>
    <t>not intersted in online platform</t>
  </si>
  <si>
    <t>Punjabi junction</t>
  </si>
  <si>
    <t>Aov 300 orders every day 60 onboarded</t>
  </si>
  <si>
    <t>Agra sweets</t>
  </si>
  <si>
    <t>vishnu</t>
  </si>
  <si>
    <t>has different Restaurant and outlets asked to come tomorrow 12p,</t>
  </si>
  <si>
    <t xml:space="preserve">Gyros doner </t>
  </si>
  <si>
    <t>asked to come on monday</t>
  </si>
  <si>
    <t>Bulli abbai gari kodi palau</t>
  </si>
  <si>
    <t>venkat reddy</t>
  </si>
  <si>
    <t>aked to meet tomorrow 12pm</t>
  </si>
  <si>
    <t>cozmo cafe</t>
  </si>
  <si>
    <t>sohail</t>
  </si>
  <si>
    <t>explained everything intersted but want to have a discussing with partner onboarding meeting scheduled for tomorrow</t>
  </si>
  <si>
    <t>Morine bakery</t>
  </si>
  <si>
    <t>Gulam</t>
  </si>
  <si>
    <t>;04023510000</t>
  </si>
  <si>
    <t>not in any online platform we have explain every thing but not interested as of now will contact if intersted</t>
  </si>
  <si>
    <t>kakati deluxe mess</t>
  </si>
  <si>
    <t>he gave appointment for dicussion morning 10pm</t>
  </si>
  <si>
    <t>chadra shekar</t>
  </si>
  <si>
    <t>asked t meet tommorrow at 11am</t>
  </si>
  <si>
    <t>Balaji pavan mithai bhandar</t>
  </si>
  <si>
    <t>We need to follow up  they are on swiggy zomato</t>
  </si>
  <si>
    <t>Alkapuri Bawarchi</t>
  </si>
  <si>
    <t>atif ali</t>
  </si>
  <si>
    <t>Aov 250,40 orders tomorrow will collect documents</t>
  </si>
  <si>
    <t>juice bar</t>
  </si>
  <si>
    <t>srikanth</t>
  </si>
  <si>
    <t>asked me to meet monday</t>
  </si>
  <si>
    <t>Balaji santhosh family dhaba</t>
  </si>
  <si>
    <t>per day order 15, AOV 300 discussed he will get back tomorrow</t>
  </si>
  <si>
    <t>Biryani and biryani</t>
  </si>
  <si>
    <t>sreedhar</t>
  </si>
  <si>
    <t>owner will available at 7pm or else visit at langarhouse branch</t>
  </si>
  <si>
    <t>fire and ice bakers</t>
  </si>
  <si>
    <t>chandra kant</t>
  </si>
  <si>
    <t>AOV 250 owner will be available on monday</t>
  </si>
  <si>
    <t>Mahindra mithaiwala</t>
  </si>
  <si>
    <t>main branch is in kakinada in hyd they have 2 branches spoke with manager he will update by monday</t>
  </si>
  <si>
    <t>Amrutham</t>
  </si>
  <si>
    <t>POC not available asked to visit on Tuesday</t>
  </si>
  <si>
    <t>chopsticks</t>
  </si>
  <si>
    <t>Durga</t>
  </si>
  <si>
    <t>follow up 2 days</t>
  </si>
  <si>
    <t>Bamma tiffins</t>
  </si>
  <si>
    <t>come tommorow for onboarding at 11am</t>
  </si>
  <si>
    <t xml:space="preserve">surabhi hotel udupi veg </t>
  </si>
  <si>
    <t>Abhimanyu</t>
  </si>
  <si>
    <t>owner will be available at 12pm  langarhouse</t>
  </si>
  <si>
    <t xml:space="preserve">new cafe bakers </t>
  </si>
  <si>
    <t>Tharbaiz</t>
  </si>
  <si>
    <t>Tharbaiz owner He is interested he is in Swiggy and Zomato already We can onboard him tomorrow Aov -500 above Daily -10-15 orders</t>
  </si>
  <si>
    <t>Urban franky</t>
  </si>
  <si>
    <t>Aashritha</t>
  </si>
  <si>
    <t>onboarded AOV 400-500</t>
  </si>
  <si>
    <t>Imperial multicuisine Restaurant</t>
  </si>
  <si>
    <t>UMAR</t>
  </si>
  <si>
    <t>manager will be available after 5</t>
  </si>
  <si>
    <t>Hut-k bucket biryani</t>
  </si>
  <si>
    <t>pruthiv</t>
  </si>
  <si>
    <t>come tommorow for discussion</t>
  </si>
  <si>
    <t>palle vindu dosa</t>
  </si>
  <si>
    <t>asked to call tommorow morning</t>
  </si>
  <si>
    <t>raja rani ruchulu</t>
  </si>
  <si>
    <t>decision maker is not available manager like the idea and meeting schedule with manager at 11:30pm tommorow</t>
  </si>
  <si>
    <t>Aov 400 onboarded</t>
  </si>
  <si>
    <t>A1 shawarma bites</t>
  </si>
  <si>
    <t>kali</t>
  </si>
  <si>
    <t>will get back tomorrow</t>
  </si>
  <si>
    <t>ghuma ghumalu</t>
  </si>
  <si>
    <t>naresh</t>
  </si>
  <si>
    <t>owner didn't answer will follow up</t>
  </si>
  <si>
    <t xml:space="preserve">yummy feast </t>
  </si>
  <si>
    <t>sudhakar</t>
  </si>
  <si>
    <t>come tomorrow for onboarding at 3pm</t>
  </si>
  <si>
    <t>The great britian waffle</t>
  </si>
  <si>
    <t>sai</t>
  </si>
  <si>
    <t>Will tallk to his brother and let me know</t>
  </si>
  <si>
    <t xml:space="preserve">lakshmi narasimha vilas </t>
  </si>
  <si>
    <t>prasad</t>
  </si>
  <si>
    <t>asked me to call tomorrow after 10:30</t>
  </si>
  <si>
    <t>Aqeeq</t>
  </si>
  <si>
    <t>abbas</t>
  </si>
  <si>
    <t>banjara hills</t>
  </si>
  <si>
    <t>owner will be available tommorow by 3pm</t>
  </si>
  <si>
    <t>andhra meals</t>
  </si>
  <si>
    <t>I have talked with him he said he will be disscussing and get back to us</t>
  </si>
  <si>
    <t>Rithvikaa's kitchen</t>
  </si>
  <si>
    <t xml:space="preserve">ammerpet </t>
  </si>
  <si>
    <t xml:space="preserve">sarath </t>
  </si>
  <si>
    <t>i will follow up tomorrow for an appointment</t>
  </si>
  <si>
    <t>An te ra kitchen and bar</t>
  </si>
  <si>
    <t>Jeevan</t>
  </si>
  <si>
    <t>spoke with manager on call, gave appoitnment on monday for meeting</t>
  </si>
  <si>
    <t>the street stories</t>
  </si>
  <si>
    <t>will call back in an hour</t>
  </si>
  <si>
    <t>qubz</t>
  </si>
  <si>
    <t>sr nagar</t>
  </si>
  <si>
    <t>hemanth</t>
  </si>
  <si>
    <t>he said he will discuss with his partner. has told to call and come tomorrow after 3pm for onboarding</t>
  </si>
  <si>
    <t xml:space="preserve">old A1 </t>
  </si>
  <si>
    <t>busy right now asked to come tomorrow 2 to 4</t>
  </si>
  <si>
    <t>Naidu gari kunda biryani</t>
  </si>
  <si>
    <t>asked me to call and come to the Restaurant at 11:30am tomorrow</t>
  </si>
  <si>
    <t>kakatiya tiffins</t>
  </si>
  <si>
    <t xml:space="preserve">banjra hills </t>
  </si>
  <si>
    <t xml:space="preserve">prasad </t>
  </si>
  <si>
    <t>discussed showed intersted and discussed about commission too he told me to visit again for discussion</t>
  </si>
  <si>
    <t>pothuraju</t>
  </si>
  <si>
    <t>I have discussed eveything he said to call at 8 once to confirm tommorow he will be onboarded</t>
  </si>
  <si>
    <t xml:space="preserve"> onboarded Aov per outlet 25-300 online orders per day all outlets 80-100</t>
  </si>
  <si>
    <t>andhra kitchens</t>
  </si>
  <si>
    <t>krishna magic kitchen</t>
  </si>
  <si>
    <t>konaseema biryani</t>
  </si>
  <si>
    <t>amma chethi ruchulu</t>
  </si>
  <si>
    <t>bunty biryani</t>
  </si>
  <si>
    <t xml:space="preserve">Hotel Udupi house </t>
  </si>
  <si>
    <t>SR.Nagar</t>
  </si>
  <si>
    <t>Pick this one @⁨~Sumadhur⁩ @⁨~parthive.maganti@capsdelivery.com Maganti⁩ He will be available after 7:30</t>
  </si>
  <si>
    <t>Amogha</t>
  </si>
  <si>
    <t>he said come after 1pm</t>
  </si>
  <si>
    <t>I love RRR mandi</t>
  </si>
  <si>
    <t>Owner is not available Aov -400 above Daily order - 25 above They are using both Swiggy and zomato We can meet owner after 5 pm</t>
  </si>
  <si>
    <t>Badrachalam cafe</t>
  </si>
  <si>
    <t>He is getting 21.8 total from Swiggy and zomato Order value is - 320 above He is asking what is the final commission we can give with including everything he is okay with 19++ we need to send him all the proposal and deck so that he will discussing with the team.</t>
  </si>
  <si>
    <t>Ganesh virat food court</t>
  </si>
  <si>
    <t>ganesh</t>
  </si>
  <si>
    <t>Owner not interested in online platform right Previously is on other Platforms They are having issue with Cancellation Problems from delivery Partners and Customers and order Preparation isnalso less Asked him to Onboard with less items but not intrested now Need to followup him again</t>
  </si>
  <si>
    <t>Shanghai chef</t>
  </si>
  <si>
    <t>sekar</t>
  </si>
  <si>
    <t>owner is not available at the moment monday available around 11-12pm i will follow up on monday.</t>
  </si>
  <si>
    <t>Meghana non veg parcel</t>
  </si>
  <si>
    <t>ameetpet</t>
  </si>
  <si>
    <t>spoke with the cashier he said they're already gacing losses because of swiggy and zomato need to follow up again</t>
  </si>
  <si>
    <t>chai nagri</t>
  </si>
  <si>
    <t>ranjan</t>
  </si>
  <si>
    <t>Owner will be available after 7</t>
  </si>
  <si>
    <t>Trigunas kitchen</t>
  </si>
  <si>
    <t>the owner is not there at the moment will follow up in an hour</t>
  </si>
  <si>
    <t>wow momo</t>
  </si>
  <si>
    <t>shaheb,piyush(owner)</t>
  </si>
  <si>
    <t>They have 48 outlets Main it department number got from the store manager POC-8519954363(Shaheb)(For all the outlets he is managing)head office is in kolkata) POC-8519954363(Shaheb)(For all the outlets he is managing)head office is in kolkata) 7569890018(Piyush)(Store manager of Gachibowli)</t>
  </si>
  <si>
    <t>Mayur sweers and dry fruits</t>
  </si>
  <si>
    <t>samdar</t>
  </si>
  <si>
    <t>owner will be available after 3pm</t>
  </si>
  <si>
    <t>AOV : 400 Online Orders per day : 7000 One month revenue on both swiggy &amp; Zomoto is around 1 Cr Asking 10++ commission 80% of the business is on online orders</t>
  </si>
  <si>
    <t>waraka Restaurant (Tiffins and Meals)</t>
  </si>
  <si>
    <t>Gm as he is busy today to discuss in detail Scheduled it for Monday after 11:30 Khairtabad They are doing 700 Plus orders Per day</t>
  </si>
  <si>
    <t xml:space="preserve">Nakshatra tiffins </t>
  </si>
  <si>
    <t xml:space="preserve">Madhushekar </t>
  </si>
  <si>
    <t>Has 2 outlets will confirm by tmr need to discuss with his brother</t>
  </si>
  <si>
    <t xml:space="preserve">Gal Punjab di </t>
  </si>
  <si>
    <t>Owner(Vamshi)</t>
  </si>
  <si>
    <t>AOV-400 He is not available at present in the restaurant,spoke on call,gave appointment on Monday 18:00Pm.</t>
  </si>
  <si>
    <t>Bakers town</t>
  </si>
  <si>
    <t>Owner will be available after 1 hour</t>
  </si>
  <si>
    <t>Lassi and shakes</t>
  </si>
  <si>
    <t xml:space="preserve">Jamindar </t>
  </si>
  <si>
    <t>Will followup up for further discussion</t>
  </si>
  <si>
    <t>Naveen Choudhary</t>
  </si>
  <si>
    <t>Aov 200+ Daily orders in Swiggy 300+ Onboarded</t>
  </si>
  <si>
    <t>Hanuman juice and salad</t>
  </si>
  <si>
    <t>Has 4 other branches. Fixed an appointment today at 4:30</t>
  </si>
  <si>
    <t>Laibas cafe</t>
  </si>
  <si>
    <t>Mirza</t>
  </si>
  <si>
    <t>Aov - 200 above They are not on any other platforms recently started</t>
  </si>
  <si>
    <t>Polar bear,The ice cream,sundae zone</t>
  </si>
  <si>
    <t xml:space="preserve">Haritha </t>
  </si>
  <si>
    <t>16 outlets in hyd Area head will be available in Gachibowli Not ready to share the contact of area head.I asked store manager to pass the info,I will follow up her for the update.</t>
  </si>
  <si>
    <t xml:space="preserve"> Nellore Padmavati Ruchulu </t>
  </si>
  <si>
    <t xml:space="preserve">Sudhakar reddy </t>
  </si>
  <si>
    <t>Will get back by tomorrow</t>
  </si>
  <si>
    <t>Cheesiano pizza</t>
  </si>
  <si>
    <t xml:space="preserve"> charan</t>
  </si>
  <si>
    <t>Spoke with Manager he will update the decision by monday</t>
  </si>
  <si>
    <t xml:space="preserve">Cake Walkers </t>
  </si>
  <si>
    <t>Numbers not given Owner not available</t>
  </si>
  <si>
    <t>satyam foods</t>
  </si>
  <si>
    <t>satyam</t>
  </si>
  <si>
    <t>Asked me to follow up on Monday</t>
  </si>
  <si>
    <t xml:space="preserve">Emerald food house </t>
  </si>
  <si>
    <t>Asked me to meet after 4pm</t>
  </si>
  <si>
    <t xml:space="preserve">Patiiala plate </t>
  </si>
  <si>
    <t>Jaffar(manager)</t>
  </si>
  <si>
    <t>50-60 orders online per day and 100 on weekends AOV-500-600 Discussion done with manager and he need to discuss with owner for the update,I will follow up for the update.</t>
  </si>
  <si>
    <t xml:space="preserve">Sri Krishna </t>
  </si>
  <si>
    <t>Intrested but doesn’t have documents required</t>
  </si>
  <si>
    <t>chaayos</t>
  </si>
  <si>
    <t>They have 11 outlets need to speak with area manager for the update</t>
  </si>
  <si>
    <t>Raagam food court</t>
  </si>
  <si>
    <t>owner not available will follow up</t>
  </si>
  <si>
    <t>POC didn't show up</t>
  </si>
  <si>
    <t>gaurav arora</t>
  </si>
  <si>
    <t>Onboarded AOV:200 daily order:150+</t>
  </si>
  <si>
    <t>sahithi</t>
  </si>
  <si>
    <t>On Tuesday she is onboarding</t>
  </si>
  <si>
    <t>Aov: 150 and 40 online orders per day Will onboard Mohammedia Shawrma after documents are ready</t>
  </si>
  <si>
    <t>Bhimavaram thali</t>
  </si>
  <si>
    <t>He is interested, told me to come at 3:00 for discussion about onboarding</t>
  </si>
  <si>
    <t>Ruchi curries</t>
  </si>
  <si>
    <t>Poc not available Numbers not given</t>
  </si>
  <si>
    <t>Amogha cafe and restaurant</t>
  </si>
  <si>
    <t>onboarded AOv:200 Closed by 18++ Swiggy:18% But he will give pan card and bank details after app launch</t>
  </si>
  <si>
    <t>Vinni cabin cafe</t>
  </si>
  <si>
    <t>Onboarded 200 orders per day Present they are not on any online platform because they have been to three platforms but due to hidden charges and commission they are inactive at themoment.Closed on 22%</t>
  </si>
  <si>
    <t>Bab al mandi</t>
  </si>
  <si>
    <t>I have talked with owner everything is done Monday she will be onboarding Aov -380 above Daily orders - 50 above More takeaway are done there</t>
  </si>
  <si>
    <t>dadas tiffin and fast food</t>
  </si>
  <si>
    <t xml:space="preserve">mohammed </t>
  </si>
  <si>
    <t>Will on board on monday</t>
  </si>
  <si>
    <t xml:space="preserve">Tiffin express </t>
  </si>
  <si>
    <t>Ahmed</t>
  </si>
  <si>
    <t>Intrested will onboard on Monday</t>
  </si>
  <si>
    <t>onboarded AOv:250 Percentage:22% Orders per day:150</t>
  </si>
  <si>
    <t>Paruchuri foods onboarded</t>
  </si>
  <si>
    <t xml:space="preserve">Poc Chandrashekar </t>
  </si>
  <si>
    <t>onboarded Aov 130</t>
  </si>
  <si>
    <t>Wow! Vadapav</t>
  </si>
  <si>
    <t>sridar</t>
  </si>
  <si>
    <t>Owner is not available he will be available tomorrow 4 pm</t>
  </si>
  <si>
    <t>Mandava Ruchulu</t>
  </si>
  <si>
    <t>Kedarnath reddy</t>
  </si>
  <si>
    <t>Will onboard after app launch</t>
  </si>
  <si>
    <t xml:space="preserve">Universal Al matam Mandi </t>
  </si>
  <si>
    <t>mubeen</t>
  </si>
  <si>
    <t>Owner asked to call evening and has 3 branches</t>
  </si>
  <si>
    <t>Hotel shurbhi udpi</t>
  </si>
  <si>
    <t>abhimanyu</t>
  </si>
  <si>
    <t>Owner will be available at 11 am on monday</t>
  </si>
  <si>
    <t>Kadali kitchen</t>
  </si>
  <si>
    <t>jubliee hills</t>
  </si>
  <si>
    <t>Rohan</t>
  </si>
  <si>
    <t>intersted asked send the propsal Aov 800</t>
  </si>
  <si>
    <t>Arabian Affair</t>
  </si>
  <si>
    <t>I have talked with manager On Monday after 5 pm we can directly meet owner Aov -350 above Orders per day - 50 above daily 50% they are directly sending without Any platform usage</t>
  </si>
  <si>
    <t xml:space="preserve">Creative home baker's </t>
  </si>
  <si>
    <t>AOV:130 Owner told to share the details in whatsapp if interested he said he will get back us</t>
  </si>
  <si>
    <t xml:space="preserve">Mother's kitchen </t>
  </si>
  <si>
    <t>Onboarded  restaurants Mother’s kitchen AOV : 250 Daily orders - 10-15</t>
  </si>
  <si>
    <t xml:space="preserve">Vindhu Maharaj </t>
  </si>
  <si>
    <t>Onboarded Vindhu Maharaj AOV : 300(offline) New outlet</t>
  </si>
  <si>
    <t>Rayalaseema peddaraju Ruchulu</t>
  </si>
  <si>
    <t>Raviteja</t>
  </si>
  <si>
    <t>Resto name: Rayalaseema peddaraju Ruchulu Name will be changed soon Waiting for new food license and gst after that he will onboard</t>
  </si>
  <si>
    <t>Sri Sai Rama Tiffins</t>
  </si>
  <si>
    <t xml:space="preserve">Yosufguda </t>
  </si>
  <si>
    <t>Sri Ram</t>
  </si>
  <si>
    <t>Asked to meet on Monday night 7pm</t>
  </si>
  <si>
    <t>Sreendidhi Fast food</t>
  </si>
  <si>
    <t>If we meet Him after 8 He will be onboarding</t>
  </si>
  <si>
    <t>Sahi nawabis kitchen (new restaurant)</t>
  </si>
  <si>
    <t xml:space="preserve">Yousufguda </t>
  </si>
  <si>
    <t>Rama</t>
  </si>
  <si>
    <t>Wrappy</t>
  </si>
  <si>
    <t>AOV:130 Orders:80+ Swiggy,Zomato:22% He need details in whatsapp,he is ready for Onboarding but he has some work ,he will be available tomorrow afternoon</t>
  </si>
  <si>
    <t>Hi Tech Bawarchi Food zone</t>
  </si>
  <si>
    <t xml:space="preserve">Gachibowli </t>
  </si>
  <si>
    <t>Hi Tech biryani house</t>
  </si>
  <si>
    <t>Oven Fresh Bakery</t>
  </si>
  <si>
    <t xml:space="preserve">Deepak </t>
  </si>
  <si>
    <t xml:space="preserve">onboarding on Monday </t>
  </si>
  <si>
    <t xml:space="preserve">Imperial </t>
  </si>
  <si>
    <t>Manager As he is not available at the Outlet Discussed with him over Call He will be connecting with his MD Today</t>
  </si>
  <si>
    <t xml:space="preserve">Santhosh Dhaba </t>
  </si>
  <si>
    <t xml:space="preserve">Banjara hills </t>
  </si>
  <si>
    <t>They were having 9 Branches Main Branch :- Abid Owner wil be available there any time</t>
  </si>
  <si>
    <t>Brew Gato</t>
  </si>
  <si>
    <t>Deva</t>
  </si>
  <si>
    <t xml:space="preserve">Bawarchi Express Restaurant </t>
  </si>
  <si>
    <t xml:space="preserve">Mohammad </t>
  </si>
  <si>
    <t xml:space="preserve"> I need to Meet him and his brother on Monday 4 pm he will on board 2 restraunts</t>
  </si>
  <si>
    <t>Madhura Restaurant and Bar</t>
  </si>
  <si>
    <t>Shiva</t>
  </si>
  <si>
    <t>Monday on boarding at 5:30 evening We have explained everything.Aov -400 above Daily order - 80 +</t>
  </si>
  <si>
    <t>Flavour of Andhra</t>
  </si>
  <si>
    <t>Shekar</t>
  </si>
  <si>
    <t>Monday 6:30  AOV-500 Online platforms-30+ Seating capacity -80 I met the one of the owner and explained everything all the partners will be available at 6:30 for discussion</t>
  </si>
  <si>
    <t>Gismat jail mandi</t>
  </si>
  <si>
    <t>Vidhya sagar</t>
  </si>
  <si>
    <t>Aov - 400 to 1800 it will reach Daily order- 100 + orders</t>
  </si>
  <si>
    <t xml:space="preserve">Sarvi Restaurant </t>
  </si>
  <si>
    <t xml:space="preserve">Rajab Ali </t>
  </si>
  <si>
    <t>Met the Owner Discussed he is Saying that he fed up with Swiggy and Zomato and he is too Busy Informed about our Platform He Said he Will Call me back for discussion or told us to text back Once</t>
  </si>
  <si>
    <t xml:space="preserve">Hanuman juice and salad </t>
  </si>
  <si>
    <t>Onboarded Order office - 200 per day Closed at 20++</t>
  </si>
  <si>
    <t>Kaaram The authentic Telangana spice kitchen</t>
  </si>
  <si>
    <t>Onboarded Aov-600 above Daily order- 80 + Daily revenue - 45 k he is earning total offline and  online</t>
  </si>
  <si>
    <t xml:space="preserve">Udupi Shree krishna grand hotel </t>
  </si>
  <si>
    <t>Onboarded Aov -200 above Daily order-250 above Revenue -20 k above daily only in offline Seating - 80 above</t>
  </si>
  <si>
    <t>Sri Sai Rama tiffins</t>
  </si>
  <si>
    <t xml:space="preserve">Vijay Kumar </t>
  </si>
  <si>
    <t>Onboarded AOV 120</t>
  </si>
  <si>
    <t xml:space="preserve">Ahara kitchen </t>
  </si>
  <si>
    <t>Venu</t>
  </si>
  <si>
    <t>Onboarded Aov 500+ (Corporate bulk bookings)</t>
  </si>
  <si>
    <t>Sujith</t>
  </si>
  <si>
    <t>Onboarded Aov 250 No Swiggy zomato</t>
  </si>
  <si>
    <t>Brands Of Bhimavaram</t>
  </si>
  <si>
    <t>Balaji</t>
  </si>
  <si>
    <t>Onboarded Aov 110 No Swiggy zomato 18++</t>
  </si>
  <si>
    <t xml:space="preserve"> Kondapur</t>
  </si>
  <si>
    <t>Onboarded Aov 120</t>
  </si>
  <si>
    <t>Moms recipe</t>
  </si>
  <si>
    <t>onboarded Aov 150</t>
  </si>
  <si>
    <t>Sweet Basket</t>
  </si>
  <si>
    <t>Owner will be available in the evening</t>
  </si>
  <si>
    <t>Keshava reddy sweets</t>
  </si>
  <si>
    <t>keshava reddy</t>
  </si>
  <si>
    <t>Contact: Keshava reddy meet him at madhapur branch</t>
  </si>
  <si>
    <t xml:space="preserve">Sri vijaya Laxmi food court </t>
  </si>
  <si>
    <t xml:space="preserve">Suresh </t>
  </si>
  <si>
    <t>He is available to meet tomorrow</t>
  </si>
  <si>
    <t>Iguru</t>
  </si>
  <si>
    <t>Spoke with Manager he said will wait for App launch so that we can go with you</t>
  </si>
  <si>
    <t xml:space="preserve">big byte </t>
  </si>
  <si>
    <t>Manager not available will talk to his manager and will get back</t>
  </si>
  <si>
    <t>Mandi zone An indo-Arabian restaurant</t>
  </si>
  <si>
    <t>prem</t>
  </si>
  <si>
    <t>MD will be available around 21:00 clock I will follow up with him in the call,I spoke to the manager he said he will convey</t>
  </si>
  <si>
    <t xml:space="preserve">Vaarahi Kitchen </t>
  </si>
  <si>
    <t>AOV : 250 Owners were not available</t>
  </si>
  <si>
    <t>Tiffin Tales</t>
  </si>
  <si>
    <t>Call and come for onboarding now he is busy</t>
  </si>
  <si>
    <t>Agra sweet</t>
  </si>
  <si>
    <t xml:space="preserve">Suraj </t>
  </si>
  <si>
    <t>Owner will be available in ramantapur branch</t>
  </si>
  <si>
    <t>Village Vanta</t>
  </si>
  <si>
    <t>AOV : 250 Decision maker is not available</t>
  </si>
  <si>
    <t xml:space="preserve">Saharsh udupi </t>
  </si>
  <si>
    <t>Owner is not available at the moment I tried calling him but he is not answering</t>
  </si>
  <si>
    <t>Swad of Grandma</t>
  </si>
  <si>
    <t>Come @1.30 for Onboarding now he is in rush</t>
  </si>
  <si>
    <t>santhakam ruchulu</t>
  </si>
  <si>
    <t xml:space="preserve">Begumpet </t>
  </si>
  <si>
    <t>Aov 2000 Asking below 15++</t>
  </si>
  <si>
    <t>Machili Patnam</t>
  </si>
  <si>
    <t>Srinivas reddy</t>
  </si>
  <si>
    <t xml:space="preserve">Owner will be available after 2 </t>
  </si>
  <si>
    <t xml:space="preserve">Chaitanya’s modern kitchen </t>
  </si>
  <si>
    <t xml:space="preserve">Venkat </t>
  </si>
  <si>
    <t>Owner not available</t>
  </si>
  <si>
    <t>Venkee's kitchen</t>
  </si>
  <si>
    <t>Venkateshwar Rao(Owner)</t>
  </si>
  <si>
    <t>Owner is not available</t>
  </si>
  <si>
    <t xml:space="preserve">Patnam Ruchulu </t>
  </si>
  <si>
    <t>Aov 300 Owner is not available now,I called him got appointment fixed at 15:00 today I will follow up him in the afternoon.</t>
  </si>
  <si>
    <t xml:space="preserve">The Spicy Express </t>
  </si>
  <si>
    <t>He want to talk with old owner and he will decide and onboard tinnava</t>
  </si>
  <si>
    <t xml:space="preserve">Delhi Mithai wala </t>
  </si>
  <si>
    <t xml:space="preserve">Laxmi Narayan </t>
  </si>
  <si>
    <t>Discussion done with the manager he need to speak with his MD</t>
  </si>
  <si>
    <t xml:space="preserve">Amy’s cafe </t>
  </si>
  <si>
    <t xml:space="preserve">Aditya </t>
  </si>
  <si>
    <t>Poc will be available tomorrow</t>
  </si>
  <si>
    <t xml:space="preserve"> Aha Dakshin</t>
  </si>
  <si>
    <t xml:space="preserve"> Banjara Hills JVK One</t>
  </si>
  <si>
    <t>He is on leave asked comeback on 25th for onboarding</t>
  </si>
  <si>
    <t xml:space="preserve"> Tosh e daan</t>
  </si>
  <si>
    <t>Manager will be available after 2</t>
  </si>
  <si>
    <t>Midway bakers</t>
  </si>
  <si>
    <t xml:space="preserve"> Shabaz</t>
  </si>
  <si>
    <t>He is relocating his bakery, will follow up when it's completed.</t>
  </si>
  <si>
    <t>Special 9</t>
  </si>
  <si>
    <t>Present manager is not available,I have called him and fixed appointment at 15:30 today I will follow up him at 15:30Pm</t>
  </si>
  <si>
    <t xml:space="preserve">surabhi hotel </t>
  </si>
  <si>
    <t>Owner is busy will be. Calling in a while  will follow up</t>
  </si>
  <si>
    <t>Bangaru Babu Biriyani</t>
  </si>
  <si>
    <t>Aov : 400  Not interested in online platforms, trying ti close</t>
  </si>
  <si>
    <t>Indira Darshini tiffins</t>
  </si>
  <si>
    <t>P rohit(owner)</t>
  </si>
  <si>
    <t>He's available to talk tomorrow at 10:00 am</t>
  </si>
  <si>
    <t>Burger King</t>
  </si>
  <si>
    <t xml:space="preserve">Shoukat </t>
  </si>
  <si>
    <t>He will be sharing Mr. Dheeraj’s number South India head for online delivery platform</t>
  </si>
  <si>
    <t>Santhakam ruchulu</t>
  </si>
  <si>
    <t xml:space="preserve">Pandaga </t>
  </si>
  <si>
    <t xml:space="preserve">sai </t>
  </si>
  <si>
    <t>Discussion done with the manager,he asked us to share the proposal.</t>
  </si>
  <si>
    <t xml:space="preserve">SORSHE </t>
  </si>
  <si>
    <t xml:space="preserve">koushik </t>
  </si>
  <si>
    <t>Owner was not available,spoke with manager he will update to owner I will follow up for the feedback.</t>
  </si>
  <si>
    <t xml:space="preserve">Narthanashala </t>
  </si>
  <si>
    <t>Discussion done manager and MD they need one day time for descion.</t>
  </si>
  <si>
    <t>Fire Water</t>
  </si>
  <si>
    <t xml:space="preserve">chandu </t>
  </si>
  <si>
    <t>After app launch we need to follow up</t>
  </si>
  <si>
    <t xml:space="preserve">svs bakers  and fast food </t>
  </si>
  <si>
    <t>Praveen raju</t>
  </si>
  <si>
    <t>Asked to call him at 10:30 tommrow  he owns 4 branches</t>
  </si>
  <si>
    <t xml:space="preserve">Kings afganghan </t>
  </si>
  <si>
    <t xml:space="preserve">Adhil </t>
  </si>
  <si>
    <t>Owner not available,We need to get back at 5 pm today</t>
  </si>
  <si>
    <t>WOW China</t>
  </si>
  <si>
    <t>JVK one banjara hills</t>
  </si>
  <si>
    <t xml:space="preserve">Sudhanshu </t>
  </si>
  <si>
    <t>Spoke to him he will connect me with Mr. Faizan South India Head</t>
  </si>
  <si>
    <t xml:space="preserve"> N circle restaurant </t>
  </si>
  <si>
    <t>Intrested will onboard tomorrow</t>
  </si>
  <si>
    <t xml:space="preserve">Tadipatri biryani </t>
  </si>
  <si>
    <t>Owners will be in ananthapur Discussion done with Manager,he need to speak with owners during the weekend,follow up on Monday</t>
  </si>
  <si>
    <t xml:space="preserve">My bowl </t>
  </si>
  <si>
    <t>Owner is not available at the moment. Follow back</t>
  </si>
  <si>
    <t xml:space="preserve">The Thickshake Factory </t>
  </si>
  <si>
    <t xml:space="preserve">Muzzammil </t>
  </si>
  <si>
    <t>Asked to call him on Thursday. He will speak to his Soutb India head and let me on know about the appointment with South India Head</t>
  </si>
  <si>
    <t xml:space="preserve"> Biryani Bahar</t>
  </si>
  <si>
    <t>manohar</t>
  </si>
  <si>
    <t>Meet after week Resto name going to change</t>
  </si>
  <si>
    <t>Barbeque nation</t>
  </si>
  <si>
    <t>They have 14outlets The descion makers will be available at Athapur barbeque nation.If anyone is near to athapur can follow up if no one we will follow up.</t>
  </si>
  <si>
    <t>Frankie</t>
  </si>
  <si>
    <t>Mohan Singh</t>
  </si>
  <si>
    <t>Have 72 outlets all over hyd.He is on leave today asked to call tomorrow after 12pm</t>
  </si>
  <si>
    <t>Fuel Box</t>
  </si>
  <si>
    <t>He is the decision maker we need to call him at 3 pm and discuss</t>
  </si>
  <si>
    <t>Cafe delhi hights</t>
  </si>
  <si>
    <t>amit.kaler@capsdelivery.com</t>
  </si>
  <si>
    <t>Got  marketing managers number in head office</t>
  </si>
  <si>
    <t>Deerga Ayushman bhava</t>
  </si>
  <si>
    <t>Earnings - 8000/day I have explained everything. He will onboard tomorrow at 1:00</t>
  </si>
  <si>
    <t>SS Bawarchi</t>
  </si>
  <si>
    <t>Vikram(Owner)</t>
  </si>
  <si>
    <t>He will be available at 2 pm</t>
  </si>
  <si>
    <t>mana inti bojanam</t>
  </si>
  <si>
    <t>jagan</t>
  </si>
  <si>
    <t xml:space="preserve">Onboarded Aov 240 Avg per day 40 </t>
  </si>
  <si>
    <t>Kings kohinoor hotel</t>
  </si>
  <si>
    <t>Khaeel</t>
  </si>
  <si>
    <t>Durga bhavani food zone</t>
  </si>
  <si>
    <t xml:space="preserve">Anoop </t>
  </si>
  <si>
    <t>Owner not available asked to come at 4 evening</t>
  </si>
  <si>
    <t>FOO</t>
  </si>
  <si>
    <t>Took POC number AOV 1500</t>
  </si>
  <si>
    <t>Khaan Saab</t>
  </si>
  <si>
    <t>JVK one</t>
  </si>
  <si>
    <t xml:space="preserve"> Yashwant sai</t>
  </si>
  <si>
    <t>owner’s son he is taking care of marketing for all the outlets.He sit out of Gachibowli branch Called him but he disconnected the call will keep a follow up</t>
  </si>
  <si>
    <t>BEJAWADA Junction</t>
  </si>
  <si>
    <t xml:space="preserve">Raj Kumar </t>
  </si>
  <si>
    <t>After 3 he will be available manager I’m going to follow up</t>
  </si>
  <si>
    <t xml:space="preserve">Tteok bokki </t>
  </si>
  <si>
    <t xml:space="preserve">Priyan </t>
  </si>
  <si>
    <t>Not available</t>
  </si>
  <si>
    <t>DiD LI Arabian kitchen</t>
  </si>
  <si>
    <t xml:space="preserve">Khaleel </t>
  </si>
  <si>
    <t>He is not interested in any online platform,still I pitched him regarding the takeaway option he said he need discuss with owners and get back</t>
  </si>
  <si>
    <t>The Royal Plate</t>
  </si>
  <si>
    <t>Onboarded AOV : 350  Closing them with 19++(wants 8km)</t>
  </si>
  <si>
    <t>IKIGAI CAFE</t>
  </si>
  <si>
    <t>Vishnu</t>
  </si>
  <si>
    <t>Owner is not available in the cafe,I tried to reach him via call but not reachable.I will keep on trying him for the meeting.</t>
  </si>
  <si>
    <t xml:space="preserve">Chai point </t>
  </si>
  <si>
    <t xml:space="preserve"> jvk one Banjara hills</t>
  </si>
  <si>
    <t xml:space="preserve">Rakesh </t>
  </si>
  <si>
    <t>He is in a meeting asked to call after 3pm</t>
  </si>
  <si>
    <t xml:space="preserve">Good vibes only </t>
  </si>
  <si>
    <t xml:space="preserve">Dheeraj </t>
  </si>
  <si>
    <t>Seating capacity 66 and 40 orders per day on food delivery platforms Will follow up</t>
  </si>
  <si>
    <t>Sri Ramana Maharshi food court</t>
  </si>
  <si>
    <t xml:space="preserve">Onboarding Aov- 250 above Daily orders -60 +
</t>
  </si>
  <si>
    <t xml:space="preserve">Hillstar restaurant </t>
  </si>
  <si>
    <t>Manager available after 6pm</t>
  </si>
  <si>
    <t>Red Bucket</t>
  </si>
  <si>
    <t>Sravan</t>
  </si>
  <si>
    <t>AOV :- 350 Plus and Orders:- 30 Owner wil be available at 3 Pm</t>
  </si>
  <si>
    <t>mysore bakery</t>
  </si>
  <si>
    <t xml:space="preserve">dinesh </t>
  </si>
  <si>
    <t>Onboarded Aov : 300+ Avg Orders  per day  40</t>
  </si>
  <si>
    <t>Onboarded 2 Remaining 2 outlets @4.30pm his brother will sign the documents</t>
  </si>
  <si>
    <t>New Tasty King Bakers</t>
  </si>
  <si>
    <t>tealogy cafe</t>
  </si>
  <si>
    <t>Onboarded Aov- 300 above Daily order - 50 above</t>
  </si>
  <si>
    <t>Pala pitta ruchulu</t>
  </si>
  <si>
    <t>Onboarded AOV-350-400 Takeaways-150-200 per day Zomato 50-60 on weekdays.</t>
  </si>
  <si>
    <t xml:space="preserve">Zamana shawarma </t>
  </si>
  <si>
    <t>Punjaguta</t>
  </si>
  <si>
    <t>OnboardedAov 130-150 and 22%++</t>
  </si>
  <si>
    <t xml:space="preserve">Chanti mess </t>
  </si>
  <si>
    <t>SR nagar</t>
  </si>
  <si>
    <t>vinay</t>
  </si>
  <si>
    <t>Asked to come tomorrow 9am</t>
  </si>
  <si>
    <t>Rajasaab Royal Kitchen</t>
  </si>
  <si>
    <t>Onboarded AOV is 270 Plus</t>
  </si>
  <si>
    <t>Chicken shawarma hunt</t>
  </si>
  <si>
    <t xml:space="preserve">Srinagar colony </t>
  </si>
  <si>
    <t>Aov 150 (zomato top 10 shawarma outlet) Asked to meet after 10pm</t>
  </si>
  <si>
    <t>Oak bistro</t>
  </si>
  <si>
    <t xml:space="preserve">Rehamed </t>
  </si>
  <si>
    <t xml:space="preserve"> Bakers harvest</t>
  </si>
  <si>
    <t>Poc not available and 5 branches managers will be at Gachibowli branch</t>
  </si>
  <si>
    <t>Amma mess</t>
  </si>
  <si>
    <t>Onboarded Aov 160</t>
  </si>
  <si>
    <t>Parampara</t>
  </si>
  <si>
    <t>Shyam</t>
  </si>
  <si>
    <t>He will call us to meet his son between 5-6</t>
  </si>
  <si>
    <t xml:space="preserve">Onesta </t>
  </si>
  <si>
    <t xml:space="preserve"> Banjara hills gvk one</t>
  </si>
  <si>
    <t>Syed</t>
  </si>
  <si>
    <t>Mr. Syed sits out of headoffice in Bangalore. Tried calling him but no answer as of now. Will follow up</t>
  </si>
  <si>
    <t xml:space="preserve">priyansh fast food </t>
  </si>
  <si>
    <t>Onboarded Aov 250 and Avg orders per day 40</t>
  </si>
  <si>
    <t>Labonel</t>
  </si>
  <si>
    <t>Nadeem</t>
  </si>
  <si>
    <t>He said he will forward the message to his directors . Will follow him up</t>
  </si>
  <si>
    <t>Yum Yard</t>
  </si>
  <si>
    <t>Onboarded  AOV :- 270 Orders Per day:- 55 around</t>
  </si>
  <si>
    <t>Desi kitchen</t>
  </si>
  <si>
    <t xml:space="preserve">Joshua </t>
  </si>
  <si>
    <t>Asked me to follow up at the end of this week. I have forwarded the details of our company to him</t>
  </si>
  <si>
    <t xml:space="preserve">Telugu patnam Ruchulu </t>
  </si>
  <si>
    <t xml:space="preserve">ONBOARDED AOV-300 and 40-50orders per day from online platform </t>
  </si>
  <si>
    <t>Mandi House</t>
  </si>
  <si>
    <t xml:space="preserve">khalid </t>
  </si>
  <si>
    <t>Owner will be available tomorrow from 6pm-8pm</t>
  </si>
  <si>
    <t xml:space="preserve">minerva  sweet </t>
  </si>
  <si>
    <t xml:space="preserve">ashish </t>
  </si>
  <si>
    <t>Owner will be available after 8  he has 4 branches</t>
  </si>
  <si>
    <t xml:space="preserve">Dwarak multicuisine Restaurant </t>
  </si>
  <si>
    <t>Tomorrow Owner will be available after 11 AOV is aroun 500 Plus AOV is aroun 500 Plus</t>
  </si>
  <si>
    <t>Fire and ice</t>
  </si>
  <si>
    <t>He will be taking to his brother and then he will call  me</t>
  </si>
  <si>
    <t>Chutneys</t>
  </si>
  <si>
    <t xml:space="preserve">Satish </t>
  </si>
  <si>
    <t>Got the poc for all the branches, tried calling him. He disconnected. Will follow up</t>
  </si>
  <si>
    <t>Sri Raghavendra Bhavan</t>
  </si>
  <si>
    <t>Tomorrow Owner wil be available to discuss Per day Orders:- 150 AoV :- 270 Plus</t>
  </si>
  <si>
    <t>Red oven</t>
  </si>
  <si>
    <t>I have talked everything with the owner I need to follow up</t>
  </si>
  <si>
    <t xml:space="preserve">Kings Kohinoor hotel </t>
  </si>
  <si>
    <t>Onboarded AOV:200</t>
  </si>
  <si>
    <t xml:space="preserve">Iq shawarma </t>
  </si>
  <si>
    <t>Sai Ram nagar</t>
  </si>
  <si>
    <t>Onboarded Aov 110 Online orders 40-50 Night order 60-80 and 20+2%++</t>
  </si>
  <si>
    <t>fire and ice cream</t>
  </si>
  <si>
    <t>azhar</t>
  </si>
  <si>
    <t>Owner not available today asked to come tommrow</t>
  </si>
  <si>
    <t>Hyde's Diner</t>
  </si>
  <si>
    <t>Ready to onboard , documents collected, contract given to the manager for getting it signed from the owner. Asked to collect it tomorrow</t>
  </si>
  <si>
    <t xml:space="preserve">Bakers harvest </t>
  </si>
  <si>
    <t>Teja</t>
  </si>
  <si>
    <t>7outlests  Discussion done with the operational manager,he need to discuss with head team then get back us  We will keep on following up</t>
  </si>
  <si>
    <t>Sha sha shandhar shawarma</t>
  </si>
  <si>
    <t>Onboarded  Aov - 250 above Daily orders -90 above</t>
  </si>
  <si>
    <t>7th Heaven &amp; white hart</t>
  </si>
  <si>
    <t>panjagutta</t>
  </si>
  <si>
    <t>Srikant Reddy</t>
  </si>
  <si>
    <t>Spoke to him, he asked to share the proposal on WhatsApp after that he will give the meeting</t>
  </si>
  <si>
    <t xml:space="preserve">Burfi ghar </t>
  </si>
  <si>
    <t>Navven</t>
  </si>
  <si>
    <t>He is not available,I will follow up They have 9 outlets</t>
  </si>
  <si>
    <t>chopsticks noodles</t>
  </si>
  <si>
    <t>Akshaya bhojanam</t>
  </si>
  <si>
    <t xml:space="preserve">santhosh </t>
  </si>
  <si>
    <t>Will meet tomorrow</t>
  </si>
  <si>
    <t xml:space="preserve">Kingston Restaurant </t>
  </si>
  <si>
    <t xml:space="preserve">sultan  </t>
  </si>
  <si>
    <t>will meet @friday after 7pm</t>
  </si>
  <si>
    <t>Deccan Dhaba</t>
  </si>
  <si>
    <t>He need time to discuss with his patner</t>
  </si>
  <si>
    <t>Kajol kitchen</t>
  </si>
  <si>
    <t xml:space="preserve">Devendar </t>
  </si>
  <si>
    <t>Owner not available will come tomorrow</t>
  </si>
  <si>
    <t>sardarji kitchen</t>
  </si>
  <si>
    <t>Gurvinder Singh</t>
  </si>
  <si>
    <t>call and come tomorrow</t>
  </si>
  <si>
    <t xml:space="preserve">Spice Theroy </t>
  </si>
  <si>
    <t>Onboarded AOV 250 and Orders 80 Plus Per day</t>
  </si>
  <si>
    <t>Daily rituals</t>
  </si>
  <si>
    <t>Asked to share brouchers</t>
  </si>
  <si>
    <t>Tiffins and more</t>
  </si>
  <si>
    <t>Aroma biryani  and pulaos</t>
  </si>
  <si>
    <t>Onboarded Aov - 500 above  Both on Swiggy and Zomato Daily order - 80 above</t>
  </si>
  <si>
    <t xml:space="preserve">flavours of andhra </t>
  </si>
  <si>
    <t>Onboarded Aov -700   above  Daily orders - 100 above</t>
  </si>
  <si>
    <t xml:space="preserve">Al Aadaab Arabian Mandi </t>
  </si>
  <si>
    <t>Onboarded AoV:250 Daily orders:90+</t>
  </si>
  <si>
    <t>Mr Chopsticks</t>
  </si>
  <si>
    <t>mujeeb</t>
  </si>
  <si>
    <t>Onboarded Aov 200 Online orders morning 30 Nights 40-50</t>
  </si>
  <si>
    <t>Burfigha</t>
  </si>
  <si>
    <t>had a conversation, informed about the idea, he will give a call back in the evening with his senior,I will follow up.</t>
  </si>
  <si>
    <t>Haldirams</t>
  </si>
  <si>
    <t>begumpet</t>
  </si>
  <si>
    <t>Sumit bajaj</t>
  </si>
  <si>
    <t>Asked to share an email AOV - 500 Seating capacity 60</t>
  </si>
  <si>
    <t>Cozmo cafe</t>
  </si>
  <si>
    <t xml:space="preserve">POC Didn’t show up </t>
  </si>
  <si>
    <t xml:space="preserve">Arya tiffins </t>
  </si>
  <si>
    <t>Rasoolpura</t>
  </si>
  <si>
    <t>Asked me to meet tomorrow at 12:30 for further discussion</t>
  </si>
  <si>
    <t>Murugan’s Cofee</t>
  </si>
  <si>
    <t>Sushmitha</t>
  </si>
  <si>
    <t>hey need 1 day time to think</t>
  </si>
  <si>
    <t>Almond House</t>
  </si>
  <si>
    <t xml:space="preserve">Dinesh </t>
  </si>
  <si>
    <t>Dinesh Sits in Kukatpally branch Asked to share the proposal on email. He will be sharing his email ID shortly</t>
  </si>
  <si>
    <t>House of taste</t>
  </si>
  <si>
    <t>Owner will be available at 3 pm</t>
  </si>
  <si>
    <t>kolkata food plaza</t>
  </si>
  <si>
    <t>Ask to come next week</t>
  </si>
  <si>
    <t xml:space="preserve">Amogha </t>
  </si>
  <si>
    <t>Owner will be available evening,Number not given</t>
  </si>
  <si>
    <t>Mezbaan</t>
  </si>
  <si>
    <t xml:space="preserve">gopal </t>
  </si>
  <si>
    <t>Owner not available today as he is busy in court case. POC will give me a call tomorrow once the owner comes</t>
  </si>
  <si>
    <t>VR tiffins</t>
  </si>
  <si>
    <t>Owner will be available at 7 pm</t>
  </si>
  <si>
    <t>Sri Ragavendra Bhavan</t>
  </si>
  <si>
    <t>He have around 6 outlets in Hyderabad The owner will be available Tomorrow mrg after 10 am we can directly contact him I explained everything to the manager AOV:- 300 Per day:-150 orders Karthik reddy owner I have talked everything he will be onboarding on Friday</t>
  </si>
  <si>
    <t xml:space="preserve">Maheswari balaji family dhabha </t>
  </si>
  <si>
    <t xml:space="preserve">Pradeep </t>
  </si>
  <si>
    <t>AOV-300 Manager is not available at the moment</t>
  </si>
  <si>
    <t>Sai Ram tiffins</t>
  </si>
  <si>
    <t xml:space="preserve">Rasoolpura </t>
  </si>
  <si>
    <t>Sai Ram</t>
  </si>
  <si>
    <t>Agreed to onboard on Thursday. Asked me to come at 12:30 pm Thursday</t>
  </si>
  <si>
    <t xml:space="preserve">Kings Restaurant and bar </t>
  </si>
  <si>
    <t>probin</t>
  </si>
  <si>
    <t>Manager was not available</t>
  </si>
  <si>
    <t xml:space="preserve">Ks bakers </t>
  </si>
  <si>
    <t>david</t>
  </si>
  <si>
    <t>After 4 he will be available 25 outlets We will follow up after 16:00pm</t>
  </si>
  <si>
    <t>Bayyas Food hub</t>
  </si>
  <si>
    <t>Will onboard at 8 today</t>
  </si>
  <si>
    <t xml:space="preserve">La chai de </t>
  </si>
  <si>
    <t xml:space="preserve">Akash </t>
  </si>
  <si>
    <t>Asked me to follow up on Tuesday</t>
  </si>
  <si>
    <t>Peshawar</t>
  </si>
  <si>
    <t xml:space="preserve">Zia </t>
  </si>
  <si>
    <t>Seating capacity - 50 AOV - 300 Asked to share the proposal on WhatsApp after that he will connect us with the concerned person</t>
  </si>
  <si>
    <t>mohamad</t>
  </si>
  <si>
    <t>Onboarded Aov 210</t>
  </si>
  <si>
    <t xml:space="preserve">Cashew House </t>
  </si>
  <si>
    <t>No.Of orders per day : 40  AOV : 500 Exclusive on Swiggy Owner was not available</t>
  </si>
  <si>
    <t xml:space="preserve">Fb bakers </t>
  </si>
  <si>
    <t>20outlets Got appointment on sat with area manager at 11:00Am</t>
  </si>
  <si>
    <t xml:space="preserve">SK foods </t>
  </si>
  <si>
    <t xml:space="preserve">Gopinath </t>
  </si>
  <si>
    <t>Ready to onboard will share documents Not available the restaurant for 2 days so will sign documents after 2 days</t>
  </si>
  <si>
    <t xml:space="preserve">Sri subham food court </t>
  </si>
  <si>
    <t xml:space="preserve">Savitha </t>
  </si>
  <si>
    <t>Owners are not available Discussion done with the manager,she will update to them</t>
  </si>
  <si>
    <t>Slice and sauce</t>
  </si>
  <si>
    <t>Bhanu prakash</t>
  </si>
  <si>
    <t>He need time to think and he has 1 cloud kitchen also</t>
  </si>
  <si>
    <t>Organic creamery</t>
  </si>
  <si>
    <t xml:space="preserve">Santosh </t>
  </si>
  <si>
    <t>have 7 outlets in HYD and 2 in Vinaywada Asked call after 5pm as he in a night shift</t>
  </si>
  <si>
    <t>Peni icecandy</t>
  </si>
  <si>
    <t xml:space="preserve">Navven </t>
  </si>
  <si>
    <t>Manager will be available tomorrow at 15:00Pm</t>
  </si>
  <si>
    <t>Lakshmi durha andhra flavours</t>
  </si>
  <si>
    <t>devi sri</t>
  </si>
  <si>
    <t>They need time to think</t>
  </si>
  <si>
    <t>Aamantran</t>
  </si>
  <si>
    <t>He said he will convey to MD. I will follow up</t>
  </si>
  <si>
    <t>Shanghai flavours of china</t>
  </si>
  <si>
    <t xml:space="preserve">Zinia </t>
  </si>
  <si>
    <t>Seating capacity - 48 head sits out of head office in Kolkata Tried calling him but no response will follow up more</t>
  </si>
  <si>
    <t xml:space="preserve">Baskin Robin's </t>
  </si>
  <si>
    <t>They said that they are tied up with Swiggy zomato as per company policy</t>
  </si>
  <si>
    <t>RR Food Court</t>
  </si>
  <si>
    <t>Onboarded AOV:150</t>
  </si>
  <si>
    <t>Karachi Bakery</t>
  </si>
  <si>
    <t>Receptionist asked to visit banjara hills branch as the main POC will be available there</t>
  </si>
  <si>
    <t xml:space="preserve">Just bake </t>
  </si>
  <si>
    <t>5outlets Discussion done with manager,he need to discuss with owner  Call back today around 16:00Pm</t>
  </si>
  <si>
    <t xml:space="preserve">Contico </t>
  </si>
  <si>
    <t xml:space="preserve">Ahan </t>
  </si>
  <si>
    <t xml:space="preserve">Outlet of continental coffee  Shared required documents Will follow up tmr </t>
  </si>
  <si>
    <t>Grand bawarchi hotel</t>
  </si>
  <si>
    <t>Asked me to come at 4pm to meet the owner</t>
  </si>
  <si>
    <t xml:space="preserve">Sandwichsquare </t>
  </si>
  <si>
    <t xml:space="preserve">Kalyan </t>
  </si>
  <si>
    <t>Discussion done with the manager He need to discuss with owners I will follow up for the feedback</t>
  </si>
  <si>
    <t>shahi kalyani biryani</t>
  </si>
  <si>
    <t xml:space="preserve">siraj </t>
  </si>
  <si>
    <t>Owner will be available after 5 in evening</t>
  </si>
  <si>
    <t>Bhimavaram Vari Unlimited Ruchulu</t>
  </si>
  <si>
    <t>Onboarded Minimum order value (180) New outlet Onboarded with 20++ commission (base plan 5km)</t>
  </si>
  <si>
    <t xml:space="preserve">Momo pizza </t>
  </si>
  <si>
    <t xml:space="preserve">Sathyam </t>
  </si>
  <si>
    <t>Manager is not available,we will call back in the evng</t>
  </si>
  <si>
    <t>I have talked with owner we need to follow up</t>
  </si>
  <si>
    <t xml:space="preserve">chandini hotel  </t>
  </si>
  <si>
    <t xml:space="preserve">rohit </t>
  </si>
  <si>
    <t>Owner said will tell by evening 7 pm</t>
  </si>
  <si>
    <t xml:space="preserve"> A1 bawarchi </t>
  </si>
  <si>
    <t xml:space="preserve">Vijay </t>
  </si>
  <si>
    <t>Owner will be available today after 1 tmr</t>
  </si>
  <si>
    <t>Chicken shawarma Hut</t>
  </si>
  <si>
    <t>Sri nagar colony</t>
  </si>
  <si>
    <t>Ameenudden</t>
  </si>
  <si>
    <t xml:space="preserve">Onboarded Aov 400 Only online sales 25000 per day Zomato and swiggy top 10 shawarma awardee </t>
  </si>
  <si>
    <t>The nosh bistro</t>
  </si>
  <si>
    <t>He has asked for two days time. Will follow up</t>
  </si>
  <si>
    <t xml:space="preserve">Lickees </t>
  </si>
  <si>
    <t>Interested with the idea, will be onboarding on sat , after discussing with the partner.</t>
  </si>
  <si>
    <t>Tulja Bhavani Hotel</t>
  </si>
  <si>
    <t>Onboarded Aov:200</t>
  </si>
  <si>
    <t>Dreamland bakers</t>
  </si>
  <si>
    <t>Aslam</t>
  </si>
  <si>
    <t xml:space="preserve"> come by @5pm for onboarding</t>
  </si>
  <si>
    <t xml:space="preserve"> Desi Chinese </t>
  </si>
  <si>
    <t xml:space="preserve">Fasiuddin </t>
  </si>
  <si>
    <t>Intrested will talk to his brother and  will get back by tmr</t>
  </si>
  <si>
    <t xml:space="preserve"> Mahadev sweets </t>
  </si>
  <si>
    <t>Owner will be available after after 23rd</t>
  </si>
  <si>
    <t>Theme cafe</t>
  </si>
  <si>
    <t>akhila.narra@capsdelivery.com kumar</t>
  </si>
  <si>
    <t>Mandi vibes</t>
  </si>
  <si>
    <t>ubed</t>
  </si>
  <si>
    <t>Call and come @8pm</t>
  </si>
  <si>
    <t xml:space="preserve">Mahreens kitchen </t>
  </si>
  <si>
    <t>sk Janbee</t>
  </si>
  <si>
    <t>Onboarded Aov 180 and 22++ (only Swiggy and now caps)</t>
  </si>
  <si>
    <t>Onboarded AOV 250-300</t>
  </si>
  <si>
    <t>Authentic Kunda biryani</t>
  </si>
  <si>
    <t>Head office is in Bangalore Did shared any POC details.</t>
  </si>
  <si>
    <t xml:space="preserve">Ss live kitchen </t>
  </si>
  <si>
    <t>Onboarded AOV:250</t>
  </si>
  <si>
    <t xml:space="preserve"> yum crumb waffle </t>
  </si>
  <si>
    <t>Owner will be available after 7 Numbers not shared</t>
  </si>
  <si>
    <t xml:space="preserve">Friends corner cafeteria </t>
  </si>
  <si>
    <t xml:space="preserve">Adil </t>
  </si>
  <si>
    <t>will meet in 1hr</t>
  </si>
  <si>
    <t>Fresh bakers</t>
  </si>
  <si>
    <t xml:space="preserve">Sameer </t>
  </si>
  <si>
    <t>Owner not Available Tried calling no response</t>
  </si>
  <si>
    <t xml:space="preserve">Street darbar </t>
  </si>
  <si>
    <t>Sunny</t>
  </si>
  <si>
    <t>I have explained him everything and he is interested. He will have a word with his owner and onboard.</t>
  </si>
  <si>
    <t>Virndhvan kitchen</t>
  </si>
  <si>
    <t>Manager was not available Did shared the POC</t>
  </si>
  <si>
    <t xml:space="preserve">Lakshmi Narasimha swgruha foods </t>
  </si>
  <si>
    <t>Owner will be available after 8</t>
  </si>
  <si>
    <t>Chandrashekar partner will meet @27 for finalize</t>
  </si>
  <si>
    <t xml:space="preserve">Maya bazar </t>
  </si>
  <si>
    <t xml:space="preserve">Triven Kumar </t>
  </si>
  <si>
    <t>They have 3 outlets Discussion done with the manager,meeting with MD fixed at 17:30today. We will follow up for meeting</t>
  </si>
  <si>
    <t xml:space="preserve">Swiss castle </t>
  </si>
  <si>
    <t>I have sent them the relevant documents  Will follow up</t>
  </si>
  <si>
    <t>Kulcha Kulture</t>
  </si>
  <si>
    <t>Rohit</t>
  </si>
  <si>
    <t>250-300 per day in another platform AOV-500 Owner was not available,trying to reach him</t>
  </si>
  <si>
    <t>the red box</t>
  </si>
  <si>
    <t>The have 2 outlets  Meeting scheduled with marketing tomorrow.</t>
  </si>
  <si>
    <t>Claysutra pottery</t>
  </si>
  <si>
    <t xml:space="preserve">Shanan </t>
  </si>
  <si>
    <t xml:space="preserve">Need to discuss with owners and get back us  Discussion done with manager 
</t>
  </si>
  <si>
    <t xml:space="preserve">Eats corner restaurant </t>
  </si>
  <si>
    <t xml:space="preserve">Gourab </t>
  </si>
  <si>
    <t>Discussion done with manager Need to connect with owner on call after 18:00pm today.</t>
  </si>
  <si>
    <t xml:space="preserve">Fusion @49 </t>
  </si>
  <si>
    <t>Onboarded AOV-250 and 22++</t>
  </si>
  <si>
    <t xml:space="preserve">The bake factory </t>
  </si>
  <si>
    <t>Met with the HOD.They are not any online platform and not interested on online platform</t>
  </si>
  <si>
    <t xml:space="preserve">Nellore Padmavathi Ruchulu </t>
  </si>
  <si>
    <t>Onboarded Aov 200+ and 30 online orders per day</t>
  </si>
  <si>
    <t xml:space="preserve">My Biryani </t>
  </si>
  <si>
    <t>Sudhakar</t>
  </si>
  <si>
    <t>Onboarded Aov 200 Daily orders 54+</t>
  </si>
  <si>
    <t xml:space="preserve">Livora cafe and kitchen </t>
  </si>
  <si>
    <t>suraj</t>
  </si>
  <si>
    <t>Owner was not available in the cafe</t>
  </si>
  <si>
    <t>Kings</t>
  </si>
  <si>
    <t>Rafi saat</t>
  </si>
  <si>
    <t>Owner will be available tomorrow</t>
  </si>
  <si>
    <t xml:space="preserve">Cherrys Restaurant </t>
  </si>
  <si>
    <t>Owner will available in 1 h</t>
  </si>
  <si>
    <t>He need contact the owner</t>
  </si>
  <si>
    <t xml:space="preserve">IFC Indian fav chef </t>
  </si>
  <si>
    <t>Discussion done with the owner Tomorrow onboarding.</t>
  </si>
  <si>
    <t xml:space="preserve">Southern fusion </t>
  </si>
  <si>
    <t>Naresh</t>
  </si>
  <si>
    <t>Discussion with the owner Onboarding next week</t>
  </si>
  <si>
    <t>Pizza mania</t>
  </si>
  <si>
    <t>narsimha</t>
  </si>
  <si>
    <t>He will onboard tomorrow</t>
  </si>
  <si>
    <t>Andhra Housz</t>
  </si>
  <si>
    <t>He is not in any other platform after 2 months he will join</t>
  </si>
  <si>
    <t>Maska Chaska</t>
  </si>
  <si>
    <t>bhamavaram</t>
  </si>
  <si>
    <t>food invitation</t>
  </si>
  <si>
    <t xml:space="preserve">Sai kumar </t>
  </si>
  <si>
    <t>He is busy right now he will onboard tomorrow</t>
  </si>
  <si>
    <t>Bites and delights</t>
  </si>
  <si>
    <t>Intrested will onboard by tmr</t>
  </si>
  <si>
    <t xml:space="preserve">Bawarchi cafe biryani </t>
  </si>
  <si>
    <t>Come 21 st for onboarding busy due to Ramzan days starting</t>
  </si>
  <si>
    <t>Punjabi paratha House</t>
  </si>
  <si>
    <t>Manu</t>
  </si>
  <si>
    <t>will be onboarded next week</t>
  </si>
  <si>
    <t xml:space="preserve">Indian Mandi Restaurant </t>
  </si>
  <si>
    <t>saif</t>
  </si>
  <si>
    <t>Intrested and will talk to his brother and update in next 2 weeks</t>
  </si>
  <si>
    <t xml:space="preserve">Lassi shop </t>
  </si>
  <si>
    <t>Grill on fire</t>
  </si>
  <si>
    <t>Yasar</t>
  </si>
  <si>
    <t>Onboarded Aov 300 Daily orders: 30</t>
  </si>
  <si>
    <t xml:space="preserve">Lemonridge hotels </t>
  </si>
  <si>
    <t>Aov : 500 Manager Will talk to the owner and confirm the onboarding, follow back on monday</t>
  </si>
  <si>
    <t>Rs biryani</t>
  </si>
  <si>
    <t>Onboarding today at 5 pm</t>
  </si>
  <si>
    <t>Onboarded AOV 200</t>
  </si>
  <si>
    <t>Dheeraj kheswani</t>
  </si>
  <si>
    <t>We have talked to the manager We need send the proposals and all that to him he will be talking to the owner</t>
  </si>
  <si>
    <t xml:space="preserve">Pizza zone </t>
  </si>
  <si>
    <t>Have got the owners contact details Will follow up</t>
  </si>
  <si>
    <t>Eruvaaka</t>
  </si>
  <si>
    <t>Raju</t>
  </si>
  <si>
    <t>It’s a new outlet food license not available, he said i will give update today by evening about that license.</t>
  </si>
  <si>
    <t xml:space="preserve">Bonalu kitchen </t>
  </si>
  <si>
    <t xml:space="preserve">Ramakrishna </t>
  </si>
  <si>
    <t>meet @4pm</t>
  </si>
  <si>
    <t>Ravoli</t>
  </si>
  <si>
    <t xml:space="preserve">Abdul </t>
  </si>
  <si>
    <t>POS used : explorex Will give a call back once owner is available</t>
  </si>
  <si>
    <t>Maa Amrutham</t>
  </si>
  <si>
    <t>Aov : 300 Owner not available, asked to come tmr @ 5</t>
  </si>
  <si>
    <t xml:space="preserve">Rushiba </t>
  </si>
  <si>
    <t xml:space="preserve">Sunil Kumar </t>
  </si>
  <si>
    <t>Asked to come back @ 5pm today</t>
  </si>
  <si>
    <t>RR Orissa dhaba</t>
  </si>
  <si>
    <t>Pavan</t>
  </si>
  <si>
    <t>He need time to think</t>
  </si>
  <si>
    <t>pepper Green</t>
  </si>
  <si>
    <t xml:space="preserve">nabeel </t>
  </si>
  <si>
    <t xml:space="preserve">Meeting tomorrow with owner @2pm </t>
  </si>
  <si>
    <t xml:space="preserve">Hazelnut Bakers </t>
  </si>
  <si>
    <t xml:space="preserve">Sadhana </t>
  </si>
  <si>
    <t>AOV : 200 Exclusive on zomato Owner is travelling, wanted details on what’s app</t>
  </si>
  <si>
    <t>Onboarded AOV-300-400 and 150 orders per day from one platform 50 from swiggy 3 outlets</t>
  </si>
  <si>
    <t>svs bakers  and fast food</t>
  </si>
  <si>
    <t>Asked to call him at 5pm</t>
  </si>
  <si>
    <t xml:space="preserve">Elipayakaram </t>
  </si>
  <si>
    <t>He is ready to onboard atleast 10 outlets out of 16 by today evening or by Saturday</t>
  </si>
  <si>
    <t xml:space="preserve">Made in Andhra </t>
  </si>
  <si>
    <t>Onboarded Aov 200+ Daily online orders 40</t>
  </si>
  <si>
    <t xml:space="preserve">Bezawada Biryani </t>
  </si>
  <si>
    <t>Vijay</t>
  </si>
  <si>
    <t>Have to meet @7pm</t>
  </si>
  <si>
    <t>Aazebo</t>
  </si>
  <si>
    <t>They have 7 branches If we talk to the branch people it will be sortedSame contact to head office every operations are done there is it’s self They are not lifting the call if we call Them</t>
  </si>
  <si>
    <t xml:space="preserve">The Nawabs </t>
  </si>
  <si>
    <t xml:space="preserve">kiran </t>
  </si>
  <si>
    <t>Seating capacity- 500 POS : chef desk Will arrange meeting with MD</t>
  </si>
  <si>
    <t xml:space="preserve"> ustaads hyderabadi zaiqa </t>
  </si>
  <si>
    <t xml:space="preserve"> durga prasad </t>
  </si>
  <si>
    <t>Owner is not available asked to come tommrow</t>
  </si>
  <si>
    <t>scoop icecream</t>
  </si>
  <si>
    <t xml:space="preserve">Arvi </t>
  </si>
  <si>
    <t>He will be available after 6</t>
  </si>
  <si>
    <t xml:space="preserve"> grand sons bademiyan kababs and restaurants </t>
  </si>
  <si>
    <t>siraj</t>
  </si>
  <si>
    <t>Owner will be available after 4pm</t>
  </si>
  <si>
    <t xml:space="preserve">Spicy hut </t>
  </si>
  <si>
    <t>Discussion done with the owner tomorrow Onboarding.</t>
  </si>
  <si>
    <t xml:space="preserve">Pasidipuri kitchen </t>
  </si>
  <si>
    <t>ONBOARDED  AOV-250</t>
  </si>
  <si>
    <t xml:space="preserve">Aahara food court </t>
  </si>
  <si>
    <t>Onboarded Aov 250 Avg order per day 50</t>
  </si>
  <si>
    <t xml:space="preserve">Ram ki bandi </t>
  </si>
  <si>
    <t>prashanth</t>
  </si>
  <si>
    <t>He said he will inform by end of this week  Will follow</t>
  </si>
  <si>
    <t xml:space="preserve">Pepper Green </t>
  </si>
  <si>
    <t xml:space="preserve">Pappu </t>
  </si>
  <si>
    <t>meeting @3.30pm</t>
  </si>
  <si>
    <t>Sri poorna hotel</t>
  </si>
  <si>
    <t xml:space="preserve">Akshay </t>
  </si>
  <si>
    <t>He will be talking to his brother and he will call us back Aov-300 above Daily orders -50 above</t>
  </si>
  <si>
    <t>Elaichi fine dining</t>
  </si>
  <si>
    <t>They told me to follow up in two days</t>
  </si>
  <si>
    <t xml:space="preserve">Kafika </t>
  </si>
  <si>
    <t>chakri</t>
  </si>
  <si>
    <t>AOV-300 Discussion done with manager,need to discuss with owner then I will follow up tomorrow for the feedback</t>
  </si>
  <si>
    <t xml:space="preserve"> Hunger station </t>
  </si>
  <si>
    <t xml:space="preserve">Hammad </t>
  </si>
  <si>
    <t>Will be available tmr after 1</t>
  </si>
  <si>
    <t>We  have talked with owner  We need to talk to his son on call After 6 pm  Aov-400 above Daily order -70 +</t>
  </si>
  <si>
    <t xml:space="preserve"> kitchens of masalas</t>
  </si>
  <si>
    <t>Will Discuss clearly tomorrow now he is in rush tomorrow after 6pm</t>
  </si>
  <si>
    <t xml:space="preserve">The chocolate room </t>
  </si>
  <si>
    <t xml:space="preserve">satish </t>
  </si>
  <si>
    <t>Discussion done with manager,need to discuss with md  I will follow up tomorrow for the update</t>
  </si>
  <si>
    <t xml:space="preserve">Rooster Kitchen </t>
  </si>
  <si>
    <t>Onboarded AOV:200+</t>
  </si>
  <si>
    <t xml:space="preserve">Dragon Kitchen </t>
  </si>
  <si>
    <t>Rya Restaurant</t>
  </si>
  <si>
    <t>Onabording at 6pm today</t>
  </si>
  <si>
    <t xml:space="preserve">Wisphot </t>
  </si>
  <si>
    <t>Younis Khan</t>
  </si>
  <si>
    <t>He said he will fix an appointment with their owners either today after 8pm or tomorrow from 12pm-1pm Will follow up</t>
  </si>
  <si>
    <t>Gabru di chaap</t>
  </si>
  <si>
    <t xml:space="preserve">Umar </t>
  </si>
  <si>
    <t>He didn't answer the call</t>
  </si>
  <si>
    <t>Keventeers</t>
  </si>
  <si>
    <t xml:space="preserve">Nadeem </t>
  </si>
  <si>
    <t>The manager didn't answer the call</t>
  </si>
  <si>
    <t>Woodfire pizza</t>
  </si>
  <si>
    <t>Owner available after 8pm</t>
  </si>
  <si>
    <t xml:space="preserve">Bhattad ki idly </t>
  </si>
  <si>
    <t xml:space="preserve">Mahendra </t>
  </si>
  <si>
    <t>He said he will speak to the owner, will follow up</t>
  </si>
  <si>
    <t>Onboarded Aov 300 Daily 75 orders</t>
  </si>
  <si>
    <t xml:space="preserve">Akshaya bhojanam </t>
  </si>
  <si>
    <t>gulf bakers</t>
  </si>
  <si>
    <t xml:space="preserve">rohan </t>
  </si>
  <si>
    <t>He will ask his partner and get back by 8 o clock</t>
  </si>
  <si>
    <t>Flavours</t>
  </si>
  <si>
    <t>We have talked with owner  He will get back to us</t>
  </si>
  <si>
    <t xml:space="preserve">Sindhu Tiffins &amp; Meals </t>
  </si>
  <si>
    <t xml:space="preserve">Onboarded AOV : 200 </t>
  </si>
  <si>
    <t xml:space="preserve">Times Tiffins &amp; Meals </t>
  </si>
  <si>
    <t>Cake Cafe</t>
  </si>
  <si>
    <t xml:space="preserve">Yogesh </t>
  </si>
  <si>
    <t xml:space="preserve">Total No.of Outlets : 12 Yogesh ( will be available at JP Nagar Branch) </t>
  </si>
  <si>
    <t>Onboarded AOV:150+</t>
  </si>
  <si>
    <t xml:space="preserve">Kamakshi tiffins </t>
  </si>
  <si>
    <t xml:space="preserve">Kothaguda </t>
  </si>
  <si>
    <t>onboarded 23++ Aov 180 No Swiggy no zomato</t>
  </si>
  <si>
    <t>Kamakshi snacks curries and meals - 23++</t>
  </si>
  <si>
    <t>Sk jani</t>
  </si>
  <si>
    <t>onboarded Aov 200 and 17+2%++ No Swiggy no zomato</t>
  </si>
  <si>
    <t xml:space="preserve"> sk munna  restaurant </t>
  </si>
  <si>
    <t xml:space="preserve">imran </t>
  </si>
  <si>
    <t>Owner will be available after 4</t>
  </si>
  <si>
    <t xml:space="preserve">Spice kitchen </t>
  </si>
  <si>
    <t>Owner will be available tmr</t>
  </si>
  <si>
    <t xml:space="preserve">Rayalaseema spice </t>
  </si>
  <si>
    <t>Manager was not available  Did nt shared the POC details</t>
  </si>
  <si>
    <t xml:space="preserve">BTO </t>
  </si>
  <si>
    <t xml:space="preserve">Karthik </t>
  </si>
  <si>
    <t>Discussion done with manager need to discuss with owner get back evening I will follow up in the evening</t>
  </si>
  <si>
    <t>Yum Yum Tree</t>
  </si>
  <si>
    <t xml:space="preserve">mazar </t>
  </si>
  <si>
    <t>manager ask to come again @4pm</t>
  </si>
  <si>
    <t xml:space="preserve">dwaraka multi cuisine restaurant </t>
  </si>
  <si>
    <t>Owner will be available after 10 pm evening</t>
  </si>
  <si>
    <t xml:space="preserve">Midhunam </t>
  </si>
  <si>
    <t xml:space="preserve">Manager was not available </t>
  </si>
  <si>
    <t>SSS shawarma</t>
  </si>
  <si>
    <t>Ramaraju</t>
  </si>
  <si>
    <t>Owner will be available at 5 pm</t>
  </si>
  <si>
    <t xml:space="preserve">Sri Bakers </t>
  </si>
  <si>
    <t xml:space="preserve">vamsi </t>
  </si>
  <si>
    <t>Total outlets : 7 Aov : 200 No of orders a day : 30 Outlet manager : vamsi Contact No : 9177056777 Owner name : Srinivad Reddy Contact No :9177501753</t>
  </si>
  <si>
    <t xml:space="preserve">Tass spice hut </t>
  </si>
  <si>
    <t>Owner was not available in the restaurant Discussion done with manager,spoke with owner on the call,appointment fixed tomorrow for the meeting.</t>
  </si>
  <si>
    <t>Sri sai food court</t>
  </si>
  <si>
    <t>He is not interested</t>
  </si>
  <si>
    <t>prakash meals and tiffins</t>
  </si>
  <si>
    <t>Prakash</t>
  </si>
  <si>
    <t>He is busy right now ,he said i will call you when i am free</t>
  </si>
  <si>
    <t xml:space="preserve">Victoria tiffins and fast food </t>
  </si>
  <si>
    <t>Onboarded Aov 150+ Not on any other food delivery platforms Offline orders 100 per day</t>
  </si>
  <si>
    <t>Jai murthi banglore</t>
  </si>
  <si>
    <t xml:space="preserve">Southern kitchen </t>
  </si>
  <si>
    <t xml:space="preserve">Ganesh </t>
  </si>
  <si>
    <t>It’s managed by Kinara group of hotels Asked to mail the proposal Will be sharing mail I’d shortly</t>
  </si>
  <si>
    <t>Spicy food court</t>
  </si>
  <si>
    <t>Syed hissam uddin</t>
  </si>
  <si>
    <t>ONBOARDED</t>
  </si>
  <si>
    <t>Swach</t>
  </si>
  <si>
    <t>Aov- 200 above Daily orders- minimum 100 Total outlets - 3</t>
  </si>
  <si>
    <t>Abhiruchi</t>
  </si>
  <si>
    <t xml:space="preserve">Kishore </t>
  </si>
  <si>
    <t>Available in sr nagar branch Total of -4 branches</t>
  </si>
  <si>
    <t>mahesh</t>
  </si>
  <si>
    <t>OnboardedRao gari military hotel 2 outlets onboarded Kothaguda Poc mahesh Ameenapur Aov weekdays 350 Weekends 400 Online orders per day 50-70</t>
  </si>
  <si>
    <t xml:space="preserve">Babai ruchi mess nd biryani </t>
  </si>
  <si>
    <t>Hema</t>
  </si>
  <si>
    <t>Manager was busy,she asked me to call in the evening I will follow up</t>
  </si>
  <si>
    <t>Irachaku rameen house</t>
  </si>
  <si>
    <t>purna chandhar rao</t>
  </si>
  <si>
    <t>onboarded Aov 180 and 26++</t>
  </si>
  <si>
    <t>Vellankifood</t>
  </si>
  <si>
    <t>We need to send the proposal to them we have talked with owner he is interested Owner contact Outlets of - 8 total</t>
  </si>
  <si>
    <t xml:space="preserve">Sankla bakery </t>
  </si>
  <si>
    <t>Owner was not available,discussion done with the manager I will follow up for feedback</t>
  </si>
  <si>
    <t>Thrivesome cafe</t>
  </si>
  <si>
    <t xml:space="preserve">Pravallika </t>
  </si>
  <si>
    <t>Aov- 800 Daily orders - 20 orders More dine She will talk to the owner and she will let us know till eod</t>
  </si>
  <si>
    <t>Chai kings</t>
  </si>
  <si>
    <t>All the decisions are taken in Chennai</t>
  </si>
  <si>
    <t>Cafe cocktail music</t>
  </si>
  <si>
    <t>Tapas</t>
  </si>
  <si>
    <t>chinese biryani</t>
  </si>
  <si>
    <t>Destination Cafe We need time to discuss with his partners</t>
  </si>
  <si>
    <t>waffle house</t>
  </si>
  <si>
    <t>Owner not available, didn’t wanted to share the number</t>
  </si>
  <si>
    <t>Onboarded  AOV : 300 No.of orders a day : 20(online platforms) with 20++</t>
  </si>
  <si>
    <t xml:space="preserve">Chinese express </t>
  </si>
  <si>
    <t>Keerthi kumar</t>
  </si>
  <si>
    <t>Onboarded Aov 180 and 25++ with long distance fee</t>
  </si>
  <si>
    <t xml:space="preserve">Zara hi-fi restaurant </t>
  </si>
  <si>
    <t xml:space="preserve">thufail </t>
  </si>
  <si>
    <t>Need to discuss with his brother Gachibowli</t>
  </si>
  <si>
    <t xml:space="preserve">Maddys cloud kitchen </t>
  </si>
  <si>
    <t>Onboarded,few documents yet to be collected</t>
  </si>
  <si>
    <t xml:space="preserve">Sip &amp; Chill onboarded </t>
  </si>
  <si>
    <t>Onboarded  AOV : 200 Currently not on any food delivery platform  with 20++(5km)</t>
  </si>
  <si>
    <t xml:space="preserve">Abhiruchi </t>
  </si>
  <si>
    <t>asked to send the detials on what’s app</t>
  </si>
  <si>
    <t>Ayansh food Court</t>
  </si>
  <si>
    <t>Onboarded AOV:200+ Daily orders:90+per day</t>
  </si>
  <si>
    <t>tulsi velas</t>
  </si>
  <si>
    <t>Onboarded Aov-300 Daily orders - 60 They are in both Swiggy and Zomato 22++</t>
  </si>
  <si>
    <t>Dakshin haveli</t>
  </si>
  <si>
    <t>?</t>
  </si>
  <si>
    <t xml:space="preserve">Malabaris </t>
  </si>
  <si>
    <t>Srija</t>
  </si>
  <si>
    <t>Manager was not available,I need to follow up for discuss</t>
  </si>
  <si>
    <t xml:space="preserve">hyderabad shahi restaurant </t>
  </si>
  <si>
    <t xml:space="preserve">yashwant </t>
  </si>
  <si>
    <t>Owner will be available after9 pm</t>
  </si>
  <si>
    <t>The food planet</t>
  </si>
  <si>
    <t>Owner is out of station I have talked in call he said we will meet directly and talk on Monday</t>
  </si>
  <si>
    <t xml:space="preserve">Sarasam - cafe and restaurant </t>
  </si>
  <si>
    <t>Onboarded Aov- 250+</t>
  </si>
  <si>
    <t xml:space="preserve">Squid kitchen - cloud kitchen </t>
  </si>
  <si>
    <t xml:space="preserve">Tuyaa - cloud kitchen </t>
  </si>
  <si>
    <t xml:space="preserve">Shree Raghavendra </t>
  </si>
  <si>
    <t>Everything talked with owner on boarding may done with in 2 days</t>
  </si>
  <si>
    <t xml:space="preserve">Palle vindhu </t>
  </si>
  <si>
    <t xml:space="preserve">Vishnu </t>
  </si>
  <si>
    <t>Discussion done with manager,need to up follow up in next week</t>
  </si>
  <si>
    <t>santosh dhaba</t>
  </si>
  <si>
    <t>Vamsi</t>
  </si>
  <si>
    <t>AOV :- 350 Orders per day :- 45Follow up required Call @6:30 PM today</t>
  </si>
  <si>
    <t>Tazza tiffins</t>
  </si>
  <si>
    <t xml:space="preserve">Bhagwan </t>
  </si>
  <si>
    <t>We have talked with owner and manager Meeting schedule - on Saturday with owner Explained everything on call Total outlets - 8 In Hyderabad 6</t>
  </si>
  <si>
    <t xml:space="preserve">Malabar kitchen </t>
  </si>
  <si>
    <t xml:space="preserve">Nabeel </t>
  </si>
  <si>
    <t>He will Discuss with other partners for onboarding 4branches meanwhile he asked me to send proposal</t>
  </si>
  <si>
    <t>Onboarded Aov 250++</t>
  </si>
  <si>
    <t xml:space="preserve">Punjabi chasak </t>
  </si>
  <si>
    <t>onboarded Aov - 250 above Daily order- 60 above  Closed with 19++</t>
  </si>
  <si>
    <t xml:space="preserve">Red Bucket Biryani </t>
  </si>
  <si>
    <t>naidus  food court</t>
  </si>
  <si>
    <t>Onboarded Aov 250 Daily order per 150</t>
  </si>
  <si>
    <t>Kings M biryani adda</t>
  </si>
  <si>
    <t>hitex bawarchi restaurant</t>
  </si>
  <si>
    <t xml:space="preserve">ameer </t>
  </si>
  <si>
    <t>Owner will be available on monday</t>
  </si>
  <si>
    <t xml:space="preserve"> BBQ Bites</t>
  </si>
  <si>
    <t>Onboarded Aov : 200 Daily orders: 45</t>
  </si>
  <si>
    <t xml:space="preserve">Waffle &amp; Sip </t>
  </si>
  <si>
    <t xml:space="preserve">Madura bar and restraunt </t>
  </si>
  <si>
    <t xml:space="preserve">shiridi sai tiffins </t>
  </si>
  <si>
    <t>Monday he will be onboard because cashier taking care of online platform he is in vacation</t>
  </si>
  <si>
    <t>tiffin xpress</t>
  </si>
  <si>
    <t>mohameed yaser</t>
  </si>
  <si>
    <t xml:space="preserve">preeti tiffins </t>
  </si>
  <si>
    <t xml:space="preserve">megha </t>
  </si>
  <si>
    <t xml:space="preserve">Onboarded Aov 400+ Avg order per day  100 </t>
  </si>
  <si>
    <t xml:space="preserve">Preeti tiffens </t>
  </si>
  <si>
    <t>Onboarded another outlet Aov-300 above Daily orders -300 + Both  Swiggy and Zomato</t>
  </si>
  <si>
    <t xml:space="preserve">Asian pan house and restraunt </t>
  </si>
  <si>
    <t>Aov- 350 above  Daily orders - 50 +</t>
  </si>
  <si>
    <t xml:space="preserve">Annapoorna kitchen </t>
  </si>
  <si>
    <t>I have explained him everything. He is interested to onboard  Will complete onboarding tomorrow at 7pm</t>
  </si>
  <si>
    <t>ONBOARDED AOV-300orders per day -30+</t>
  </si>
  <si>
    <t>Ganesh tiffins</t>
  </si>
  <si>
    <t>They have two more branches in Balanagar, one is dhaba and the other is tiffins Owner available after 9pm</t>
  </si>
  <si>
    <t>Abhiruchi tiffins and meals</t>
  </si>
  <si>
    <t>murali kitchen</t>
  </si>
  <si>
    <t>Meet on Sunday</t>
  </si>
  <si>
    <t>Bakers corner</t>
  </si>
  <si>
    <t>They have 3 branches They are having online delivery in other two branches, they are planning to start here very soon</t>
  </si>
  <si>
    <t>Heavenly Restaurant</t>
  </si>
  <si>
    <t xml:space="preserve">Aadil </t>
  </si>
  <si>
    <t>Owner will be available after 6 PM</t>
  </si>
  <si>
    <t>President dhaba</t>
  </si>
  <si>
    <t xml:space="preserve">jublii hills </t>
  </si>
  <si>
    <t>Have to discuss with the manager regarding thiswill follow up</t>
  </si>
  <si>
    <t>Raju Gari Bhimavaram Biryani</t>
  </si>
  <si>
    <t>Onboarded AOV:300</t>
  </si>
  <si>
    <t>Myfroyoland</t>
  </si>
  <si>
    <t xml:space="preserve">Diksha </t>
  </si>
  <si>
    <t>POC was not available need to follow up</t>
  </si>
  <si>
    <t>Falak bakers and cakes</t>
  </si>
  <si>
    <t>Meeting with owner after 4 today</t>
  </si>
  <si>
    <t xml:space="preserve">Sai Mumbai Famous </t>
  </si>
  <si>
    <t>AR fast food and restaurant</t>
  </si>
  <si>
    <t xml:space="preserve">Rehman </t>
  </si>
  <si>
    <t>Owner asked to get back after Ramzan</t>
  </si>
  <si>
    <t xml:space="preserve">Natu kitchen </t>
  </si>
  <si>
    <t xml:space="preserve">Jubliee hills </t>
  </si>
  <si>
    <t>Met with manager explained everything need to speak with the owner and get back</t>
  </si>
  <si>
    <t>Palamguru grill</t>
  </si>
  <si>
    <t xml:space="preserve"> Met with the manager poc details not shared informed they have their head office opposite meridian school, if anyone is near that location. Please visit</t>
  </si>
  <si>
    <t>shsh gouse</t>
  </si>
  <si>
    <t>toulichowki</t>
  </si>
  <si>
    <t>irfan</t>
  </si>
  <si>
    <t>owner asked to come after ramadan as he is very busy</t>
  </si>
  <si>
    <t xml:space="preserve">spices </t>
  </si>
  <si>
    <t>Rauf</t>
  </si>
  <si>
    <t>Talked with manager He said you can come after Ramazan directly to talk</t>
  </si>
  <si>
    <t>Blue star</t>
  </si>
  <si>
    <t>rajashekar</t>
  </si>
  <si>
    <t>he will meet after 8pm</t>
  </si>
  <si>
    <t xml:space="preserve">Hassan Diary </t>
  </si>
  <si>
    <t xml:space="preserve">toulichowki </t>
  </si>
  <si>
    <t>salman</t>
  </si>
  <si>
    <t>honor not available ask to come back at 4:00 p.m</t>
  </si>
  <si>
    <t>Sulomon kings of flavours</t>
  </si>
  <si>
    <t>Ayaz</t>
  </si>
  <si>
    <t>ask to come on Monday</t>
  </si>
  <si>
    <t>hotel Anand Bhavan</t>
  </si>
  <si>
    <t>He is not interested on these apps He directly said get out</t>
  </si>
  <si>
    <t xml:space="preserve">zumaria restaurant </t>
  </si>
  <si>
    <t>shariq</t>
  </si>
  <si>
    <t xml:space="preserve">owner not available asked to come back on Monday </t>
  </si>
  <si>
    <t>Tatva Modern dining</t>
  </si>
  <si>
    <t>Poc not available, no details shared 3 outlets, have to come back on Monday.</t>
  </si>
  <si>
    <t>CHAI Chasaka</t>
  </si>
  <si>
    <t>They are adding up with other restaurant Next month have to follow up</t>
  </si>
  <si>
    <t>Orugallu Ruchulu</t>
  </si>
  <si>
    <t>Onboarded Aov:250 Daily orders:45+</t>
  </si>
  <si>
    <t>Dosa hut</t>
  </si>
  <si>
    <t>Kalyan</t>
  </si>
  <si>
    <t>whisk it</t>
  </si>
  <si>
    <t>Swapna</t>
  </si>
  <si>
    <t>Should follow back after one hour</t>
  </si>
  <si>
    <t>Upasana's</t>
  </si>
  <si>
    <t>Owner will be available at night</t>
  </si>
  <si>
    <t xml:space="preserve">kabul restaurant </t>
  </si>
  <si>
    <t>Vajit</t>
  </si>
  <si>
    <t>Owner will be available daily after 8:30 PM !</t>
  </si>
  <si>
    <t>Bhai ki chai</t>
  </si>
  <si>
    <t>They faced issues with online platform they are not intrested on any platform</t>
  </si>
  <si>
    <t>Hotel swaruchi</t>
  </si>
  <si>
    <t>Ramesh</t>
  </si>
  <si>
    <t xml:space="preserve"> Discussion done with owner need one day time to get back</t>
  </si>
  <si>
    <t>Bhimavaram Raju gari Ruchulu</t>
  </si>
  <si>
    <t>Disscusion done with one partner need to discuss with other partner I will follow up</t>
  </si>
  <si>
    <t xml:space="preserve">Shirisha fast food </t>
  </si>
  <si>
    <t>surya</t>
  </si>
  <si>
    <t>Owner was not available,reaching him for meeting</t>
  </si>
  <si>
    <t xml:space="preserve">Sankar villas tiffins </t>
  </si>
  <si>
    <t>Hitish</t>
  </si>
  <si>
    <t>Discussion done with owner,once he need to discuss with his son and get back us I will follow up</t>
  </si>
  <si>
    <t xml:space="preserve">Venkateswara foods  </t>
  </si>
  <si>
    <t>Discussion done with manager,need to update to owner I will Follow up</t>
  </si>
  <si>
    <t xml:space="preserve">Bobby's friend chicken </t>
  </si>
  <si>
    <t>Owner will be available at evening</t>
  </si>
  <si>
    <t xml:space="preserve">Zaiqa-11 </t>
  </si>
  <si>
    <t>Discussion done with two partners Need to discuss with other partner They have 3outlets I will follow up</t>
  </si>
  <si>
    <t xml:space="preserve">Al saba Restaurant </t>
  </si>
  <si>
    <t>Liyakath</t>
  </si>
  <si>
    <t>Meet tomorrow @10-12</t>
  </si>
  <si>
    <t xml:space="preserve">Pakka local food </t>
  </si>
  <si>
    <t>Owner will be available at 4 pm</t>
  </si>
  <si>
    <t>lakshmi food and meals</t>
  </si>
  <si>
    <t>He will discuss with his father and take decision in 1 hr</t>
  </si>
  <si>
    <t xml:space="preserve">Highway Restaurant </t>
  </si>
  <si>
    <t>likith</t>
  </si>
  <si>
    <t>We need to send proposal</t>
  </si>
  <si>
    <t xml:space="preserve">Madhuram Kitchen </t>
  </si>
  <si>
    <t>AOV : 200 Owner not available, doesn’t want to share details, asked to come back tmr</t>
  </si>
  <si>
    <t xml:space="preserve">Satti babu biryani </t>
  </si>
  <si>
    <t>Ramnath</t>
  </si>
  <si>
    <t xml:space="preserve"> Contact Ramnath for further discussion</t>
  </si>
  <si>
    <t>Arabian Mandi</t>
  </si>
  <si>
    <t>Imran</t>
  </si>
  <si>
    <t>Owner current in Saudi Arabia,will return on 27th. 60-80 orders per day</t>
  </si>
  <si>
    <t xml:space="preserve">Kafka house </t>
  </si>
  <si>
    <t>Syed Sameer</t>
  </si>
  <si>
    <t>They have 6 outlets in hyd Did shared the number Owner will be available in jubilee bills branch kbr park gate no-1 He is the descion maker for all outlets If anyone in jubliee hills can reach out him</t>
  </si>
  <si>
    <t xml:space="preserve">Bezawada bhojanams and Biryanis </t>
  </si>
  <si>
    <t>Sreedhar</t>
  </si>
  <si>
    <t>Will onboard by monday for 2 outlets</t>
  </si>
  <si>
    <t>Kush mandi</t>
  </si>
  <si>
    <t>Asked for the proposal,I have shared them,They will get back in next week</t>
  </si>
  <si>
    <t>Ulavacharu</t>
  </si>
  <si>
    <t>Aov:500 and 3 outlets We discuss each and everything and he want to discuss with his brother we need to send proposal @⁨~manasa.chigurupati@capsdelivery.com @ankitha.baske@capsdelivery.com</t>
  </si>
  <si>
    <t xml:space="preserve">Dune bar and kitchen </t>
  </si>
  <si>
    <t>Met with manager , however did not share any details, need to call the general manager to set up a meeting.I will follow up.</t>
  </si>
  <si>
    <t>Moms kitchen</t>
  </si>
  <si>
    <t>Owner was not available,discussion done with manager I will follow up for feed back</t>
  </si>
  <si>
    <t>Naughty kudi</t>
  </si>
  <si>
    <t>Met with the Manager They are opening 2 more outlets!General manager will be availble after 2-3 dayswill follow up.</t>
  </si>
  <si>
    <t xml:space="preserve"> ONBOARDED AOV-250</t>
  </si>
  <si>
    <t>Kakatiya home foods</t>
  </si>
  <si>
    <t>Virababu</t>
  </si>
  <si>
    <t>Insomnia</t>
  </si>
  <si>
    <t>Ritesh</t>
  </si>
  <si>
    <t>Had a discussion with the manager, they are not serving online orders as they are pub and dining oriented place.They are not interested in online orders.</t>
  </si>
  <si>
    <t>Dwaraka swagracha food</t>
  </si>
  <si>
    <t>Interested but need to discuss with his partner, will follow up</t>
  </si>
  <si>
    <t>Sri Raghavendra vihar</t>
  </si>
  <si>
    <t>They are not ready to give number ,owner is not available</t>
  </si>
  <si>
    <t>Zaiqa 11</t>
  </si>
  <si>
    <t>ONBOARDED AOV-400</t>
  </si>
  <si>
    <t>ONBOARDED AOV-300</t>
  </si>
  <si>
    <t>Crave and corners kitchen</t>
  </si>
  <si>
    <t>Discussion done with one partner and need to discuss with other partner</t>
  </si>
  <si>
    <t>the spicy unions</t>
  </si>
  <si>
    <t>Kishore</t>
  </si>
  <si>
    <t>We need to send details in whatsapp</t>
  </si>
  <si>
    <t>Bhulakshmi Mess</t>
  </si>
  <si>
    <t>Varma</t>
  </si>
  <si>
    <t xml:space="preserve"> AOV : 350 ( confirmed on POS) No.of orders a day : 20 Follow back on monday</t>
  </si>
  <si>
    <t xml:space="preserve">Brost nation </t>
  </si>
  <si>
    <t>Ajar</t>
  </si>
  <si>
    <t>Discussion done with manager need to discuss with owner I will follow up</t>
  </si>
  <si>
    <t xml:space="preserve">oye punjabi </t>
  </si>
  <si>
    <t xml:space="preserve">bab al mandi </t>
  </si>
  <si>
    <t>Onboarded Aov -500 above Daily order -75 + both on Swiggy and Zomato</t>
  </si>
  <si>
    <t>L.K Brudavan Food court</t>
  </si>
  <si>
    <t xml:space="preserve"> AOV : 300 Have 3 outlets Asked to meet 1 week later for onboarding</t>
  </si>
  <si>
    <t xml:space="preserve">Lassi Shop </t>
  </si>
  <si>
    <t>Onboarded Aov - 200 No of orders : 15-20( only on zomoto) Explained about 40 rupees per order and 22++</t>
  </si>
  <si>
    <t>Sandu's bakes and brews</t>
  </si>
  <si>
    <t>@⁨~Sagara Veerudu⁩ Discussion and everything is done for 22++ , tmr they gonna onboard kindly follow up</t>
  </si>
  <si>
    <t>https://maps.app.goo.gl/Ev9KDQw9qfZ3BM63A?g_st=ic</t>
  </si>
  <si>
    <t xml:space="preserve">Tiny Town cafe </t>
  </si>
  <si>
    <t>AOV : 200 and 22++ Will disscuss with partner and will be onboarded</t>
  </si>
  <si>
    <t xml:space="preserve">Granny’s Kitchen </t>
  </si>
  <si>
    <t>Aov : 200 Have 3 outlets Onboarding on Monday</t>
  </si>
  <si>
    <t xml:space="preserve">The exotic shawarma </t>
  </si>
  <si>
    <t>Head office add :- Mehadipatnam! 17 pillar no.Total outlets - 9 Follow up required to get the appointment date with HO !</t>
  </si>
  <si>
    <t>Bhimavaram raju gari kodi palau</t>
  </si>
  <si>
    <t>2 outlets Owner is availabe on monday Interested in onboarding</t>
  </si>
  <si>
    <t xml:space="preserve">sri satti babu biryani </t>
  </si>
  <si>
    <t xml:space="preserve">Onboarded Aov 240 Daily orders 20 + </t>
  </si>
  <si>
    <t xml:space="preserve">Sravanthi food court </t>
  </si>
  <si>
    <t>manoj</t>
  </si>
  <si>
    <t>onboarded 4 outletsAov 250 No Swiggy no zomato 23++and  + 2% long distance fees</t>
  </si>
  <si>
    <t>Mickeys tiffin</t>
  </si>
  <si>
    <t>Kamleesh</t>
  </si>
  <si>
    <t xml:space="preserve">Onboarded Aov 180 Online orders mrng 20-30 Night 40-50 and 25++ with long distance </t>
  </si>
  <si>
    <t>Taaza tiffins</t>
  </si>
  <si>
    <t xml:space="preserve">Santhosh reddy </t>
  </si>
  <si>
    <t>Meeting is on Monday -10 am</t>
  </si>
  <si>
    <t xml:space="preserve">FIVE STAR CHICKEN </t>
  </si>
  <si>
    <t xml:space="preserve">Onboarded AOV :- 350 Orders per day :- 45 </t>
  </si>
  <si>
    <t>saba-e-kitchen and cafe</t>
  </si>
  <si>
    <t xml:space="preserve">Manish Dubey </t>
  </si>
  <si>
    <t>AOV :- 450 Orders per day :- 60 All details about onboarding discussed with owner !!! Onboarding will be done on Tuesday !!! 2 outlets !</t>
  </si>
  <si>
    <t>kumar</t>
  </si>
  <si>
    <t>Daily order - 150 + orders daily Aov - 300 above Meet on Monday</t>
  </si>
  <si>
    <t xml:space="preserve">Anu kitchen </t>
  </si>
  <si>
    <t xml:space="preserve">  Owner not available in outlet ! Asked to call back tomorrow mrng !</t>
  </si>
  <si>
    <t xml:space="preserve">rowdy momo express </t>
  </si>
  <si>
    <t>On boarded Aov-300 above Daily order -70 above</t>
  </si>
  <si>
    <t>Sri annapoorna kitchen</t>
  </si>
  <si>
    <t xml:space="preserve"> Onboarded AOV -200</t>
  </si>
  <si>
    <t xml:space="preserve">Tiffin kottu </t>
  </si>
  <si>
    <t>Gopi</t>
  </si>
  <si>
    <t>Discussion done with one partner need to discuss with other partner They are not on other platforms</t>
  </si>
  <si>
    <t>https://maps.app.goo.gl/efi6qLMEqREDYvo87</t>
  </si>
  <si>
    <t>Annamaya</t>
  </si>
  <si>
    <t>For the discussion no seniors and manager was not available</t>
  </si>
  <si>
    <t>https://maps.app.goo.gl/YSVyzPRLzKR4C9ea6</t>
  </si>
  <si>
    <t xml:space="preserve">chicken donne biryani house </t>
  </si>
  <si>
    <t>Krishna Mohan</t>
  </si>
  <si>
    <t xml:space="preserve">Owner  was not available,Discussion done with manager </t>
  </si>
  <si>
    <t>https://maps.app.goo.gl/pPKXKgijRbJbL1Fk6</t>
  </si>
  <si>
    <t>Tealogy care</t>
  </si>
  <si>
    <t>kamesh</t>
  </si>
  <si>
    <t xml:space="preserve">Owner was not available </t>
  </si>
  <si>
    <t>https://maps.app.goo.gl/1CNy6yWPo9nmBafh6</t>
  </si>
  <si>
    <t>padma vilas</t>
  </si>
  <si>
    <t>Sai</t>
  </si>
  <si>
    <t>Come Monday for discussion</t>
  </si>
  <si>
    <t>https://maps.app.goo.gl/rq2WEYYPKoDaM16A6</t>
  </si>
  <si>
    <t>cake cafe</t>
  </si>
  <si>
    <t>Not intrested in online platform</t>
  </si>
  <si>
    <t>https://maps.app.goo.gl/wYHfHtsTYczZ3B656</t>
  </si>
  <si>
    <t xml:space="preserve">olive garden </t>
  </si>
  <si>
    <t xml:space="preserve">permanently closed </t>
  </si>
  <si>
    <t>https://maps.app.goo.gl/8RQNvbSwPC2oDTZR6</t>
  </si>
  <si>
    <t>Sri akshaya tiffins and meals</t>
  </si>
  <si>
    <t>The owner is not on any online platforms as he wants settlements daily</t>
  </si>
  <si>
    <t>https://maps.app.goo.gl/Lqm7AfXexrTbV5Gn8</t>
  </si>
  <si>
    <t>Balaji vilas</t>
  </si>
  <si>
    <t>Discussion done with the owner But they had issues before with swiggy and zomato  regarding payment Now they are not interested on online platforms</t>
  </si>
  <si>
    <t>https://maps.app.goo.gl/Cbid88qAB5NfcMiaA</t>
  </si>
  <si>
    <t xml:space="preserve">Sri Gowras kitchen </t>
  </si>
  <si>
    <t xml:space="preserve">Shekar </t>
  </si>
  <si>
    <t>Monday appointment after 14:00</t>
  </si>
  <si>
    <r>
      <rPr>
        <color rgb="FF1155CC"/>
        <u/>
      </rPr>
      <t>Sri Gowra's kitchen - Google Maps</t>
    </r>
  </si>
  <si>
    <t xml:space="preserve">Morine bakers </t>
  </si>
  <si>
    <t>On leave today Main branch Mehdipatnam if anyone is in that area kindly visit Pos used - Cozypos</t>
  </si>
  <si>
    <r>
      <rPr>
        <color rgb="FF1155CC"/>
        <u/>
      </rPr>
      <t>Morine Bakery - Google Maps</t>
    </r>
  </si>
  <si>
    <t>Midland bakers</t>
  </si>
  <si>
    <t xml:space="preserve">Krishna </t>
  </si>
  <si>
    <t>The owner is available after 2 pm</t>
  </si>
  <si>
    <r>
      <rPr>
        <color rgb="FF1155CC"/>
        <u/>
      </rPr>
      <t>Midland Bakery - Google Maps</t>
    </r>
  </si>
  <si>
    <t xml:space="preserve">ABC foods  Abiruchi biryani cafe </t>
  </si>
  <si>
    <t xml:space="preserve">Sathyaprasad </t>
  </si>
  <si>
    <t>Owner was not available Discussion done with the managerI will follow up</t>
  </si>
  <si>
    <r>
      <rPr>
        <color rgb="FF1155CC"/>
        <u/>
      </rPr>
      <t>17°29'31.5"N 78°23'50.9"E - Google Maps</t>
    </r>
  </si>
  <si>
    <t xml:space="preserve">Blue star restaurant </t>
  </si>
  <si>
    <t>Owner available after 2 pm</t>
  </si>
  <si>
    <r>
      <rPr>
        <color rgb="FF1155CC"/>
        <u/>
      </rPr>
      <t>Blue Star Restaurant - Google Maps</t>
    </r>
  </si>
  <si>
    <t>Hasis pulav</t>
  </si>
  <si>
    <t xml:space="preserve">Onboarded Aov :200 Daily 75 orders from other platforms </t>
  </si>
  <si>
    <t xml:space="preserve">Hasis kitchen </t>
  </si>
  <si>
    <t>my friend circle and kitchen</t>
  </si>
  <si>
    <t xml:space="preserve">Laxman </t>
  </si>
  <si>
    <t xml:space="preserve">Owner will be available in the evening </t>
  </si>
  <si>
    <t>https://www.google.com/maps/place/My+Friend+Circle/@17.3853039,78.3553971,-32a,55.4y/data=!3m8!1e2!3m6!1sCIHM0ogKEICAgIDftKeV3gE!2e10!3e12!6shttps:%2F%2Flh3.googleusercontent.com%2Fgps-cs-s%2FAHVAweoS4mUpoR772RhURMTdEJI5VGb_crk6WtJNm3CKPpWSm9wDA1fY0XLexucfDZwhjeDcjATviDVRdfmXdFNJgKcdlNjhxHbgaMA4UaB2Jj1EIhsHg16zJl-iOvvQqCQQ8SJxR98x4g%3Dw114-h86-k-no!7i1280!8i960!4m11!1m2!2m1!1smy+friend+circle+and+kitchen!3m7!1s0x3bcb9584f1901667:0x1a3a33505b096dbc!8m2!3d17.3852147!4d78.355735!10e5!15sChxteSBmcmllbmQgY2lyY2xlIGFuZCBraXRjaGVuWh4iHG15IGZyaWVuZCBjaXJjbGUgYW5kIGtpdGNoZW6SAQpmb29kX2NvdXJ0mgFEQ2k5RFFVbFJRVU52WkVOb2RIbGpSamx2VDJ4S2NrNUZkM3BPYmtJeFdYa3hWR1ZHYUZCTlZrVjNWRlpHYmxreFJSQULgAQD6AQQIABAc!16s%2Fg%2F11wvd39p_5?entry=ttu&amp;g_ep=EgoyMDI2MDIxOC4wIKXMDSoASAFQAw%3D%3D</t>
  </si>
  <si>
    <t xml:space="preserve">Rayudu's kitchen </t>
  </si>
  <si>
    <t>The owner will be available in an hour,will come back here</t>
  </si>
  <si>
    <t>https://www.google.com/maps/place/Rayudu's+Kitchen/@17.4333496,78.4441904,17z/data=!3m1!4b1!4m6!3m5!1s0x3bcb914955d011ff:0x661b97e6bb096a21!8m2!3d17.4333496!4d78.4467653!16s%2Fg%2F11vz2djgcg?entry=ttu&amp;g_ep=EgoyMDI2MDIxOC4wIKXMDSoASAFQAw%3D%3D</t>
  </si>
  <si>
    <t>Tasty flavours (tiffins, meals, biryanis)</t>
  </si>
  <si>
    <t>Onboarded ov 250 and 22++ with long distance fees</t>
  </si>
  <si>
    <t>https://www.google.com/maps/place/Tasty+Flavours/@17.4652668,78.3434805,3a,75y,90t/data=!3m8!1e2!3m6!1sAF1QipPfV5LKpV5t2rgznEmlSSzoj7InMJTZoFfDKy4U!2e10!3e12!6shttps:%2F%2Flh3.googleusercontent.com%2Fp%2FAF1QipPfV5LKpV5t2rgznEmlSSzoj7InMJTZoFfDKy4U%3Dw203-h142-k-no!7i1120!8i787!4m7!3m6!1s0x3bcb938875a3f2f1:0x1c0df37a1d92c233!8m2!3d17.465276!4d78.3434163!10e5!16s%2Fg%2F11x71lps8y?entry=ttu&amp;g_ep=EgoyMDI2MDIxOC4wIKXMDSoASAFQAw%3D%3D</t>
  </si>
  <si>
    <t>Dhabha food court</t>
  </si>
  <si>
    <t xml:space="preserve">Sudhakar </t>
  </si>
  <si>
    <t>They are going to change the names and location Need to follow up in next month</t>
  </si>
  <si>
    <t>17°29'32.2"N 78°23'49.2"E</t>
  </si>
  <si>
    <t xml:space="preserve">Hotel Amrutha sai </t>
  </si>
  <si>
    <t>Didn’t shared any contact details  Need to follow on Monday</t>
  </si>
  <si>
    <t>17°29'32.2"N 78°23'49.3"E</t>
  </si>
  <si>
    <t xml:space="preserve">Agra sweets </t>
  </si>
  <si>
    <t>The owner is available on Monday after 4 pm</t>
  </si>
  <si>
    <t>17°27'05.0"N 78°25'29.0"E</t>
  </si>
  <si>
    <t xml:space="preserve">Sai nadh tiffins </t>
  </si>
  <si>
    <t>Owner is available after 7 pm</t>
  </si>
  <si>
    <t>17°27'07.3"N 78°25'28.8"E</t>
  </si>
  <si>
    <t xml:space="preserve">Sri Sai home foods and tiffins </t>
  </si>
  <si>
    <t>Vasu</t>
  </si>
  <si>
    <t>Meet @4 now he is busy</t>
  </si>
  <si>
    <t>17°29'34.8"N 78°23'43.3"E</t>
  </si>
  <si>
    <t>Come @1pm today</t>
  </si>
  <si>
    <t>Olive mithai</t>
  </si>
  <si>
    <t>All decisions are taken at Hyder nagar branch Has 5 branches</t>
  </si>
  <si>
    <t>17°27'07.0"N 78°25'28.9"E</t>
  </si>
  <si>
    <t>habitat cafe</t>
  </si>
  <si>
    <t xml:space="preserve">Prithvi </t>
  </si>
  <si>
    <t>AOV - 600  Manager isn’t available! He will be available after 5 PM</t>
  </si>
  <si>
    <r>
      <rPr>
        <color rgb="FF1155CC"/>
        <u/>
      </rPr>
      <t>Habitat Cafe - Google Maps</t>
    </r>
  </si>
  <si>
    <t>Andhra bhavan</t>
  </si>
  <si>
    <t>Meet@4pm a little bit rush now</t>
  </si>
  <si>
    <t xml:space="preserve">Kinnus kitchen </t>
  </si>
  <si>
    <t>Owner will be available after 4 Will follow up Tried explaining to the manger so that he can convey</t>
  </si>
  <si>
    <t>17°26'01.7"N 78°20'04.3"E</t>
  </si>
  <si>
    <t xml:space="preserve">Saiko </t>
  </si>
  <si>
    <t>Owner not available in Bangalore will contact if Intrested</t>
  </si>
  <si>
    <t>https://www.google.com/maps/place/Saiko+Sushi+House/@17.4338176,78.3346259,3a,75y,90t/data=!3m8!1e2!3m6!1sCIHM0ogKEICAgMCg5vXYvAE!2e10!3e12!6shttps:%2F%2Flh3.googleusercontent.com%2Fgps-cs-s%2FAHVAweoaS9kd6JXygFdwBjyPCoeDM5ejLYT3za-30DbH8UgH8aDobGOOE3rMSCTZv0rKVWM8gCp9rb1D4TtT5Xb50L4B4GTUXU5CSBJyZ28PxnfQG9VguZJYgzvUMXRT8lcp1Q5VpzKU8w%3Dw86-h114-k-no!7i3072!8i4096!4m11!1m2!2m1!1ssaiko!3m7!1s0x3bcb913a278bcf27:0x423fb80852e570b1!8m2!3d17.4337578!4d78.3346972!10e5!15sCgVzYWlrb1oHIgVzYWlrb5IBE2phcGFuZXNlX3Jlc3RhdXJhbnTgAQA!16s%2Fg%2F11trhvjcb0?entry=ttu&amp;g_ep=EgoyMDI2MDIxOC4wIKXMDSoASAFQAw%3D%3D</t>
  </si>
  <si>
    <t>Raddison blu</t>
  </si>
  <si>
    <t>This is the 5 star hotel We got positive response they are in Swiggy and Zomato he is like  we can also take u  because keeping one more won’t be a problem send ur marketing things Proposal and all the clear details We can do that not an issue  Mail I’d- afbm@rdhyderabad.com Name of the assistant f and b manager -Joel nayak They need the quotation everything clearly  We said-22++</t>
  </si>
  <si>
    <r>
      <rPr>
        <color rgb="FF1155CC"/>
        <u/>
      </rPr>
      <t>Radisson Hotel Hyderabad Hitec City - Google Maps</t>
    </r>
  </si>
  <si>
    <t>VVK fast food</t>
  </si>
  <si>
    <t>Not Intrested</t>
  </si>
  <si>
    <t xml:space="preserve">Giri food court </t>
  </si>
  <si>
    <t>Meet @2pm</t>
  </si>
  <si>
    <t>Khan</t>
  </si>
  <si>
    <t>AOV :- &gt; 500 Spoke with manager &amp; gave brief about our platform He said that “he will get back to  us after reaching out to his owner on Monday”</t>
  </si>
  <si>
    <t>https://www.google.com/maps/place/Pakka+Local/@17.4186497,78.4449692,17z/data=!4m10!1m2!2m1!1sPakka+Local!3m6!1s0x3bcb97409f40ad13:0xe16af1c020e182f4!8m2!3d17.4185316!4d78.4449637!15sCgtQYWtrYSBMb2NhbFoNIgtwYWtrYSBsb2NhbJIBCnJlc3RhdXJhbnTgAQA!16s%2Fg%2F11fb0k1jn4?hl=en&amp;entry=ttu&amp;g_ep=EgoyMDI2MDIxOC4wIKXMDSoASAFQAw%3D%3D</t>
  </si>
  <si>
    <t xml:space="preserve">Snaking cafe private limited </t>
  </si>
  <si>
    <t xml:space="preserve">jagadeesh </t>
  </si>
  <si>
    <t>OnboardedSnaking cafe private limited  Present their outlet only in Rajahmundry and Hyderabad  They are planning to keep 15 outlets by this year and everything goes well they want to keep exclusive partnership with CAPS Onboarded hitech City outlet Srinivasa mixture hubAov 400 Swiggy zomato sales daily 100-150 and 19++ with long distance</t>
  </si>
  <si>
    <t>Mubarak cafe</t>
  </si>
  <si>
    <t>Owner available after 6pm</t>
  </si>
  <si>
    <t>season Xprs</t>
  </si>
  <si>
    <t>Manager is handling 5 outlets - Aeroplaza RGI Airport- ⁠All seasons - Banjara Hills- ⁠Levant - ⁠Nomme kitchen &amp; Coffee theatre - ⁠Seasons Express All the above res base will be handled by the same person, we have discussed the structure of caps with cashier, Follow up is required to connect with manager as he is available after 3PM</t>
  </si>
  <si>
    <r>
      <rPr>
        <color rgb="FF1155CC"/>
        <u/>
      </rPr>
      <t>Seasons Xprs - Google Maps</t>
    </r>
  </si>
  <si>
    <t>spice soiree</t>
  </si>
  <si>
    <t>Onboarded Aov :500 Daily orders 45+</t>
  </si>
  <si>
    <t>17°29'35.3"N 78°22'07.4"E</t>
  </si>
  <si>
    <t>Parampara they have all (14outlets )  4 outlets will be taken care by one manager so they have 4 mangers  Who will be looking after all the outlets the main manger is available at chandhanagar  We got the contact of one manager  We have talked with Mr. Vikas  who is the caisher in the location of banjarahills</t>
  </si>
  <si>
    <t>Parnasala kitchen</t>
  </si>
  <si>
    <t>17°27'14.9"N 78°25'24.0"E</t>
  </si>
  <si>
    <t xml:space="preserve">Dine Hill </t>
  </si>
  <si>
    <t>Faizal</t>
  </si>
  <si>
    <t>AOV :- &gt;500  and Orders per day - 100 Currently owner isn’t available at res. Discussed the details with manager.Owner will be available at res after Ramzan &amp; after 3PM.</t>
  </si>
  <si>
    <t>Rayudu hotels</t>
  </si>
  <si>
    <t>Can meet the owner evening at 8pm</t>
  </si>
  <si>
    <t>17°27'16.8"N 78°25'23.7"E</t>
  </si>
  <si>
    <t>Indru spice kitchen</t>
  </si>
  <si>
    <t>Avinay</t>
  </si>
  <si>
    <t>Appointment fixed on tues After 15:00PM</t>
  </si>
  <si>
    <t>17°29'47.0"N 78°22'04.6"E</t>
  </si>
  <si>
    <t>Subbayamma foods</t>
  </si>
  <si>
    <t>Raghu</t>
  </si>
  <si>
    <t>Owner available on Monday after 2pm Will follow up</t>
  </si>
  <si>
    <t>17°27'15.8"N 78°25'24.8"E</t>
  </si>
  <si>
    <t xml:space="preserve">Supreeth Grand </t>
  </si>
  <si>
    <t>Onboarded Aov 150+</t>
  </si>
  <si>
    <t>17°25'50.0"N 78°19'59.2"E</t>
  </si>
  <si>
    <t xml:space="preserve">Supreeth Curries and meals </t>
  </si>
  <si>
    <t>Owner asked me to come on Monday morning</t>
  </si>
  <si>
    <t>17°27'15.8"N 78°25'24.5"E</t>
  </si>
  <si>
    <t>Exotica Z mantra of taste</t>
  </si>
  <si>
    <t>Kedar  das</t>
  </si>
  <si>
    <t>Spoke with manager - he told to share all the proposal details through mail id. After checking the details they will get back to us.</t>
  </si>
  <si>
    <r>
      <rPr>
        <color rgb="FF1155CC"/>
        <u/>
      </rPr>
      <t>Exotica Banjara Hills - Google Maps</t>
    </r>
  </si>
  <si>
    <t>Rama tiffins</t>
  </si>
  <si>
    <t xml:space="preserve">Arjun reddy </t>
  </si>
  <si>
    <t>Meet @4pm today</t>
  </si>
  <si>
    <t>17°29'44.8"N 78°21'49.8"E</t>
  </si>
  <si>
    <t>Third wave coffee</t>
  </si>
  <si>
    <t>He is not interested  for now if  he want he will let us know He took the card soo he said we will get back</t>
  </si>
  <si>
    <t xml:space="preserve"> Bommarillu</t>
  </si>
  <si>
    <t>Spoke with Manager and owner said to meet again on monday</t>
  </si>
  <si>
    <t>17°29'46.5"N 78°21'48.6"E</t>
  </si>
  <si>
    <t>Big byte</t>
  </si>
  <si>
    <t>The owner needs to discuss with his son , asked me to follow up after 2 days</t>
  </si>
  <si>
    <t>17°27'01.8"N 78°25'31.7"E</t>
  </si>
  <si>
    <t xml:space="preserve">Snack bite </t>
  </si>
  <si>
    <t xml:space="preserve">Mrunal </t>
  </si>
  <si>
    <t xml:space="preserve">Intrested will talk to his father and let us know </t>
  </si>
  <si>
    <t>17°25'46.0"N 78°19'57.3"E</t>
  </si>
  <si>
    <t xml:space="preserve">Chaitanya food court </t>
  </si>
  <si>
    <t>Total -5 outlets Kphb is the main branch -1000 to 1500 order dailyKondapur Aaa mall Nizampet Banjara Hills They have Swiggy and Zomato More orders from Swiggy and less from Zomato Aov -400-500 Daily orders- 300 per day Daily revenue -1 lakh More order than dine in Dine in -30% to 40% They use to have till night 11 then they extended due to more orders till 12 9 months old (banjarahills )Contact info - 9959968514 Naresh (marketing manager) Gopi Krishna (general manager in banjarahills) 8978211625We have explained everything in detail with commissions He explained to the marketing manager also We can go now also he is available till 5 pm today and we can  meet him directly He is the decision maker</t>
  </si>
  <si>
    <t>17°24'47.8"N 78°25'41.5"E</t>
  </si>
  <si>
    <t xml:space="preserve"> Manam Chocolate </t>
  </si>
  <si>
    <t xml:space="preserve">Kalim </t>
  </si>
  <si>
    <t>Spoke to outlet manager - he told to share proposal over mail Mail id :- Care@manamchocolate.com PR Team will respond through mail.</t>
  </si>
  <si>
    <t>17°24'43.9"N 78°25'53.6"E</t>
  </si>
  <si>
    <t xml:space="preserve">Sravanam 4am biryani </t>
  </si>
  <si>
    <t>onboarded Aov 300 Online sales 80-100 (huge 4am sales) Daily revenue from 2 outlets 60000 and 22++ with long distance fee</t>
  </si>
  <si>
    <t>17°27'23.3"N 78°23'02.1"E</t>
  </si>
  <si>
    <t>4am kushka biryani</t>
  </si>
  <si>
    <t xml:space="preserve">Zaiqa bawarchi restaurant </t>
  </si>
  <si>
    <t>Owner available after 9pm They didn't share the number</t>
  </si>
  <si>
    <t>17°27'14.9"N 78°25'09.8"E</t>
  </si>
  <si>
    <t>Hummus house</t>
  </si>
  <si>
    <t>He is busy now  So he said to come on Monday  Aov- 600 above  Daily- 30 orders Both on Swiggy and Zomato</t>
  </si>
  <si>
    <r>
      <rPr>
        <color rgb="FF1155CC"/>
        <u/>
      </rPr>
      <t>Hummus House - Hyderabad - Google Maps</t>
    </r>
  </si>
  <si>
    <t>Dostan Food court (5 outlets)</t>
  </si>
  <si>
    <t>Meeting done will do onboarding by Monday</t>
  </si>
  <si>
    <t>17°27'38.5"N 78°23'03.8"E</t>
  </si>
  <si>
    <t xml:space="preserve">A1 Chinese and fast food </t>
  </si>
  <si>
    <t xml:space="preserve">Owner not available </t>
  </si>
  <si>
    <t>17°24'01.4"N 78°22'41.8"E</t>
  </si>
  <si>
    <t xml:space="preserve">Cherry restaurant </t>
  </si>
  <si>
    <t>17°24'01.5"N 78°22'41.9"E</t>
  </si>
  <si>
    <t>Mandi bistro</t>
  </si>
  <si>
    <t>Mandi Bistro come tomorrow @1pm to meet owner</t>
  </si>
  <si>
    <t>17°29'44.3"N 78°20'31.0"E</t>
  </si>
  <si>
    <t xml:space="preserve">Fresh fruit juices and bowls </t>
  </si>
  <si>
    <t>Onboarded Has 2 more pizza outlets will confirm them by evening</t>
  </si>
  <si>
    <t>A1 bawarchi</t>
  </si>
  <si>
    <t>Follow up meeting owner left just now will meet and close on Monday</t>
  </si>
  <si>
    <t>17°24'38.9"N 78°23'50.5"E</t>
  </si>
  <si>
    <t>Aditya kitchen</t>
  </si>
  <si>
    <t>The owner is not interested in delivery apps</t>
  </si>
  <si>
    <t>17°26'39.7"N 78°23'38.9"E</t>
  </si>
  <si>
    <t>cafe coffe day</t>
  </si>
  <si>
    <t>The manger is not available You can come on Monday and directly meet manager Total outlets - 16  He didn’t give any number  We can meet him on Monday for more informatio</t>
  </si>
  <si>
    <t>Cranelle</t>
  </si>
  <si>
    <t>Koushik</t>
  </si>
  <si>
    <t>The owner will be available on Monday. Will follow up</t>
  </si>
  <si>
    <t>17°26'41.4"N 78°23'35.8"E</t>
  </si>
  <si>
    <t>the gallery cafe</t>
  </si>
  <si>
    <t>Have spoke to manager &amp; he informed to connect with him on Monday !</t>
  </si>
  <si>
    <t>https://www.google.com/maps/place/The+Gallery+Cafe/@17.4160442,78.4433594,17z/data=!4m10!1m2!2m1!1sThe+Gallery+Cafe!3m6!1s0x3bcb973045ec8b77:0xaa096ab720ecf6d2!8m2!3d17.4202728!4d78.446649!15sChBUaGUgR2FsbGVyeSBDYWZlWhIiEHRoZSBnYWxsZXJ5IGNhZmWSAQhhcnRfY2FmZeABAA!16s%2Fg%2F11bc7r9sly?hl=en&amp;entry=ttu&amp;g_ep=EgoyMDI2MDIxOC4wIKXMDSoASAFQAw%3D%3D</t>
  </si>
  <si>
    <t>the chocolate room</t>
  </si>
  <si>
    <t xml:space="preserve">Charan </t>
  </si>
  <si>
    <t>I have talked with manager I explained him all the things he said he will explain the things to the owner And he took the contact of me He will call me on Wednesday for follow back They have like - 60 orders a day  More dine in customers  Aov-400 above  His name is Charan He didn’t give his contact he said o will call u on Wednesday</t>
  </si>
  <si>
    <t xml:space="preserve">The organic creamery </t>
  </si>
  <si>
    <t>Krishna Chaitanya</t>
  </si>
  <si>
    <t>All decisions are taken at Nellore</t>
  </si>
  <si>
    <t>17°26'31.3"N 78°23'47.7"E</t>
  </si>
  <si>
    <t>the kapoor cafe</t>
  </si>
  <si>
    <t>No manger is available He will be available after 8 at night so u can come at after 8 and have a talk with the manger They gave the company number 6309590610 Aov- 400 above Daily orders -30 above from one application More dine in place I took there mail I’d from menu available there  - support@roasterycoffee.co.in We can send them mail and contact them on Monday it will be more easy</t>
  </si>
  <si>
    <r>
      <rPr>
        <color rgb="FF1155CC"/>
        <u/>
      </rPr>
      <t>Kapoor's Cafe - Google Maps</t>
    </r>
  </si>
  <si>
    <t>This is akhila.narra@capsdelivery.coms client . I followed them up and they agreed to onboard on Tuesday</t>
  </si>
  <si>
    <t>17°26'10.7"N 78°26'22.2"E</t>
  </si>
  <si>
    <t>the irawat kitchen</t>
  </si>
  <si>
    <t>17°29'43.8"N 78°21'50.2"E</t>
  </si>
  <si>
    <t>sri venkateswara food court</t>
  </si>
  <si>
    <t>sai ristha fast food center</t>
  </si>
  <si>
    <t>the shipping adda</t>
  </si>
  <si>
    <t xml:space="preserve">Sree teja food court </t>
  </si>
  <si>
    <t>The owner is available on the 25th</t>
  </si>
  <si>
    <t>17°26'27.2"N 78°26'43.9"E</t>
  </si>
  <si>
    <t>Perch 24 cafe</t>
  </si>
  <si>
    <t>saurav yadav</t>
  </si>
  <si>
    <t>Have discussed everything to the manager. Will follow up tomorrow and complete onboarding on Monday</t>
  </si>
  <si>
    <t xml:space="preserve">hotel bheemas grand </t>
  </si>
  <si>
    <t xml:space="preserve">nagendhar rao </t>
  </si>
  <si>
    <t>The owner was not Avilable in the city,he will be back after 10days need to follow up after 10days</t>
  </si>
  <si>
    <t>17°24'53.9"N 78°26'47.9"E</t>
  </si>
  <si>
    <t xml:space="preserve">New farasha cafe </t>
  </si>
  <si>
    <t xml:space="preserve"> Syed zenil</t>
  </si>
  <si>
    <t>Owner was not available in India,he went for visiting Dubai 
Asked us to come back after ramzan</t>
  </si>
  <si>
    <t>17°25'00.1"N 78°26'18.3"E</t>
  </si>
  <si>
    <t>Sri Nakshatra Chinese Hub</t>
  </si>
  <si>
    <t xml:space="preserve">Hafeezpet </t>
  </si>
  <si>
    <t>Onboarded AOV:300 Daily Revenue:30k per day</t>
  </si>
  <si>
    <t xml:space="preserve">Club 10 Chicken </t>
  </si>
  <si>
    <t>Arabian mandi</t>
  </si>
  <si>
    <t>Saffi arman</t>
  </si>
  <si>
    <t>Owner was not available at the moment</t>
  </si>
  <si>
    <t>17°24'59.7"N 78°26'17.8"E</t>
  </si>
  <si>
    <t>Savera hills hotel</t>
  </si>
  <si>
    <t>Abdul</t>
  </si>
  <si>
    <t>They are not on any online platform They said us to follow back after ramzan</t>
  </si>
  <si>
    <t>17°24'57.7"N 78°26'15.0"E</t>
  </si>
  <si>
    <t>Imperial restaurant</t>
  </si>
  <si>
    <t>Manager will be available at 1 Pm</t>
  </si>
  <si>
    <t>17°28'33.1"N 78°21'47.0"E</t>
  </si>
  <si>
    <t>Hyderabad Bakehouse</t>
  </si>
  <si>
    <t>Manager available after 1</t>
  </si>
  <si>
    <t>17°28'39.1"N 78°21'44.5"E</t>
  </si>
  <si>
    <t>King darbar hotel</t>
  </si>
  <si>
    <t>Owner available after 2</t>
  </si>
  <si>
    <t>17°28'45.6"N 78°21'40.7"E</t>
  </si>
  <si>
    <t>Shalimar sweets</t>
  </si>
  <si>
    <t xml:space="preserve"> Habeeb</t>
  </si>
  <si>
    <t>Owner not available at outlet ! Follow up required at 4PM</t>
  </si>
  <si>
    <t xml:space="preserve">17°24'06.9"N 78°24'43.9"E
</t>
  </si>
  <si>
    <t>TOC Bakers and Confectioners</t>
  </si>
  <si>
    <t>Abhinav</t>
  </si>
  <si>
    <t>He want to discuss with his brother who handles swiggy and zomato -If he is interested he will onboard tomorrow 2 outlets</t>
  </si>
  <si>
    <t>17°29'18.3"N 78°22'55.3"E</t>
  </si>
  <si>
    <t>Varnam</t>
  </si>
  <si>
    <t>Asked to visit after app launch</t>
  </si>
  <si>
    <t>17°29'11.0"N 78°21'28.5"E</t>
  </si>
  <si>
    <t xml:space="preserve"> A1 hotel</t>
  </si>
  <si>
    <t>akram</t>
  </si>
  <si>
    <t>17°24'08.7"N 78°24'38.6"E</t>
  </si>
  <si>
    <t>Royal Bawarchi</t>
  </si>
  <si>
    <t>Mahaboob</t>
  </si>
  <si>
    <t>Manager will be available at 2 pm</t>
  </si>
  <si>
    <t>17°28'39.8"N 78°21'44.1"E</t>
  </si>
  <si>
    <t xml:space="preserve">mataam </t>
  </si>
  <si>
    <t>Outlet closed right now ! Follow up required</t>
  </si>
  <si>
    <r>
      <rPr>
        <color rgb="FF1155CC"/>
        <u/>
      </rPr>
      <t>Mataam Al Yamani Tolichowki - Google Maps</t>
    </r>
  </si>
  <si>
    <t xml:space="preserve">Royal food courth </t>
  </si>
  <si>
    <t>owner will be available after 1</t>
  </si>
  <si>
    <t>17°29'11.8"N 78°21'27.0"E</t>
  </si>
  <si>
    <t xml:space="preserve">al bawadi </t>
  </si>
  <si>
    <t>arif khan</t>
  </si>
  <si>
    <t>Will be available tommrow</t>
  </si>
  <si>
    <t>17°24'10.4"N 78°24'35.5"E</t>
  </si>
  <si>
    <t>Mohit</t>
  </si>
  <si>
    <t>Owner available at Banjara Hills outlet after 2PM They are having 8 outlets They are having 8 outlets</t>
  </si>
  <si>
    <t>17°24'13.7"N 78°24'30.2"E</t>
  </si>
  <si>
    <t xml:space="preserve"> SRK food court </t>
  </si>
  <si>
    <t>Owner Will be available at 3:30</t>
  </si>
  <si>
    <t>17°24'33.6"N 78°23'56.0"E</t>
  </si>
  <si>
    <t>RS hotel</t>
  </si>
  <si>
    <t>Owner is available to talk tomorrow,they didn't specify a time when asked</t>
  </si>
  <si>
    <t>17°27'24.9"N 78°26'00.5"E</t>
  </si>
  <si>
    <t>ouvra</t>
  </si>
  <si>
    <t>Revisited again for the feedback still they are busy with other things,they need time to get back</t>
  </si>
  <si>
    <t>Firdous hotel</t>
  </si>
  <si>
    <t>The owner is available to talk after 2pm Will follow up</t>
  </si>
  <si>
    <t>17°27'23.0"N 78°26'01.1"E</t>
  </si>
  <si>
    <t xml:space="preserve">ilyaas </t>
  </si>
  <si>
    <t>Owner will be available after 3PM</t>
  </si>
  <si>
    <t>https://www.google.com/maps/search/Dream%20Land%20Bakers%20and%20Confectioneries/@17.412179946899414,78.39535522460938,17z?hl=en</t>
  </si>
  <si>
    <t xml:space="preserve">Rk grand restaurant </t>
  </si>
  <si>
    <t>17°27'22.0"N 78°26'01.8"E</t>
  </si>
  <si>
    <t xml:space="preserve">City chefs kitchen </t>
  </si>
  <si>
    <t>Dharma</t>
  </si>
  <si>
    <t>Appointment fixed for tomorrow for the feedback  AOV-400</t>
  </si>
  <si>
    <t>17°27'06.3"N 78°23'37.0"E</t>
  </si>
  <si>
    <t>Jai tulja bhavani curries</t>
  </si>
  <si>
    <t>Will be available after 7pm</t>
  </si>
  <si>
    <t>17°27'21.7"N 78°26'00.2"E</t>
  </si>
  <si>
    <t xml:space="preserve"> khans arabian shawarma </t>
  </si>
  <si>
    <t xml:space="preserve">naseer </t>
  </si>
  <si>
    <t>Onboarded Aov 200Order per day 50</t>
  </si>
  <si>
    <t>Not interested</t>
  </si>
  <si>
    <t>Bagara and biryani</t>
  </si>
  <si>
    <t>POC-Harika</t>
  </si>
  <si>
    <t>POS-Petpooja AOV-400 Need to discuss with other partner</t>
  </si>
  <si>
    <t>17°27'06.5"N 78°23'35.5"E</t>
  </si>
  <si>
    <t>Rokali</t>
  </si>
  <si>
    <t>Owner told me to come tomorrow afternoon</t>
  </si>
  <si>
    <t>17°29'27.3"N 78°21'12.4"E</t>
  </si>
  <si>
    <t xml:space="preserve"> Ministry of coffee affairs </t>
  </si>
  <si>
    <t>POS-Petpooja  Manager was not available and didn’t shared any POC</t>
  </si>
  <si>
    <t xml:space="preserve">fresh and hot </t>
  </si>
  <si>
    <t>syed</t>
  </si>
  <si>
    <t>Owner asked to come at 6 o clock</t>
  </si>
  <si>
    <t>17°24'30.9"N 78°24'01.7"E</t>
  </si>
  <si>
    <t xml:space="preserve">makhayad al arabi </t>
  </si>
  <si>
    <t xml:space="preserve">althaf </t>
  </si>
  <si>
    <t>Owner is busy asked to come tommrow for onboarding</t>
  </si>
  <si>
    <t xml:space="preserve">The bake box </t>
  </si>
  <si>
    <t xml:space="preserve">Praveen </t>
  </si>
  <si>
    <t>POS-they don’t use any integration Owner was not available for the discussion</t>
  </si>
  <si>
    <t>17°27'07.0"N 78°23'31.3"E</t>
  </si>
  <si>
    <t>Bejing Bistro</t>
  </si>
  <si>
    <t>Dhanvir</t>
  </si>
  <si>
    <t>I have discussed each and everything with the manager, He need 1 week time to discuss with his owner next monday he will inform</t>
  </si>
  <si>
    <t>17°29'29.2"N 78°21'10.9"E</t>
  </si>
  <si>
    <t xml:space="preserve">Sri raghavendra hotel </t>
  </si>
  <si>
    <t>Cashier told that he will call back to us.</t>
  </si>
  <si>
    <t>17°24'13.3"N 78°24'31.8"E</t>
  </si>
  <si>
    <t xml:space="preserve">Sri Sai tiffin centre and curry point </t>
  </si>
  <si>
    <t>Sujini</t>
  </si>
  <si>
    <t>Asked me to follow up tomorrow</t>
  </si>
  <si>
    <t>17°27'21.9"N 78°25'55.8"E</t>
  </si>
  <si>
    <t xml:space="preserve">shurfa  mandi </t>
  </si>
  <si>
    <t>arshad</t>
  </si>
  <si>
    <t>Owner available after10 pm</t>
  </si>
  <si>
    <t>17°24'12.4"N 78°24'32.1"E</t>
  </si>
  <si>
    <t xml:space="preserve">Ruchi plaza </t>
  </si>
  <si>
    <t>Revisited again for the feedback but owner is not available</t>
  </si>
  <si>
    <t>17°27'06.5"N 78°23'29.8"E</t>
  </si>
  <si>
    <t xml:space="preserve">Bait al Mandi </t>
  </si>
  <si>
    <t>come after app launch</t>
  </si>
  <si>
    <t>17°29'18.5"N 78°21'19.0"E</t>
  </si>
  <si>
    <t>Limra Arabian mandi house</t>
  </si>
  <si>
    <t>Owner is not available,we need to call him after 5 pm and discuss</t>
  </si>
  <si>
    <t>17°29'17.4"N 78°21'20.4"E</t>
  </si>
  <si>
    <t xml:space="preserve">Sv food court </t>
  </si>
  <si>
    <t>Asked to visit tmr</t>
  </si>
  <si>
    <t xml:space="preserve">Al-Baik </t>
  </si>
  <si>
    <t>Owner will be available after 4PM !</t>
  </si>
  <si>
    <t>Honeyman</t>
  </si>
  <si>
    <t>Pranav</t>
  </si>
  <si>
    <t>The owner didn't answer calls</t>
  </si>
  <si>
    <t>17°27'21.3"N 78°26'05.0"E</t>
  </si>
  <si>
    <t xml:space="preserve">felfelah </t>
  </si>
  <si>
    <t xml:space="preserve">akbar </t>
  </si>
  <si>
    <t>Owner asked to come tommrow</t>
  </si>
  <si>
    <t>17°24'13.1"N 78°25'01.0"E</t>
  </si>
  <si>
    <t xml:space="preserve">Klinkaara kitchen </t>
  </si>
  <si>
    <t xml:space="preserve">Haji </t>
  </si>
  <si>
    <t>Same owner of ideal kitchen Will be available in the evening</t>
  </si>
  <si>
    <t xml:space="preserve">Crispy corner </t>
  </si>
  <si>
    <t>onboarded Aov 250+ Avg order per day :40</t>
  </si>
  <si>
    <t xml:space="preserve">Mahabaala food Court </t>
  </si>
  <si>
    <t>Onboarded Not on Swiggy and Zomato</t>
  </si>
  <si>
    <t>17°29'03.5"N 78°21'35.8"E</t>
  </si>
  <si>
    <t xml:space="preserve">Aahar villas </t>
  </si>
  <si>
    <t>Onboarded Aov 200+</t>
  </si>
  <si>
    <t>17°28'59.3"N 78°22'36.8"E</t>
  </si>
  <si>
    <t xml:space="preserve">Shakambari restraunt </t>
  </si>
  <si>
    <t>Intrested will onboard in 3 days Documents not available</t>
  </si>
  <si>
    <t xml:space="preserve">Telugu aroma </t>
  </si>
  <si>
    <t xml:space="preserve"> Chandrashekar </t>
  </si>
  <si>
    <t xml:space="preserve">Intrested will onboard once app is launched </t>
  </si>
  <si>
    <t>17°29'12.8"N 78°23'05.2"E</t>
  </si>
  <si>
    <t xml:space="preserve"> hotel city diamond </t>
  </si>
  <si>
    <t xml:space="preserve">siddique </t>
  </si>
  <si>
    <t>Owner not available asked to come after 9pm</t>
  </si>
  <si>
    <t xml:space="preserve">Vaibhavam restaurant </t>
  </si>
  <si>
    <t>abhinav</t>
  </si>
  <si>
    <t>Should call the marketing head for further discussion</t>
  </si>
  <si>
    <t>17°27'20.8"N 78°26'05.0"E</t>
  </si>
  <si>
    <t xml:space="preserve">Namaste Hyderabad </t>
  </si>
  <si>
    <t>Abhinav Reddy</t>
  </si>
  <si>
    <t>Owner was not available</t>
  </si>
  <si>
    <t xml:space="preserve">Sri mamas kitchen </t>
  </si>
  <si>
    <t>AOV-300 Asked to share the proposal,shared the proposal next meeting fixed next Monday for the follow up</t>
  </si>
  <si>
    <t>17°27'05.1"N 78°21'49.7"E</t>
  </si>
  <si>
    <t xml:space="preserve">Bombay juice </t>
  </si>
  <si>
    <t>Ravindar</t>
  </si>
  <si>
    <t>Have to talk to partners asked to come after app launch Has 4 branches</t>
  </si>
  <si>
    <t xml:space="preserve">Sabiib Restaurant Haven </t>
  </si>
  <si>
    <t>Azeez</t>
  </si>
  <si>
    <t>Owner not available !  Asked to come back after 4PM</t>
  </si>
  <si>
    <t>17°24'19.6"N 78°24'53.7"E</t>
  </si>
  <si>
    <t>Al furqan hotel</t>
  </si>
  <si>
    <t>The owner is not interested in delivery platforms due to settlement times</t>
  </si>
  <si>
    <t>17°27'20.7"N 78°26'02.1"E</t>
  </si>
  <si>
    <t xml:space="preserve">Hyderabad bake house </t>
  </si>
  <si>
    <t>17°28'38.9"N 78°21'44.9"E</t>
  </si>
  <si>
    <t xml:space="preserve">Royal Bawarchi </t>
  </si>
  <si>
    <t>Nasimathar</t>
  </si>
  <si>
    <t>He need time to discuss with his owner</t>
  </si>
  <si>
    <t>Annapurna hotel</t>
  </si>
  <si>
    <t>They are on swiggy and zomato before,they had payment issues so at present they are not interested They didn’t shared the POC details.</t>
  </si>
  <si>
    <t xml:space="preserve">Arabian zaiqa mandi restaurant </t>
  </si>
  <si>
    <t>The owner is available to meet after 9pm</t>
  </si>
  <si>
    <t>17°27'17.1"N 78°26'03.8"E</t>
  </si>
  <si>
    <t>The Bakely cafe</t>
  </si>
  <si>
    <t>sumanth</t>
  </si>
  <si>
    <t>Onboarded 2 outlets Aov 350</t>
  </si>
  <si>
    <t xml:space="preserve">Alfa madr eat </t>
  </si>
  <si>
    <t>The owner was not available,call back at 20:00 To schedule meeting</t>
  </si>
  <si>
    <t xml:space="preserve">Bismillah Hotel </t>
  </si>
  <si>
    <t>Aov 200+and 50 online orders per day</t>
  </si>
  <si>
    <t xml:space="preserve">Shah restaurant </t>
  </si>
  <si>
    <t>Syed Harshad</t>
  </si>
  <si>
    <t>They don’t use any integration Need to discuss with other partner</t>
  </si>
  <si>
    <t>17°26'58.4"N 78°21'49.7"E</t>
  </si>
  <si>
    <t>The Bakely bakers</t>
  </si>
  <si>
    <t xml:space="preserve">The nawaabs restaurant </t>
  </si>
  <si>
    <t>AOV-400 The general manager is the descion maker  POS-safedesk  Need to email,we will do</t>
  </si>
  <si>
    <t>Hotel M S pride</t>
  </si>
  <si>
    <t>The owner is available at 1 am</t>
  </si>
  <si>
    <t>17°27'01.1"N 78°25'40.3"E</t>
  </si>
  <si>
    <t xml:space="preserve"> Bhai chai </t>
  </si>
  <si>
    <t>Afroz</t>
  </si>
  <si>
    <t>Menu includes - wraps &amp; everything AOV - 300  Orders per day - 20</t>
  </si>
  <si>
    <t>17°24'20.5"N 78°27'04.2"E</t>
  </si>
  <si>
    <t>Onboarded Aov 200  Online orders 50-60  Onboard 25++ with long distance fees</t>
  </si>
  <si>
    <t>onboarded Dostan Food court Food court owner is main partner remaining all individual working under same food court 5 outlets Aov 30025++ with long distance fee</t>
  </si>
  <si>
    <t>17°27'38.5"N 78°23'05.3"E</t>
  </si>
  <si>
    <t>Hotel chal mohana ranga biryanis</t>
  </si>
  <si>
    <t>Theja</t>
  </si>
  <si>
    <t>We can talk with the owner after 6 pm</t>
  </si>
  <si>
    <t>17°28'59.4"N 78°22'37.0"E</t>
  </si>
  <si>
    <t>Sarvani Biryanis</t>
  </si>
  <si>
    <t xml:space="preserve">Narendra </t>
  </si>
  <si>
    <t>After app launch he will decide</t>
  </si>
  <si>
    <t>coal spark</t>
  </si>
  <si>
    <t>Discussion done with the floor manager The descion maker will be available to around 10 Need to call him before coming</t>
  </si>
  <si>
    <t>17°26'59.7"N 78°21'50.3"E</t>
  </si>
  <si>
    <t>Dostan Meals and snacks</t>
  </si>
  <si>
    <t>RK delux mess</t>
  </si>
  <si>
    <t>Anil Reddy</t>
  </si>
  <si>
    <t>Owner will be available tomorrow 1 pm</t>
  </si>
  <si>
    <t>Dostan Tiffin</t>
  </si>
  <si>
    <t xml:space="preserve">poorna food court </t>
  </si>
  <si>
    <t>Owner Will be available tommrow</t>
  </si>
  <si>
    <t xml:space="preserve">Leon’s burger and wings </t>
  </si>
  <si>
    <t xml:space="preserve">amit.kaler@capsdelivery.comh </t>
  </si>
  <si>
    <t>AOV-300 POS-Petpooja They have 20 outlets Per day orders from online-500 Store manager will be from 9:00-18:00 We will follow up tomorrow</t>
  </si>
  <si>
    <t>17°27'24.1"N 78°22'35.4"E</t>
  </si>
  <si>
    <t xml:space="preserve">ALBAIK </t>
  </si>
  <si>
    <t>Shaiju</t>
  </si>
  <si>
    <t xml:space="preserve">POS-Petpooja Seating capacity-50 Per day orders from online-100+ They have 3 outlets in hyd got business development number he is the descion maker </t>
  </si>
  <si>
    <t>17°27'23.8"N 78°22'35.6"E</t>
  </si>
  <si>
    <t>Sri vigneshwaranellore chepala pulusu</t>
  </si>
  <si>
    <t xml:space="preserve">Financial district </t>
  </si>
  <si>
    <t>rajesh</t>
  </si>
  <si>
    <t>OnboardedAOV 300and  23++ with long distance fee</t>
  </si>
  <si>
    <t xml:space="preserve">kebabwala </t>
  </si>
  <si>
    <t xml:space="preserve">rehmat </t>
  </si>
  <si>
    <t>Owner will be available tommrow</t>
  </si>
  <si>
    <t>17°21'17.5"N 78°23'19.3"E</t>
  </si>
  <si>
    <t xml:space="preserve">Churrolto </t>
  </si>
  <si>
    <t>Eshwar reddy</t>
  </si>
  <si>
    <t>7 outlets in hyd  He is the one for all the outlets  9100861222(sai nath reddy) store manager</t>
  </si>
  <si>
    <t>17°27'24.4"N 78°22'35.4"E</t>
  </si>
  <si>
    <t>Raasa cafe</t>
  </si>
  <si>
    <t xml:space="preserve">Tarun </t>
  </si>
  <si>
    <t>Manager was not available for discussion I will follow up to schedule meeting  POS-Petpooja</t>
  </si>
  <si>
    <t>17°27'19.9"N 78°22'33.7"E</t>
  </si>
  <si>
    <t xml:space="preserve"> Aha Bhojanam</t>
  </si>
  <si>
    <t>Financial District</t>
  </si>
  <si>
    <t>ajay</t>
  </si>
  <si>
    <t xml:space="preserve">Onboarded Aov 350 Online orders 50-60 and 23++ with long distance fees </t>
  </si>
  <si>
    <t>https://maps.app.goo.gl/uTsNmD3mcXP3czaY6</t>
  </si>
  <si>
    <t xml:space="preserve"> mana ruchulu </t>
  </si>
  <si>
    <t xml:space="preserve">yeshwant </t>
  </si>
  <si>
    <t>17°20'14.3"N 78°23'30.7"E</t>
  </si>
  <si>
    <t xml:space="preserve">Kkm bakers </t>
  </si>
  <si>
    <t>Owner will be available tmr morning</t>
  </si>
  <si>
    <t>17°29'06.2"N 78°23'38.5"E</t>
  </si>
  <si>
    <t xml:space="preserve">Kittys kitchen </t>
  </si>
  <si>
    <t>17°29'08.2"N 78°23'39.5"E</t>
  </si>
  <si>
    <t>Punjabi Affair daba</t>
  </si>
  <si>
    <t>chinmai</t>
  </si>
  <si>
    <t>Owner asked to call after 7pm</t>
  </si>
  <si>
    <t>17°25'41.9"N 78°19'59.8"E</t>
  </si>
  <si>
    <t>Bingsu ice cafe</t>
  </si>
  <si>
    <t>Will speak will manager and let us know</t>
  </si>
  <si>
    <t>17°25'42.9"N 78°19'58.0"E</t>
  </si>
  <si>
    <t xml:space="preserve">Cafe 74 </t>
  </si>
  <si>
    <t>Financial district</t>
  </si>
  <si>
    <t>nandha kumar</t>
  </si>
  <si>
    <t>Onboarded Aov 230</t>
  </si>
  <si>
    <t>https://maps.app.goo.gl/WjEaEbXB9XDNeY216</t>
  </si>
  <si>
    <t>Anu kitcen</t>
  </si>
  <si>
    <t>Onboarded ! Orders per day :- 40 AOV :- 300</t>
  </si>
  <si>
    <t>17°21'12.2"N 78°23'21.0"E</t>
  </si>
  <si>
    <t>Snack bite</t>
  </si>
  <si>
    <t>Onboarded ! AOV :- 300 and Orders per day :- 45</t>
  </si>
  <si>
    <t>Zam zam fast food</t>
  </si>
  <si>
    <t>Mohd moseen qureshi</t>
  </si>
  <si>
    <t>He said to come onboard tomorrow</t>
  </si>
  <si>
    <t>17°27'21.7"N 78°25'59.3"E</t>
  </si>
  <si>
    <t>Hyde’s Diner</t>
  </si>
  <si>
    <t>Punjagutta</t>
  </si>
  <si>
    <t>Onboarded AOV - 350 Min order - 60 per daySeating- 24</t>
  </si>
  <si>
    <t xml:space="preserve">Perch cafe </t>
  </si>
  <si>
    <t>Anandha brahma</t>
  </si>
  <si>
    <t xml:space="preserve">Surya </t>
  </si>
  <si>
    <t>Discussion done with manager Friday 16:00 fixed meeting with MD for further discussion.</t>
  </si>
  <si>
    <t xml:space="preserve">Tawakaal biryani hotel </t>
  </si>
  <si>
    <t xml:space="preserve"> shamshed </t>
  </si>
  <si>
    <t>Need some time to think</t>
  </si>
  <si>
    <t>17°23'08.5"N 78°21'16.4"E</t>
  </si>
  <si>
    <t xml:space="preserve">Rk Grand </t>
  </si>
  <si>
    <t xml:space="preserve">Ubaid </t>
  </si>
  <si>
    <t>Discussion done with Manager he will take decision call @7pm</t>
  </si>
  <si>
    <t>17°23'08.8"N 78°21'17.4"E</t>
  </si>
  <si>
    <t>Anagha Kitchen (new cloud kitchen)</t>
  </si>
  <si>
    <t>Onboarded 25++ with long distance fee</t>
  </si>
  <si>
    <t xml:space="preserve">New Nisar cafe and restaurant </t>
  </si>
  <si>
    <t>Not available  Tried calling not answered</t>
  </si>
  <si>
    <t xml:space="preserve">Saudi arabian restaurant </t>
  </si>
  <si>
    <t>They are not interested in online platform</t>
  </si>
  <si>
    <t>New pentaiah hotel</t>
  </si>
  <si>
    <t>call him @evening</t>
  </si>
  <si>
    <t>17°23'08.2"N 78°21'18.2"E</t>
  </si>
  <si>
    <t xml:space="preserve">Balaji fast food </t>
  </si>
  <si>
    <t>Need time to think</t>
  </si>
  <si>
    <t>17°23'08.0"N 78°21'19.3"E</t>
  </si>
  <si>
    <t xml:space="preserve"> AR Raghavendra tiffins and meals</t>
  </si>
  <si>
    <t>Not ready to share the POC details  Need to visit after the app launch</t>
  </si>
  <si>
    <t>Cake factory</t>
  </si>
  <si>
    <t xml:space="preserve">Narmadha </t>
  </si>
  <si>
    <t>Need to follow up next week</t>
  </si>
  <si>
    <t xml:space="preserve">Desi zayqa </t>
  </si>
  <si>
    <t xml:space="preserve">rafee </t>
  </si>
  <si>
    <t>Asked to visit after 4</t>
  </si>
  <si>
    <t>17°23'06.1"N 78°21'28.9"E</t>
  </si>
  <si>
    <t xml:space="preserve">Chickpet donne biryani house </t>
  </si>
  <si>
    <t>Goutham</t>
  </si>
  <si>
    <t>Call back in the night to schedule meeting at 21:00PM</t>
  </si>
  <si>
    <t xml:space="preserve">Madhurams restaurant </t>
  </si>
  <si>
    <t>Not interested in online,they had issues before with other platform</t>
  </si>
  <si>
    <t>He is very much interested to Onboard but he want to talk with his son</t>
  </si>
  <si>
    <t>17°29'26.1"N 78°21'12.6"E</t>
  </si>
  <si>
    <t xml:space="preserve">Bahar biryani nd cafe </t>
  </si>
  <si>
    <t xml:space="preserve">Ramesh </t>
  </si>
  <si>
    <t>Need to follow up tomorrow around 13:00PM, discussion done with manager</t>
  </si>
  <si>
    <t xml:space="preserve">Manikantas eat spot </t>
  </si>
  <si>
    <t>Manikanta</t>
  </si>
  <si>
    <t>Discussed with one partner need to discuss with other partner  Appointment fixed today at 16:00Pm</t>
  </si>
  <si>
    <t>Hotel CVR</t>
  </si>
  <si>
    <t>He is busy meet in evening times</t>
  </si>
  <si>
    <t>17°23'11.9"N 78°21'30.1"E</t>
  </si>
  <si>
    <t>Yuman crazy fast food center</t>
  </si>
  <si>
    <t xml:space="preserve">prem kumar </t>
  </si>
  <si>
    <t>Present the owner is not available,I will follow up to schedule meeting</t>
  </si>
  <si>
    <t>Beyniaz shawarma nd grill</t>
  </si>
  <si>
    <t>Owner is not available now</t>
  </si>
  <si>
    <t xml:space="preserve">7 stars Restaurant </t>
  </si>
  <si>
    <t>Zaheed</t>
  </si>
  <si>
    <t>Meet @3 pm</t>
  </si>
  <si>
    <t>17°22'44.5"N 78°22'13.8"E</t>
  </si>
  <si>
    <t xml:space="preserve">New tasty kind bakers </t>
  </si>
  <si>
    <t xml:space="preserve">hamid </t>
  </si>
  <si>
    <t>Owner was not available,they are not ready to share the details</t>
  </si>
  <si>
    <t xml:space="preserve">srk food court </t>
  </si>
  <si>
    <t>He is not interested as he is not on any other  food delivery platform</t>
  </si>
  <si>
    <t>Owner was not available i have explained to manager he said i will discuss with the owner</t>
  </si>
  <si>
    <t>17°28'52.1"N 78°22'29.9"E</t>
  </si>
  <si>
    <t>RK deluxe mess</t>
  </si>
  <si>
    <t>Owner was not available Follow up</t>
  </si>
  <si>
    <t>andra ruchulu</t>
  </si>
  <si>
    <t>They have 3 outlets asked to call after 3pm</t>
  </si>
  <si>
    <t>17°20'52.2"N 78°23'27.9"E</t>
  </si>
  <si>
    <t>kritunga restaurant</t>
  </si>
  <si>
    <t>Owner is not available We can meet after 5.30 evening</t>
  </si>
  <si>
    <r>
      <rPr>
        <color rgb="FF1155CC"/>
        <u/>
      </rPr>
      <t>Kritunga Restaurant - Google Maps</t>
    </r>
  </si>
  <si>
    <t>Errababu palaav</t>
  </si>
  <si>
    <t xml:space="preserve">Prashanth </t>
  </si>
  <si>
    <t>Follow back after 2days,They are interested  AOV-250</t>
  </si>
  <si>
    <t>Athidhis kitchen</t>
  </si>
  <si>
    <t xml:space="preserve">Anthuni dass </t>
  </si>
  <si>
    <t xml:space="preserve">I will follow up to schedule meeting Present owner is not available </t>
  </si>
  <si>
    <t xml:space="preserve">Shake it up </t>
  </si>
  <si>
    <t xml:space="preserve">Onabording on Friday after 4 </t>
  </si>
  <si>
    <t>17°20'08.7"N 78°23'28.9"E</t>
  </si>
  <si>
    <t xml:space="preserve">#just shake it </t>
  </si>
  <si>
    <t xml:space="preserve">Konaseema pedi Ruchulu </t>
  </si>
  <si>
    <t>Will onboard after 2 days</t>
  </si>
  <si>
    <t>Sree vakula kitchen</t>
  </si>
  <si>
    <t>17°28'49.5"N 78°25'02.3"E</t>
  </si>
  <si>
    <t xml:space="preserve"> biryani adda</t>
  </si>
  <si>
    <t>17°21'10.4"N 78°23'21.4"E</t>
  </si>
  <si>
    <t xml:space="preserve">Charcoal shawarma </t>
  </si>
  <si>
    <t xml:space="preserve">Hi-tech City </t>
  </si>
  <si>
    <t>onboarded Aov:- 210,230,200 All outlets 25++ with long distance fee</t>
  </si>
  <si>
    <t>C9VM+QF6</t>
  </si>
  <si>
    <t>Sri Charan</t>
  </si>
  <si>
    <t xml:space="preserve">Oh my momos </t>
  </si>
  <si>
    <t>Nitin Dev</t>
  </si>
  <si>
    <t xml:space="preserve">Hayansh kitchen </t>
  </si>
  <si>
    <t>Onaborded Aov - 350 above Daily order -55 above New outlet</t>
  </si>
  <si>
    <t>17°21'20.5"N 78°23'18.5"E</t>
  </si>
  <si>
    <t>Nine waves Restaurant</t>
  </si>
  <si>
    <t>Owner not available at outlet</t>
  </si>
  <si>
    <t>17°20'40.5"N 78°23'32.2"E</t>
  </si>
  <si>
    <t xml:space="preserve">The Boat House </t>
  </si>
  <si>
    <t xml:space="preserve">Tulasi </t>
  </si>
  <si>
    <t>Spoke to manager &amp; help him understand how our platform works</t>
  </si>
  <si>
    <t>17°20'49.0"N 78°23'30.1"E</t>
  </si>
  <si>
    <t>Casa Hotels and Restaurants</t>
  </si>
  <si>
    <t>17°25'34.6"N 78°19'46.5"E</t>
  </si>
  <si>
    <t xml:space="preserve">Aov250 onboarded </t>
  </si>
  <si>
    <t>Tealogy</t>
  </si>
  <si>
    <t>Onboarded Aov 200</t>
  </si>
  <si>
    <t xml:space="preserve">Hotel athidi </t>
  </si>
  <si>
    <t>17°25'36.5"N 78°19'47.3"E</t>
  </si>
  <si>
    <t>Food corner</t>
  </si>
  <si>
    <t>They are not interested</t>
  </si>
  <si>
    <t>Rithvikaas kitchen</t>
  </si>
  <si>
    <t>17°26'45.4"N 78°26'48.9"E</t>
  </si>
  <si>
    <t xml:space="preserve">A1 hotel </t>
  </si>
  <si>
    <t xml:space="preserve">akram </t>
  </si>
  <si>
    <t>Owner will be discussing with. With his brother and  will call back by tommrow</t>
  </si>
  <si>
    <t>City wrap and Broast</t>
  </si>
  <si>
    <t>Jahir</t>
  </si>
  <si>
    <t>Owner will be available after 8 pm</t>
  </si>
  <si>
    <t>Owner is busy asked to meet tommrow</t>
  </si>
  <si>
    <t xml:space="preserve"> shurfa  mandi </t>
  </si>
  <si>
    <t>Owner is out of station asked to come on friday</t>
  </si>
  <si>
    <t>Ulavapadu biryani and pulaos</t>
  </si>
  <si>
    <t>This restaurant is going to close</t>
  </si>
  <si>
    <t>17°26'33.2"N 78°26'45.7"E</t>
  </si>
  <si>
    <t xml:space="preserve">Araah cafe </t>
  </si>
  <si>
    <t>ONBOARDED Aov- 450 above  Daily orders -80 above Swiggy recently started 22++</t>
  </si>
  <si>
    <t>17°26'44.3"N 78°21'36.0"E</t>
  </si>
  <si>
    <t xml:space="preserve">Meridian Restaurant </t>
  </si>
  <si>
    <t>Manager will be available at night</t>
  </si>
  <si>
    <t>17°25'38.0"N 78°27'08.2"E</t>
  </si>
  <si>
    <t>Yum yum tree</t>
  </si>
  <si>
    <t xml:space="preserve">ali </t>
  </si>
  <si>
    <t>Owner has 7 outlets  ready to onboard 1 for now by tommrow</t>
  </si>
  <si>
    <t>17°21'29.1"N 78°23'16.9"E</t>
  </si>
  <si>
    <t xml:space="preserve">Raghavendra tiffens </t>
  </si>
  <si>
    <t>Onboarding  will be done   With yum yum tree both at a tym</t>
  </si>
  <si>
    <t>17°21'28.2"N 78°23'17.1"E</t>
  </si>
  <si>
    <t>Had a word with merchant &amp; as he was having petpooja integration.He asked to directly integrate with petpooja after conversation.</t>
  </si>
  <si>
    <t>He said i will pass the information to MD and let you now after 1 day</t>
  </si>
  <si>
    <t>17°26'35.0"N 78°26'26.4"E</t>
  </si>
  <si>
    <t>Desi zayqa</t>
  </si>
  <si>
    <t>ONBOARDED Aov 200+ Daily online orders 100 Will onboard 2 more outlets after app launch</t>
  </si>
  <si>
    <t>Tazz biryani point</t>
  </si>
  <si>
    <t xml:space="preserve"> Andhra bhavan</t>
  </si>
  <si>
    <t>Wait for a week food license have to renewal</t>
  </si>
  <si>
    <t>17°29'38.0"N 78°23'54.8"E</t>
  </si>
  <si>
    <t xml:space="preserve">Universal Restaurant </t>
  </si>
  <si>
    <t>He said i will discuss with his brother and onboard tomorrow</t>
  </si>
  <si>
    <t>Akshaya pathra</t>
  </si>
  <si>
    <t>Wrapes and more</t>
  </si>
  <si>
    <t xml:space="preserve">nawabi cafeteria </t>
  </si>
  <si>
    <t xml:space="preserve">Onboarded Aov 300+ Avg order per day 50 </t>
  </si>
  <si>
    <t xml:space="preserve">Nawabi waffles and beverages </t>
  </si>
  <si>
    <t xml:space="preserve">Onborded Aov -299 above Daily order - 30 above and 22++ </t>
  </si>
  <si>
    <t>5ves Dines restaurant</t>
  </si>
  <si>
    <t>iliyas</t>
  </si>
  <si>
    <t>Onboarded Aov 450+ and 20++ with long distance fee</t>
  </si>
  <si>
    <t xml:space="preserve">Sri Raghavendra Bhavan </t>
  </si>
  <si>
    <t xml:space="preserve"> Onboarded Aov -300  above  Daily order -150 above</t>
  </si>
  <si>
    <t>17°21'29.9"N 78°23'17.6"E</t>
  </si>
  <si>
    <t xml:space="preserve"> Golden Pavilion </t>
  </si>
  <si>
    <t xml:space="preserve">Md. Sajeeb </t>
  </si>
  <si>
    <t>AOV :- 600-1200  Orders per day :- 25 Spoke to the owner,explained detailed structure.Have to share proposal through mail id :- gpsajju@gmail.com Follow up required Lead status :- positive</t>
  </si>
  <si>
    <t>17°24'51.0"N 78°25'24.1"E</t>
  </si>
  <si>
    <t xml:space="preserve"> shreya food court </t>
  </si>
  <si>
    <t>chandan</t>
  </si>
  <si>
    <t>Owner will onboard tommrow as he  is not available</t>
  </si>
  <si>
    <t xml:space="preserve">Srija home foods and curry point </t>
  </si>
  <si>
    <t>Manager said to meet head office after 3 pm</t>
  </si>
  <si>
    <t xml:space="preserve">D and D caterers </t>
  </si>
  <si>
    <t>Onboarded Aov 210+ Online orders 100+</t>
  </si>
  <si>
    <t xml:space="preserve">Biryani Adda </t>
  </si>
  <si>
    <t xml:space="preserve">Balle balle punjabi </t>
  </si>
  <si>
    <t xml:space="preserve">Arunachala cafe </t>
  </si>
  <si>
    <t>Onboarded New outlet</t>
  </si>
  <si>
    <t>17°24'12.6"N 78°23'27.2"E</t>
  </si>
  <si>
    <t xml:space="preserve">Swathi tiffens </t>
  </si>
  <si>
    <t>Tomorrow morning sir will be available In between of 10-12  We can go directly talk with owner Aov -200  Daily orders -60 above</t>
  </si>
  <si>
    <t xml:space="preserve">gayatri bhavan </t>
  </si>
  <si>
    <t>raghu</t>
  </si>
  <si>
    <t>Manager will be available at 11 pm afternoon</t>
  </si>
  <si>
    <t xml:space="preserve">Kritunga Restaurant </t>
  </si>
  <si>
    <t xml:space="preserve">Jyosthna &amp; chakri </t>
  </si>
  <si>
    <t>Spoke to owner of the the outlet. They asked to share proposal through mail &amp; they will get back to us.</t>
  </si>
  <si>
    <t>17°24'50.5"N 78°24'25.3"E</t>
  </si>
  <si>
    <t xml:space="preserve"> harika mess</t>
  </si>
  <si>
    <t xml:space="preserve">vengal rao </t>
  </si>
  <si>
    <t>Owner asked to meet after 4pm</t>
  </si>
  <si>
    <t>17°25'26.0"N 78°27'31.9"E</t>
  </si>
  <si>
    <t xml:space="preserve">The food court </t>
  </si>
  <si>
    <t xml:space="preserve">Mani </t>
  </si>
  <si>
    <t>Aov - 200  above  Daily order -60 + I have  talked with owner She will onboard on Friday</t>
  </si>
  <si>
    <t>17°25'25.7"N 78°27'31.3"E</t>
  </si>
  <si>
    <t xml:space="preserve">Bandhan mithai vatika </t>
  </si>
  <si>
    <t>We need to meet him after 1 st march  He is having 2  outlets same owner</t>
  </si>
  <si>
    <t>Meet after 7pm today</t>
  </si>
  <si>
    <t>17°23'39.2"N 78°22'36.7"E</t>
  </si>
  <si>
    <t>Onboarded Aov - 250 above  Not in Swiggy and zomato before he use to due to commissions he stoped Daily order-80 + more office people they call and take orders</t>
  </si>
  <si>
    <t xml:space="preserve">amans food court </t>
  </si>
  <si>
    <t xml:space="preserve">raghav </t>
  </si>
  <si>
    <t>Owner is not available asked to come back tommrow</t>
  </si>
  <si>
    <t>Amulya Abhiruchi</t>
  </si>
  <si>
    <t>Satyaprasad</t>
  </si>
  <si>
    <t>17°29'31.0"N 78°23'51.2"E</t>
  </si>
  <si>
    <t xml:space="preserve">Corner centrer Bakery, fast food, juice and milk shake, Meals and biryani </t>
  </si>
  <si>
    <t>Onboarded 4 outlets Aov 290 No Swiggy no zomato 22++ with long distance fee</t>
  </si>
  <si>
    <t>corner center fast food</t>
  </si>
  <si>
    <t>corner center juice  and milk shake</t>
  </si>
  <si>
    <t xml:space="preserve"> corner center Meals and biryani </t>
  </si>
  <si>
    <t xml:space="preserve">Caffeine hub </t>
  </si>
  <si>
    <t xml:space="preserve">Youfuguda </t>
  </si>
  <si>
    <t xml:space="preserve">usha rani </t>
  </si>
  <si>
    <t>onboarded 5 outletsAov 260 and 24++ with long distance fee</t>
  </si>
  <si>
    <t xml:space="preserve"> Onboarded AOV:250</t>
  </si>
  <si>
    <t>Amulya Abhiruchi Fast Food</t>
  </si>
  <si>
    <t>Aadhya Food Court</t>
  </si>
  <si>
    <t>Slice and bytes Food Court</t>
  </si>
  <si>
    <t xml:space="preserve">Relax cafe </t>
  </si>
  <si>
    <t>onboarded Aov : 200 No of orders 40+</t>
  </si>
  <si>
    <t xml:space="preserve">Reddy Brothers Tiffins </t>
  </si>
  <si>
    <t>Srikanth reddy</t>
  </si>
  <si>
    <t>Srikanth reddy meet @7pm</t>
  </si>
  <si>
    <t>17°24'25.4"N 78°23'31.9"E</t>
  </si>
  <si>
    <t xml:space="preserve">A1 bawarchi </t>
  </si>
  <si>
    <t>Will onboard today at 5 pm</t>
  </si>
  <si>
    <t>17°24'45.3"N 78°23'43.0"E</t>
  </si>
  <si>
    <t xml:space="preserve">Chai kaburlu </t>
  </si>
  <si>
    <t>onboarded Aov 250+ Online sales 1.5L per outlet 17++ with long distance fee (upto 7km)</t>
  </si>
  <si>
    <t xml:space="preserve">Brownies bakery </t>
  </si>
  <si>
    <t>Will discuss with his brother</t>
  </si>
  <si>
    <t>17°24'39.7"N 78°23'41.6"E</t>
  </si>
  <si>
    <t xml:space="preserve">Flavours of Andhra </t>
  </si>
  <si>
    <t>newly opened tier 1 multi cuisine restaurant Spoken with owner will let us know by this week end</t>
  </si>
  <si>
    <t xml:space="preserve">Mohamed shoeb </t>
  </si>
  <si>
    <t>onboarded New out let no Swiggy no zomato</t>
  </si>
  <si>
    <t>Svs special village  spices</t>
  </si>
  <si>
    <t>Appaji</t>
  </si>
  <si>
    <t>He will onboard tomorrow now he is in Rush</t>
  </si>
  <si>
    <t>Telugu ruchulu</t>
  </si>
  <si>
    <t xml:space="preserve">onboarded Aov 300-400 (depends on weekends) Only in Swiggy (70 orders) 23++ with long distance </t>
  </si>
  <si>
    <t xml:space="preserve">T vannam </t>
  </si>
  <si>
    <t>Intrested asked to come after one hr</t>
  </si>
  <si>
    <t>17°24'26.8"N 78°23'33.6"E</t>
  </si>
  <si>
    <t xml:space="preserve">DSD Cafe </t>
  </si>
  <si>
    <t>Explained detailed structure with merchant , he asked to come back after 7PM</t>
  </si>
  <si>
    <t xml:space="preserve">Maruthi tiffins </t>
  </si>
  <si>
    <t>17°24'26.7"N 78°23'33.7"E</t>
  </si>
  <si>
    <t xml:space="preserve">Midhunam tiffins and snacks </t>
  </si>
  <si>
    <t>Onboarded Aov 350</t>
  </si>
  <si>
    <t>17°28'11.5"N 78°21'36.6"E</t>
  </si>
  <si>
    <t xml:space="preserve"> telugu cuisine </t>
  </si>
  <si>
    <t xml:space="preserve">deepak </t>
  </si>
  <si>
    <t xml:space="preserve">Onboarded Aov  250 + Avg order per  50 </t>
  </si>
  <si>
    <t>Mini udipis</t>
  </si>
  <si>
    <t xml:space="preserve"> Ranjith Reddy </t>
  </si>
  <si>
    <t>onboarded AOV :- 250 Orders per day :- 50</t>
  </si>
  <si>
    <t xml:space="preserve">Crispy crunch dinner </t>
  </si>
  <si>
    <t xml:space="preserve">Appi natural </t>
  </si>
  <si>
    <t xml:space="preserve">Sri Teja’s kitchen </t>
  </si>
  <si>
    <t xml:space="preserve">Classic crown </t>
  </si>
  <si>
    <t>Klassic Baker's and shawarma cafe</t>
  </si>
  <si>
    <t xml:space="preserve">Nehad siddiqi </t>
  </si>
  <si>
    <t>onboarded Aov: 200 Daily orders 40</t>
  </si>
  <si>
    <t xml:space="preserve">biryani ustad </t>
  </si>
  <si>
    <t xml:space="preserve">ramu </t>
  </si>
  <si>
    <t>Owner not available asked to come again</t>
  </si>
  <si>
    <t>17°22'13.3"N 78°24'44.9"E</t>
  </si>
  <si>
    <t>Aaha Amrutulya</t>
  </si>
  <si>
    <t>Meet in 1 hr</t>
  </si>
  <si>
    <t>17°24'26.3"N 78°23'31.2"E</t>
  </si>
  <si>
    <t>Shwarma kingdom</t>
  </si>
  <si>
    <t>Follow up  Will update tmr</t>
  </si>
  <si>
    <t xml:space="preserve">Kismatpur </t>
  </si>
  <si>
    <t>17°22'12.0"N 78°24'45.3"E</t>
  </si>
  <si>
    <t>Epic Bawarchi Tiffin Centre</t>
  </si>
  <si>
    <t>Bantu gadi food court</t>
  </si>
  <si>
    <t>The Chinese Zhang Family Kitchen</t>
  </si>
  <si>
    <t>Nellore Vantakalu</t>
  </si>
  <si>
    <t>Healthy Juices Promised</t>
  </si>
  <si>
    <t>Beyond Kimchi – The Taste of Korea</t>
  </si>
  <si>
    <t>The English Kitchen</t>
  </si>
  <si>
    <t>Vizag Beach Street Food</t>
  </si>
  <si>
    <t>Mana Vizag Ruchulu</t>
  </si>
  <si>
    <t>Healthy Food Promised</t>
  </si>
  <si>
    <t>Military Reddy Tiffins</t>
  </si>
  <si>
    <t>Sip of Health</t>
  </si>
  <si>
    <t>The Brazilian Juice Bar</t>
  </si>
  <si>
    <t>The Nice Juice Junction</t>
  </si>
  <si>
    <t>Andhra Ruchlu</t>
  </si>
  <si>
    <t>Srinivas Rao</t>
  </si>
  <si>
    <t>Follow up required tomorrow mrng 11 am , owner isn’t available rn</t>
  </si>
  <si>
    <t>17.3457710, 78.3753580</t>
  </si>
  <si>
    <t>Millet marvels</t>
  </si>
  <si>
    <t xml:space="preserve">Naga Sai Ganesh </t>
  </si>
  <si>
    <t>Explained detailed structure to mx ,Follow up required to onboard.</t>
  </si>
  <si>
    <t>https://maps.app.goo.gl/MHWyqhfs3KcH5r8V6</t>
  </si>
  <si>
    <t>Dum biryani Adda</t>
  </si>
  <si>
    <t xml:space="preserve"> Audio Cup</t>
  </si>
  <si>
    <t>Appointment scheduled at 12 tmr</t>
  </si>
  <si>
    <t>17°25'43.9"N 78°26'22.0"E</t>
  </si>
  <si>
    <t xml:space="preserve">All seasons express </t>
  </si>
  <si>
    <t xml:space="preserve">Veer </t>
  </si>
  <si>
    <t>Manager will be available after 3PM</t>
  </si>
  <si>
    <t>B.V.S pradeep varma</t>
  </si>
  <si>
    <t>Asked to contact This number  Owner not available</t>
  </si>
  <si>
    <t>17°23'15.7"N 78°21'26.0"E</t>
  </si>
  <si>
    <t xml:space="preserve">Baskin Robbins </t>
  </si>
  <si>
    <t xml:space="preserve">Vivek </t>
  </si>
  <si>
    <t>Had a word with head office manager Mr.Vivek, he asked to drop a proposal mail to his mail id.</t>
  </si>
  <si>
    <t>17°25'18.6"N 78°25'59.7"E</t>
  </si>
  <si>
    <t>biryani wala and co</t>
  </si>
  <si>
    <t>Owner will be available at 2:30 PM</t>
  </si>
  <si>
    <t xml:space="preserve">Bismillah restaurant </t>
  </si>
  <si>
    <t>Not interested  They are not on any platform</t>
  </si>
  <si>
    <t xml:space="preserve">Cafe Chaiminar </t>
  </si>
  <si>
    <t>onboarded Aov- 450+  and 150 online orders per day</t>
  </si>
  <si>
    <t xml:space="preserve">Chamkila </t>
  </si>
  <si>
    <t>Navtej</t>
  </si>
  <si>
    <t>Owner will be available at 6</t>
  </si>
  <si>
    <t>17°24'49.7"N 78°22'03.0"E</t>
  </si>
  <si>
    <t>Chatoros</t>
  </si>
  <si>
    <t>Asked to share proposal   2 branches</t>
  </si>
  <si>
    <t>17°23'56.9"N 78°21'54.0"E</t>
  </si>
  <si>
    <t>onboarded Aov-500</t>
  </si>
  <si>
    <t xml:space="preserve">Deccan Bawarchi </t>
  </si>
  <si>
    <t>onboarded Aov: 350 No of orders: 60+</t>
  </si>
  <si>
    <t xml:space="preserve">Madhapur </t>
  </si>
  <si>
    <t xml:space="preserve">Eat hot 1 </t>
  </si>
  <si>
    <t>Owner was not available  Didn't sharedthe POC details</t>
  </si>
  <si>
    <t xml:space="preserve">Godavari vari vindhu maryada </t>
  </si>
  <si>
    <t xml:space="preserve"> Satya varaprasad</t>
  </si>
  <si>
    <t xml:space="preserve">Onboarded  Aov-400 above Daily orders - 300 above order In both Swiggy and Zomato Seating capacity-100 people and 22++ </t>
  </si>
  <si>
    <t>17°26'24.1"N 78°23'43.3"E</t>
  </si>
  <si>
    <t>Green bawarchi</t>
  </si>
  <si>
    <t xml:space="preserve"> Aman goyal</t>
  </si>
  <si>
    <t>17°23'54.2"N 78°21'54.2"E</t>
  </si>
  <si>
    <t>haji ali fresh</t>
  </si>
  <si>
    <t xml:space="preserve">He will be only coming after 9PM </t>
  </si>
  <si>
    <r>
      <rPr>
        <color rgb="FF1155CC"/>
        <u/>
      </rPr>
      <t>Haji Ali Fresh Fruit Juices - Google Maps</t>
    </r>
  </si>
  <si>
    <t>Hot moms</t>
  </si>
  <si>
    <t>Hot shawarma nd wings</t>
  </si>
  <si>
    <t>Hot wings</t>
  </si>
  <si>
    <t>joharfa</t>
  </si>
  <si>
    <t xml:space="preserve">Sangram </t>
  </si>
  <si>
    <t xml:space="preserve">Have to follow back after 2 </t>
  </si>
  <si>
    <r>
      <rPr>
        <color rgb="FF1155CC"/>
        <u/>
      </rPr>
      <t>Joharfa - Google Maps</t>
    </r>
  </si>
  <si>
    <t xml:space="preserve">Kelvin scale absolute icecream </t>
  </si>
  <si>
    <t>17°26'27.9"N 78°26'54.2"E</t>
  </si>
  <si>
    <t xml:space="preserve">Konaseema peddiraja Ruchulu </t>
  </si>
  <si>
    <t>onboarded Aov 250 No of orders: 50</t>
  </si>
  <si>
    <t>Konaseema peddiraju Ruchulu</t>
  </si>
  <si>
    <t xml:space="preserve">manikonda </t>
  </si>
  <si>
    <t>onboarded Aov 250 and 50 orders per day</t>
  </si>
  <si>
    <t xml:space="preserve">Konseema pedi raju ruchulu </t>
  </si>
  <si>
    <t>2 branches  Gng to main branch Manikonda</t>
  </si>
  <si>
    <t>17°24'00.9"N 78°21'54.3"E</t>
  </si>
  <si>
    <t>lasya faast food</t>
  </si>
  <si>
    <t>chinna</t>
  </si>
  <si>
    <t>Onboarded Aov 260 and 23++</t>
  </si>
  <si>
    <t xml:space="preserve">Maharaja chat and food </t>
  </si>
  <si>
    <t xml:space="preserve">Sham </t>
  </si>
  <si>
    <t>Daily order -300 + Both Swiggy and Zomato I have talked with manager and explained everything He is interested and he will talk with owner if possible he will arrange the meeting by tomorrow</t>
  </si>
  <si>
    <t>17°26'27.1"N 78°23'48.2"E</t>
  </si>
  <si>
    <t xml:space="preserve">Manikantas eat hot spot </t>
  </si>
  <si>
    <t>Maruthi Tiffins</t>
  </si>
  <si>
    <t>Purnachander Rao</t>
  </si>
  <si>
    <t>Meet at 6pm</t>
  </si>
  <si>
    <t>17°24'23.5"N 78°22'33.4"E</t>
  </si>
  <si>
    <t xml:space="preserve">Meenakshi Cafe </t>
  </si>
  <si>
    <t xml:space="preserve">Kalyani </t>
  </si>
  <si>
    <t>Aov : 300 No of online orders : 100+ Explained everything clearly, asked for a day time, tmr she will onboard</t>
  </si>
  <si>
    <t>https://maps.app.goo.gl/NSaZABdnzdMy6eUn9?g_st=ic</t>
  </si>
  <si>
    <t>Mexician Fried Chicken</t>
  </si>
  <si>
    <t>Onboarded AOV:300 and 22++</t>
  </si>
  <si>
    <t>Mummy ki rassoi/amritsar dhaba/wok33</t>
  </si>
  <si>
    <t>Onboarded Aov 500 Online orders 100-120</t>
  </si>
  <si>
    <t>N hot chinese</t>
  </si>
  <si>
    <t>Nikhil feast</t>
  </si>
  <si>
    <t xml:space="preserve">Nostic natural fruit ice cream </t>
  </si>
  <si>
    <t xml:space="preserve">onboarded Aov - 300 above Daily - 50 above </t>
  </si>
  <si>
    <t>Olive Mithai Shop</t>
  </si>
  <si>
    <t>Hyder nagar</t>
  </si>
  <si>
    <t xml:space="preserve"> Nagaraju</t>
  </si>
  <si>
    <t>Main Branch He said i will forward to Higher people this information</t>
  </si>
  <si>
    <t>17°29'55.7"N 78°23'12.0"E</t>
  </si>
  <si>
    <t xml:space="preserve">Om Sri Balaji food court </t>
  </si>
  <si>
    <t>17°23'55.3"N 78°21'54.2"E</t>
  </si>
  <si>
    <t>Pulaos and bagara</t>
  </si>
  <si>
    <t>Manager will be available after 1 pm and 3 outlets</t>
  </si>
  <si>
    <t>17°26'27.6"N 78°26'53.7"E</t>
  </si>
  <si>
    <t>Puppalguda, golden temple branches</t>
  </si>
  <si>
    <t xml:space="preserve">Ram’s Dosa House </t>
  </si>
  <si>
    <t xml:space="preserve"> Bunty </t>
  </si>
  <si>
    <t xml:space="preserve">Owner will be available at 10 in the morning, asked to come back tmr </t>
  </si>
  <si>
    <t>https://maps.app.goo.gl/36hT8DmTcuyXcE4c7?g_st=ic</t>
  </si>
  <si>
    <t xml:space="preserve">Rayalaseema Biryani </t>
  </si>
  <si>
    <t>Onboarded AOV:250 and 22++</t>
  </si>
  <si>
    <t xml:space="preserve">Rayudu hotels </t>
  </si>
  <si>
    <t>Discussion done with one partner need to discuss with other partner</t>
  </si>
  <si>
    <t>Res is under partnership.</t>
  </si>
  <si>
    <t xml:space="preserve">They asked to share proposal over mail Resmouryarestaurant2024@gmail.com is under partnership.
</t>
  </si>
  <si>
    <t xml:space="preserve">Saabi arabian mandi </t>
  </si>
  <si>
    <t>Owner was not available  I will follow up to schedule meeting</t>
  </si>
  <si>
    <t xml:space="preserve">Sai nagarjuna tiffins </t>
  </si>
  <si>
    <t xml:space="preserve">Rama Rao </t>
  </si>
  <si>
    <t>Discussion done with manager,need to discuss with partners  I will follow up</t>
  </si>
  <si>
    <t xml:space="preserve">Sainadh food court </t>
  </si>
  <si>
    <t>kondapur</t>
  </si>
  <si>
    <t>Onboarded Aov 290 Online orders 50 and 24++ long distance</t>
  </si>
  <si>
    <t xml:space="preserve">Second wife </t>
  </si>
  <si>
    <t>Onboarded Aov 300 Online orders 60 and 24++ with long distance fee</t>
  </si>
  <si>
    <t xml:space="preserve">Shri Balaji chennai spice restaurant </t>
  </si>
  <si>
    <t>Discussion done with owner need the onboarding document to be sent,he want to go through it and then sign  He has two outlets  I will send</t>
  </si>
  <si>
    <t>Shri balaji chennai spices</t>
  </si>
  <si>
    <t>SK kitchen</t>
  </si>
  <si>
    <t>onboarded Aov - 200  No online platforms</t>
  </si>
  <si>
    <t xml:space="preserve">Southern Mirchi </t>
  </si>
  <si>
    <t>Manager will get back to us by tmr, we gave our details</t>
  </si>
  <si>
    <t>https://maps.app.goo.gl/ke4AruaeQ3QL7R8QA?g_st=ic</t>
  </si>
  <si>
    <t xml:space="preserve">Sozo cakery &amp; Cafe </t>
  </si>
  <si>
    <t xml:space="preserve">Annie </t>
  </si>
  <si>
    <t>Orders per day :- 40 AOV :- 600 Follow up required after 5PM</t>
  </si>
  <si>
    <t>Sri Govinda udipi veg</t>
  </si>
  <si>
    <t>17°23'51.4"N 78°21'53.9"E</t>
  </si>
  <si>
    <t xml:space="preserve">street view express </t>
  </si>
  <si>
    <t>ADNAN</t>
  </si>
  <si>
    <t>Owner will be available after 8PM</t>
  </si>
  <si>
    <t>17°25'18.1"N 78°26'01.7"E</t>
  </si>
  <si>
    <t xml:space="preserve">Teaology </t>
  </si>
  <si>
    <t>17°26'29.2"N 78°26'53.3"E</t>
  </si>
  <si>
    <t>The kebab house</t>
  </si>
  <si>
    <t>onboarded Aov - 200  above Daily order -50 above Both in Swiggy and Zomato</t>
  </si>
  <si>
    <t>17°26'57.9"N 78°23'31.3"E</t>
  </si>
  <si>
    <t xml:space="preserve">Venkateshwara food court 3 outlets and </t>
  </si>
  <si>
    <t xml:space="preserve">Wanderlust </t>
  </si>
  <si>
    <t>Need to send details</t>
  </si>
  <si>
    <t>17°23'58.5"N 78°21'53.9"E</t>
  </si>
  <si>
    <t>Owner was not available  Didn't shared the POC details Owner will be available in the nyt. 22:00</t>
  </si>
  <si>
    <t>captains kunafa</t>
  </si>
  <si>
    <t>Manager will be available after 4PM</t>
  </si>
  <si>
    <t xml:space="preserve">Annapurna Hotel and tiffins </t>
  </si>
  <si>
    <t>Ravishankar</t>
  </si>
  <si>
    <t>Owner said to meet later</t>
  </si>
  <si>
    <t>Dine O china</t>
  </si>
  <si>
    <t>Manager isn’t available - follow up required after 4PM</t>
  </si>
  <si>
    <t xml:space="preserve">The Tasty chapter </t>
  </si>
  <si>
    <t xml:space="preserve">Biryani Mandirr </t>
  </si>
  <si>
    <t xml:space="preserve"> House of dosas </t>
  </si>
  <si>
    <t xml:space="preserve">Banjara Hills </t>
  </si>
  <si>
    <t xml:space="preserve">Onboarded Orders per day :- 80 through online AOV :- 350-400 </t>
  </si>
  <si>
    <t>Meenakshi Cafe</t>
  </si>
  <si>
    <t xml:space="preserve">Onboarded Aov : 300+  No.of orders a day : 120+ </t>
  </si>
  <si>
    <t>https://maps.app.goo.gl/6KjkBYHkRTrS4q538?g_st=ic</t>
  </si>
  <si>
    <t xml:space="preserve">Koodu - the taste of Telangana </t>
  </si>
  <si>
    <t>Onboarded Aov -300 above  Daily orders -30 above</t>
  </si>
  <si>
    <t>17°26'57.8"N 78°23'31.5"E</t>
  </si>
  <si>
    <t>Vasistas Biryanis non veg curries</t>
  </si>
  <si>
    <t>Vijayaramaraju</t>
  </si>
  <si>
    <t>meet @6pm</t>
  </si>
  <si>
    <t>17°24'01.8"N 78°22'08.5"E</t>
  </si>
  <si>
    <t xml:space="preserve">Hammayya kadupu nindindi </t>
  </si>
  <si>
    <t xml:space="preserve"> Onboarded Aov - 250 above  Daily orders - 50 above</t>
  </si>
  <si>
    <t>Gottipati Military Hotel</t>
  </si>
  <si>
    <t xml:space="preserve"> Onboarded AOV : 700  No.of orders a day : 15 (on swiggy) </t>
  </si>
  <si>
    <t>https://www.google.com/maps?q=Shop+no+1,+Gottipati+Military+Hotel,+beside+Karachi+bakery,+Phase+2,+HITEC+City,+Hyderabad,+Telangana+500081&amp;ftid=0x3bcb9375687c150f:0x262b48a61ddb74ee&amp;entry=gps&amp;shh=CAE&amp;lucs=,94297699,94284481,94231188,94280568,47071704,94266210,94218641,94282134,94286869&amp;g_st=ic</t>
  </si>
  <si>
    <t>Raam ka Adda, Narsingi - Puppalaguda Main Rd, Anupama Homes, Manikonda, Hyderabad, Telangana 500089</t>
  </si>
  <si>
    <t>Will onboard tmr</t>
  </si>
  <si>
    <t xml:space="preserve">Butter bunnie </t>
  </si>
  <si>
    <t xml:space="preserve">Mandi bistro </t>
  </si>
  <si>
    <t>AOV : 700  They have 4 outlets Meeting scheduled at Monday 1Pm, will be onboarding</t>
  </si>
  <si>
    <t>17°26'30.2"N 78°22'37.1"E</t>
  </si>
  <si>
    <t xml:space="preserve">Harisha tiffens </t>
  </si>
  <si>
    <t xml:space="preserve">Onboarded  Aov-300 above They sell more Combos Daily order -90 above </t>
  </si>
  <si>
    <t>Monkeys cafe</t>
  </si>
  <si>
    <t xml:space="preserve">Best biryanis </t>
  </si>
  <si>
    <t>SweetsDude</t>
  </si>
  <si>
    <t>Onboarded AOV - 800 Per day order - 80 - 90</t>
  </si>
  <si>
    <t>Kanakadurga Tiffins</t>
  </si>
  <si>
    <t>Meet after 7pm</t>
  </si>
  <si>
    <t>17°24'52.4"N 78°22'00.9"E</t>
  </si>
  <si>
    <t>Chamkila asked to share proposal on mail</t>
  </si>
  <si>
    <t>Contact@thechamkila.com Chamkila asked to share proposal on mail</t>
  </si>
  <si>
    <t>17°24'51.2"N 78°22'02.6"E</t>
  </si>
  <si>
    <t xml:space="preserve">Machili Patnam </t>
  </si>
  <si>
    <t xml:space="preserve">Owner not available Follow up </t>
  </si>
  <si>
    <t>17°25'04.4"N 78°22'08.2"E</t>
  </si>
  <si>
    <t xml:space="preserve">Chaitanyas modern kitchen </t>
  </si>
  <si>
    <t xml:space="preserve">Jagadeesh </t>
  </si>
  <si>
    <t xml:space="preserve">Owner  Proposal on WhatsApp Follow up </t>
  </si>
  <si>
    <t xml:space="preserve">Smoke shack </t>
  </si>
  <si>
    <t xml:space="preserve"> shreya fast food and momo </t>
  </si>
  <si>
    <t xml:space="preserve">chandan </t>
  </si>
  <si>
    <t xml:space="preserve">Onboarded Aov 250 Avg orders per day 50 </t>
  </si>
  <si>
    <t xml:space="preserve">zaiqa bawarchi </t>
  </si>
  <si>
    <t>Onboarded Aov 400+ Avg order per day 50+</t>
  </si>
  <si>
    <t>Delight kitchen</t>
  </si>
  <si>
    <t>Follow up  Will update on Monday</t>
  </si>
  <si>
    <t>17°23'58.2"N 78°23'08.2"E</t>
  </si>
  <si>
    <t xml:space="preserve">Annapurna mess </t>
  </si>
  <si>
    <t>Not available right now ! Follow up after 7PM</t>
  </si>
  <si>
    <t>17°25'47.0"N 78°25'42.3"E</t>
  </si>
  <si>
    <t xml:space="preserve">pakka non veg </t>
  </si>
  <si>
    <t>Orders per day - 45 AOV :- 400 Manager will be only available afternoon</t>
  </si>
  <si>
    <t>17°25'47.1"N 78°25'30.7"E</t>
  </si>
  <si>
    <t>Srijas food and currys</t>
  </si>
  <si>
    <t>onboarded Aov:400 and 4 outlets onboarded out of 9 Remaining will done by next week</t>
  </si>
  <si>
    <t>Kavyam</t>
  </si>
  <si>
    <t>Uma Mahesh</t>
  </si>
  <si>
    <t>Had a word with manager at outlet Explained all about platform.Sales.treeinnjubilee@gmail.com</t>
  </si>
  <si>
    <t xml:space="preserve">Sri vengamamba deluxe mess </t>
  </si>
  <si>
    <t>Gnaneshwar</t>
  </si>
  <si>
    <t>Spoke to one of the partner &amp; fixed meeting on Sunday 2PM</t>
  </si>
  <si>
    <t>https://maps.app.goo.gl/HH6V3728whxfwAA8A</t>
  </si>
  <si>
    <t>Hanvika Grand Fast Food</t>
  </si>
  <si>
    <t>Hanvika Grand Biryani</t>
  </si>
  <si>
    <t>Good morning cafe fast food</t>
  </si>
  <si>
    <t>Good morning cafe</t>
  </si>
  <si>
    <t>My 3 kitchen biryani</t>
  </si>
  <si>
    <t>My 3 kitchen Chinese</t>
  </si>
  <si>
    <t>My3 kitchen tiffins</t>
  </si>
  <si>
    <t>My3 kitchen meals and curries</t>
  </si>
  <si>
    <t>Aahara Aahvanam juices and icecreams</t>
  </si>
  <si>
    <t>Aahara Aahvanam meals and curries</t>
  </si>
  <si>
    <t>Aahara Aahvanam tiffins</t>
  </si>
  <si>
    <t>The hungry kitchen</t>
  </si>
  <si>
    <t xml:space="preserve"> millet marvels </t>
  </si>
  <si>
    <t xml:space="preserve">Spicy Restaurant </t>
  </si>
  <si>
    <t>Owner not available ! He will be available on Monday after 2PM</t>
  </si>
  <si>
    <t>New Chanti Mess</t>
  </si>
  <si>
    <t>Big guys wings and burgers</t>
  </si>
  <si>
    <t>Raja ramana</t>
  </si>
  <si>
    <t>They have 2 branches going to start more 18 Intrested but busy in talks with franchise works</t>
  </si>
  <si>
    <t>17°32'25.1"N 78°22'04.0"E</t>
  </si>
  <si>
    <t>Resto GOLDEN BARREL</t>
  </si>
  <si>
    <t>HAD DISCUSSION WILL ONBOARD BY EVENING</t>
  </si>
  <si>
    <t>17°32'25.2"N 78°22'06.6"E</t>
  </si>
  <si>
    <t xml:space="preserve">Vepuris Biryani </t>
  </si>
  <si>
    <t>sriram</t>
  </si>
  <si>
    <t>17°32'18.9"N 78°21'49.4"E</t>
  </si>
  <si>
    <t xml:space="preserve">Arya Bhavan </t>
  </si>
  <si>
    <t>Onboarding on Monday</t>
  </si>
  <si>
    <t>17°27'02.9"N 78°26'12.2"E</t>
  </si>
  <si>
    <t>Prathista food court</t>
  </si>
  <si>
    <t>Vamshi</t>
  </si>
  <si>
    <t>Follow up on Monday</t>
  </si>
  <si>
    <t>PK FOOD Court</t>
  </si>
  <si>
    <t>Onboarded 22+2 (long distance)</t>
  </si>
  <si>
    <t>Owner is not available I talk with manager he told me to come on monday</t>
  </si>
  <si>
    <t>17°27'22.1"N 78°26'03.3"E</t>
  </si>
  <si>
    <t>Dorasani Chethivanta</t>
  </si>
  <si>
    <t>Onboarded AOV : 200</t>
  </si>
  <si>
    <t xml:space="preserve">Taaza tiffens </t>
  </si>
  <si>
    <t>Onboarded Aov -300 above  Daily orders - 200 above</t>
  </si>
  <si>
    <t xml:space="preserve">RUCHI CURRY POINTS </t>
  </si>
  <si>
    <t xml:space="preserve">Sridhar </t>
  </si>
  <si>
    <t xml:space="preserve">Owner was not available should follow up they have 10 outlets </t>
  </si>
  <si>
    <t>17°29'41.5"N 78°24'08.1"E</t>
  </si>
  <si>
    <t xml:space="preserve"> Konaseema Ghumaghumalu </t>
  </si>
  <si>
    <t xml:space="preserve">Owner not available in the restaurant  Cuisine : South Indian </t>
  </si>
  <si>
    <t>https://maps.app.goo.gl/njfWbADBpRd5g5bE8?g_st=ic</t>
  </si>
  <si>
    <t xml:space="preserve">Butter bunnies </t>
  </si>
  <si>
    <t>follow up meeting  Will onboard by eod</t>
  </si>
  <si>
    <t>17°24'06.9"N 78°21'58.0"E</t>
  </si>
  <si>
    <t xml:space="preserve"> THE BOAT HOUSE</t>
  </si>
  <si>
    <t xml:space="preserve">Sri Shakambhari Restaurant </t>
  </si>
  <si>
    <t>Onboarded 22++</t>
  </si>
  <si>
    <t>17°29'16.4"N 78°22'58.9"E</t>
  </si>
  <si>
    <t xml:space="preserve">Darbar street </t>
  </si>
  <si>
    <t xml:space="preserve">Onboarded Cusine -  indo Chinese </t>
  </si>
  <si>
    <t xml:space="preserve">Dumont Creamery </t>
  </si>
  <si>
    <t xml:space="preserve">Nagaraju </t>
  </si>
  <si>
    <t>Mx is out of station ! Onboarding will be done after March 1st week - as mx will get back on March 10th</t>
  </si>
  <si>
    <t>Baburao gari Biriyani</t>
  </si>
  <si>
    <t>Cuisine : South Indian, Dessets , beverages, Chinese No.of Branches : 8 ( under one legal entity) Filled the form Dotpay is the POS , will onboard only if the app is integrated with the POS.</t>
  </si>
  <si>
    <t>https://maps.app.goo.gl/QZtpXd2JFEQnyrc49?g_st=ic</t>
  </si>
  <si>
    <t>Bawarchi mandi and biryani</t>
  </si>
  <si>
    <t>Owner was not available they are not ready give number</t>
  </si>
  <si>
    <t>17°29'54.7"N 78°24'41.4"E</t>
  </si>
  <si>
    <t>Mandi specials and Biryani</t>
  </si>
  <si>
    <t>Vijaya Laxmi</t>
  </si>
  <si>
    <t>She need time to think</t>
  </si>
  <si>
    <t>17°29'55.1"N 78°24'41.9"E</t>
  </si>
  <si>
    <t>Balaji Dhaba</t>
  </si>
  <si>
    <t>17°29'55.1"N 78°24'42.9"E</t>
  </si>
  <si>
    <t xml:space="preserve">Prince House Family Restaurant </t>
  </si>
  <si>
    <t xml:space="preserve">Narsimha </t>
  </si>
  <si>
    <t>Owner are not available till friday New outlet, not on swiggy and zomoto too Cuisine : south indian, north Indian, chinese</t>
  </si>
  <si>
    <r>
      <rPr>
        <color rgb="FF1155CC"/>
        <u/>
      </rPr>
      <t>Prince House Family Restaurant - Google Maps</t>
    </r>
  </si>
  <si>
    <t xml:space="preserve">Delicia </t>
  </si>
  <si>
    <t xml:space="preserve">Manager will arrange a meeting with the owner </t>
  </si>
  <si>
    <t>https://maps.app.goo.gl/j1UZoduu6UcAE7aw7?g_st=iw</t>
  </si>
  <si>
    <t xml:space="preserve">ATHITHI BIRIYANI RUCHULU </t>
  </si>
  <si>
    <t xml:space="preserve">Sudheer </t>
  </si>
  <si>
    <t>Onboarding will be on Wednesday.</t>
  </si>
  <si>
    <r>
      <rPr>
        <color rgb="FF1155CC"/>
        <u/>
      </rPr>
      <t>Athithi Biryani ruchulu - Google Maps</t>
    </r>
  </si>
  <si>
    <t xml:space="preserve">Mini cafe </t>
  </si>
  <si>
    <t>Tomorrow onboarding</t>
  </si>
  <si>
    <t>17°30'01.7"N 78°24'58.0"E</t>
  </si>
  <si>
    <t>Rishitha curries and biryani</t>
  </si>
  <si>
    <t>17°30'06.2"N 78°25'07.2"E</t>
  </si>
  <si>
    <t xml:space="preserve">Arambam </t>
  </si>
  <si>
    <t>Hari</t>
  </si>
  <si>
    <t>Meet hima after 1 hr</t>
  </si>
  <si>
    <t>17°25'31.7"N 78°19'47.2"E</t>
  </si>
  <si>
    <t>Cafe Hyd</t>
  </si>
  <si>
    <t>suhan</t>
  </si>
  <si>
    <t>Meet him after 7pm</t>
  </si>
  <si>
    <t xml:space="preserve">anmol continental </t>
  </si>
  <si>
    <t>narayn</t>
  </si>
  <si>
    <t>Asked to share proposal over mail Info@nicehospitality.in</t>
  </si>
  <si>
    <t>17°24'27.2"N 78°28'12.8"E</t>
  </si>
  <si>
    <t xml:space="preserve">Avani restaurant </t>
  </si>
  <si>
    <t xml:space="preserve">Onboarded ov -700 above Daily orders when there are on Swiggy and Zomato -90 + orders a day For how they have removed from Swiggy and Zomato completely Google reviews are 1400 change Cusine - multicusine Tier -1 restraunt </t>
  </si>
  <si>
    <t>17°24'14.1"N 78°28'03.6"E</t>
  </si>
  <si>
    <t xml:space="preserve">swadist super sweets &amp; restaurant  Cuisine:- South Indian &amp; desserts </t>
  </si>
  <si>
    <t>They are having 3 branches.Spoke to manager &amp; explained business model.Follow up required.</t>
  </si>
  <si>
    <t xml:space="preserve">Kamat hotel </t>
  </si>
  <si>
    <t>Nagnath</t>
  </si>
  <si>
    <t>I have talk to the manger  He will let us know after talking with owner We need follow up  Aov - 400 above Daily orders before  they have stopped in Swiggy for now - 200 above</t>
  </si>
  <si>
    <t>17°24'16.1"N 78°28'03.0"E</t>
  </si>
  <si>
    <t>Chinese Adda &amp;</t>
  </si>
  <si>
    <t>Sri sai bakers</t>
  </si>
  <si>
    <t xml:space="preserve"> hare krishna family dhaba  </t>
  </si>
  <si>
    <t xml:space="preserve">abhisek </t>
  </si>
  <si>
    <t>Owner is out of station will come in 2 days</t>
  </si>
  <si>
    <t>17°24'33.2"N 78°27'33.3"E</t>
  </si>
  <si>
    <t xml:space="preserve">Friends N Cafe </t>
  </si>
  <si>
    <t xml:space="preserve">Fareed </t>
  </si>
  <si>
    <t>Orders per day :- 40  AOV :- 300 Cuisine :- Continental Owner  not available at outlet Follow up required after 6:00 PM Today</t>
  </si>
  <si>
    <t>17°24'33.5"N 78°27'36.4"E</t>
  </si>
  <si>
    <t xml:space="preserve">krishna tiffins and mess </t>
  </si>
  <si>
    <t xml:space="preserve">ravi </t>
  </si>
  <si>
    <t>Owner is not available today asked to come   on 4 th</t>
  </si>
  <si>
    <t>17°24'34.5"N 78°27'37.6"E</t>
  </si>
  <si>
    <t>hillstar</t>
  </si>
  <si>
    <t>Owner will be available after 7 today will visit by 7 again</t>
  </si>
  <si>
    <t xml:space="preserve">harika mess </t>
  </si>
  <si>
    <t xml:space="preserve"> vengal rao </t>
  </si>
  <si>
    <t>Need some time to think will get back in 2 days</t>
  </si>
  <si>
    <t>17°25'25.2"N 78°27'32.1"E</t>
  </si>
  <si>
    <t xml:space="preserve"> sri sai food court </t>
  </si>
  <si>
    <t xml:space="preserve">praveen </t>
  </si>
  <si>
    <t>17°24'39.1"N 78°27'44.5"E</t>
  </si>
  <si>
    <t>Lotus Biryani and Fast Food</t>
  </si>
  <si>
    <t>Onboarded Tier-3</t>
  </si>
  <si>
    <t>Ellipaya karam express</t>
  </si>
  <si>
    <t>Onboarded Aov: 400+ No of orders per day : 60+Remaining 3 outlets will onboard today he will do Digital sign ,right now he is in office</t>
  </si>
  <si>
    <t xml:space="preserve">Chittibabu Biriyani </t>
  </si>
  <si>
    <t xml:space="preserve"> Naga Raju </t>
  </si>
  <si>
    <t>Should call after 8:30 PM</t>
  </si>
  <si>
    <r>
      <rPr>
        <color rgb="FF1155CC"/>
        <u/>
      </rPr>
      <t>Chitti Babu Biryani - Kukatpally - Google Maps</t>
    </r>
  </si>
  <si>
    <t>Follow up meeting Owner is not available</t>
  </si>
  <si>
    <t>17°26'05.8"N 78°20'05.6"E</t>
  </si>
  <si>
    <t xml:space="preserve">The eatery hub </t>
  </si>
  <si>
    <t xml:space="preserve">Mohammed anwar </t>
  </si>
  <si>
    <t>Tomorrow he will onboard Aov -200 above New outlet</t>
  </si>
  <si>
    <t>17°24'32.4"N 78°27'37.9"E</t>
  </si>
  <si>
    <t>Bengali food plaza</t>
  </si>
  <si>
    <t>Wasim</t>
  </si>
  <si>
    <t>17°26'04.8"N 78°20'05.7"E</t>
  </si>
  <si>
    <t xml:space="preserve">Burgers and pizzas </t>
  </si>
  <si>
    <t>17°26'04.8"N 78°20'05.8"E</t>
  </si>
  <si>
    <t xml:space="preserve">cheese and mix kitchen </t>
  </si>
  <si>
    <t>hameed</t>
  </si>
  <si>
    <t>Onboarded Aov 300 Avg order per day 70</t>
  </si>
  <si>
    <t xml:space="preserve">Mohammedia shawarma </t>
  </si>
  <si>
    <t xml:space="preserve">Adnan </t>
  </si>
  <si>
    <t>https://maps.app.goo.gl/tDeHfjCyNH32Yxzt8?g_st=ic</t>
  </si>
  <si>
    <t>Sai Darshini Tiffins</t>
  </si>
  <si>
    <t>venkatram Reddy</t>
  </si>
  <si>
    <t>Need to contact after 2 days</t>
  </si>
  <si>
    <t>Almas Restaurant</t>
  </si>
  <si>
    <t>Manager will be available after 4 pm tomorrow</t>
  </si>
  <si>
    <t>17°26'33.7"N 78°26'30.0"E</t>
  </si>
  <si>
    <t>by the bay</t>
  </si>
  <si>
    <t>Spoke to owner !!! After detailed discussion of business model, Owner asks to meet him after launch with data.</t>
  </si>
  <si>
    <r>
      <rPr>
        <color rgb="FF1155CC"/>
        <u/>
      </rPr>
      <t>By The Bay - Google Maps</t>
    </r>
  </si>
  <si>
    <t xml:space="preserve">Pakka Telangana </t>
  </si>
  <si>
    <t>Naveen Reddy</t>
  </si>
  <si>
    <t xml:space="preserve">Not on swiggy and zomoto  Asked to come tmr at 5:30-6 pm  Cuisine : South Indian </t>
  </si>
  <si>
    <t>https://www.google.com/maps?q=Pakka+Telangana,+25/3RT,+SR+Nagar+Main+Rd,+opp.+SBI+Bank,+Sanjeeva+Reddy+Nagar+Office+Area,+Sanjeeva+Reddy+Nagar,+Hyderabad,+Telangana+500038&amp;ftid=0x3bcb918d90dbae7d:0x53a771b8befc0bf7&amp;entry=gps&amp;shh=CAE&amp;lucs=,94297699,94284481,94231188,94280568,47071704,94266210,94218641,94282134,94286869&amp;g_ep=CAISEjI2LjA4LjIuODcwOTc4MTE2MBgAINeCAypRLDk0Mjk3Njk5LDk0Mjg0NDgxLDk0MjMxMTg4LDk0MjgwNTY4LDQ3MDcxNzA0LDk0MjY2MjEwLDk0MjE4NjQxLDk0MjgyMTM0LDk0Mjg2ODY5QgJJTg%3D%3D&amp;skid=32be1842-32fd-4f82-82d3-41b9e8e109a5&amp;g_st=ic</t>
  </si>
  <si>
    <t xml:space="preserve">Ahmed restaurant </t>
  </si>
  <si>
    <t xml:space="preserve">Syed hajiali </t>
  </si>
  <si>
    <t xml:space="preserve">onboarded They are not on other platform </t>
  </si>
  <si>
    <t>Swamy’s Kitchen</t>
  </si>
  <si>
    <t>Swamy</t>
  </si>
  <si>
    <t>onboarded Minimum order value (250)  New outlet On on swiggy &amp; zomato</t>
  </si>
  <si>
    <t xml:space="preserve">Chopsticks </t>
  </si>
  <si>
    <t>Sri Nagar Colony</t>
  </si>
  <si>
    <t>Onboarded Aov 400 Tier 1Online orders (Swiggy Zomato) - 100 to 120</t>
  </si>
  <si>
    <t xml:space="preserve"> 7 sauces</t>
  </si>
  <si>
    <t xml:space="preserve">Shehzaad </t>
  </si>
  <si>
    <t>call back 7PM</t>
  </si>
  <si>
    <t>17°24'11.5"N 78°27'36.5"E</t>
  </si>
  <si>
    <t xml:space="preserve">Scoops </t>
  </si>
  <si>
    <t xml:space="preserve">Alvi </t>
  </si>
  <si>
    <t>Follow up required :- call back after 8PM</t>
  </si>
  <si>
    <t xml:space="preserve">Sd food Court </t>
  </si>
  <si>
    <t>17°24'05.7"N 78°23'08.3"E</t>
  </si>
  <si>
    <t xml:space="preserve">Lebanese grill </t>
  </si>
  <si>
    <t xml:space="preserve">Danish </t>
  </si>
  <si>
    <t>I have talked to the manager owner is not available he said he will call me when owner comes to the restraunt</t>
  </si>
  <si>
    <t>17°24'12.2"N 78°27'36.6"E</t>
  </si>
  <si>
    <t>chichas</t>
  </si>
  <si>
    <t>Decision maker will be available only on Tuesdays 1PM</t>
  </si>
  <si>
    <t>https://www.google.com/maps/search/Chicha's/@17.40321922302246,78.46006774902344,17z?hl=en</t>
  </si>
  <si>
    <t xml:space="preserve">Karam dosa </t>
  </si>
  <si>
    <t xml:space="preserve">Prashanth reddy </t>
  </si>
  <si>
    <t>Meet tomorrow morning 11.30 am for onboarding</t>
  </si>
  <si>
    <t>17°24'06.8"N 78°23'05.7"E</t>
  </si>
  <si>
    <t>vinod</t>
  </si>
  <si>
    <t>17°29'50.2"N 78°23'46.4"E</t>
  </si>
  <si>
    <t xml:space="preserve">Bhawaanee multi cusine restraunt </t>
  </si>
  <si>
    <t>Onboarded Aov -300 above  Daily order -120 above  Cusine - multi cusine</t>
  </si>
  <si>
    <t>17°25'26.1"N 78°27'34.8"E</t>
  </si>
  <si>
    <t xml:space="preserve">Kathmandu momos </t>
  </si>
  <si>
    <t xml:space="preserve">Bishwash </t>
  </si>
  <si>
    <t>Onboarded Ratings on Zomato :- 7.5K+</t>
  </si>
  <si>
    <t xml:space="preserve"> hillstar </t>
  </si>
  <si>
    <t>kaif</t>
  </si>
  <si>
    <t>Will talk to his brother and will call by tommrow</t>
  </si>
  <si>
    <t>Arya Bhavan</t>
  </si>
  <si>
    <t xml:space="preserve">Erragada </t>
  </si>
  <si>
    <t>Onboarded Tier 1</t>
  </si>
  <si>
    <r>
      <rPr>
        <color rgb="FF1155CC"/>
        <u/>
      </rPr>
      <t>17.4465810, 78.4387670 to Arya Bhavan - Google Maps</t>
    </r>
  </si>
  <si>
    <t>Asked to come after ramzan</t>
  </si>
  <si>
    <t xml:space="preserve">spicy Restaurant </t>
  </si>
  <si>
    <t>Contact:Nagole main branch they have total 5 branches can meet by 5 to 7 pm every day</t>
  </si>
  <si>
    <t xml:space="preserve">Lucky restaurant </t>
  </si>
  <si>
    <t>Same owner</t>
  </si>
  <si>
    <t>17°25'47.3"N 78°25'33.2"E</t>
  </si>
  <si>
    <t>Resto name:Goutham siddarth and Pranathi will connect with owner soon and get back</t>
  </si>
  <si>
    <t>17°25'46.9"N 78°25'30.7"E</t>
  </si>
  <si>
    <t xml:space="preserve">Bhadrachalam cafe </t>
  </si>
  <si>
    <t xml:space="preserve">Raghuram </t>
  </si>
  <si>
    <t>Already somebody from our team visited</t>
  </si>
  <si>
    <t xml:space="preserve">Idv kitchen </t>
  </si>
  <si>
    <t>sherlingampally</t>
  </si>
  <si>
    <t xml:space="preserve">kiran kumar reddy </t>
  </si>
  <si>
    <t xml:space="preserve">The owner was not available in the outlet I will follow up to schedule meeting </t>
  </si>
  <si>
    <r>
      <rPr>
        <color rgb="FF1155CC"/>
        <u/>
      </rPr>
      <t>IDV kitchen - Google Maps</t>
    </r>
  </si>
  <si>
    <t>Poruginti chepala pulsu</t>
  </si>
  <si>
    <t>Sathish</t>
  </si>
  <si>
    <t>Follow up on Thursday</t>
  </si>
  <si>
    <t>17°28'11.9"N 78°24'26.4"E</t>
  </si>
  <si>
    <t xml:space="preserve">marjaan hotel </t>
  </si>
  <si>
    <t xml:space="preserve">marjan </t>
  </si>
  <si>
    <t>Owner not available asked to come at 1 :30pm</t>
  </si>
  <si>
    <t>17°23'43.3"N 78°27'18.4"E</t>
  </si>
  <si>
    <t xml:space="preserve">Hotel the Nawabi zaiqa </t>
  </si>
  <si>
    <t>The owner was not available in the restaurant</t>
  </si>
  <si>
    <t>17°29'47.2"N 78°20'04.0"E</t>
  </si>
  <si>
    <t>Ideal Kitchen</t>
  </si>
  <si>
    <t xml:space="preserve">Taiba bakery and cafe </t>
  </si>
  <si>
    <t xml:space="preserve">Mirza </t>
  </si>
  <si>
    <t>We have talked to one of the partners He said after 1 u can come and they have 3 partners u can directly talk with them</t>
  </si>
  <si>
    <t>17°23'46.7"N 78°27'35.9"E</t>
  </si>
  <si>
    <t xml:space="preserve">Shringeri kitchen </t>
  </si>
  <si>
    <t xml:space="preserve">Rajesh </t>
  </si>
  <si>
    <t>17°29'45.5"N 78°20'07.2"E</t>
  </si>
  <si>
    <t xml:space="preserve">90s Biryani </t>
  </si>
  <si>
    <t xml:space="preserve">Sanjay </t>
  </si>
  <si>
    <t>Have to call in 1 hr</t>
  </si>
  <si>
    <t xml:space="preserve">Prathiyaka the kitchen </t>
  </si>
  <si>
    <t>They need time to decide</t>
  </si>
  <si>
    <t>17°28'53.0"N 78°22'46.6"E</t>
  </si>
  <si>
    <t xml:space="preserve">Dum maaro dum </t>
  </si>
  <si>
    <t>Manager not available</t>
  </si>
  <si>
    <t>17°28'55.1"N 78°22'48.1"E</t>
  </si>
  <si>
    <t>Rushibha kitchen</t>
  </si>
  <si>
    <t>17°28'55.1"N 78°22'48.2"E</t>
  </si>
  <si>
    <t xml:space="preserve">Ammamma Gari illu </t>
  </si>
  <si>
    <t xml:space="preserve">Masab Tank </t>
  </si>
  <si>
    <t xml:space="preserve">Prasad </t>
  </si>
  <si>
    <t>Tier 2 lead Spoke to owner, asked to share details</t>
  </si>
  <si>
    <t>17°24'10.5"N 78°27'25.7"E</t>
  </si>
  <si>
    <t xml:space="preserve">makers of milkshake </t>
  </si>
  <si>
    <t xml:space="preserve">vinay </t>
  </si>
  <si>
    <t>Head office is in sherlingampally  We can go and talk directly</t>
  </si>
  <si>
    <t>17°23'55.2"N 78°27'34.5"E</t>
  </si>
  <si>
    <t xml:space="preserve">M.Sai kiran </t>
  </si>
  <si>
    <t>Onboarded Tier-2 Daily orders on Swiggy and zomato 100+</t>
  </si>
  <si>
    <t>17°30'24.0"N 78°19'06.8"E</t>
  </si>
  <si>
    <t>makhayad al arabi restaurant</t>
  </si>
  <si>
    <t xml:space="preserve">altaf </t>
  </si>
  <si>
    <t>Owner not available Cuisine : arabian Tier :2</t>
  </si>
  <si>
    <t>17°24'24.9"N 78°24'53.2"E</t>
  </si>
  <si>
    <t>Gummadi foods</t>
  </si>
  <si>
    <t>swaroopa she is busy meet her again in 2 hrs</t>
  </si>
  <si>
    <t>17°29'04.5"N 78°24'50.9"E</t>
  </si>
  <si>
    <t>Sree Sai foods</t>
  </si>
  <si>
    <t>17°29'04.4"N 78°24'50.8"E</t>
  </si>
  <si>
    <t>felfelah</t>
  </si>
  <si>
    <t>Mieekal shajji</t>
  </si>
  <si>
    <t>Owner not available today Tier 2 Cuisine arabian</t>
  </si>
  <si>
    <t>17°24'13.4"N 78°25'01.1"E</t>
  </si>
  <si>
    <t>Owner was not available for discussion I will follow up to schedule meeting</t>
  </si>
  <si>
    <t>17°29'58.0"N 78°19'02.5"E</t>
  </si>
  <si>
    <t>Pulao Kitchen.com</t>
  </si>
  <si>
    <t>Follow up after 2 days</t>
  </si>
  <si>
    <t>17°29'11.8"N 78°23'34.2"E</t>
  </si>
  <si>
    <t xml:space="preserve">Al Baik </t>
  </si>
  <si>
    <t xml:space="preserve">Rafeeq </t>
  </si>
  <si>
    <t>Spoke to younger brother &amp; told him about the business model, Fixed meeting with owner @ 5PM</t>
  </si>
  <si>
    <t>17°24'11.7"N 78°25'01.7"E</t>
  </si>
  <si>
    <t xml:space="preserve">Babu gari ruchulu </t>
  </si>
  <si>
    <t>New outlet, asked to share the details Will onboard day after tmr Said won’t sign today due to chandra grahanam</t>
  </si>
  <si>
    <t>https://maps.app.goo.gl/SsXMp4Ua3cFqU8QH7?g_st=ic</t>
  </si>
  <si>
    <t xml:space="preserve">Dostea </t>
  </si>
  <si>
    <t>Usha</t>
  </si>
  <si>
    <t>Onboarded Tier-2</t>
  </si>
  <si>
    <t xml:space="preserve">Udupi uphar </t>
  </si>
  <si>
    <t xml:space="preserve">shiva shanker </t>
  </si>
  <si>
    <t>Discussion done with the head,aked me to share proposal Shared the proposal on WhatsApp Tomorrow follow back</t>
  </si>
  <si>
    <r>
      <rPr>
        <color rgb="FF1155CC"/>
        <u/>
      </rPr>
      <t>Udipi Upahar Chandanagar - Google Maps</t>
    </r>
  </si>
  <si>
    <t>Chichas</t>
  </si>
  <si>
    <t>Merchant asked to reach out today after 1PM ! &amp; he isn’t available at outlet. Asked to get back next Tuesday @1PM</t>
  </si>
  <si>
    <t xml:space="preserve">Ustaad </t>
  </si>
  <si>
    <t>The owner will be available after  9 I have talked  with manager and explained</t>
  </si>
  <si>
    <t>17°24'11.8"N 78°27'35.7"E</t>
  </si>
  <si>
    <t>I have followed up him again He have 3 partners He will be talking to other partners and let us know</t>
  </si>
  <si>
    <t>17°24'11.5"N 78°27'35.9"E</t>
  </si>
  <si>
    <t xml:space="preserve">azebo </t>
  </si>
  <si>
    <t>Asked to call head office Head office number : 9000777275Cuisine  : arabian Tier 1</t>
  </si>
  <si>
    <t>17°24'13.1"N 78°27'35.2"E</t>
  </si>
  <si>
    <t xml:space="preserve">Sri Sai Raghavendra tiffins and meals </t>
  </si>
  <si>
    <t>Somnath</t>
  </si>
  <si>
    <t>Sri bakers</t>
  </si>
  <si>
    <t>Manager was not available for discussion I will follow up to schedule meeting 2 outlets</t>
  </si>
  <si>
    <t>17°30'22.9"N 78°19'05.5"E</t>
  </si>
  <si>
    <t xml:space="preserve"> ice station</t>
  </si>
  <si>
    <t xml:space="preserve">mehboob </t>
  </si>
  <si>
    <t>Owner will onboard on thursday Cuisine chinese Tier 3</t>
  </si>
  <si>
    <t>17°24'47.3"N 78°27'54.4"E</t>
  </si>
  <si>
    <t xml:space="preserve">Bikanerwala </t>
  </si>
  <si>
    <t>Kamal HO</t>
  </si>
  <si>
    <t>They are having 8 outlets across Hyd ! Kamal is the decision maker.</t>
  </si>
  <si>
    <t>17°24'47.0"N 78°27'56.5"E</t>
  </si>
  <si>
    <t xml:space="preserve">Mc cafe </t>
  </si>
  <si>
    <t>Marketing manager Total outlets -43</t>
  </si>
  <si>
    <t>17°24'45.3"N 78°27'54.9"E</t>
  </si>
  <si>
    <t xml:space="preserve"> go fresh </t>
  </si>
  <si>
    <t>ram babu</t>
  </si>
  <si>
    <t>Owner not available today asked to come on friday</t>
  </si>
  <si>
    <t>17°24'46.8"N 78°27'57.6"E</t>
  </si>
  <si>
    <t xml:space="preserve">Seoul soul </t>
  </si>
  <si>
    <t>spoke to manager, right they are having 2 outlets. They asked to share details over mail id :- Seoulsoul.in@gmail.com</t>
  </si>
  <si>
    <t>17°24'47.0"N 78°27'56.4"E</t>
  </si>
  <si>
    <t xml:space="preserve">Mr . Jimmy </t>
  </si>
  <si>
    <t>We can meet them and talk directly there in the head office</t>
  </si>
  <si>
    <t>17°24'44.4"N 78°27'54.7"E</t>
  </si>
  <si>
    <t>Pizza Hut</t>
  </si>
  <si>
    <t>Store manager Head office - Madhapur Total outlets - 27</t>
  </si>
  <si>
    <t>17°24'46.8"N 78°27'56.2"E</t>
  </si>
  <si>
    <t xml:space="preserve">KFC </t>
  </si>
  <si>
    <t>Total of -38 outlets We got the marketing manger number+919398596919</t>
  </si>
  <si>
    <t>17°24'46.7"N 78°27'56.1"E</t>
  </si>
  <si>
    <t xml:space="preserve">The Mamindla Restaurant </t>
  </si>
  <si>
    <t>Onboarded Aov : 200No of orders per day in zomato: 35</t>
  </si>
  <si>
    <t>MFC</t>
  </si>
  <si>
    <t>Total -3 Outlets -2 in hyd one in Nellore Head office is in - Kismatpur</t>
  </si>
  <si>
    <t>17°24'46.9"N 78°27'56.5"E</t>
  </si>
  <si>
    <t xml:space="preserve">shawarma zone </t>
  </si>
  <si>
    <t xml:space="preserve">aman </t>
  </si>
  <si>
    <t>Owner will discuss with brother and get back on thursday Cuisine arabian Tier 3</t>
  </si>
  <si>
    <t>17°24'46.7"N 78°27'57.8"E</t>
  </si>
  <si>
    <t xml:space="preserve">Momo street and waffles and more </t>
  </si>
  <si>
    <t>Lakidikapool</t>
  </si>
  <si>
    <t xml:space="preserve">Ankith Agarwal </t>
  </si>
  <si>
    <t xml:space="preserve">Athif (store manager ) Total outlets - 2 and 1 waffles Habits </t>
  </si>
  <si>
    <t>17°24'46.9"N 78°27'56.4"E</t>
  </si>
  <si>
    <t>Pista house</t>
  </si>
  <si>
    <t xml:space="preserve">Head office - Secunderabad Anil - we can meet him directly He will be talking care of these things </t>
  </si>
  <si>
    <t xml:space="preserve"> Cafe coffee day </t>
  </si>
  <si>
    <t xml:space="preserve">Sovrav </t>
  </si>
  <si>
    <t>We can reach him going to the head office</t>
  </si>
  <si>
    <t>17°24'47.1"N 78°27'56.3"E</t>
  </si>
  <si>
    <t>Hotel Sree Ram</t>
  </si>
  <si>
    <t xml:space="preserve">Chakravarti </t>
  </si>
  <si>
    <t>He said to meet tomorrow for further discussion</t>
  </si>
  <si>
    <t xml:space="preserve">Open heart restaurant </t>
  </si>
  <si>
    <t>Vikram</t>
  </si>
  <si>
    <t>Onboarded Tier3</t>
  </si>
  <si>
    <t xml:space="preserve"> Rajamundry vaari real rose milk </t>
  </si>
  <si>
    <r>
      <rPr>
        <color rgb="FF1155CC"/>
        <u/>
      </rPr>
      <t>Rajahmundry Vaari Real Rose Milk - Google Maps</t>
    </r>
  </si>
  <si>
    <t xml:space="preserve"> Gen z flavoria </t>
  </si>
  <si>
    <t>Onboarded Tier2</t>
  </si>
  <si>
    <t xml:space="preserve"> Iyengar bakery </t>
  </si>
  <si>
    <t>Owner was not available Didn't shared the POC details</t>
  </si>
  <si>
    <t>17°30'36.5"N 78°19'05.0"E</t>
  </si>
  <si>
    <t xml:space="preserve">Royal Kitchen </t>
  </si>
  <si>
    <t>Khairuddin khazi</t>
  </si>
  <si>
    <t>OnboardedTier 3</t>
  </si>
  <si>
    <t>The Ramaram cafe</t>
  </si>
  <si>
    <t>Had a discussion with Karthik he had another partner to discuss asking time</t>
  </si>
  <si>
    <t>onboarded Tier 3</t>
  </si>
  <si>
    <t>https://maps.app.goo.gl/cP2Df882bvi8bJut7?g_st=ic</t>
  </si>
  <si>
    <t>Persis cafe</t>
  </si>
  <si>
    <t>have different outlets in the city Not interested on online platforms Day after tmr one more follow up with the owner to convince</t>
  </si>
  <si>
    <t>17°26'28.4"N 78°26'54.1"E</t>
  </si>
  <si>
    <t>K.G.N</t>
  </si>
  <si>
    <t>md.kaif</t>
  </si>
  <si>
    <t>Onboarded Tier 2</t>
  </si>
  <si>
    <t xml:space="preserve"> Al saba Restaurant</t>
  </si>
  <si>
    <t>Followup Meet @11 am to 12Anyday</t>
  </si>
  <si>
    <t>Pulaos and Bagara</t>
  </si>
  <si>
    <t>3 outlets Follow up meeting on Thursday</t>
  </si>
  <si>
    <r>
      <rPr>
        <color rgb="FF1155CC"/>
        <u/>
      </rPr>
      <t>17.4417820, 78.4465340 to Pulao's &amp; Bagara - Google Maps</t>
    </r>
  </si>
  <si>
    <t>Sri Raghavendra bhavan</t>
  </si>
  <si>
    <t xml:space="preserve">kumar </t>
  </si>
  <si>
    <t>Meet in morning time after 9 am or after 8 pm</t>
  </si>
  <si>
    <t xml:space="preserve">Sri vengamamaba Deluxe mess </t>
  </si>
  <si>
    <t xml:space="preserve"> Jubilee Hills </t>
  </si>
  <si>
    <t xml:space="preserve">onboardedTier 2 </t>
  </si>
  <si>
    <r>
      <rPr>
        <color rgb="FF1155CC"/>
        <u/>
      </rPr>
      <t>Sri Vengamamba deluxe mess - Google Maps</t>
    </r>
  </si>
  <si>
    <r>
      <rPr>
        <color rgb="FF1155CC"/>
        <u/>
      </rPr>
      <t>Sri Vengamamba deluxe mess - Google Maps</t>
    </r>
  </si>
  <si>
    <r>
      <rPr>
        <color rgb="FF1155CC"/>
        <u/>
      </rPr>
      <t>Sri Vengamamba deluxe mess - Google Maps</t>
    </r>
  </si>
  <si>
    <t xml:space="preserve"> Red pepper</t>
  </si>
  <si>
    <t>Call after 3 days</t>
  </si>
  <si>
    <t>Toops</t>
  </si>
  <si>
    <t xml:space="preserve">I have talked to the owner Tomorrow we can go with onboarding </t>
  </si>
  <si>
    <t>17°26'10.2"N 78°24'01.3"E</t>
  </si>
  <si>
    <t>The hotel in the wall</t>
  </si>
  <si>
    <t>I have talked with the store manager there I have arranged the meeting with owner tomorrow after 2 pm</t>
  </si>
  <si>
    <r>
      <rPr>
        <color rgb="FF1155CC"/>
        <u/>
      </rPr>
      <t>The Hole In The Wall Cafe - Google Maps</t>
    </r>
  </si>
  <si>
    <t xml:space="preserve">Victoria Restaurant </t>
  </si>
  <si>
    <t>Mohd Moin</t>
  </si>
  <si>
    <t>Call and come anytime After 8</t>
  </si>
  <si>
    <t>17°28'02.3"N 78°25'45.4"E</t>
  </si>
  <si>
    <t>Abhiruchi Food court</t>
  </si>
  <si>
    <t xml:space="preserve">Anitha </t>
  </si>
  <si>
    <t>Meet after 8pm</t>
  </si>
  <si>
    <t>17°28'01.1"N 78°25'45.5"E</t>
  </si>
  <si>
    <t xml:space="preserve">Hyderabad host </t>
  </si>
  <si>
    <t>Hussian</t>
  </si>
  <si>
    <t>Talked with the manager need to follow up</t>
  </si>
  <si>
    <t>17°26'29.9"N 78°23'27.0"E</t>
  </si>
  <si>
    <t>Sharma foods</t>
  </si>
  <si>
    <t xml:space="preserve"> Rama khan</t>
  </si>
  <si>
    <t>17°26'28.1"N 78°23'29.2"E</t>
  </si>
  <si>
    <t xml:space="preserve">Zucifera </t>
  </si>
  <si>
    <t>S R nagar</t>
  </si>
  <si>
    <t>Onboarded  22++ Tier 3</t>
  </si>
  <si>
    <t>Cafe Melli And Bakery</t>
  </si>
  <si>
    <t>Have to meet again now he is busy</t>
  </si>
  <si>
    <t>17°27'17.8"N 78°26'03.4"E</t>
  </si>
  <si>
    <t>RK biryani</t>
  </si>
  <si>
    <t xml:space="preserve">Langar Houz </t>
  </si>
  <si>
    <t>shake it up</t>
  </si>
  <si>
    <t>Sumeet Foods</t>
  </si>
  <si>
    <t>Sumeet</t>
  </si>
  <si>
    <t>Owner not available, he will be available after 9PM</t>
  </si>
  <si>
    <t>https://maps.app.goo.gl/gRgAKdYqJX9PRVGk8</t>
  </si>
  <si>
    <t>Scandy</t>
  </si>
  <si>
    <t>Pavan kalyan</t>
  </si>
  <si>
    <t>Total 10 outlets They are in Swiggy We can contact to the head office And talk with them 94916 69116 Pavan Kalyan owner of store Madhapur7032226551 Sumath Master franchise and devlopement team head</t>
  </si>
  <si>
    <t>17°26'41.2"N 78°23'32.2"E</t>
  </si>
  <si>
    <t xml:space="preserve">Madhapur Bawarchi </t>
  </si>
  <si>
    <t>Onboarded Tier 1 Cuisine multi cuisine  Aov 350  Avg order per day 70  In zomato 122k+ ratings in swigy 50k ratings</t>
  </si>
  <si>
    <t>https://maps.app.goo.gl/KMm16naoPYSM9WCV6</t>
  </si>
  <si>
    <t>shangai fast foods</t>
  </si>
  <si>
    <t>Sri ram</t>
  </si>
  <si>
    <t>Owner isn’t available , he will be available after 10PM</t>
  </si>
  <si>
    <t>https://maps.app.goo.gl/hXgcnnitynwMnroy9</t>
  </si>
  <si>
    <t>Kokko Roko</t>
  </si>
  <si>
    <t>Kiran</t>
  </si>
  <si>
    <t>Owners not available David ,Sarvesh Will meet Directly</t>
  </si>
  <si>
    <t>https://maps.app.goo.gl/YzsbZ6NbDBK2YrMc6</t>
  </si>
  <si>
    <t>We got the main owner number and we scheduled a meeting on thursday</t>
  </si>
  <si>
    <t>https://maps.app.goo.gl/BCZcGSRXBw65e5aMA?g_st=iw</t>
  </si>
  <si>
    <t>hill star</t>
  </si>
  <si>
    <t>We spoke with the  owner's brother He is saying that as if now we are okay with zomato and swiggy He said he will update on friday for the meet</t>
  </si>
  <si>
    <t>https://maps.app.goo.gl/GvAV3FXgpnof16CY9</t>
  </si>
  <si>
    <t>narshima</t>
  </si>
  <si>
    <t>Onboarded Tier 1 Aov 350 zomato 11.7k+Rating</t>
  </si>
  <si>
    <t>https://maps.app.goo.gl/8WL28aMavMBGkY9B9?g_st=aw</t>
  </si>
  <si>
    <t>Rayalaseema spicy pot biryani</t>
  </si>
  <si>
    <t>Onboarded Tier 3 Aov 350 zomato 11.7k+Rating</t>
  </si>
  <si>
    <t xml:space="preserve"> prime deccan restaurant </t>
  </si>
  <si>
    <t xml:space="preserve">mosin </t>
  </si>
  <si>
    <t>Cuisine multicuisine Owner asked to come by 7pm evening</t>
  </si>
  <si>
    <t>17°27'03.3"N 78°25'22.2"E</t>
  </si>
  <si>
    <t xml:space="preserve">Imperial Restaurant </t>
  </si>
  <si>
    <t>Ashfaq</t>
  </si>
  <si>
    <t xml:space="preserve">They going with 14 % with Swiggy and Zomato I discussed everything with manager  he told i will discuss with md and let you know 13 outlets 
</t>
  </si>
  <si>
    <t>17°28'33.2"N 78°21'47.2"E</t>
  </si>
  <si>
    <t xml:space="preserve">A1Hotel </t>
  </si>
  <si>
    <t xml:space="preserve">Saddam Qureshi </t>
  </si>
  <si>
    <t>Owner isn’t available , asked to cb at 5PM</t>
  </si>
  <si>
    <t>17°28'41.7"N 78°21'43.6"E</t>
  </si>
  <si>
    <t>royal family dhaba</t>
  </si>
  <si>
    <t xml:space="preserve">islam </t>
  </si>
  <si>
    <t>Will onboard at 7 pm Cuisine multi cuisine</t>
  </si>
  <si>
    <t>17°28'02.7"N 78°23'53.5"E</t>
  </si>
  <si>
    <t xml:space="preserve">Souskis foodies club </t>
  </si>
  <si>
    <t xml:space="preserve">Anurag </t>
  </si>
  <si>
    <t>Will give an update by eod</t>
  </si>
  <si>
    <t>17°28'02.6"N 78°23'54.2"E</t>
  </si>
  <si>
    <t xml:space="preserve">Verendar </t>
  </si>
  <si>
    <t>I have talked with owner He said I will get up Follow up Balaji mithai bhandar</t>
  </si>
  <si>
    <t>17°30'03.3"N 78°20'07.0"E</t>
  </si>
  <si>
    <t>Udipis uphar</t>
  </si>
  <si>
    <t>Asked get back later ! Had a word with manager</t>
  </si>
  <si>
    <r>
      <rPr>
        <color rgb="FF1155CC"/>
        <u/>
      </rPr>
      <t>Udipis Upahar - Google Maps</t>
    </r>
  </si>
  <si>
    <t>Sri vijaya laxmi  food court</t>
  </si>
  <si>
    <t>17°28'11.5"N 78°21'56.4"E</t>
  </si>
  <si>
    <t>Palumuru Grill</t>
  </si>
  <si>
    <t xml:space="preserve">Mishra </t>
  </si>
  <si>
    <t>Manager isn’t available at outlet, had a word with cashier &amp; took managers number. Follow up required - call @5PM</t>
  </si>
  <si>
    <t>17°28'11.1"N 78°21'57.0"E</t>
  </si>
  <si>
    <t xml:space="preserve">Brown bear bakers </t>
  </si>
  <si>
    <t xml:space="preserve">Head office is in - Kukatpally Total outlets -48 </t>
  </si>
  <si>
    <t>17°29'58.4"N 78°20'07.7"E</t>
  </si>
  <si>
    <t xml:space="preserve"> B.Bichareddy Pure ghee sweets &amp; cookies </t>
  </si>
  <si>
    <t xml:space="preserve">Bharathi </t>
  </si>
  <si>
    <t>Total :- 14 outlets across HYD Owner will be available in chandanagar outlet at sharp 9:30AM tomorrow.</t>
  </si>
  <si>
    <t>17°28'15.3"N 78°21'53.4"E</t>
  </si>
  <si>
    <t xml:space="preserve">sai martha food court </t>
  </si>
  <si>
    <t>Owner  will talk to his brother and let us know by tommrow</t>
  </si>
  <si>
    <t>17°28'11.0"N 78°25'29.5"E</t>
  </si>
  <si>
    <t xml:space="preserve">Kohinoor restaurant </t>
  </si>
  <si>
    <t>17°28'13.3"N 78°25'37.7"E</t>
  </si>
  <si>
    <t xml:space="preserve">hotel the Nawabi zaiqa </t>
  </si>
  <si>
    <t>He is available after 4:30  I have talked on call he said to come after 4:30</t>
  </si>
  <si>
    <t>17°29'46.7"N 78°20'04.2"E</t>
  </si>
  <si>
    <t xml:space="preserve">shahbudin </t>
  </si>
  <si>
    <t>Owner will onboard after app launch</t>
  </si>
  <si>
    <t>17°28'12.3"N 78°25'37.8"E</t>
  </si>
  <si>
    <t xml:space="preserve">Lokesh </t>
  </si>
  <si>
    <t>Asked to visit after 1 week</t>
  </si>
  <si>
    <t>17°28'12.9"N 78°25'38.2"E</t>
  </si>
  <si>
    <t xml:space="preserve">Kolkata Food plaza </t>
  </si>
  <si>
    <t>Onboarded Tier 1   All docs collected Merchant told that he will collect soft copy of his menu from other platform &amp; share us.POS :- petpooja</t>
  </si>
  <si>
    <t xml:space="preserve">Bakers corner </t>
  </si>
  <si>
    <t>Owners will be available at balkampet branch Asked to meet them there</t>
  </si>
  <si>
    <t>17°26'35.7"N 78°26'27.4"E</t>
  </si>
  <si>
    <t xml:space="preserve">almas restaurant </t>
  </si>
  <si>
    <t>Asked to visit restaurant at 5 pm</t>
  </si>
  <si>
    <t>17°26'33.2"N 78°26'29.7"E</t>
  </si>
  <si>
    <t xml:space="preserve">Al faizan arabian mandi </t>
  </si>
  <si>
    <t xml:space="preserve">mazhar </t>
  </si>
  <si>
    <t>17°26'36.0"N 78°26'55.3"E</t>
  </si>
  <si>
    <t xml:space="preserve">Captain cook </t>
  </si>
  <si>
    <t>Owner not available  Will inform once he comes</t>
  </si>
  <si>
    <t>17°26'36.3"N 78°26'55.3"E</t>
  </si>
  <si>
    <t xml:space="preserve">santosh dhaba </t>
  </si>
  <si>
    <t>17°26'37.9"N 78°26'55.9"E</t>
  </si>
  <si>
    <t xml:space="preserve">Swarup </t>
  </si>
  <si>
    <t>After app launch he will onboard</t>
  </si>
  <si>
    <t>17°26'31.6"N 78°22'35.8"E</t>
  </si>
  <si>
    <t>Roti Stori</t>
  </si>
  <si>
    <t>total outlets: 4,  follow up required with HO</t>
  </si>
  <si>
    <t>17°26'31.5"N 78°22'36.5"E</t>
  </si>
  <si>
    <t>Amogha Cafe</t>
  </si>
  <si>
    <t>Bharath</t>
  </si>
  <si>
    <t>17°26'31.5"N 78°22'37.4"E</t>
  </si>
  <si>
    <t>The Cevirma</t>
  </si>
  <si>
    <t>Navin</t>
  </si>
  <si>
    <t>Spoke to owner &amp; explained everything, sending details through WhatsApp. Follow required for onboarding</t>
  </si>
  <si>
    <t>17°26'31.2"N 78°22'37.4"E</t>
  </si>
  <si>
    <t>Tibb’s frankie</t>
  </si>
  <si>
    <t>Owner not available they are not ready to give number</t>
  </si>
  <si>
    <t>17°26'31.6"N 78°22'37.5"E</t>
  </si>
  <si>
    <t>krishna udipi Park</t>
  </si>
  <si>
    <t>Owner  will be available   on monday as he is out of station</t>
  </si>
  <si>
    <t>17°26'13.2"N 78°25'41.4"E</t>
  </si>
  <si>
    <t>Sri Nandhini Food and beverages</t>
  </si>
  <si>
    <t xml:space="preserve"> sanjay </t>
  </si>
  <si>
    <t>Onboarded   Tier 3   AOV 250</t>
  </si>
  <si>
    <t xml:space="preserve">Madhu Restaurant </t>
  </si>
  <si>
    <t>17°26'14.4"N 78°26'54.1"E</t>
  </si>
  <si>
    <t xml:space="preserve">Ahaa kitchen </t>
  </si>
  <si>
    <t>Asked to visit after 7</t>
  </si>
  <si>
    <t>17°26'15.7"N 78°26'53.9"E</t>
  </si>
  <si>
    <t xml:space="preserve"> Anandobhrahma</t>
  </si>
  <si>
    <t>17°26'16.2"N 78°26'53.2"E</t>
  </si>
  <si>
    <t>Exotica Slice and Sauce Private Limited</t>
  </si>
  <si>
    <t xml:space="preserve"> onboarded  Tier 3    22++  Recently added in swiggy and zomato </t>
  </si>
  <si>
    <t>Sri Lakshmi's Kitchen</t>
  </si>
  <si>
    <t>Kumar</t>
  </si>
  <si>
    <t>Onboarded  Tier 2  Newly Opened outlet No Swiggy no zomato</t>
  </si>
  <si>
    <t xml:space="preserve">CVS sripada food court </t>
  </si>
  <si>
    <t>Will confirm tmr</t>
  </si>
  <si>
    <t>17°26'33.2"N 78°26'38.7"E</t>
  </si>
  <si>
    <t>Biryani Patnam</t>
  </si>
  <si>
    <t xml:space="preserve"> Avinash </t>
  </si>
  <si>
    <t>Spoke to owner on call &amp; explained details &amp; visited Poc as well to explain the structure. Follow up required after a while.Positive lead</t>
  </si>
  <si>
    <t>17°30'06.1"N 78°23'46.2"E</t>
  </si>
  <si>
    <t>Saleem</t>
  </si>
  <si>
    <t xml:space="preserve">RK foods </t>
  </si>
  <si>
    <t xml:space="preserve">Kumar </t>
  </si>
  <si>
    <t>Onboarded  Tier 3   New outlet</t>
  </si>
  <si>
    <t>17°29'04.1"N 78°22'48.8"E</t>
  </si>
  <si>
    <t xml:space="preserve">Karthikeya Jain dosas </t>
  </si>
  <si>
    <t>Sherligampally</t>
  </si>
  <si>
    <t xml:space="preserve">Onboarded   Tier -2 </t>
  </si>
  <si>
    <t xml:space="preserve">Hotel Nawabi veg curries </t>
  </si>
  <si>
    <t>The shawarma</t>
  </si>
  <si>
    <t>Onboarded   Tier - 1</t>
  </si>
  <si>
    <t xml:space="preserve">Hyderabadi chicken dum biryani adda </t>
  </si>
  <si>
    <t>The parothas</t>
  </si>
  <si>
    <t xml:space="preserve">The hotel Nawabi zaiqa beverages </t>
  </si>
  <si>
    <t>Onboarded   Tier - 3</t>
  </si>
  <si>
    <t xml:space="preserve">Ugadhi Cafe </t>
  </si>
  <si>
    <t xml:space="preserve">Pavan Kalyan </t>
  </si>
  <si>
    <t>Spoke with manager &amp; explained the structure.</t>
  </si>
  <si>
    <t>17°30'27.1"N 78°23'45.4"E</t>
  </si>
  <si>
    <t xml:space="preserve"> IDV Kitchen Muntha masala</t>
  </si>
  <si>
    <t>Onboarded   Tier - 2</t>
  </si>
  <si>
    <t xml:space="preserve">Karthikeya chitti nethi idly </t>
  </si>
  <si>
    <t>Nawabi Chinese zaiqa</t>
  </si>
  <si>
    <t>The Nawabi pulkas</t>
  </si>
  <si>
    <t xml:space="preserve">Zaiqa Non veg curries </t>
  </si>
  <si>
    <t xml:space="preserve">The rice bowls </t>
  </si>
  <si>
    <t>Royal family dhaba</t>
  </si>
  <si>
    <t>Onboarded Tier -2</t>
  </si>
  <si>
    <t>17°28'02.8"N 78°23'53.5"E</t>
  </si>
  <si>
    <t>Royal family dhaba kabab</t>
  </si>
  <si>
    <t>Onboarded Tier - 2</t>
  </si>
  <si>
    <t xml:space="preserve">The shawarma </t>
  </si>
  <si>
    <t>Sherlingampally</t>
  </si>
  <si>
    <t>Onboarded Tier-1 and  22++</t>
  </si>
  <si>
    <t>The munchies momo</t>
  </si>
  <si>
    <t>sherligampally</t>
  </si>
  <si>
    <t>Bamboo chicken</t>
  </si>
  <si>
    <t>Biryani and more</t>
  </si>
  <si>
    <t>Onboarded Tier - 1</t>
  </si>
  <si>
    <t>Burger munchies</t>
  </si>
  <si>
    <t>Onboarded Tier - 3</t>
  </si>
  <si>
    <t>Pot biryani</t>
  </si>
  <si>
    <t xml:space="preserve">Pragatee kitchen </t>
  </si>
  <si>
    <t>Onboarded Tier 3 POS :- ordermatic New Res ( 3 months old into online deliveries )</t>
  </si>
  <si>
    <t>17°31'07.2"N 78°23'43.2"E</t>
  </si>
  <si>
    <t xml:space="preserve">Sha Sha Shawarma </t>
  </si>
  <si>
    <t>Dileep Kumar/Sk Abdul Kalam</t>
  </si>
  <si>
    <t>17°31'09.4"N 78°23'44.0"E</t>
  </si>
  <si>
    <t>kphb</t>
  </si>
  <si>
    <t>Onboarded Tier -1 Aov 400 Online orders daily (150+) Owner agreed our proposal and onboarded main outlet after 1 month analytics and reviews they will onboard remaining 13 outlets</t>
  </si>
  <si>
    <t>The hazel nut co</t>
  </si>
  <si>
    <t xml:space="preserve">Onboarded Tier 3 New outlet ! Not listed in Swiggy &amp; Zomato ! </t>
  </si>
  <si>
    <t>shadruchulu</t>
  </si>
  <si>
    <t>As of now not going with any platforms will see later</t>
  </si>
  <si>
    <t>17°28'13.2"N 78°25'06.3"E</t>
  </si>
  <si>
    <t xml:space="preserve">The one and only tasty </t>
  </si>
  <si>
    <t xml:space="preserve">Vicky </t>
  </si>
  <si>
    <t xml:space="preserve">Need to discuss with his brother </t>
  </si>
  <si>
    <t>17°29'51.5"N 78°21'42.3"E</t>
  </si>
  <si>
    <t xml:space="preserve">Kings bakers </t>
  </si>
  <si>
    <t>Owner will be available day after</t>
  </si>
  <si>
    <t>17°29'49.9"N 78°21'42.0"E</t>
  </si>
  <si>
    <t xml:space="preserve">dwaraka mai tiffins </t>
  </si>
  <si>
    <t xml:space="preserve">naga laxmi </t>
  </si>
  <si>
    <t>Onboarded  Tier 3  Aov 200 Charges 22++Cuisine : south indian</t>
  </si>
  <si>
    <t>17°28'12.6"N 78°25'07.6"E</t>
  </si>
  <si>
    <t xml:space="preserve">Alhamduillah hotel </t>
  </si>
  <si>
    <t>17°29'50.1"N 78°21'41.9"E</t>
  </si>
  <si>
    <t>Had a word with manager , owner will be available after 6PM FOLLOW UP REQUIRED</t>
  </si>
  <si>
    <t>17°28'42.7"N 78°25'09.5"E</t>
  </si>
  <si>
    <t xml:space="preserve">Royal hotel </t>
  </si>
  <si>
    <t>Amit khan</t>
  </si>
  <si>
    <t>Owner will be available after 5PM</t>
  </si>
  <si>
    <t>17°28'43.4"N 78°25'07.5"E</t>
  </si>
  <si>
    <t xml:space="preserve">Lucky multicusine </t>
  </si>
  <si>
    <t>Owner will be available at 4</t>
  </si>
  <si>
    <t>17°29'58.1"N 78°21'43.0"E</t>
  </si>
  <si>
    <t xml:space="preserve">Sip N Scoop </t>
  </si>
  <si>
    <t xml:space="preserve"> raja ram</t>
  </si>
  <si>
    <t>Onboarded Tier 3 Aov 250 23%</t>
  </si>
  <si>
    <t xml:space="preserve">Dakshina desapu ruchulu </t>
  </si>
  <si>
    <t xml:space="preserve">Rajashaker </t>
  </si>
  <si>
    <t>Outlets -2 Owner will be available tomorrow after 12 pm  I have talked to the manager as if now Aov - 400 above Daily orders - 30 +</t>
  </si>
  <si>
    <t>17°27'20.6"N 78°23'00.1"E</t>
  </si>
  <si>
    <t>Mr Fast food</t>
  </si>
  <si>
    <t>Charan Teja</t>
  </si>
  <si>
    <t>Onboarded tier 3 Aov 250 23%</t>
  </si>
  <si>
    <t>Ag food court</t>
  </si>
  <si>
    <t>Sajiya</t>
  </si>
  <si>
    <t>Follow up after 4 pm</t>
  </si>
  <si>
    <t>17°28'11.5"N 78°24'27.8"E</t>
  </si>
  <si>
    <t>Poriginti chapala pulsu</t>
  </si>
  <si>
    <t>17°28'11.7"N 78°24'26.1"E</t>
  </si>
  <si>
    <t>Spoke directly with owner ! Follow up after 2PM</t>
  </si>
  <si>
    <t>17°28'11.3"N 78°24'25.9"E</t>
  </si>
  <si>
    <t xml:space="preserve">Nikhil </t>
  </si>
  <si>
    <t>Manager num  Need to follow up Monday</t>
  </si>
  <si>
    <t>17°27'00.0"N 78°23'08.5"E</t>
  </si>
  <si>
    <t xml:space="preserve">The manager of minyu </t>
  </si>
  <si>
    <t xml:space="preserve">  Aov -600 above Daily order -15+  He is available after 2 we can follow up with him</t>
  </si>
  <si>
    <t>17°27'00.1"N 78°23'08.7"E</t>
  </si>
  <si>
    <t xml:space="preserve">rajamahendravaram pulav centre </t>
  </si>
  <si>
    <t>Follow up required at 4PM</t>
  </si>
  <si>
    <t>17°29'11.9"N 78°23'35.0"E</t>
  </si>
  <si>
    <t>Pulao kitchen.com</t>
  </si>
  <si>
    <t>Monday owner will be available after 4 pm</t>
  </si>
  <si>
    <t>17°29'12.3"N 78°23'34.7"E</t>
  </si>
  <si>
    <t xml:space="preserve">Mr cook </t>
  </si>
  <si>
    <t xml:space="preserve">1 outlets Aov-400 above  Daily order -100 above  I have talked everything on call with owner He said to come at 3:30 for meeting and he said I need to talk on commissions For now he have removed everything from Swiggy and Zomato </t>
  </si>
  <si>
    <t>17°26'54.0"N 78°23'09.4"E</t>
  </si>
  <si>
    <t>Hamara adda</t>
  </si>
  <si>
    <t xml:space="preserve">2 outlets Aov-400 above  Daily order -100 above  I have talked everything on call with owner He said to come at 3:30 for meeting and he said I need to talk on commissions For now he have removed everything from Swiggy and Zomato </t>
  </si>
  <si>
    <t>Mandilicious</t>
  </si>
  <si>
    <t>He need time to decide</t>
  </si>
  <si>
    <t>17°29'38.9"N 78°23'39.3"E</t>
  </si>
  <si>
    <t xml:space="preserve">Hotel valentine </t>
  </si>
  <si>
    <t xml:space="preserve">Onboarded  Tier 3  2 outlets </t>
  </si>
  <si>
    <t xml:space="preserve"> Naidu Gari Kunda Biryani </t>
  </si>
  <si>
    <t xml:space="preserve">Tier 1 lead - 6.5K ratings  AOV :- 450 Total outlets :- 4  Orders per day :- 60 in each platform  Spoke to owner , explained everything. Follow up required on Wednesday  </t>
  </si>
  <si>
    <t>17°29'38.0"N 78°23'39.1"E</t>
  </si>
  <si>
    <t xml:space="preserve">Babu Gari Ruchulu </t>
  </si>
  <si>
    <t>Come @7pm</t>
  </si>
  <si>
    <t>Rk brundavan food court</t>
  </si>
  <si>
    <t>Thann</t>
  </si>
  <si>
    <t>Follow up after 5 pm</t>
  </si>
  <si>
    <t>17°29'53.8"N 78°23'22.3"E</t>
  </si>
  <si>
    <t>Sr food court</t>
  </si>
  <si>
    <t>He is interested but He need time to think and decide</t>
  </si>
  <si>
    <t>17°29'49.3"N 78°23'50.7"E</t>
  </si>
  <si>
    <t>Sri tiffins meals</t>
  </si>
  <si>
    <t>He is opening a new outlet kamakshi cafe ,he is busy right now and he told me to follow up after 3 to 4 days</t>
  </si>
  <si>
    <t>17°29'50.9"N 78°23'50.9"E</t>
  </si>
  <si>
    <t xml:space="preserve">Pondy parrottas </t>
  </si>
  <si>
    <t>Manager not available have to follow up after 2 days</t>
  </si>
  <si>
    <t>17°29'18.2"N 78°23'37.4"E</t>
  </si>
  <si>
    <t xml:space="preserve">Sangamesh fast food </t>
  </si>
  <si>
    <t>17°29'17.2"N 78°23'38.6"E</t>
  </si>
  <si>
    <t>raheem pulav</t>
  </si>
  <si>
    <t>Tier 2  Aov 250  Owner will be available on monday as he is out of station</t>
  </si>
  <si>
    <t>17°29'17.5"N 78°23'38.2"E</t>
  </si>
  <si>
    <t>Lakshmi Prasanna Andhra  mess</t>
  </si>
  <si>
    <t>Bhaskar</t>
  </si>
  <si>
    <t>Intrested but it takes time to onboard</t>
  </si>
  <si>
    <t>17°29'18.2"N 78°23'37.3"E</t>
  </si>
  <si>
    <t>Cream town</t>
  </si>
  <si>
    <t>Vinay</t>
  </si>
  <si>
    <t xml:space="preserve"> 9505976437  9505976437(laxmi prasad)   </t>
  </si>
  <si>
    <t>17°29'52.9"N 78°23'46.6"E</t>
  </si>
  <si>
    <t>No name of the restarunt</t>
  </si>
  <si>
    <t>17°29'56.7"N 78°23'43.7"E</t>
  </si>
  <si>
    <t xml:space="preserve">mamus kitchen </t>
  </si>
  <si>
    <t>Will on board  at 4: 30</t>
  </si>
  <si>
    <t>17°29'16.3"N 78°23'39.1"E</t>
  </si>
  <si>
    <t>Godavari Food court</t>
  </si>
  <si>
    <t>seshu</t>
  </si>
  <si>
    <t>Meet on monday</t>
  </si>
  <si>
    <t>17°29'16.0"N 78°23'38.4"E</t>
  </si>
  <si>
    <t xml:space="preserve"> varahi foods </t>
  </si>
  <si>
    <t>naidu</t>
  </si>
  <si>
    <t>Will onboard on monday</t>
  </si>
  <si>
    <t>17°29'18.6"N 78°23'34.7"E</t>
  </si>
  <si>
    <t xml:space="preserve">Maa Bhojanam </t>
  </si>
  <si>
    <t>Will onboard by eod</t>
  </si>
  <si>
    <t>17°29'18.5"N 78°23'34.7"E</t>
  </si>
  <si>
    <t>Sri Balaji bakers</t>
  </si>
  <si>
    <t xml:space="preserve">Ramana Reddy </t>
  </si>
  <si>
    <t>Spoke to owner,shared details through WhatsApp as well</t>
  </si>
  <si>
    <t>17°29'55.4"N 78°23'43.5"E</t>
  </si>
  <si>
    <t xml:space="preserve">Vaikunta Foods </t>
  </si>
  <si>
    <t xml:space="preserve">Durga Prasad </t>
  </si>
  <si>
    <t>New outlet , owner not available , call back after 6PM</t>
  </si>
  <si>
    <t>17°29'05.4"N 78°22'40.1"E</t>
  </si>
  <si>
    <t xml:space="preserve">Sri Harsha deluxe mess </t>
  </si>
  <si>
    <t xml:space="preserve">Explained Everything clearly he said to meet on monday evening </t>
  </si>
  <si>
    <t>17°29'12.0"N 78°23'29.6"E</t>
  </si>
  <si>
    <t>Tier - 1 lead  Positive lead Follow up required</t>
  </si>
  <si>
    <t>17°29'26.6"N 78°23'59.7"E</t>
  </si>
  <si>
    <t xml:space="preserve">Madrasi military hotel </t>
  </si>
  <si>
    <t xml:space="preserve">Srinivas </t>
  </si>
  <si>
    <t>89786 26202</t>
  </si>
  <si>
    <t>intrested</t>
  </si>
  <si>
    <t>17°29'14.2"N 78°23'29.7"E</t>
  </si>
  <si>
    <t xml:space="preserve"> Bhagavathi fast foods</t>
  </si>
  <si>
    <t xml:space="preserve">narsimha rao </t>
  </si>
  <si>
    <t>Owner isn’t available at outlet,Need follow up</t>
  </si>
  <si>
    <t>17°29'18.3"N 78°23'50.2"E</t>
  </si>
  <si>
    <t>Suvi’s Bistro</t>
  </si>
  <si>
    <t>17°29'19.5"N 78°23'47.7"E</t>
  </si>
  <si>
    <t xml:space="preserve">one stop cafe </t>
  </si>
  <si>
    <t xml:space="preserve">Rajasekhar </t>
  </si>
  <si>
    <t>Owner isn’t available</t>
  </si>
  <si>
    <t xml:space="preserve">Pulavs by one kitchen </t>
  </si>
  <si>
    <t>Onboarded  Tier-3</t>
  </si>
  <si>
    <t xml:space="preserve">Mad over Maggies </t>
  </si>
  <si>
    <t xml:space="preserve">Onboarded  Tier-3 Not in swiggy and Zomato </t>
  </si>
  <si>
    <t>https://maps.app.goo.gl/wX4AUSkYBSAYc6uz7?g_st=ic</t>
  </si>
  <si>
    <t>Om Sri Hanuman Foods</t>
  </si>
  <si>
    <t>onboarded Tier 3 Aov 25 23%</t>
  </si>
  <si>
    <t>onboarded Tier 3 Aov 220 23%</t>
  </si>
  <si>
    <t>Balaji Kitchens</t>
  </si>
  <si>
    <t>onboarded Tier 3 Aov 270 23%</t>
  </si>
  <si>
    <t>Adbuthaha tiffins</t>
  </si>
  <si>
    <t>onboarded Tier 1 Aov 400 23% with long distance</t>
  </si>
  <si>
    <t>onboarded Tier 2 Aov 350 23% with long distance</t>
  </si>
  <si>
    <t xml:space="preserve">Aroma Authentic kitchens Aroma Biryanis and palauos </t>
  </si>
  <si>
    <t xml:space="preserve">onboarded Tier 2 Aov 300 22% </t>
  </si>
  <si>
    <t>Aroma Meals and Chinese</t>
  </si>
  <si>
    <t>onboarded Tier 2 and 22%</t>
  </si>
  <si>
    <t>Ayan foods</t>
  </si>
  <si>
    <t>Owner not available  Follow up on Monday</t>
  </si>
  <si>
    <t>17°29'05.4"N 78°22'52.1"E</t>
  </si>
  <si>
    <t xml:space="preserve">Sherligampally </t>
  </si>
  <si>
    <t>Onboarded  Tier-2</t>
  </si>
  <si>
    <t>Sens detox delight</t>
  </si>
  <si>
    <t>VHR’s tea and coffee</t>
  </si>
  <si>
    <t>Kbr pop corn chicken</t>
  </si>
  <si>
    <t>Onboarded  Tier-1</t>
  </si>
  <si>
    <t>Rk Chinese</t>
  </si>
  <si>
    <t xml:space="preserve">Lanagara house </t>
  </si>
  <si>
    <t>Mr cook</t>
  </si>
  <si>
    <t>Vinayaka tiffens</t>
  </si>
  <si>
    <t>Dfc (dodla fired chicken )-</t>
  </si>
  <si>
    <t>Kbr cripsy chicken</t>
  </si>
  <si>
    <t xml:space="preserve">Sens detox fit fuel break fast </t>
  </si>
  <si>
    <t xml:space="preserve">Souskis food club </t>
  </si>
  <si>
    <t>Onboarded  Tier-3 Esign</t>
  </si>
  <si>
    <t>The spicy Unions</t>
  </si>
  <si>
    <t>Onboarded Tier-3 Aov 300 and 22%+</t>
  </si>
  <si>
    <t>Babu Gari Biryani</t>
  </si>
  <si>
    <t>Ala konaseemalo Biryani</t>
  </si>
  <si>
    <t>Onboarded Tier-2 Aov 400 and 18%+</t>
  </si>
  <si>
    <t>Mammus chinese kitchen</t>
  </si>
  <si>
    <t>Onboarded Tier-2 Aov 200 and 22%+</t>
  </si>
  <si>
    <t>Babu garu ruchulu and curry point</t>
  </si>
  <si>
    <t>akshay</t>
  </si>
  <si>
    <t>Onboarded Tier-3 and Aov 200 and 22% Avg Oder per day 50</t>
  </si>
  <si>
    <t>mammu's kitchen</t>
  </si>
  <si>
    <t>Onboarded Tier-2 Aov 300 and 20%</t>
  </si>
  <si>
    <t>Ala konaseemaloo</t>
  </si>
  <si>
    <t xml:space="preserve">Arjun </t>
  </si>
  <si>
    <t>Onboarded Tier-2 Aov 400 and 18++ Avg order per day 60</t>
  </si>
  <si>
    <t>Prathista Food Court</t>
  </si>
  <si>
    <t>Right now he is busy ,Follow up required after some time</t>
  </si>
  <si>
    <t>17°27'21.0"N 78°25'30.2"E</t>
  </si>
  <si>
    <t xml:space="preserve">prime deccan restaurant </t>
  </si>
  <si>
    <t xml:space="preserve"> mosin </t>
  </si>
  <si>
    <t>Cuisine multicuisine Owner asked to come after ramzan.</t>
  </si>
  <si>
    <t xml:space="preserve">Hotel Yousufain Kalyani </t>
  </si>
  <si>
    <t>Syed Yousuf</t>
  </si>
  <si>
    <t>He is having two outlets, follow up required.</t>
  </si>
  <si>
    <t>17°26'55.8"N 78°25'20.6"E</t>
  </si>
  <si>
    <t xml:space="preserve"> satish </t>
  </si>
  <si>
    <t>Tier 2  Aov 250  Owner will discuss with brother and let us know</t>
  </si>
  <si>
    <t>Chowman</t>
  </si>
  <si>
    <t xml:space="preserve">Ankush </t>
  </si>
  <si>
    <t>City head operations :-    Name :- Ravindar  Number :- +91 92309 97403 Had a word with city head &amp; POC, heading to Madhapur location as city head is available in that outlet. Total outlets across hyd :- 3  Met city head &amp; explained structure !  Took sales head number :- Prithvish samanth- 9903704190 Follow up required with prithvish</t>
  </si>
  <si>
    <t>17°29'39.6"N 78°24'40.3"E</t>
  </si>
  <si>
    <t xml:space="preserve">Celebs Reloaded </t>
  </si>
  <si>
    <t xml:space="preserve">Darshan </t>
  </si>
  <si>
    <t xml:space="preserve">onboarded Tier 1  Aov 400   22++ with long distance fee </t>
  </si>
  <si>
    <t xml:space="preserve"> godavari food court </t>
  </si>
  <si>
    <t xml:space="preserve"> sheshu </t>
  </si>
  <si>
    <t>Onboarded  Tier 2   Aov 250  22++    Poc email id : seshuachanta003@gmail.com</t>
  </si>
  <si>
    <t>https://share.google/Qts6V2SVTLdOyy43P</t>
  </si>
  <si>
    <t xml:space="preserve">Qubz </t>
  </si>
  <si>
    <t xml:space="preserve">Harish </t>
  </si>
  <si>
    <t>Owner not available !</t>
  </si>
  <si>
    <t>17°29'57.3"N 78°23'46.9"E</t>
  </si>
  <si>
    <t>Kolkata Food Plaza</t>
  </si>
  <si>
    <t>Onboarded  Tier 1   20++    Zomato-4.1 rating Reviews-8.6k</t>
  </si>
  <si>
    <t>https://maps.app.goo.gl/jtBCVj1vJzXwjKFLA?g_st=ic</t>
  </si>
  <si>
    <t>Ganesh foods</t>
  </si>
  <si>
    <t>17°29'57.7"N 78°23'45.7"E</t>
  </si>
  <si>
    <t>Mathani juice Hub</t>
  </si>
  <si>
    <t>Onboarded  Tier 3   Aov 280  23++</t>
  </si>
  <si>
    <t xml:space="preserve"> Kukatpally</t>
  </si>
  <si>
    <t xml:space="preserve">Onboarded !!!  Tier 3  20++   New outlet into online deliveries !  Cuisine :- Snacks &amp; Desserts   </t>
  </si>
  <si>
    <t xml:space="preserve"> vasireddy swagraha foods </t>
  </si>
  <si>
    <t xml:space="preserve"> pavan </t>
  </si>
  <si>
    <t>Owner will  talk to his brother and get back tommrow</t>
  </si>
  <si>
    <t>17°30'08.1"N 78°23'46.5"E</t>
  </si>
  <si>
    <t>Rathod Ragu</t>
  </si>
  <si>
    <t>17°30'05.3"N 78°23'45.8"E</t>
  </si>
  <si>
    <t>slv banglore iyengar bakery</t>
  </si>
  <si>
    <t xml:space="preserve">shekar </t>
  </si>
  <si>
    <t>Owner not available today</t>
  </si>
  <si>
    <t>17°30'04.3"N 78°23'45.5"E</t>
  </si>
  <si>
    <t>Moksh food corner</t>
  </si>
  <si>
    <t>Murali reddy</t>
  </si>
  <si>
    <t>17°30'02.1"N 78°23'44.7"E</t>
  </si>
  <si>
    <t>Owner will be  available wednesday</t>
  </si>
  <si>
    <t xml:space="preserve"> Lickees </t>
  </si>
  <si>
    <t>Head office :- Franchise   Total outlets across hyd :- 65  Directly had a word with franchise owner, follow up required on upcoming Friday.</t>
  </si>
  <si>
    <t>17°29'20.2"N 78°23'56.4"E</t>
  </si>
  <si>
    <t>apsara badam milk</t>
  </si>
  <si>
    <t xml:space="preserve">Abbas Ali </t>
  </si>
  <si>
    <t>Owner isn’t available at outlet, follow up required</t>
  </si>
  <si>
    <t>17°29'17.9"N 78°23'38.2"E</t>
  </si>
  <si>
    <t>Owner  will onboard on friday</t>
  </si>
  <si>
    <t xml:space="preserve">Chutneys </t>
  </si>
  <si>
    <t>Currently in head office  Waiting for the person called Satish</t>
  </si>
  <si>
    <t>17°25'45.0"N 78°24'33.6"E</t>
  </si>
  <si>
    <t xml:space="preserve"> Eruvaka Tiffins </t>
  </si>
  <si>
    <t>Owner will be available after 1 PM - Follow up required.</t>
  </si>
  <si>
    <t>17°29'37.1"N 78°24'37.6"E</t>
  </si>
  <si>
    <t xml:space="preserve">Go rang kitchen </t>
  </si>
  <si>
    <t>Vinay kunchal</t>
  </si>
  <si>
    <t>We got direct owner details  Vinay kunchal Head office is in Begumpet pulla reddy building We can call him directly and take appointment I have called him he is available on Thursday to meet him directly</t>
  </si>
  <si>
    <t>Vada Pav station</t>
  </si>
  <si>
    <t>Follow up required - Tomorrow</t>
  </si>
  <si>
    <t>17°28'29.5"N 78°23'18.4"E</t>
  </si>
  <si>
    <t>Ram ki Bandi</t>
  </si>
  <si>
    <t>Jayaprakash</t>
  </si>
  <si>
    <t>Total outlets :- 5  Follow up required at 7PM</t>
  </si>
  <si>
    <t>17°26'54.3"N 78°23'01.1"E</t>
  </si>
  <si>
    <t xml:space="preserve">Shiva </t>
  </si>
  <si>
    <t>Owner is in abroad , follow ups also required after 15 days.</t>
  </si>
  <si>
    <t>17°26'55.1"N 78°23'00.9"E</t>
  </si>
  <si>
    <t xml:space="preserve">Sri Sai famous Udipi &amp; tiffins </t>
  </si>
  <si>
    <t xml:space="preserve">Ravi Kumar </t>
  </si>
  <si>
    <t>Asked to call back &amp; reach outlet on Thursday after 10 AM</t>
  </si>
  <si>
    <t>17°29'15.6"N 78°23'43.8"E</t>
  </si>
  <si>
    <t>Baburao gari biryani</t>
  </si>
  <si>
    <t>Owner not available , follow up required tomorrow</t>
  </si>
  <si>
    <t>https://www.google.com/maps/search/Baburao%20Gari%20Biryani/@17.498565673828125,78.410400390625,17z?hl=en</t>
  </si>
  <si>
    <t xml:space="preserve">Sri Venkateshwara hospitalites (Kondapur) Monday Restaurant </t>
  </si>
  <si>
    <t>Onboarded  Tier 1  agreed with 20+</t>
  </si>
  <si>
    <t>Sri Venkateshwara hospitalites (Kondapur) Kunafa Cravings</t>
  </si>
  <si>
    <t xml:space="preserve">Candella heights llp ( Gachibowli) Monday Restaurant </t>
  </si>
  <si>
    <t xml:space="preserve">Shriman Hotels llp (Madhapur) Monday Restaurant </t>
  </si>
  <si>
    <t>Muisyle elite hospitality management llp (Madhapur)</t>
  </si>
  <si>
    <t xml:space="preserve">The red box </t>
  </si>
  <si>
    <t xml:space="preserve">Nithin </t>
  </si>
  <si>
    <t>Owner will be available tomorrow after 6PM</t>
  </si>
  <si>
    <t>17°31'09.9"N 78°22'41.1"E</t>
  </si>
  <si>
    <t>Wine dine Restaurant</t>
  </si>
  <si>
    <t>Follow up 7PM Today</t>
  </si>
  <si>
    <t>17°30'22.8"N 78°23'11.3"E</t>
  </si>
  <si>
    <t xml:space="preserve">Eerabau pulav </t>
  </si>
  <si>
    <t xml:space="preserve">Rajendra Prasad </t>
  </si>
  <si>
    <t>Total :- 4outlets  Asked to meet on next Monday</t>
  </si>
  <si>
    <t>17°30'21.8"N 78°23'12.1"E</t>
  </si>
  <si>
    <t xml:space="preserve"> Godavari chepala Pulusu </t>
  </si>
  <si>
    <t xml:space="preserve">shiva </t>
  </si>
  <si>
    <t>Asked to meet on Friday !</t>
  </si>
  <si>
    <t>17°30'21.2"N 78°23'11.7"E</t>
  </si>
  <si>
    <t>Butter Bunnie</t>
  </si>
  <si>
    <t xml:space="preserve">Onboarded  Tier - 3   Aov 300 </t>
  </si>
  <si>
    <t xml:space="preserve">Srinidhi food zone </t>
  </si>
  <si>
    <t xml:space="preserve">Rahul </t>
  </si>
  <si>
    <t>Had a word with owner asked to share details over WhatsApp &amp; he will get back if required</t>
  </si>
  <si>
    <t>17°30'19.9"N 78°23'37.7"E</t>
  </si>
  <si>
    <t xml:space="preserve">konaseema vantillu </t>
  </si>
  <si>
    <t>Owner not available , need to follow up</t>
  </si>
  <si>
    <t>17°30'20.0"N 78°23'32.4"E</t>
  </si>
  <si>
    <t xml:space="preserve">Delizia Cafe </t>
  </si>
  <si>
    <t xml:space="preserve"> pavan</t>
  </si>
  <si>
    <t>Owner asked to get back on Thursday</t>
  </si>
  <si>
    <t>17°30'22.1"N 78°23'08.8"E</t>
  </si>
  <si>
    <t xml:space="preserve">Rainbow foods </t>
  </si>
  <si>
    <t>Onboarded Tier 3 ( main outlet onboarded ,they are having 4 more outlets &amp; they are expecting 4 more to inaugurate in hyd) 20++ ! Offline crowd is too good for two outlets , previous they are in S &amp; Z , as services aren’t top notch,they are out of it.</t>
  </si>
  <si>
    <t>Maska Chaska the fast food company</t>
  </si>
  <si>
    <t>Onboarded  Tier 2 ( main outlet onboarded ,they are having 4 more outlets &amp; they are expecting 4 more to inaugurate in hyd) 20++ ! Offline crowd is too good for two outlets , previous they are in S &amp; Z , as services aren’t top notch,they are out of it.</t>
  </si>
  <si>
    <t>Mista Eats</t>
  </si>
  <si>
    <t>Owner asked to meet on Thursday 12 PM</t>
  </si>
  <si>
    <t>17°28'55.2"N 78°23'38.0"E</t>
  </si>
  <si>
    <t>Panchabhakshya</t>
  </si>
  <si>
    <t>parasad(Manager) Owner was not available he will be available only in midnights</t>
  </si>
  <si>
    <t>17°28'53.1"N 78°23'37.8"E</t>
  </si>
  <si>
    <t>Masala Restaurant ( Bombay canteen )</t>
  </si>
  <si>
    <t xml:space="preserve"> Srinivas </t>
  </si>
  <si>
    <t>Owner is out of station ! Follow up required - scheduled meet for tmrw 1PM</t>
  </si>
  <si>
    <t>17°30'01.6"N 78°24'59.1"E</t>
  </si>
  <si>
    <t>Naivedya (taste of prasadam)</t>
  </si>
  <si>
    <t xml:space="preserve">Onboarded Tier -2 Zomato -1K +  Swiggy -1 k + </t>
  </si>
  <si>
    <t>17°26'57.8"N 78°23'31.2"E</t>
  </si>
  <si>
    <t>sri thirumal bakers</t>
  </si>
  <si>
    <t>Owner isn’t available, spoke to manager They refused to provide contact number</t>
  </si>
  <si>
    <r>
      <rPr>
        <color rgb="FF1155CC"/>
        <u/>
      </rPr>
      <t>Sri Thirumala Bakery - Google Maps</t>
    </r>
  </si>
  <si>
    <t xml:space="preserve">Sri Gokul tiffin center </t>
  </si>
  <si>
    <t>Asked to meet after 6PM</t>
  </si>
  <si>
    <t>17°30'44.2"N 78°26'50.4"E</t>
  </si>
  <si>
    <t xml:space="preserve">Zufra mandi </t>
  </si>
  <si>
    <t>Onboarded Tier 3</t>
  </si>
  <si>
    <t>17°26'57.7"N 78°23'31.6"E</t>
  </si>
  <si>
    <t xml:space="preserve">Vijwal grand restaurant </t>
  </si>
  <si>
    <t>Chandra shekar</t>
  </si>
  <si>
    <t>Had a discussion with both the restaurants.He is interested but after app launch they will onboard</t>
  </si>
  <si>
    <t>17°32'37.3"N 78°26'01.6"E</t>
  </si>
  <si>
    <t xml:space="preserve">Vaibhav restaurant </t>
  </si>
  <si>
    <t xml:space="preserve">Sai </t>
  </si>
  <si>
    <t>Asked to reach after app launch.</t>
  </si>
  <si>
    <t>17°32'30.2"N 78°26'02.3"E</t>
  </si>
  <si>
    <t>Sri ankapur bhojanam</t>
  </si>
  <si>
    <t>sunil</t>
  </si>
  <si>
    <t>17°32'30.7"N 78°26'02.0"E</t>
  </si>
  <si>
    <t>Ravulapalem Vantillu</t>
  </si>
  <si>
    <t>Sitharama Raju</t>
  </si>
  <si>
    <t>After app launch</t>
  </si>
  <si>
    <t>17°31'01.5"N 78°22'15.7"E</t>
  </si>
  <si>
    <t xml:space="preserve">lassi story </t>
  </si>
  <si>
    <t xml:space="preserve">Bhanu Prasad !! </t>
  </si>
  <si>
    <t>Ratings on z :- 100  AOV :- 200  Spoke to owner ,asked to get back on Friday</t>
  </si>
  <si>
    <t>17°30'55.3"N 78°22'18.5"E</t>
  </si>
  <si>
    <t>Sri vasista foods</t>
  </si>
  <si>
    <t>Bhavana</t>
  </si>
  <si>
    <t>Ratings:3.2k   Call back at 7 30 pm</t>
  </si>
  <si>
    <t>17°30'55.5"N 78°22'18.4"E</t>
  </si>
  <si>
    <t xml:space="preserve">Mr .Shawarma and ms.Shawarma </t>
  </si>
  <si>
    <t>Pulnadu ruchulu</t>
  </si>
  <si>
    <t>Vivekanand reddy-9666659779 Sridevi-9908013301 They need time to discuss and decide</t>
  </si>
  <si>
    <t>Spicy table</t>
  </si>
  <si>
    <t xml:space="preserve"> Onboarding on Monday 11 am</t>
  </si>
  <si>
    <t>17°30'55.3"N 78°22'19.5"E</t>
  </si>
  <si>
    <t>Zamindar's cafe</t>
  </si>
  <si>
    <t>Onboarded ! Tier 3 ! Ratings :- 900+ in Z  AOV :- 300</t>
  </si>
  <si>
    <t>17.503655,78.388429</t>
  </si>
  <si>
    <t xml:space="preserve">shah gouse </t>
  </si>
  <si>
    <t>javed</t>
  </si>
  <si>
    <t>Discussed everything about our app with the manager . he will discuss with the owner and arrange a meeting as in present situation the owner is busy in handling LPG  shortage</t>
  </si>
  <si>
    <t>https://maps.app.goo.gl/AJYH1SDDgRViDKHJ6</t>
  </si>
  <si>
    <t xml:space="preserve">sarvi restaurant </t>
  </si>
  <si>
    <t>danial</t>
  </si>
  <si>
    <t>Owner is very busy asked to come after ramzan</t>
  </si>
  <si>
    <t>Guntur Gongoore</t>
  </si>
  <si>
    <t xml:space="preserve">Ayyappa </t>
  </si>
  <si>
    <t>Asked to get back on Friday !</t>
  </si>
  <si>
    <t>17°26'60.0"N 78°23'30.2"E</t>
  </si>
  <si>
    <t xml:space="preserve">Anandhobhrama </t>
  </si>
  <si>
    <t xml:space="preserve">Meet the owner after 5 pm same owner for ahaar kitchen </t>
  </si>
  <si>
    <t>17°26'15.9"N 78°26'54.0"E</t>
  </si>
  <si>
    <t>Hari dosa</t>
  </si>
  <si>
    <t xml:space="preserve">After 7-8 pm the owner will be available </t>
  </si>
  <si>
    <t>Amogha pure veg</t>
  </si>
  <si>
    <t>Madhu restraunt</t>
  </si>
  <si>
    <t>straight rejection from owner that , He is not interested Habibo- the head office is in Jubilee Hills road no 36</t>
  </si>
  <si>
    <t xml:space="preserve">Harsha delux mess </t>
  </si>
  <si>
    <t>Rama Krishna</t>
  </si>
  <si>
    <t>17°26'19.4"N 78°26'34.5"E</t>
  </si>
  <si>
    <t>Amaravati tiffens</t>
  </si>
  <si>
    <t xml:space="preserve">Vinay </t>
  </si>
  <si>
    <t>17°26'24.0"N 78°26'32.4"E</t>
  </si>
  <si>
    <t xml:space="preserve">Burma Burma </t>
  </si>
  <si>
    <t>Kajal</t>
  </si>
  <si>
    <t>They are having multiple outlets across pan India ! One outlet in Hyderabad.Ms.Kajal is marketing head (Bangalore), proper pitch in required. Follow up.</t>
  </si>
  <si>
    <t>17°26'01.2"N 78°22'56.1"E</t>
  </si>
  <si>
    <t>The Telugu Medium</t>
  </si>
  <si>
    <t>Spoke to restaurant manager, they are having 3 outlets &amp; GM will be available tomorrow after 1:30 PM, haven’t provided the contact info.</t>
  </si>
  <si>
    <t>https://www.google.com/maps/search/Telugu%20Medium/@17.427873611450195,78.40385437011719,17z?hl=en</t>
  </si>
  <si>
    <t xml:space="preserve">Garuda cafe </t>
  </si>
  <si>
    <t>Onboarded Swiggy -1 k + ratings Aov -300 + Daily orders -100 to 150 orders</t>
  </si>
  <si>
    <t>17°26'16.3"N 78°26'25.3"E</t>
  </si>
  <si>
    <t xml:space="preserve">Gonguras by Garuda (new outlet) </t>
  </si>
  <si>
    <t>Punjabi Affair</t>
  </si>
  <si>
    <t>Chinmai</t>
  </si>
  <si>
    <t>Total outlets :- 3 Ms.Chinmai is the decision maker &amp; she will be available on Saturday. Follow up required</t>
  </si>
  <si>
    <t>https://www.google.com/maps/search/Punjabi%20Affair/@17.442533493041992,78.38795471191406,17z?hl=en</t>
  </si>
  <si>
    <t xml:space="preserve">Suto cafe </t>
  </si>
  <si>
    <t>Spoke to manager , owner will be available at outlet at 5PM</t>
  </si>
  <si>
    <t>17°26'32.4"N 78°23'15.3"E</t>
  </si>
  <si>
    <t xml:space="preserve"> smoky docky </t>
  </si>
  <si>
    <t>As owner not available at outlet , had a chat over call &amp; he asked to share proposal through WhatsApp. Proposal sent ☑️ Follow up required :- Monday Total outlets :-4 They are about to launch 5 more outlets in next 3-4 months soon</t>
  </si>
  <si>
    <t>17°26'29.4"N 78°23'19.1"E</t>
  </si>
  <si>
    <t xml:space="preserve">Chinese wok </t>
  </si>
  <si>
    <t xml:space="preserve">Ahmed </t>
  </si>
  <si>
    <t>17°26'32.1"N 78°23'16.6"E</t>
  </si>
  <si>
    <t xml:space="preserve">Veeraswamy </t>
  </si>
  <si>
    <t>Follow up at 8PM  SCHEDULED MEET WITH OWNER</t>
  </si>
  <si>
    <t>17°26'28.5"N 78°23'33.9"E</t>
  </si>
  <si>
    <t>Grand lucky restaurant</t>
  </si>
  <si>
    <t>Onaborded Tier -2</t>
  </si>
  <si>
    <t>Prathika fast food and biryani centre</t>
  </si>
  <si>
    <t xml:space="preserve">Lassi Story </t>
  </si>
  <si>
    <t xml:space="preserve">Miyapur </t>
  </si>
  <si>
    <t xml:space="preserve"> Lassi story </t>
  </si>
  <si>
    <t>Brand owner is available at Banjara Hills. Heading to Banjara Hills outlet.Visited - Spoke to CEO of the company !!! Explained about service &amp; fleet in crystal clear,Status :- Negotiation They are at 16++ at Zomato &amp; Swiggy.Positive lead ! Total outlets :- 70 and 10 belongs to brand owner &amp; 60 were given to franchise.Once the deal is done, he said that he will be providing all franchise leads into caps as well.</t>
  </si>
  <si>
    <t>17°29'33.4"N 78°24'07.6"E</t>
  </si>
  <si>
    <t>Bahar cafe</t>
  </si>
  <si>
    <t>Visited to Bahar cafe,the owner was not available at the moment rescheduled to eveng</t>
  </si>
  <si>
    <t>17°26'22.7"N 78°26'53.8"E</t>
  </si>
  <si>
    <t xml:space="preserve"> Cake factory </t>
  </si>
  <si>
    <t xml:space="preserve"> owner is not available at the moment follow back after 2days</t>
  </si>
  <si>
    <t>17°26'21.0"N 78°26'53.1"E</t>
  </si>
  <si>
    <t>Anthuridass</t>
  </si>
  <si>
    <t>Owner was busy  Meeting scheduled on Monday for discussion</t>
  </si>
  <si>
    <t>17°26'35.5"N 78°26'46.2"E</t>
  </si>
  <si>
    <t xml:space="preserve">Kadak house </t>
  </si>
  <si>
    <t xml:space="preserve">sameel </t>
  </si>
  <si>
    <t>They have 10 outlets Owner will be available after 4 We will visit in the evening</t>
  </si>
  <si>
    <t>17°25'24.8"N 78°25'27.8"E</t>
  </si>
  <si>
    <t xml:space="preserve">Bhojanam thayaru </t>
  </si>
  <si>
    <t>The marketing head sithish I fixed a meeting with him 12 to 12:30</t>
  </si>
  <si>
    <t>17°25'45.7"N 78°24'34.6"E</t>
  </si>
  <si>
    <t>Bakelore</t>
  </si>
  <si>
    <t>Came to meeting with bakelore 4 outlets</t>
  </si>
  <si>
    <t xml:space="preserve">maa bhojanam </t>
  </si>
  <si>
    <t>abilash</t>
  </si>
  <si>
    <t>Tier 3   Zomato rating 500  Merchant will be available   on friday</t>
  </si>
  <si>
    <t>17°29'18.8"N 78°23'33.7"E</t>
  </si>
  <si>
    <t>minsitry of coffee affairs</t>
  </si>
  <si>
    <t>chaitaniya</t>
  </si>
  <si>
    <t>Tier 3 Owner is not available as he is out of station asked to come back on friday (Followup)</t>
  </si>
  <si>
    <t>17°27'06.2"N 78°23'31.9"E</t>
  </si>
  <si>
    <t xml:space="preserve">the big cup theory </t>
  </si>
  <si>
    <t xml:space="preserve"> vara prasad </t>
  </si>
  <si>
    <t>Tier 2  Zomato 1.6k ratings  Ask  to visit again later as your currently facing LPG issue</t>
  </si>
  <si>
    <t>17°27'08.3"N 78°23'16.3"E</t>
  </si>
  <si>
    <t xml:space="preserve">BURN </t>
  </si>
  <si>
    <t>Ayaan Khan</t>
  </si>
  <si>
    <t>Owner isn’t available - follow up required. 2 outlets :- Madhapur &amp; Miyapur</t>
  </si>
  <si>
    <t>17°27'07.9"N 78°23'13.2"E</t>
  </si>
  <si>
    <t xml:space="preserve"> BURN</t>
  </si>
  <si>
    <t>Onboarded -  Tier 3 lead - they are into market for 9 months.</t>
  </si>
  <si>
    <t xml:space="preserve"> Onboarded  Tier 3 lead - they are into market for 9 months.</t>
  </si>
  <si>
    <t xml:space="preserve">Anandobrahma </t>
  </si>
  <si>
    <t xml:space="preserve">Onaborded   tier 1  Swiggy - 3.2 k +  Zomato -8.4 k + </t>
  </si>
  <si>
    <t xml:space="preserve">aaha kitchen </t>
  </si>
  <si>
    <t>Onaborded   tier 1  Swiggy - 3.2 k +  Zomato -8.4 k + Swiggy - 2.5+ k  Zomato - 3.7k ratings</t>
  </si>
  <si>
    <t xml:space="preserve"> hyderabad hosts</t>
  </si>
  <si>
    <t xml:space="preserve">pavan </t>
  </si>
  <si>
    <t>Tier 2  Owner will be available tommrow</t>
  </si>
  <si>
    <t>17°26'29.0"N 78°23'23.0"E</t>
  </si>
  <si>
    <t xml:space="preserve">circars burgars </t>
  </si>
  <si>
    <t>ajay mallareddy</t>
  </si>
  <si>
    <t>Tier 2 Zomato ratings 1.7k ratings Owner will be available tommrow after 3 pm</t>
  </si>
  <si>
    <t>17°26'30.8"N 78°24'06.2"E</t>
  </si>
  <si>
    <t xml:space="preserve">kebabs of Kumbhakk </t>
  </si>
  <si>
    <t>Manager will be available tomorrow after 2:30 PM  follow up required</t>
  </si>
  <si>
    <t>17°26'20.4"N 78°23'53.4"E</t>
  </si>
  <si>
    <t xml:space="preserve">varahi foods </t>
  </si>
  <si>
    <t>Tier 3 Owner is not followed up with the owner he asked to come tommrow</t>
  </si>
  <si>
    <t xml:space="preserve">zamindar restaurant </t>
  </si>
  <si>
    <t>Tier 2 Owner  is in banglore asked to call on monday so that he will be available in madhapur branch They own 2 more restaurants</t>
  </si>
  <si>
    <t>17°26'27.5"N 78°23'28.6"E</t>
  </si>
  <si>
    <t>ULAVAPADU BIRYANI AND PULAO'S</t>
  </si>
  <si>
    <t xml:space="preserve">Olden days Tiffens </t>
  </si>
  <si>
    <t xml:space="preserve">Onboarded Tier-3 </t>
  </si>
  <si>
    <t>Owner not available - follow up required</t>
  </si>
  <si>
    <t>17°26'32.7"N 78°23'29.7"E</t>
  </si>
  <si>
    <t xml:space="preserve">DeLizia Cafe </t>
  </si>
  <si>
    <t>17°30'22.3"N 78°23'09.3"E</t>
  </si>
  <si>
    <t xml:space="preserve">Vasista Sri laxmi </t>
  </si>
  <si>
    <t>Total outlets -3 Aov -550 Round off - He is getting 14%+ gst from other platforms He asked for 10++ We finalised for 12++ He need 3 years argreement He will onboard all the 3 outlets Saturday is the final meeting</t>
  </si>
  <si>
    <t>17°27'50.5"N 78°20'50.6"E</t>
  </si>
  <si>
    <t>nannayya</t>
  </si>
  <si>
    <t>anthony</t>
  </si>
  <si>
    <t>Tier 1 Zomato ratings 7.8k Explained every thing to the manager  he will discuss it with the owner and schedule the meeting on saturday</t>
  </si>
  <si>
    <t>17°26'18.7"N 78°23'39.6"E</t>
  </si>
  <si>
    <t xml:space="preserve">Suvi’S Bistro </t>
  </si>
  <si>
    <t>Onboarded Tier 3  ( E - Signed ) He is having two more outlets - after launch those will get done.</t>
  </si>
  <si>
    <t>Togo</t>
  </si>
  <si>
    <t xml:space="preserve"> onboarding will be done in evening</t>
  </si>
  <si>
    <t>Kadak house</t>
  </si>
  <si>
    <t xml:space="preserve"> meeting scheduled for Monday</t>
  </si>
  <si>
    <t>Kochin spice,southern spice and kafika</t>
  </si>
  <si>
    <t>will share the proposal today</t>
  </si>
  <si>
    <t xml:space="preserve">Kochin spice </t>
  </si>
  <si>
    <t xml:space="preserve">Jaffar </t>
  </si>
  <si>
    <t>We have talked with owner I explained everything he is getting 1200 per week Aov -300 above Rating -2.2+ from Swiggy Zomato - 2.5 k He is interested in onabording but need the best commission then other platforms</t>
  </si>
  <si>
    <t xml:space="preserve">Bojanam thalli </t>
  </si>
  <si>
    <t>I have talked with marketing manager They are in Swiggy with -9++  So they said send proposal accordingly we will plan the things</t>
  </si>
  <si>
    <t>https://share.google/eqDBmosz3VHSZ7rBw</t>
  </si>
  <si>
    <t xml:space="preserve">Golkanda chef </t>
  </si>
  <si>
    <t>TIPU</t>
  </si>
  <si>
    <t>Spoke with manager,he said he gonna arrange meeting on MONDAY</t>
  </si>
  <si>
    <t>17°26'55.9"N 78°21'22.7"E</t>
  </si>
  <si>
    <t xml:space="preserve">Curry man </t>
  </si>
  <si>
    <t>The owner will be available on Monday</t>
  </si>
  <si>
    <t>17°26'56.2"N 78°21'25.3"E</t>
  </si>
  <si>
    <t xml:space="preserve">Hulchal desserts and bakers </t>
  </si>
  <si>
    <t xml:space="preserve">Azal ammari </t>
  </si>
  <si>
    <t>Monday call back to schedule appointment</t>
  </si>
  <si>
    <t>17°26'56.1"N 78°21'25.4"E</t>
  </si>
  <si>
    <t xml:space="preserve"> sree   harsha delux mess</t>
  </si>
  <si>
    <t xml:space="preserve">suresh </t>
  </si>
  <si>
    <t>Onboarded Teir 1 Siwigy ratings 4.2k Zomato rating 4.1k Aov 350 Avg orders per day 70</t>
  </si>
  <si>
    <t>17°29'11.8"N 78°23'29.6"E</t>
  </si>
  <si>
    <t xml:space="preserve">Tadipathri biryani </t>
  </si>
  <si>
    <t>PoC was not available for discussion Call back on Monday for the feedback Revisited</t>
  </si>
  <si>
    <t>17°27'29.1"N 78°21'56.0"E</t>
  </si>
  <si>
    <t xml:space="preserve">Sorche </t>
  </si>
  <si>
    <t>Got the contact details Follow up on Monday as per schedule tym</t>
  </si>
  <si>
    <t>17°27'28.7"N 78°21'56.2"E</t>
  </si>
  <si>
    <t xml:space="preserve">Pandga </t>
  </si>
  <si>
    <t>Due to LPG issue he said to follow back after the issue has sorted</t>
  </si>
  <si>
    <t>17°27'29.0"N 78°21'56.1"E</t>
  </si>
  <si>
    <t xml:space="preserve">Dine in china </t>
  </si>
  <si>
    <t>As per the talk with manager He said the owner will be available on Tuesdays So follow up on Tuesday</t>
  </si>
  <si>
    <t>17°27'28.8"N 78°21'56.6"E</t>
  </si>
  <si>
    <t>Rajamahendravaram Palavu Center</t>
  </si>
  <si>
    <t xml:space="preserve">venkatesh </t>
  </si>
  <si>
    <t>Tier 2 Zomato ratings 2.2k Will onboard  after the app launch</t>
  </si>
  <si>
    <t>hotel vishnu sree</t>
  </si>
  <si>
    <t>Tier 1 Zomato rating 5.7k+Owner not available asked to come on monday</t>
  </si>
  <si>
    <t>17°29'00.6"N 78°23'30.2"E</t>
  </si>
  <si>
    <t xml:space="preserve">angaara restaurant </t>
  </si>
  <si>
    <t>md younus</t>
  </si>
  <si>
    <t>17°29'49.1"N 78°21'38.2"E</t>
  </si>
  <si>
    <t>COUNTA of Region</t>
  </si>
  <si>
    <t>Hitech-City</t>
  </si>
  <si>
    <t>masab tank</t>
  </si>
  <si>
    <t>nanakramguda</t>
  </si>
  <si>
    <t>Sherilingampally</t>
  </si>
  <si>
    <t>tolichowki</t>
  </si>
  <si>
    <t>Grand Total</t>
  </si>
  <si>
    <t>COUNTA of Date</t>
  </si>
  <si>
    <t>Location</t>
  </si>
  <si>
    <t>Onboarding Done</t>
  </si>
  <si>
    <t>locality</t>
  </si>
  <si>
    <t>Mehipatnam Zone 1</t>
  </si>
  <si>
    <t xml:space="preserve">Secundrabad </t>
  </si>
  <si>
    <t>Secundrabad</t>
  </si>
  <si>
    <t>Jubilee Hills Zone 2</t>
  </si>
  <si>
    <t>secundrabad</t>
  </si>
  <si>
    <t>Shaikpet</t>
  </si>
  <si>
    <t xml:space="preserve">khairathabad </t>
  </si>
  <si>
    <t>Raidurg Zone 3</t>
  </si>
  <si>
    <t>HI-Tech Zone 4</t>
  </si>
  <si>
    <t>Kukatpally Zone 5</t>
  </si>
  <si>
    <t>Tappa</t>
  </si>
  <si>
    <t>Ameerpet Zone 6</t>
  </si>
  <si>
    <t>Borabonda</t>
  </si>
  <si>
    <t>seringampally</t>
  </si>
  <si>
    <t>COUNTA of Address</t>
  </si>
  <si>
    <t>H.no:2-106/9/1,krisat colony,phase-4,gangaram chandanagar</t>
  </si>
  <si>
    <t>h.no:8-3-229/D175,ventatagiri,yousufguda,hyd,telangana</t>
  </si>
  <si>
    <t>H.NO P-13/B,Addagutta society,backside vishwanth theatre,kukatpally</t>
  </si>
  <si>
    <t>H.NO:1-90/7/B/126,P.no:53A,street-1,patrika nagar,madhapur</t>
  </si>
  <si>
    <t>H.NO:13-6-815/A/2,ground floor,langarhouz,hyderabad karwan circle no.13,hyd</t>
  </si>
  <si>
    <t>H.no:8-3-232/c/35/1,Venkatagiri,yousufguda,hyd</t>
  </si>
  <si>
    <t>H.no:32-556/18,sai nagar X road kkukatpally circle no.24,hyderabad</t>
  </si>
  <si>
    <t xml:space="preserve">H.no:4-229 and 230,plot no.227,sy no.78-93,Raja rajeshwara nagar,kondapur,selingampally circle </t>
  </si>
  <si>
    <t>H.NO:HIG 65 3rd phase near manjeera water tank kayaka parameshwari temple road,Kphb</t>
  </si>
  <si>
    <t>(pratap ward) d.no:1-140/3/7/h/p2,Huda techno enclave sector,madhapur,serlingampally circle no.20</t>
  </si>
  <si>
    <t>D.no:2-22-134/A/1,vijaya nagar colony,opposite,patel kunta huda park,kukatpally,hyd</t>
  </si>
  <si>
    <t>D.no:2-46/1,plot no 33/a megha hills cahndanagar circle,hyd,Telangana</t>
  </si>
  <si>
    <t>D.no:6-3-1192/1/G/8,white house,G4,kundanbagh,begumpet,hyd,telangana</t>
  </si>
  <si>
    <t>D.no:7-1-419/9/MS/1-C,opposite prime hospital,manjeera square,ameerpet</t>
  </si>
  <si>
    <t>D.no:7-1-645/A/1/E,Erragada,yousufguda circle no.19,hyderabad,telangana</t>
  </si>
  <si>
    <t>D.no:8-3-229/D/77 and 79,hylan colony,venkatagiri,jubliee hills circle no.19,hyd</t>
  </si>
  <si>
    <t>floor no:ground floor,building no.1,d.no:1-98/90c beside durgamma temple,ayyappa society road</t>
  </si>
  <si>
    <t>ground floor, H.no:7-14/32/2b/g-01,Rajendra nagar,R.R dist</t>
  </si>
  <si>
    <t xml:space="preserve">h.no 1-57, serlingampally, circle no 20, hyd, telangana </t>
  </si>
  <si>
    <t xml:space="preserve">h.no 1-90/c/8, inside sri krishna food court, hudo techno enclave, opp LP tower, vittalrao nagar, hitech city </t>
  </si>
  <si>
    <t>h.no 5-3/12, plot no 12, phase-I, sai tulasi enclave, vattinagullapally,rajendranagar</t>
  </si>
  <si>
    <t>H.no: 1-8-153/2, shop no-1 ground floor pg road, paradise, secunderbad</t>
  </si>
  <si>
    <t>H.no: 4/1 Mig, ground floor , kphb colony, kukatpally,hyd</t>
  </si>
  <si>
    <t>h.no: 6-13/MIG, bhagyalakshmi colony, tanasha nagar, manikonda, telangana, 500089</t>
  </si>
  <si>
    <t>h.no:- 6-2-967/b/a/6, fateh man zil, khairatabad circle no - 17, hyderabad, telangana - 500004</t>
  </si>
  <si>
    <t>h.no:1-26,survey no.61,ground floor and first floor road no.36 old road guttala begumpet,madhapur</t>
  </si>
  <si>
    <t>H.no:1-72/3/316/27,plot no.27 and 37,gachibowli,serlingampally circle no.20</t>
  </si>
  <si>
    <t>H.no:1-8-125/1/ g-2, shop no.2 , shop no.3 Aman arcade pg road, secundarabad, no. 129, hyderabad telangana</t>
  </si>
  <si>
    <t>H.no:1-8-155/A 1st floor, pg road, secunderabad,begumpet circle no.30 Hyd, telangana</t>
  </si>
  <si>
    <t>h.no:1-90,shop no.1,huda techno enclave,hitech city,madhapur,serlingampally circle no.20,hyd</t>
  </si>
  <si>
    <t>H.no:1-90/7/b/173,plot no.5,madhapur,selingampally circle no.20,hyd, telangana</t>
  </si>
  <si>
    <t>H.no:1-98/9/3/74/2,R L raidurg,jai hind enclave,seasons pool, madhapur,hyd</t>
  </si>
  <si>
    <t>H.NO:10-31-IX-H5,phase9,KPHB colony,kukatpally,moosapet circele no.23</t>
  </si>
  <si>
    <t>H.no:15-31-2L-1-5/275/3,lig-5/2,phase-3,kphb colony,kukatpally,hyd</t>
  </si>
  <si>
    <t>H.no:2-23-310/83C ground floor,Addagutta society,pragthi road kukatpally,hyd</t>
  </si>
  <si>
    <t>H.no:2-27/7,vinayak nagar,gachibowlli,hyd,telagana</t>
  </si>
  <si>
    <t>H.no:2-41/1 kothaguda,prashanth nagar colony,kondapur,serlingampally circle no .20,hyd</t>
  </si>
  <si>
    <t>h.no:2-41/5/A,3rd street,police colony,hanuman nagar,kondapur</t>
  </si>
  <si>
    <t>h.no:2-92/32,shop no.4,kondapur whitefields,selingampally circle no.20,hyd,telangana</t>
  </si>
  <si>
    <t>H.no:25-35/4,plot no land 2 KN complex,survey no.167,ramachandra reddy nagar</t>
  </si>
  <si>
    <t>h.no:3-3/55,tulja bhavani nilayam vinay aka nagar colony,banglaguda jagir,rajendra nagar</t>
  </si>
  <si>
    <t>H.no:325/2rt,sanjeev reddy nagar,umeshchandra statue</t>
  </si>
  <si>
    <t>h.no:33-a,aphb colony,indira nagar,gachibowli,serlingampally circle no-20,hyd</t>
  </si>
  <si>
    <t>H.no:37/4,near malaysian township,kphb colony,kukatpally circle no.24,hyd</t>
  </si>
  <si>
    <t>H.no:4-28 plot no.28,dwauak nagar colony,banglaguda jagir,rajendra nagar</t>
  </si>
  <si>
    <t xml:space="preserve">H.no:6-3-347/9/4/c, dwarakapuri colony,panjagutta,khairatabad circle, hyderabad,telangana </t>
  </si>
  <si>
    <t>H.no:6-3-902/2and3,first floor,raj bhavan road,somajiguda,hyd,telangana</t>
  </si>
  <si>
    <t>H.no:6-331192/1/g/3 block-1 ground floor white house,kundanbagh,begumpet</t>
  </si>
  <si>
    <t>H.no:7-1-304/2/64,BK guda,SR nagar,khairthabad circle no.17,hyd,telangana</t>
  </si>
  <si>
    <t>H.no:7-1-455/23/12,Ameerpet gurudwara road, telangana,</t>
  </si>
  <si>
    <t>h.no:7-1-621/269,S R nagar,khairthabad circle no.17,hyderabad,Telangana</t>
  </si>
  <si>
    <t>h.no:8-1-284/ou/152,ou colony,shaikpet,jubilee hills circle no.18,hyd,telangana</t>
  </si>
  <si>
    <t>H.no:8-2-248,shop no.G4,lumbini amrutha chambers,road no.3,banjara hills,hyd,telangana</t>
  </si>
  <si>
    <t>h.no:8-2-293/82/A/35,road number 5,jubliee hills,hyd,telangana</t>
  </si>
  <si>
    <t>h.no:8-228/b/b/b,rd no.3,banjara hills,jubliee hills circle no.18,hyderabad</t>
  </si>
  <si>
    <t>h.no:8-3-222/c/1/12,ground floor,madhura nagar,yousufnagar,hyd,telangana</t>
  </si>
  <si>
    <t>h.no:8-3-228/678/140,sri ram nagar,moti nagar,yousufguda circle no.19,hyd,telangana</t>
  </si>
  <si>
    <t>H.no:B/22,23,24,vengal rao nagar,khairtabad circle no.17,hyd.telangana</t>
  </si>
  <si>
    <t>H.no:KIGH 145,KPHB 7th phase,opposite to GHMC basketball ground,kukatpally,moosapet circle no.23</t>
  </si>
  <si>
    <t>H.no:LIG 145,KPHB 7th phase,road,qutubullapur,telangana</t>
  </si>
  <si>
    <t>H.NO.: 16-31-20/1/S2, Shop No 2 SVS Elegant Phase-6 , KPHB colony, kukatpally</t>
  </si>
  <si>
    <t>p.no 30 &amp;31, s y no 167, villa no 5, wonder cherish villas, masjid banda, kondapur, HYD,Telangana</t>
  </si>
  <si>
    <t>P.no:7/3/4,sector-03,huda technoE,madhapur,serlingampally circle no.20,hyderabad,telangana</t>
  </si>
  <si>
    <t>P.no.14/part,sy no.2,PJR enclave road,opposite gonguras restaurant,chandanagar</t>
  </si>
  <si>
    <t>p.no.4(a),1-89/8/4, madhapur ,hyd,telangana</t>
  </si>
  <si>
    <t>plot no.1,dargakhaliz khan,LV prasad eye instituation,h.no:14,,kismatpur,</t>
  </si>
  <si>
    <t>plot no.299,h.no:8-2-309/7/3,sy no.129/81,ward no,10,block no.3,road no.14,Banjara hills,hyd</t>
  </si>
  <si>
    <t>plot no.91/part,sy.no.11/19,11/20 and 11/21,khanamet,madhapur,chandanagar circle no.21,hyd</t>
  </si>
  <si>
    <t>shop no.1,D.no:8-1-28/ou/448,Dream vally rd,ou colony,shaikpet,hyd</t>
  </si>
  <si>
    <t>shop no.3,H.no:5-3/12,plot no.12,sai tulsai enclave,rattinagulapally,gandipet(19),ranga reddy</t>
  </si>
  <si>
    <t>shop no.3,h.no:6-94/17/1,MIG-101,Noorjahan complex,huda colony,chandanagar,hyd</t>
  </si>
  <si>
    <t>shutter no-1,first floor,h.no:2/17,satya towers,opposite,hanuman mandir,kothguda,hyd</t>
  </si>
  <si>
    <t>somajiguda, jumaaldinne laxmi,shop no 7, H.no 6-3-650</t>
  </si>
  <si>
    <t>suryarao gonthireddy,h.no:5-3-37/B,madinaguda,chandanagar circle no.21,hyd,telangana</t>
  </si>
  <si>
    <t>sy no.88/9,h.no:1-85/5/A,old hafeezpet,miyapur,hyd circle no.12,</t>
  </si>
  <si>
    <t>Two shutter no.1 and 2, in h.no:8-3-318/6/3/13/1/18,ali nagar,tella reddy guda,yousufguda circle no.19,hyd</t>
  </si>
  <si>
    <t>COUNTA of Restaurant Name</t>
  </si>
  <si>
    <t xml:space="preserve">Aroma Cafe </t>
  </si>
  <si>
    <t xml:space="preserve">New Chanti mess </t>
  </si>
  <si>
    <t>1000 Biriyanis</t>
  </si>
  <si>
    <t>hunan chinese cuisine</t>
  </si>
  <si>
    <t>Kaaram the Authntic telangana spice kitchne</t>
  </si>
  <si>
    <t>Karthikeya Jain Dosas</t>
  </si>
  <si>
    <t xml:space="preserve">Mahren's Kitchen </t>
  </si>
  <si>
    <t>MD kaleem</t>
  </si>
  <si>
    <t>Royal Family Dhaba</t>
  </si>
  <si>
    <t>Royal Family Dhaba (snacks)</t>
  </si>
  <si>
    <t>Second wife</t>
  </si>
  <si>
    <t xml:space="preserve">thulasi villas </t>
  </si>
  <si>
    <t>Columns</t>
  </si>
  <si>
    <t>Rows</t>
  </si>
  <si>
    <t>Values</t>
  </si>
  <si>
    <t>COUNTA of Restaurant name</t>
  </si>
  <si>
    <t xml:space="preserve"> Total</t>
  </si>
  <si>
    <t>jubliee hills zone 2 Total</t>
  </si>
  <si>
    <t>not mentioned Total</t>
  </si>
  <si>
    <t>not mentionrd Total</t>
  </si>
  <si>
    <t>Zone 1 Mehdipatnam Total</t>
  </si>
  <si>
    <t>Zone 2 Jubliee hils Total</t>
  </si>
  <si>
    <t>Zone 3 Raidurg Total</t>
  </si>
  <si>
    <t>Zone 4 Hi-tech City Total</t>
  </si>
  <si>
    <t>Zone 5 Kukatpally Total</t>
  </si>
  <si>
    <t>Zone 6 Ameerpet Total</t>
  </si>
  <si>
    <t>#N/A Total</t>
  </si>
  <si>
    <t>KAM</t>
  </si>
  <si>
    <t>RM/ KAM Name</t>
  </si>
  <si>
    <t>Onboarding done on 23rd</t>
  </si>
  <si>
    <t>Contract received</t>
  </si>
  <si>
    <t>Pending Contracts</t>
  </si>
  <si>
    <t>manisha.kumari@capsdelivery.com</t>
  </si>
  <si>
    <t>COUNTA of person went</t>
  </si>
  <si>
    <t xml:space="preserve">Name of Restaurant </t>
  </si>
  <si>
    <t>RM/ KAM</t>
  </si>
  <si>
    <t xml:space="preserve">Type of enity </t>
  </si>
  <si>
    <t>Authorized signatory</t>
  </si>
  <si>
    <t>Service Fee in %</t>
  </si>
  <si>
    <t>Long Distance Charges</t>
  </si>
  <si>
    <t>legal entity name</t>
  </si>
  <si>
    <t>legal entity address</t>
  </si>
  <si>
    <t>contact person</t>
  </si>
  <si>
    <t>phone number</t>
  </si>
  <si>
    <t>Email</t>
  </si>
  <si>
    <t xml:space="preserve">Benficiary name </t>
  </si>
  <si>
    <t xml:space="preserve">Bank name </t>
  </si>
  <si>
    <t>Account number</t>
  </si>
  <si>
    <t xml:space="preserve">IFSC code </t>
  </si>
  <si>
    <t>Account type</t>
  </si>
  <si>
    <t>LABOUR LICENCE</t>
  </si>
  <si>
    <t>Column 3</t>
  </si>
  <si>
    <t>Column 4</t>
  </si>
  <si>
    <t>Column 5</t>
  </si>
  <si>
    <t>Column 6</t>
  </si>
  <si>
    <t>Column 7</t>
  </si>
  <si>
    <t>Column 8</t>
  </si>
  <si>
    <t>Column 9</t>
  </si>
  <si>
    <t>Column 10</t>
  </si>
  <si>
    <t>&lt;17%</t>
  </si>
  <si>
    <t>Current account</t>
  </si>
  <si>
    <t>plot no 68,shop no 5,Ayyappa society main road,madhapur,serlingampally circle no20 hyd 500081</t>
  </si>
  <si>
    <t>6-1-964,shop no 2, khairthabad circel, no.17,500004</t>
  </si>
  <si>
    <t>khairthabad</t>
  </si>
  <si>
    <t>Saving account</t>
  </si>
  <si>
    <t xml:space="preserve">Asif nagar </t>
  </si>
  <si>
    <t>hunan chinese cisine</t>
  </si>
  <si>
    <t>jap  hind gandhi road near ayyappa society hyd telangana 500081</t>
  </si>
  <si>
    <t>Ground flooor, plot no 84 sy no.11 swamy apyyappa housing society khanamet,hyd,500081</t>
  </si>
  <si>
    <t>&lt;20%</t>
  </si>
  <si>
    <t xml:space="preserve">asif nagar </t>
  </si>
  <si>
    <t>H.no:1-90/7/b/173,plot no.5,madhapur,selingampally circle no.20,hyd, telangana,500081</t>
  </si>
  <si>
    <t>Bihari Dhaba</t>
  </si>
  <si>
    <t>chanakya</t>
  </si>
  <si>
    <t>H.no:2-23-310/83C ground floor,Addagutta society,pragthi road kukatpally,hyd,500085</t>
  </si>
  <si>
    <t>7-18-25/27/101,plot no.25,26,27,Alkapur,Ranga Reddy,Telangana,500089</t>
  </si>
  <si>
    <t>H.no:7-18-25/27/101, plot no.25,26,27,alkapur</t>
  </si>
  <si>
    <t>kavya deluxe apartment,lata enclave,madhuranagar,hyderabad,500073</t>
  </si>
  <si>
    <t>&lt;15%</t>
  </si>
  <si>
    <t>H.no:4-28 plot no.28,dwauak nagar colony,banglaguda jagir,rajendra nagar,500086</t>
  </si>
  <si>
    <t>plot no.82/c road no.3,shutter no.1,Addaguta society,kukatpally,500072,hyd</t>
  </si>
  <si>
    <t>Gandiprt no.75,76,77,dwauaka nagar main road,500086</t>
  </si>
  <si>
    <t>h.no:1-59/8/2, nandi co-operative society,miyapur,serlingampally ranga reddy district hyd 500049</t>
  </si>
  <si>
    <t>Oye Punjabi</t>
  </si>
  <si>
    <t>Parthiv</t>
  </si>
  <si>
    <t>Vibe Yard</t>
  </si>
  <si>
    <t xml:space="preserve">Mother's Kitchen </t>
  </si>
  <si>
    <t>Manasa</t>
  </si>
  <si>
    <t>Shahi Nawabi Kitchen</t>
  </si>
  <si>
    <t>Buli raju Kodi palav</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</si>
</sst>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d/mm/yyyy"/>
    <numFmt numFmtId="166" formatCode="hh:mm"/>
    <numFmt numFmtId="167" formatCode="d/mmm"/>
  </numFmts>
  <fonts count="50">
    <font>
      <sz val="10.0"/>
      <color rgb="FF000000"/>
      <name val="Arial"/>
      <scheme val="minor"/>
    </font>
    <font>
      <color theme="1"/>
      <name val="Arial"/>
      <scheme val="minor"/>
    </font>
    <font>
      <b/>
      <color rgb="FFFFFFFF"/>
      <name val="Roboto"/>
    </font>
    <font>
      <b/>
      <color theme="1"/>
      <name val="Arial"/>
      <scheme val="minor"/>
    </font>
    <font>
      <b/>
      <sz val="10.0"/>
      <color theme="1"/>
      <name val="Arial"/>
      <scheme val="minor"/>
    </font>
    <font>
      <color rgb="FF434343"/>
      <name val="Roboto"/>
    </font>
    <font>
      <color rgb="FF434343"/>
      <name val="Arial"/>
    </font>
    <font>
      <u/>
      <color rgb="FF434343"/>
      <name val="Arial"/>
      <scheme val="minor"/>
    </font>
    <font>
      <sz val="9.0"/>
      <color theme="1"/>
      <name val="Arial"/>
      <scheme val="minor"/>
    </font>
    <font>
      <color theme="1"/>
      <name val="Arial"/>
    </font>
    <font>
      <u/>
      <color rgb="FF434343"/>
      <name val="Roboto"/>
    </font>
    <font>
      <u/>
      <color rgb="FF434343"/>
      <name val="Roboto"/>
    </font>
    <font>
      <u/>
      <color rgb="FF0000FF"/>
      <name val="Roboto"/>
    </font>
    <font>
      <u/>
      <color rgb="FF434343"/>
      <name val="Roboto"/>
    </font>
    <font>
      <u/>
      <color rgb="FF0000FF"/>
      <name val="Roboto"/>
    </font>
    <font>
      <u/>
      <color theme="1"/>
      <name val="Arial"/>
      <scheme val="minor"/>
    </font>
    <font>
      <u/>
      <color rgb="FF0000FF"/>
      <name val="Roboto"/>
    </font>
    <font>
      <u/>
      <color theme="1"/>
      <name val="Arial"/>
      <scheme val="minor"/>
    </font>
    <font>
      <color rgb="FF1F1F1F"/>
      <name val="&quot;Google Sans&quot;"/>
    </font>
    <font>
      <u/>
      <color theme="1"/>
      <name val="Arial"/>
      <scheme val="minor"/>
    </font>
    <font>
      <u/>
      <color rgb="FF434343"/>
      <name val="Roboto"/>
    </font>
    <font>
      <u/>
      <color rgb="FF434343"/>
      <name val="Roboto"/>
    </font>
    <font>
      <color rgb="FF000000"/>
      <name val="Arial"/>
      <scheme val="minor"/>
    </font>
    <font>
      <u/>
      <color rgb="FF0000FF"/>
      <name val="Roboto"/>
    </font>
    <font>
      <u/>
      <color rgb="FF434343"/>
      <name val="Roboto"/>
    </font>
    <font>
      <u/>
      <color rgb="FF0000FF"/>
      <name val="Roboto"/>
    </font>
    <font>
      <u/>
      <color rgb="FF434343"/>
      <name val="Arial"/>
      <scheme val="minor"/>
    </font>
    <font>
      <sz val="10.0"/>
      <color rgb="FF474747"/>
      <name val="Arial"/>
      <scheme val="minor"/>
    </font>
    <font>
      <u/>
      <color rgb="FF434343"/>
      <name val="Roboto"/>
    </font>
    <font>
      <u/>
      <color rgb="FF0000FF"/>
      <name val="Roboto"/>
    </font>
    <font>
      <u/>
      <color theme="1"/>
      <name val="Arial"/>
      <scheme val="minor"/>
    </font>
    <font>
      <u/>
      <color theme="1"/>
      <name val="Arial"/>
    </font>
    <font>
      <u/>
      <color rgb="FF0000FF"/>
      <name val="Roboto"/>
    </font>
    <font>
      <u/>
      <color rgb="FF434343"/>
      <name val="Roboto"/>
    </font>
    <font>
      <u/>
      <color theme="1"/>
      <name val="Arial"/>
      <scheme val="minor"/>
    </font>
    <font>
      <sz val="10.0"/>
      <color rgb="FF0A0A0A"/>
      <name val="Arial"/>
      <scheme val="minor"/>
    </font>
    <font>
      <u/>
      <color rgb="FF0000FF"/>
      <name val="Roboto"/>
    </font>
    <font>
      <b/>
      <u/>
      <color rgb="FF434343"/>
      <name val="Roboto"/>
    </font>
    <font>
      <u/>
      <color theme="1"/>
      <name val="Arial"/>
      <scheme val="minor"/>
    </font>
    <font>
      <u/>
      <color rgb="FF434343"/>
      <name val="Roboto"/>
    </font>
    <font>
      <u/>
      <color rgb="FF434343"/>
      <name val="Roboto"/>
    </font>
    <font>
      <u/>
      <color rgb="FF434343"/>
      <name val="Roboto"/>
    </font>
    <font>
      <u/>
      <color rgb="FF0000FF"/>
      <name val="Roboto"/>
    </font>
    <font>
      <u/>
      <color rgb="FF1F1F1F"/>
      <name val="&quot;Google Sans&quot;"/>
    </font>
    <font>
      <sz val="11.0"/>
      <color rgb="FF1F1F1F"/>
      <name val="&quot;Google Sans&quot;"/>
    </font>
    <font/>
    <font>
      <b/>
      <color theme="1"/>
      <name val="Roboto"/>
    </font>
    <font>
      <b/>
      <color rgb="FFFFFFFF"/>
      <name val="Arial"/>
      <scheme val="minor"/>
    </font>
    <font>
      <u/>
      <color rgb="FF0000FF"/>
    </font>
    <font>
      <u/>
      <color rgb="FF0000FF"/>
    </font>
  </fonts>
  <fills count="2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00FF"/>
        <bgColor rgb="FF0000FF"/>
      </patternFill>
    </fill>
    <fill>
      <patternFill patternType="solid">
        <fgColor rgb="FF00FF00"/>
        <bgColor rgb="FF00FF00"/>
      </patternFill>
    </fill>
    <fill>
      <patternFill patternType="solid">
        <fgColor rgb="FF00FFFF"/>
        <bgColor rgb="FF00FFFF"/>
      </patternFill>
    </fill>
    <fill>
      <patternFill patternType="solid">
        <fgColor rgb="FFFFD966"/>
        <bgColor rgb="FFFFD966"/>
      </patternFill>
    </fill>
    <fill>
      <patternFill patternType="solid">
        <fgColor rgb="FFEAD1DC"/>
        <bgColor rgb="FFEAD1DC"/>
      </patternFill>
    </fill>
    <fill>
      <patternFill patternType="solid">
        <fgColor rgb="FFA2C4C9"/>
        <bgColor rgb="FFA2C4C9"/>
      </patternFill>
    </fill>
    <fill>
      <patternFill patternType="solid">
        <fgColor rgb="FFDD7E6B"/>
        <bgColor rgb="FFDD7E6B"/>
      </patternFill>
    </fill>
    <fill>
      <patternFill patternType="solid">
        <fgColor rgb="FF3C78D8"/>
        <bgColor rgb="FF3C78D8"/>
      </patternFill>
    </fill>
    <fill>
      <patternFill patternType="solid">
        <fgColor rgb="FFCFE2F3"/>
        <bgColor rgb="FFCFE2F3"/>
      </patternFill>
    </fill>
    <fill>
      <patternFill patternType="solid">
        <fgColor rgb="FFFFF2CC"/>
        <bgColor rgb="FFFFF2CC"/>
      </patternFill>
    </fill>
    <fill>
      <patternFill patternType="solid">
        <fgColor rgb="FFFFE599"/>
        <bgColor rgb="FFFFE599"/>
      </patternFill>
    </fill>
    <fill>
      <patternFill patternType="solid">
        <fgColor rgb="FFA64D79"/>
        <bgColor rgb="FFA64D79"/>
      </patternFill>
    </fill>
    <fill>
      <patternFill patternType="solid">
        <fgColor theme="0"/>
        <bgColor theme="0"/>
      </patternFill>
    </fill>
    <fill>
      <patternFill patternType="solid">
        <fgColor rgb="FFA4C2F4"/>
        <bgColor rgb="FFA4C2F4"/>
      </patternFill>
    </fill>
    <fill>
      <patternFill patternType="solid">
        <fgColor rgb="FFF6B26B"/>
        <bgColor rgb="FFF6B26B"/>
      </patternFill>
    </fill>
    <fill>
      <patternFill patternType="solid">
        <fgColor rgb="FFCDD9D4"/>
        <bgColor rgb="FFCDD9D4"/>
      </patternFill>
    </fill>
    <fill>
      <patternFill patternType="solid">
        <fgColor rgb="FF6C7687"/>
        <bgColor rgb="FF6C7687"/>
      </patternFill>
    </fill>
    <fill>
      <patternFill patternType="solid">
        <fgColor rgb="FFEBEFF1"/>
        <bgColor rgb="FFEBEFF1"/>
      </patternFill>
    </fill>
  </fills>
  <borders count="31">
    <border/>
    <border>
      <left style="thin">
        <color rgb="FF284E3F"/>
      </left>
      <right style="thin">
        <color rgb="FF356854"/>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284E3F"/>
      </left>
      <right style="thin">
        <color rgb="FF000000"/>
      </right>
      <top style="thin">
        <color rgb="FFFFFFFF"/>
      </top>
      <bottom style="thin">
        <color rgb="FFFFFFFF"/>
      </bottom>
    </border>
    <border>
      <left style="thin">
        <color rgb="FF284E3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border>
    <border>
      <left style="thin">
        <color rgb="FF284E3F"/>
      </left>
      <top style="thin">
        <color rgb="FFF6F8F9"/>
      </top>
      <bottom style="thin">
        <color rgb="FFF6F8F9"/>
      </bottom>
    </border>
    <border>
      <top style="thin">
        <color rgb="FFF6F8F9"/>
      </top>
      <bottom style="thin">
        <color rgb="FFF6F8F9"/>
      </bottom>
    </border>
    <border>
      <right style="thin">
        <color rgb="FFF6F8F9"/>
      </right>
      <top style="thin">
        <color rgb="FFF6F8F9"/>
      </top>
      <bottom style="thin">
        <color rgb="FFF6F8F9"/>
      </bottom>
    </border>
    <border>
      <right style="thin">
        <color rgb="FFFFFFFF"/>
      </right>
      <bottom style="thin">
        <color rgb="FFFFFFFF"/>
      </bottom>
    </border>
    <border>
      <left style="thin">
        <color rgb="FF284E3F"/>
      </left>
    </border>
    <border>
      <right style="thin">
        <color rgb="FF000000"/>
      </right>
    </border>
    <border>
      <left style="thin">
        <color rgb="FFFFFFFF"/>
      </left>
      <right style="thin">
        <color rgb="FFFFFFFF"/>
      </right>
      <top style="thin">
        <color rgb="FFF6F8F9"/>
      </top>
      <bottom style="thin">
        <color rgb="FFF6F8F9"/>
      </bottom>
    </border>
    <border>
      <right style="thin">
        <color rgb="FFFFFFF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284E3F"/>
      </left>
      <right style="thin">
        <color rgb="FFCDD9D4"/>
      </right>
      <top style="double">
        <color rgb="FF284E3F"/>
      </top>
      <bottom style="thin">
        <color rgb="FF284E3F"/>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0" fontId="2" numFmtId="49" xfId="0" applyAlignment="1" applyBorder="1" applyFont="1" applyNumberFormat="1">
      <alignment horizontal="center" readingOrder="0" shrinkToFit="0" vertical="center" wrapText="0"/>
    </xf>
    <xf borderId="0" fillId="0" fontId="3" numFmtId="49" xfId="0" applyAlignment="1" applyFont="1" applyNumberFormat="1">
      <alignment horizontal="center" readingOrder="0" shrinkToFit="0" vertical="center" wrapText="0"/>
    </xf>
    <xf borderId="0" fillId="0" fontId="4" numFmtId="49" xfId="0" applyAlignment="1" applyFont="1" applyNumberFormat="1">
      <alignment horizontal="center" readingOrder="0" shrinkToFit="0" vertical="center" wrapText="0"/>
    </xf>
    <xf borderId="0" fillId="0" fontId="1" numFmtId="49" xfId="0" applyAlignment="1" applyFont="1" applyNumberFormat="1">
      <alignment horizontal="left" readingOrder="0" shrinkToFit="0" vertical="center" wrapText="0"/>
    </xf>
    <xf borderId="2" fillId="0" fontId="5" numFmtId="164" xfId="0" applyAlignment="1" applyBorder="1" applyFont="1" applyNumberFormat="1">
      <alignment shrinkToFit="0" vertical="center" wrapText="0"/>
    </xf>
    <xf borderId="2" fillId="0" fontId="6" numFmtId="0" xfId="0" applyAlignment="1" applyBorder="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shrinkToFit="0" vertical="center" wrapText="0"/>
    </xf>
    <xf borderId="2" fillId="0" fontId="5" numFmtId="0" xfId="0" applyAlignment="1" applyBorder="1" applyFont="1">
      <alignment readingOrder="0" shrinkToFit="0" vertical="center" wrapText="0"/>
    </xf>
    <xf borderId="0" fillId="0" fontId="8" numFmtId="3" xfId="0" applyAlignment="1" applyFont="1" applyNumberFormat="1">
      <alignment readingOrder="0" shrinkToFit="0" vertical="center" wrapText="0"/>
    </xf>
    <xf borderId="3" fillId="2" fontId="5" numFmtId="0" xfId="0" applyAlignment="1" applyBorder="1" applyFill="1" applyFont="1">
      <alignment readingOrder="0" shrinkToFit="0" vertical="center" wrapText="0"/>
    </xf>
    <xf borderId="3" fillId="2" fontId="9" numFmtId="0" xfId="0" applyAlignment="1" applyBorder="1" applyFont="1">
      <alignment readingOrder="0" shrinkToFit="0" vertical="center" wrapText="0"/>
    </xf>
    <xf borderId="3" fillId="2" fontId="10" numFmtId="0" xfId="0" applyAlignment="1" applyBorder="1" applyFont="1">
      <alignment shrinkToFit="0" vertical="center" wrapText="0"/>
    </xf>
    <xf borderId="4" fillId="0" fontId="5" numFmtId="0" xfId="0" applyAlignment="1" applyBorder="1" applyFont="1">
      <alignment readingOrder="0" shrinkToFit="0" vertical="center" wrapText="0"/>
    </xf>
    <xf borderId="5" fillId="3" fontId="5" numFmtId="0" xfId="0" applyAlignment="1" applyBorder="1" applyFill="1" applyFont="1">
      <alignment shrinkToFit="0" vertical="center" wrapText="0"/>
    </xf>
    <xf borderId="5" fillId="3" fontId="9" numFmtId="0" xfId="0" applyAlignment="1" applyBorder="1" applyFont="1">
      <alignment readingOrder="0" shrinkToFit="0" vertical="center" wrapText="0"/>
    </xf>
    <xf borderId="5" fillId="3" fontId="9" numFmtId="0" xfId="0" applyAlignment="1" applyBorder="1" applyFont="1">
      <alignment shrinkToFit="0" vertical="center" wrapText="0"/>
    </xf>
    <xf borderId="3" fillId="2" fontId="5" numFmtId="0" xfId="0" applyAlignment="1" applyBorder="1" applyFont="1">
      <alignment shrinkToFit="0" vertical="center" wrapText="0"/>
    </xf>
    <xf borderId="6" fillId="0" fontId="5" numFmtId="164" xfId="0" applyAlignment="1" applyBorder="1" applyFont="1" applyNumberFormat="1">
      <alignment shrinkToFit="0" vertical="center" wrapText="0"/>
    </xf>
    <xf borderId="0" fillId="0" fontId="5" numFmtId="0" xfId="0" applyAlignment="1" applyFont="1">
      <alignment shrinkToFit="0" vertical="center" wrapText="0"/>
    </xf>
    <xf borderId="0" fillId="0" fontId="11" numFmtId="0" xfId="0" applyAlignment="1" applyFont="1">
      <alignment readingOrder="0" shrinkToFit="0" vertical="center" wrapText="0"/>
    </xf>
    <xf borderId="4" fillId="0" fontId="5" numFmtId="0" xfId="0" applyAlignment="1" applyBorder="1" applyFont="1">
      <alignment shrinkToFit="0" vertical="center" wrapText="0"/>
    </xf>
    <xf borderId="0" fillId="0" fontId="12" numFmtId="0" xfId="0" applyAlignment="1" applyFont="1">
      <alignment readingOrder="0" shrinkToFit="0" vertical="center" wrapText="0"/>
    </xf>
    <xf borderId="2" fillId="0" fontId="5" numFmtId="0" xfId="0" applyAlignment="1" applyBorder="1" applyFont="1">
      <alignment shrinkToFit="0" vertical="center" wrapText="0"/>
    </xf>
    <xf borderId="5" fillId="3" fontId="5" numFmtId="0" xfId="0" applyAlignment="1" applyBorder="1" applyFont="1">
      <alignment readingOrder="0" shrinkToFit="0" vertical="center" wrapText="0"/>
    </xf>
    <xf borderId="5" fillId="3" fontId="13" numFmtId="0" xfId="0" applyAlignment="1" applyBorder="1" applyFont="1">
      <alignment readingOrder="0" shrinkToFit="0" vertical="center" wrapText="0"/>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0" fillId="0" fontId="9" numFmtId="0" xfId="0" applyAlignment="1" applyFont="1">
      <alignment readingOrder="0" shrinkToFit="0" vertical="bottom" wrapText="0"/>
    </xf>
    <xf borderId="2" fillId="0" fontId="5" numFmtId="164" xfId="0" applyAlignment="1" applyBorder="1" applyFont="1" applyNumberFormat="1">
      <alignment readingOrder="0" shrinkToFit="0" vertical="center" wrapText="0"/>
    </xf>
    <xf borderId="0" fillId="0" fontId="9" numFmtId="0" xfId="0" applyAlignment="1" applyFont="1">
      <alignment readingOrder="0" shrinkToFit="0" vertical="center" wrapText="0"/>
    </xf>
    <xf borderId="7" fillId="0" fontId="5" numFmtId="0" xfId="0" applyAlignment="1" applyBorder="1" applyFont="1">
      <alignment readingOrder="0" shrinkToFit="0" vertical="center" wrapText="0"/>
    </xf>
    <xf borderId="8" fillId="0" fontId="5" numFmtId="0" xfId="0" applyAlignment="1" applyBorder="1" applyFont="1">
      <alignment shrinkToFit="0" vertical="center" wrapText="0"/>
    </xf>
    <xf borderId="0" fillId="0" fontId="5" numFmtId="3" xfId="0" applyAlignment="1" applyFont="1" applyNumberFormat="1">
      <alignment shrinkToFit="0" vertical="center" wrapText="0"/>
    </xf>
    <xf borderId="8" fillId="0" fontId="5" numFmtId="10" xfId="0" applyAlignment="1" applyBorder="1" applyFont="1" applyNumberFormat="1">
      <alignment shrinkToFit="0" vertical="center" wrapText="0"/>
    </xf>
    <xf borderId="0" fillId="0" fontId="5" numFmtId="49" xfId="0" applyAlignment="1" applyFont="1" applyNumberFormat="1">
      <alignment shrinkToFit="0" vertical="center" wrapText="0"/>
    </xf>
    <xf borderId="0" fillId="0" fontId="5" numFmtId="1" xfId="0" applyAlignment="1" applyFont="1" applyNumberFormat="1">
      <alignment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9" fillId="0" fontId="5" numFmtId="0" xfId="0" applyAlignment="1" applyBorder="1" applyFont="1">
      <alignment shrinkToFit="0" vertical="center" wrapText="0"/>
    </xf>
    <xf borderId="2" fillId="0" fontId="5" numFmtId="0" xfId="0" applyAlignment="1" applyBorder="1" applyFont="1">
      <alignment shrinkToFit="0" vertical="center" wrapText="0"/>
    </xf>
    <xf borderId="4" fillId="0" fontId="5" numFmtId="164" xfId="0" applyAlignment="1" applyBorder="1" applyFont="1" applyNumberFormat="1">
      <alignment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0" xfId="0" applyAlignment="1" applyFont="1" applyNumberFormat="1">
      <alignment shrinkToFit="0" vertical="center" wrapText="0"/>
    </xf>
    <xf borderId="0" fillId="0" fontId="1" numFmtId="10"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6"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1" xfId="0" applyAlignment="1" applyFont="1" applyNumberFormat="1">
      <alignment readingOrder="0" shrinkToFit="0" vertical="center" wrapText="0"/>
    </xf>
    <xf borderId="2" fillId="0" fontId="9" numFmtId="164" xfId="0" applyAlignment="1" applyBorder="1" applyFont="1" applyNumberFormat="1">
      <alignment readingOrder="0" shrinkToFit="0" vertical="center" wrapText="0"/>
    </xf>
    <xf borderId="2" fillId="0" fontId="9" numFmtId="0" xfId="0" applyAlignment="1" applyBorder="1" applyFont="1">
      <alignment readingOrder="0" shrinkToFit="0" vertical="center" wrapText="0"/>
    </xf>
    <xf borderId="5" fillId="3" fontId="5" numFmtId="0" xfId="0" applyAlignment="1" applyBorder="1" applyFont="1">
      <alignment shrinkToFit="0" vertical="center" wrapText="0"/>
    </xf>
    <xf borderId="5" fillId="3" fontId="9" numFmtId="0" xfId="0" applyAlignment="1" applyBorder="1" applyFont="1">
      <alignment readingOrder="0" shrinkToFit="0" vertical="center" wrapText="0"/>
    </xf>
    <xf borderId="5" fillId="3" fontId="9" numFmtId="0" xfId="0" applyAlignment="1" applyBorder="1" applyFont="1">
      <alignment shrinkToFit="0" vertical="center" wrapText="0"/>
    </xf>
    <xf borderId="10" fillId="0" fontId="1" numFmtId="0" xfId="0" applyAlignment="1" applyBorder="1" applyFont="1">
      <alignment readingOrder="0" shrinkToFit="0" vertical="center" wrapText="0"/>
    </xf>
    <xf borderId="0" fillId="0" fontId="9" numFmtId="164" xfId="0" applyAlignment="1" applyFont="1" applyNumberFormat="1">
      <alignment readingOrder="0" shrinkToFit="0" vertical="center" wrapText="0"/>
    </xf>
    <xf borderId="4" fillId="0" fontId="9" numFmtId="0" xfId="0" applyAlignment="1" applyBorder="1" applyFont="1">
      <alignment readingOrder="0" shrinkToFit="0" vertical="center" wrapText="0"/>
    </xf>
    <xf borderId="0" fillId="0" fontId="5" numFmtId="164" xfId="0" applyAlignment="1" applyFont="1" applyNumberFormat="1">
      <alignment readingOrder="0" shrinkToFit="0" vertical="center" wrapText="0"/>
    </xf>
    <xf borderId="0" fillId="0" fontId="17" numFmtId="0" xfId="0" applyAlignment="1" applyFont="1">
      <alignment readingOrder="0" shrinkToFit="0" vertical="center" wrapText="0"/>
    </xf>
    <xf borderId="0" fillId="0" fontId="5" numFmtId="164" xfId="0" applyAlignment="1" applyFont="1" applyNumberFormat="1">
      <alignment readingOrder="0" shrinkToFit="0" vertical="center" wrapText="0"/>
    </xf>
    <xf borderId="0" fillId="0" fontId="18" numFmtId="0" xfId="0" applyAlignment="1" applyFont="1">
      <alignment horizontal="left" readingOrder="0" shrinkToFit="0" vertical="center" wrapText="0"/>
    </xf>
    <xf borderId="2" fillId="0" fontId="5" numFmtId="164" xfId="0" applyAlignment="1" applyBorder="1" applyFont="1" applyNumberFormat="1">
      <alignment readingOrder="0" shrinkToFit="0" vertical="center" wrapText="0"/>
    </xf>
    <xf borderId="2" fillId="0" fontId="9" numFmtId="164" xfId="0" applyAlignment="1" applyBorder="1" applyFont="1" applyNumberFormat="1">
      <alignment readingOrder="0" shrinkToFit="0" vertical="center" wrapText="0"/>
    </xf>
    <xf borderId="3" fillId="0" fontId="1" numFmtId="0" xfId="0" applyAlignment="1" applyBorder="1" applyFont="1">
      <alignment readingOrder="0" shrinkToFit="0" vertical="center" wrapText="0"/>
    </xf>
    <xf borderId="3" fillId="0" fontId="19" numFmtId="0" xfId="0" applyAlignment="1" applyBorder="1" applyFont="1">
      <alignment readingOrder="0" shrinkToFit="0" vertical="center" wrapText="0"/>
    </xf>
    <xf borderId="0" fillId="2" fontId="5" numFmtId="0" xfId="0" applyAlignment="1" applyFont="1">
      <alignment readingOrder="0" shrinkToFit="0" vertical="center" wrapText="0"/>
    </xf>
    <xf borderId="0" fillId="2" fontId="9" numFmtId="0" xfId="0" applyAlignment="1" applyFont="1">
      <alignment readingOrder="0" shrinkToFit="0" vertical="center" wrapText="0"/>
    </xf>
    <xf borderId="0" fillId="2" fontId="5" numFmtId="0" xfId="0" applyAlignment="1" applyFont="1">
      <alignment shrinkToFit="0" vertical="center" wrapText="0"/>
    </xf>
    <xf borderId="0" fillId="2" fontId="20" numFmtId="0" xfId="0" applyAlignment="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4" fillId="0" fontId="9" numFmtId="49" xfId="0" applyAlignment="1" applyBorder="1" applyFont="1" applyNumberFormat="1">
      <alignment readingOrder="0" shrinkToFit="0" vertical="center" wrapText="0"/>
    </xf>
    <xf borderId="0" fillId="3" fontId="5" numFmtId="0" xfId="0" applyAlignment="1" applyFont="1">
      <alignment shrinkToFit="0" vertical="center" wrapText="0"/>
    </xf>
    <xf borderId="0" fillId="3" fontId="9" numFmtId="0" xfId="0" applyAlignment="1" applyFont="1">
      <alignment readingOrder="0" shrinkToFit="0" vertical="center" wrapText="0"/>
    </xf>
    <xf borderId="0" fillId="3" fontId="21" numFmtId="0" xfId="0" applyAlignment="1" applyFont="1">
      <alignment shrinkToFit="0" vertical="center" wrapText="0"/>
    </xf>
    <xf borderId="0" fillId="0" fontId="8" numFmtId="10" xfId="0" applyAlignment="1" applyFont="1" applyNumberFormat="1">
      <alignment readingOrder="0" shrinkToFit="0" vertical="center" wrapText="0"/>
    </xf>
    <xf borderId="0" fillId="0" fontId="22" numFmtId="0" xfId="0" applyAlignment="1" applyFont="1">
      <alignment readingOrder="0" shrinkToFit="0" vertical="center" wrapText="0"/>
    </xf>
    <xf borderId="4" fillId="0" fontId="5" numFmtId="164" xfId="0" applyAlignment="1" applyBorder="1" applyFont="1" applyNumberFormat="1">
      <alignment readingOrder="0" shrinkToFit="0" vertical="center" wrapText="0"/>
    </xf>
    <xf borderId="4" fillId="0" fontId="9" numFmtId="0" xfId="0" applyAlignment="1" applyBorder="1" applyFont="1">
      <alignment readingOrder="0" shrinkToFit="0" vertical="center" wrapText="0"/>
    </xf>
    <xf borderId="0" fillId="0" fontId="1" numFmtId="3" xfId="0" applyAlignment="1" applyFont="1" applyNumberFormat="1">
      <alignment readingOrder="0" shrinkToFit="0" vertical="center" wrapText="0"/>
    </xf>
    <xf borderId="0" fillId="0" fontId="1" numFmtId="0" xfId="0" applyAlignment="1" applyFont="1">
      <alignment readingOrder="0" shrinkToFit="0" vertical="center" wrapText="0"/>
    </xf>
    <xf borderId="3" fillId="0" fontId="23" numFmtId="0" xfId="0" applyAlignment="1" applyBorder="1" applyFont="1">
      <alignment readingOrder="0" shrinkToFit="0" vertical="center" wrapText="0"/>
    </xf>
    <xf borderId="0" fillId="2" fontId="24" numFmtId="0" xfId="0" applyAlignment="1" applyFont="1">
      <alignment shrinkToFit="0" vertical="center" wrapText="0"/>
    </xf>
    <xf borderId="5" fillId="0" fontId="25" numFmtId="0" xfId="0" applyAlignment="1" applyBorder="1" applyFont="1">
      <alignment readingOrder="0" shrinkToFit="0" vertical="center" wrapText="0"/>
    </xf>
    <xf borderId="0" fillId="0" fontId="9" numFmtId="164" xfId="0" applyAlignment="1" applyFont="1" applyNumberFormat="1">
      <alignment readingOrder="0" shrinkToFit="0" vertical="center" wrapText="0"/>
    </xf>
    <xf borderId="3" fillId="0" fontId="26" numFmtId="0" xfId="0" applyAlignment="1" applyBorder="1" applyFont="1">
      <alignment readingOrder="0" shrinkToFit="0" vertical="center" wrapText="0"/>
    </xf>
    <xf borderId="0" fillId="0" fontId="27" numFmtId="3" xfId="0" applyAlignment="1" applyFont="1" applyNumberFormat="1">
      <alignment readingOrder="0" shrinkToFit="0" vertical="center" wrapText="0"/>
    </xf>
    <xf borderId="0" fillId="0" fontId="27" numFmtId="0" xfId="0" applyAlignment="1" applyFont="1">
      <alignment readingOrder="0" shrinkToFit="0" vertical="center" wrapText="0"/>
    </xf>
    <xf borderId="4"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5" fillId="0" fontId="28" numFmtId="0" xfId="0" applyAlignment="1" applyBorder="1" applyFont="1">
      <alignment readingOrder="0" shrinkToFit="0" vertical="center" wrapText="0"/>
    </xf>
    <xf borderId="4" fillId="0" fontId="9" numFmtId="164" xfId="0" applyAlignment="1" applyBorder="1" applyFont="1" applyNumberFormat="1">
      <alignment readingOrder="0" shrinkToFit="0" vertical="center" wrapText="0"/>
    </xf>
    <xf borderId="3" fillId="0" fontId="29"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3" xfId="0" applyAlignment="1" applyBorder="1" applyFont="1" applyNumberFormat="1">
      <alignment readingOrder="0" shrinkToFit="0" vertical="center" wrapText="0"/>
    </xf>
    <xf borderId="13" fillId="0" fontId="1" numFmtId="1" xfId="0" applyAlignment="1" applyBorder="1" applyFont="1" applyNumberFormat="1">
      <alignment readingOrder="0" shrinkToFit="0" vertical="center" wrapText="0"/>
    </xf>
    <xf borderId="4" fillId="0" fontId="1" numFmtId="0" xfId="0" applyAlignment="1" applyBorder="1" applyFont="1">
      <alignment readingOrder="0" shrinkToFit="0" vertical="center" wrapText="0"/>
    </xf>
    <xf borderId="4" fillId="0" fontId="30" numFmtId="0" xfId="0" applyAlignment="1" applyBorder="1" applyFont="1">
      <alignment readingOrder="0" shrinkToFit="0" vertical="center" wrapText="0"/>
    </xf>
    <xf borderId="4" fillId="0" fontId="1" numFmtId="0" xfId="0" applyAlignment="1" applyBorder="1" applyFont="1">
      <alignment shrinkToFit="0" vertical="center" wrapText="0"/>
    </xf>
    <xf borderId="4" fillId="0" fontId="1" numFmtId="0" xfId="0" applyAlignment="1" applyBorder="1" applyFont="1">
      <alignment shrinkToFit="0" vertical="center" wrapText="0"/>
    </xf>
    <xf borderId="4" fillId="0" fontId="1" numFmtId="0" xfId="0" applyAlignment="1" applyBorder="1" applyFont="1">
      <alignment shrinkToFit="0" vertical="center" wrapText="0"/>
    </xf>
    <xf borderId="0" fillId="0" fontId="9"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3" xfId="0" applyAlignment="1" applyFont="1" applyNumberFormat="1">
      <alignment readingOrder="0" shrinkToFit="0" vertical="center" wrapText="0"/>
    </xf>
    <xf borderId="0" fillId="0" fontId="9" numFmtId="10" xfId="0" applyAlignment="1" applyFont="1" applyNumberFormat="1">
      <alignment readingOrder="0" shrinkToFit="0" vertical="center" wrapText="0"/>
    </xf>
    <xf borderId="0" fillId="0" fontId="9" numFmtId="49" xfId="0" applyAlignment="1" applyFont="1" applyNumberFormat="1">
      <alignment readingOrder="0" shrinkToFit="0" vertical="center" wrapText="0"/>
    </xf>
    <xf borderId="0" fillId="0" fontId="9" numFmtId="1" xfId="0" applyAlignment="1" applyFont="1" applyNumberFormat="1">
      <alignment readingOrder="0" shrinkToFit="0" vertical="center" wrapText="0"/>
    </xf>
    <xf borderId="0" fillId="0" fontId="31" numFmtId="0" xfId="0" applyAlignment="1" applyFont="1">
      <alignment readingOrder="0" shrinkToFit="0" vertical="center" wrapText="0"/>
    </xf>
    <xf borderId="0" fillId="0" fontId="1" numFmtId="9" xfId="0" applyAlignment="1" applyFont="1" applyNumberFormat="1">
      <alignment readingOrder="0" shrinkToFit="0" vertical="center" wrapText="0"/>
    </xf>
    <xf borderId="5" fillId="0" fontId="32" numFmtId="0" xfId="0" applyAlignment="1" applyBorder="1" applyFont="1">
      <alignment readingOrder="0" shrinkToFit="0" vertical="center" wrapText="0"/>
    </xf>
    <xf borderId="4" fillId="0" fontId="9" numFmtId="164" xfId="0" applyAlignment="1" applyBorder="1" applyFont="1" applyNumberFormat="1">
      <alignment readingOrder="0" shrinkToFit="0" vertical="center" wrapText="0"/>
    </xf>
    <xf borderId="2" fillId="2" fontId="9"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3" fillId="0" fontId="33" numFmtId="0" xfId="0" applyAlignment="1" applyBorder="1" applyFont="1">
      <alignment readingOrder="0" shrinkToFit="0" vertical="center" wrapText="0"/>
    </xf>
    <xf borderId="4" fillId="0" fontId="1" numFmtId="0" xfId="0" applyAlignment="1" applyBorder="1" applyFont="1">
      <alignment readingOrder="0" shrinkToFit="0" vertical="center" wrapText="0"/>
    </xf>
    <xf borderId="5" fillId="0" fontId="34" numFmtId="0" xfId="0" applyAlignment="1" applyBorder="1" applyFont="1">
      <alignment readingOrder="0" shrinkToFit="0" vertical="center" wrapText="0"/>
    </xf>
    <xf borderId="0" fillId="3" fontId="5" numFmtId="0" xfId="0" applyAlignment="1" applyFont="1">
      <alignment readingOrder="0" shrinkToFit="0" vertical="center" wrapText="0"/>
    </xf>
    <xf borderId="0" fillId="0" fontId="1" numFmtId="0" xfId="0" applyAlignment="1" applyFont="1">
      <alignment shrinkToFit="0" vertical="center" wrapText="0"/>
    </xf>
    <xf borderId="0" fillId="0" fontId="35" numFmtId="3" xfId="0" applyAlignment="1" applyFont="1" applyNumberFormat="1">
      <alignment readingOrder="0" shrinkToFit="0" vertical="center" wrapText="0"/>
    </xf>
    <xf borderId="2" fillId="0" fontId="9" numFmtId="0" xfId="0" applyAlignment="1" applyBorder="1" applyFont="1">
      <alignment readingOrder="0" shrinkToFit="0" vertical="center" wrapText="0"/>
    </xf>
    <xf borderId="2" fillId="0" fontId="1" numFmtId="3" xfId="0" applyAlignment="1" applyBorder="1" applyFont="1" applyNumberFormat="1">
      <alignment readingOrder="0" shrinkToFit="0" vertical="center" wrapText="0"/>
    </xf>
    <xf borderId="0" fillId="0" fontId="36" numFmtId="0" xfId="0" applyAlignment="1" applyFont="1">
      <alignment readingOrder="0" shrinkToFit="0" vertical="center" wrapText="0"/>
    </xf>
    <xf borderId="2" fillId="4" fontId="9" numFmtId="164" xfId="0" applyAlignment="1" applyBorder="1" applyFill="1" applyFont="1" applyNumberFormat="1">
      <alignment readingOrder="0" shrinkToFit="0" vertical="center" wrapText="0"/>
    </xf>
    <xf borderId="2" fillId="4" fontId="9" numFmtId="0" xfId="0" applyAlignment="1" applyBorder="1" applyFon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readingOrder="0" shrinkToFit="0" vertical="center" wrapText="0"/>
    </xf>
    <xf borderId="0" fillId="4" fontId="1" numFmtId="3" xfId="0" applyAlignment="1" applyFont="1" applyNumberFormat="1">
      <alignment readingOrder="0" shrinkToFit="0" vertical="center" wrapText="0"/>
    </xf>
    <xf borderId="0" fillId="4" fontId="1" numFmtId="0" xfId="0" applyAlignment="1" applyFont="1">
      <alignment readingOrder="0" shrinkToFit="0" vertical="center" wrapText="0"/>
    </xf>
    <xf borderId="0" fillId="4" fontId="1" numFmtId="10" xfId="0" applyAlignment="1" applyFont="1" applyNumberFormat="1">
      <alignment readingOrder="0" shrinkToFit="0" vertical="center" wrapText="0"/>
    </xf>
    <xf borderId="0" fillId="4" fontId="1" numFmtId="0" xfId="0" applyAlignment="1" applyFont="1">
      <alignment shrinkToFit="0" vertical="center" wrapText="0"/>
    </xf>
    <xf borderId="0" fillId="4" fontId="1" numFmtId="10" xfId="0" applyAlignment="1" applyFont="1" applyNumberFormat="1">
      <alignment readingOrder="0" shrinkToFit="0" vertical="center" wrapText="0"/>
    </xf>
    <xf borderId="2" fillId="4" fontId="1" numFmtId="3" xfId="0" applyAlignment="1" applyBorder="1" applyFont="1" applyNumberFormat="1">
      <alignment readingOrder="0" shrinkToFit="0" vertical="center" wrapText="0"/>
    </xf>
    <xf borderId="0" fillId="4" fontId="1" numFmtId="0" xfId="0" applyAlignment="1" applyFont="1">
      <alignment shrinkToFit="0" vertical="center" wrapText="0"/>
    </xf>
    <xf borderId="0" fillId="0" fontId="6" numFmtId="0" xfId="0" applyAlignment="1" applyFont="1">
      <alignment readingOrder="0" shrinkToFit="0" vertical="center" wrapText="0"/>
    </xf>
    <xf borderId="0" fillId="0" fontId="1" numFmtId="49" xfId="0" applyAlignment="1" applyFont="1" applyNumberFormat="1">
      <alignment horizontal="right" readingOrder="0" shrinkToFit="0" vertical="center" wrapText="0"/>
    </xf>
    <xf borderId="0" fillId="0" fontId="1" numFmtId="3" xfId="0" applyAlignment="1" applyFont="1" applyNumberFormat="1">
      <alignment shrinkToFit="0" vertical="center" wrapText="0"/>
    </xf>
    <xf borderId="0" fillId="0" fontId="1" numFmtId="0" xfId="0" applyAlignment="1" applyFont="1">
      <alignment shrinkToFit="0" vertical="center" wrapText="0"/>
    </xf>
    <xf borderId="14" fillId="0" fontId="1" numFmtId="3" xfId="0" applyAlignment="1" applyBorder="1" applyFont="1" applyNumberFormat="1">
      <alignment readingOrder="0" shrinkToFit="0" vertical="center" wrapText="0"/>
    </xf>
    <xf borderId="15" fillId="0" fontId="9" numFmtId="0" xfId="0" applyAlignment="1" applyBorder="1" applyFont="1">
      <alignment readingOrder="0" shrinkToFit="0" vertical="center" wrapText="0"/>
    </xf>
    <xf borderId="16" fillId="0" fontId="9" numFmtId="164" xfId="0" applyAlignment="1" applyBorder="1" applyFont="1" applyNumberFormat="1">
      <alignment readingOrder="0" shrinkToFit="0" vertical="center" wrapText="0"/>
    </xf>
    <xf borderId="9" fillId="0" fontId="9" numFmtId="0" xfId="0" applyAlignment="1" applyBorder="1" applyFont="1">
      <alignment readingOrder="0" shrinkToFit="0" vertical="center" wrapText="0"/>
    </xf>
    <xf borderId="13" fillId="0" fontId="9" numFmtId="0" xfId="0" applyAlignment="1" applyBorder="1" applyFont="1">
      <alignment readingOrder="0" shrinkToFit="0" vertical="center" wrapText="0"/>
    </xf>
    <xf borderId="13" fillId="0" fontId="9" numFmtId="164" xfId="0" applyAlignment="1" applyBorder="1" applyFont="1" applyNumberFormat="1">
      <alignment readingOrder="0" shrinkToFit="0" vertical="center" wrapText="0"/>
    </xf>
    <xf borderId="9" fillId="0" fontId="9" numFmtId="164"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xf borderId="0" fillId="0" fontId="5" numFmtId="0" xfId="0" applyAlignment="1" applyFont="1">
      <alignment shrinkToFit="0" vertical="center" wrapText="0"/>
    </xf>
    <xf borderId="0" fillId="0" fontId="9" numFmtId="0" xfId="0" applyAlignment="1" applyFont="1">
      <alignment readingOrder="0" shrinkToFit="0" vertical="center" wrapText="0"/>
    </xf>
    <xf borderId="0" fillId="0" fontId="37" numFmtId="0" xfId="0" applyAlignment="1" applyFont="1">
      <alignment readingOrder="0" shrinkToFit="0" vertical="center" wrapText="0"/>
    </xf>
    <xf borderId="4" fillId="0" fontId="1" numFmtId="3" xfId="0" applyAlignment="1" applyBorder="1" applyFont="1" applyNumberFormat="1">
      <alignment readingOrder="0" shrinkToFit="0" vertical="center" wrapText="0"/>
    </xf>
    <xf borderId="0" fillId="0" fontId="1" numFmtId="9" xfId="0" applyAlignment="1" applyFont="1" applyNumberFormat="1">
      <alignment readingOrder="0" shrinkToFit="0" vertical="center" wrapText="0"/>
    </xf>
    <xf borderId="0" fillId="0" fontId="38" numFmtId="0" xfId="0" applyAlignment="1" applyFont="1">
      <alignment readingOrder="0" shrinkToFit="0" vertical="center" wrapText="0"/>
    </xf>
    <xf borderId="2" fillId="0" fontId="1" numFmtId="0" xfId="0" applyAlignment="1" applyBorder="1" applyFont="1">
      <alignment readingOrder="0" shrinkToFit="0" vertical="center" wrapText="0"/>
    </xf>
    <xf borderId="17" fillId="0"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18" fillId="0" fontId="1" numFmtId="3" xfId="0" applyAlignment="1" applyBorder="1" applyFont="1" applyNumberFormat="1">
      <alignment readingOrder="0" shrinkToFit="0" vertical="center" wrapText="0"/>
    </xf>
    <xf borderId="18" fillId="0" fontId="1" numFmtId="0" xfId="0" applyAlignment="1" applyBorder="1" applyFont="1">
      <alignment readingOrder="0" shrinkToFit="0" vertical="center" wrapText="0"/>
    </xf>
    <xf borderId="18" fillId="0" fontId="1" numFmtId="10" xfId="0" applyAlignment="1" applyBorder="1" applyFont="1" applyNumberFormat="1">
      <alignment readingOrder="0" shrinkToFit="0" vertical="center" wrapText="0"/>
    </xf>
    <xf borderId="18" fillId="0" fontId="1" numFmtId="0" xfId="0" applyAlignment="1" applyBorder="1" applyFont="1">
      <alignment shrinkToFit="0" vertical="center" wrapText="0"/>
    </xf>
    <xf borderId="18" fillId="0" fontId="1" numFmtId="10" xfId="0" applyAlignment="1" applyBorder="1" applyFont="1" applyNumberFormat="1">
      <alignment readingOrder="0" shrinkToFit="0" vertical="center" wrapText="0"/>
    </xf>
    <xf borderId="18" fillId="0" fontId="1" numFmtId="49" xfId="0" applyAlignment="1" applyBorder="1" applyFont="1" applyNumberFormat="1">
      <alignment readingOrder="0" shrinkToFit="0" vertical="center" wrapText="0"/>
    </xf>
    <xf borderId="18" fillId="0" fontId="1" numFmtId="1" xfId="0" applyAlignment="1" applyBorder="1" applyFont="1" applyNumberFormat="1">
      <alignment readingOrder="0" shrinkToFit="0" vertical="center" wrapText="0"/>
    </xf>
    <xf borderId="0" fillId="0" fontId="1" numFmtId="0" xfId="0" applyAlignment="1" applyFont="1">
      <alignment readingOrder="0" shrinkToFit="0" vertical="center" wrapText="0"/>
    </xf>
    <xf borderId="0" fillId="0" fontId="5" numFmtId="3" xfId="0" applyAlignment="1" applyFont="1" applyNumberFormat="1">
      <alignment readingOrder="0" shrinkToFit="0" vertical="center" wrapText="0"/>
    </xf>
    <xf borderId="0" fillId="0" fontId="5" numFmtId="10" xfId="0" applyAlignment="1" applyFont="1" applyNumberFormat="1">
      <alignment horizontal="right" readingOrder="0" shrinkToFit="0" vertical="center" wrapText="0"/>
    </xf>
    <xf borderId="0" fillId="0" fontId="5" numFmtId="10" xfId="0" applyAlignment="1" applyFont="1" applyNumberFormat="1">
      <alignment horizontal="right" readingOrder="0" shrinkToFit="0" vertical="center" wrapText="0"/>
    </xf>
    <xf borderId="0" fillId="0" fontId="5" numFmtId="49" xfId="0" applyAlignment="1" applyFont="1" applyNumberFormat="1">
      <alignment readingOrder="0" shrinkToFit="0" vertical="center" wrapText="0"/>
    </xf>
    <xf borderId="0" fillId="0" fontId="5" numFmtId="1" xfId="0" applyAlignment="1" applyFont="1" applyNumberFormat="1">
      <alignment readingOrder="0" shrinkToFit="0" vertical="center" wrapText="0"/>
    </xf>
    <xf borderId="3" fillId="0" fontId="1" numFmtId="0" xfId="0" applyAlignment="1" applyBorder="1" applyFont="1">
      <alignment shrinkToFit="0" vertical="center" wrapText="0"/>
    </xf>
    <xf borderId="5" fillId="0" fontId="1" numFmtId="0" xfId="0" applyAlignment="1" applyBorder="1" applyFont="1">
      <alignment shrinkToFit="0" vertical="center" wrapText="0"/>
    </xf>
    <xf borderId="5" fillId="3" fontId="39" numFmtId="0" xfId="0" applyAlignment="1" applyBorder="1" applyFont="1">
      <alignment shrinkToFit="0" vertical="center" wrapText="0"/>
    </xf>
    <xf borderId="0" fillId="2" fontId="9" numFmtId="0" xfId="0" applyAlignment="1" applyFont="1">
      <alignment shrinkToFit="0" vertical="center" wrapText="0"/>
    </xf>
    <xf borderId="0" fillId="4" fontId="9" numFmtId="164" xfId="0" applyAlignment="1" applyFont="1" applyNumberFormat="1">
      <alignment readingOrder="0" shrinkToFit="0" vertical="center" wrapText="0"/>
    </xf>
    <xf borderId="4" fillId="4" fontId="9" numFmtId="0" xfId="0" applyAlignment="1" applyBorder="1" applyFont="1">
      <alignment readingOrder="0" shrinkToFit="0" vertical="center" wrapText="0"/>
    </xf>
    <xf borderId="0" fillId="4" fontId="1" numFmtId="49" xfId="0" applyAlignment="1" applyFont="1" applyNumberFormat="1">
      <alignment readingOrder="0" shrinkToFit="0" vertical="center" wrapText="0"/>
    </xf>
    <xf borderId="3" fillId="4" fontId="1" numFmtId="0" xfId="0" applyAlignment="1" applyBorder="1" applyFont="1">
      <alignment shrinkToFit="0" vertical="center" wrapText="0"/>
    </xf>
    <xf borderId="3" fillId="4" fontId="1" numFmtId="0" xfId="0" applyAlignment="1" applyBorder="1" applyFont="1">
      <alignment readingOrder="0" shrinkToFit="0" vertical="center" wrapText="0"/>
    </xf>
    <xf borderId="0" fillId="3" fontId="9" numFmtId="0" xfId="0" applyAlignment="1" applyFont="1">
      <alignment shrinkToFit="0" vertical="center" wrapText="0"/>
    </xf>
    <xf borderId="0" fillId="3" fontId="40" numFmtId="0" xfId="0" applyAlignment="1" applyFont="1">
      <alignment shrinkToFit="0" vertical="center" wrapText="0"/>
    </xf>
    <xf borderId="0" fillId="2" fontId="41" numFmtId="0" xfId="0" applyAlignment="1" applyFont="1">
      <alignment shrinkToFit="0" vertical="center" wrapText="0"/>
    </xf>
    <xf borderId="0" fillId="0" fontId="1" numFmtId="0" xfId="0" applyAlignment="1" applyFont="1">
      <alignment horizontal="center" readingOrder="0" shrinkToFit="0" vertical="center" wrapText="0"/>
    </xf>
    <xf borderId="0" fillId="0" fontId="42" numFmtId="49" xfId="0" applyAlignment="1" applyFont="1" applyNumberFormat="1">
      <alignment readingOrder="0" shrinkToFit="0" vertical="center" wrapText="0"/>
    </xf>
    <xf borderId="4" fillId="0" fontId="9" numFmtId="0" xfId="0" applyAlignment="1" applyBorder="1" applyFont="1">
      <alignment shrinkToFit="0" vertical="center" wrapText="0"/>
    </xf>
    <xf borderId="0" fillId="0" fontId="1" numFmtId="49" xfId="0" applyAlignment="1" applyFont="1" applyNumberFormat="1">
      <alignment shrinkToFit="0" vertical="center" wrapText="0"/>
    </xf>
    <xf borderId="0" fillId="0" fontId="1" numFmtId="10" xfId="0" applyAlignment="1" applyFont="1" applyNumberFormat="1">
      <alignment shrinkToFit="0" vertical="center" wrapText="0"/>
    </xf>
    <xf borderId="0" fillId="0" fontId="1" numFmtId="1" xfId="0" applyAlignment="1" applyFont="1" applyNumberFormat="1">
      <alignment shrinkToFit="0" vertical="center" wrapText="0"/>
    </xf>
    <xf borderId="0" fillId="0" fontId="9" numFmtId="164" xfId="0" applyAlignment="1" applyFont="1" applyNumberFormat="1">
      <alignment shrinkToFit="0" vertical="center" wrapText="0"/>
    </xf>
    <xf borderId="2" fillId="0" fontId="9" numFmtId="0" xfId="0" applyAlignment="1" applyBorder="1" applyFont="1">
      <alignment shrinkToFit="0" vertical="center" wrapText="0"/>
    </xf>
    <xf borderId="19" fillId="0" fontId="9" numFmtId="0" xfId="0" applyAlignment="1" applyBorder="1" applyFont="1">
      <alignment shrinkToFit="0" vertical="center" wrapText="0"/>
    </xf>
    <xf borderId="0" fillId="0" fontId="9" numFmtId="0" xfId="0" applyAlignment="1" applyFont="1">
      <alignment shrinkToFit="0" vertical="center" wrapText="0"/>
    </xf>
    <xf borderId="0" fillId="0" fontId="1" numFmtId="0" xfId="0" applyAlignment="1" applyFont="1">
      <alignment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5" fontId="3" numFmtId="164" xfId="0" applyAlignment="1" applyFill="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6" fontId="3" numFmtId="164" xfId="0" applyAlignment="1" applyFill="1" applyFont="1" applyNumberFormat="1">
      <alignment readingOrder="0" shrinkToFit="0" vertical="center" wrapText="0"/>
    </xf>
    <xf borderId="0" fillId="7" fontId="1" numFmtId="0" xfId="0" applyAlignment="1" applyFill="1" applyFont="1">
      <alignment readingOrder="0" shrinkToFit="0" vertical="center" wrapText="0"/>
    </xf>
    <xf borderId="0" fillId="6" fontId="1" numFmtId="0" xfId="0" applyAlignment="1" applyFont="1">
      <alignment readingOrder="0" shrinkToFit="0" vertical="center" wrapText="0"/>
    </xf>
    <xf borderId="0" fillId="7" fontId="1" numFmtId="0" xfId="0" applyAlignment="1" applyFont="1">
      <alignment readingOrder="0" shrinkToFit="0" vertical="center" wrapText="0"/>
    </xf>
    <xf borderId="0" fillId="7" fontId="1" numFmtId="0" xfId="0" applyAlignment="1" applyFont="1">
      <alignment readingOrder="0" shrinkToFit="0" vertical="center" wrapText="0"/>
    </xf>
    <xf borderId="0" fillId="4" fontId="3" numFmtId="164" xfId="0" applyAlignment="1" applyFont="1" applyNumberFormat="1">
      <alignment readingOrder="0" shrinkToFit="0" vertical="center" wrapText="0"/>
    </xf>
    <xf borderId="0" fillId="4"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8" fontId="3" numFmtId="164" xfId="0" applyAlignment="1" applyFill="1" applyFont="1" applyNumberFormat="1">
      <alignment readingOrder="0" shrinkToFit="0" vertical="center" wrapText="0"/>
    </xf>
    <xf borderId="0" fillId="9" fontId="3"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6" fontId="1" numFmtId="0" xfId="0" applyAlignment="1" applyFont="1">
      <alignment readingOrder="0" shrinkToFit="0" vertical="center" wrapText="0"/>
    </xf>
    <xf borderId="0" fillId="7"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borderId="0" fillId="7" fontId="3"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6" fontId="1"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10" fontId="3" numFmtId="164" xfId="0" applyAlignment="1" applyFill="1" applyFont="1" applyNumberFormat="1">
      <alignment readingOrder="0" shrinkToFit="0" vertical="center" wrapText="0"/>
    </xf>
    <xf borderId="0" fillId="11" fontId="3" numFmtId="164" xfId="0" applyAlignment="1" applyFill="1" applyFont="1" applyNumberFormat="1">
      <alignment readingOrder="0" shrinkToFit="0" vertical="center" wrapText="0"/>
    </xf>
    <xf borderId="0" fillId="12" fontId="3" numFmtId="164" xfId="0" applyAlignment="1" applyFill="1" applyFont="1" applyNumberFormat="1">
      <alignment readingOrder="0" shrinkToFit="0" vertical="center" wrapText="0"/>
    </xf>
    <xf borderId="0" fillId="13" fontId="3" numFmtId="164" xfId="0" applyAlignment="1" applyFill="1" applyFont="1" applyNumberFormat="1">
      <alignment readingOrder="0" shrinkToFit="0" vertical="center" wrapText="0"/>
    </xf>
    <xf borderId="0" fillId="0" fontId="18" numFmtId="0" xfId="0" applyAlignment="1" applyFont="1">
      <alignment horizontal="left" readingOrder="0" shrinkToFit="0" vertical="center" wrapText="0"/>
    </xf>
    <xf borderId="0" fillId="0" fontId="43" numFmtId="0" xfId="0" applyAlignment="1" applyFont="1">
      <alignment horizontal="left" readingOrder="0" shrinkToFit="0" vertical="center" wrapText="0"/>
    </xf>
    <xf borderId="0" fillId="13" fontId="3" numFmtId="164" xfId="0" applyAlignment="1" applyFont="1" applyNumberFormat="1">
      <alignment readingOrder="0" shrinkToFit="0" vertical="center" wrapText="0"/>
    </xf>
    <xf borderId="0" fillId="0" fontId="44" numFmtId="0" xfId="0" applyAlignment="1" applyFont="1">
      <alignment readingOrder="0" shrinkToFit="0" vertical="top" wrapText="0"/>
    </xf>
    <xf borderId="0" fillId="0" fontId="44" numFmtId="0" xfId="0" applyAlignment="1" applyFont="1">
      <alignment readingOrder="0" shrinkToFit="0" vertical="top" wrapText="0"/>
    </xf>
    <xf borderId="0" fillId="14" fontId="3" numFmtId="164" xfId="0" applyAlignment="1" applyFill="1" applyFont="1" applyNumberFormat="1">
      <alignment readingOrder="0" shrinkToFit="0" vertical="center" wrapText="0"/>
    </xf>
    <xf borderId="0" fillId="6" fontId="1"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15" fontId="3" numFmtId="164" xfId="0" applyAlignment="1" applyFill="1" applyFont="1" applyNumberFormat="1">
      <alignment readingOrder="0" shrinkToFit="0" vertical="center" wrapText="0"/>
    </xf>
    <xf borderId="0" fillId="16" fontId="3" numFmtId="164" xfId="0" applyAlignment="1" applyFill="1" applyFont="1" applyNumberFormat="1">
      <alignment readingOrder="0" shrinkToFit="0" vertical="center" wrapText="0"/>
    </xf>
    <xf borderId="0" fillId="17" fontId="3" numFmtId="164" xfId="0" applyAlignment="1" applyFill="1" applyFont="1" applyNumberFormat="1">
      <alignment readingOrder="0" shrinkToFit="0" vertical="center" wrapText="0"/>
    </xf>
    <xf borderId="0" fillId="18" fontId="3" numFmtId="164" xfId="0" applyAlignment="1" applyFill="1" applyFont="1" applyNumberFormat="1">
      <alignment readingOrder="0" shrinkToFit="0" vertical="center" wrapText="0"/>
    </xf>
    <xf borderId="0" fillId="19" fontId="1" numFmtId="0" xfId="0" applyAlignment="1" applyFill="1" applyFont="1">
      <alignment readingOrder="0" shrinkToFit="0" vertical="center" wrapText="0"/>
    </xf>
    <xf borderId="0" fillId="19" fontId="1" numFmtId="0" xfId="0" applyAlignment="1" applyFont="1">
      <alignment readingOrder="0" shrinkToFit="0" vertical="center" wrapText="0"/>
    </xf>
    <xf borderId="0" fillId="19" fontId="1" numFmtId="14" xfId="0" applyAlignment="1" applyFont="1" applyNumberFormat="1">
      <alignment readingOrder="0" shrinkToFit="0" vertical="center" wrapText="0"/>
    </xf>
    <xf borderId="0" fillId="19" fontId="1" numFmtId="166" xfId="0" applyAlignment="1" applyFont="1" applyNumberFormat="1">
      <alignment readingOrder="0" shrinkToFit="0" vertical="center" wrapText="0"/>
    </xf>
    <xf borderId="0" fillId="19" fontId="1" numFmtId="0" xfId="0" applyAlignment="1" applyFont="1">
      <alignment readingOrder="0" shrinkToFit="0" vertical="center" wrapText="0"/>
    </xf>
    <xf borderId="0" fillId="19"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0"/>
    </xf>
    <xf borderId="0" fillId="3" fontId="1" numFmtId="14" xfId="0" applyAlignment="1" applyFont="1" applyNumberFormat="1">
      <alignment readingOrder="0" shrinkToFit="0" vertical="center" wrapText="0"/>
    </xf>
    <xf borderId="0" fillId="3" fontId="1" numFmtId="166" xfId="0" applyAlignment="1" applyFont="1" applyNumberFormat="1">
      <alignment readingOrder="0" shrinkToFit="0" vertical="center" wrapText="0"/>
    </xf>
    <xf borderId="0" fillId="19" fontId="1" numFmtId="0" xfId="0" applyAlignment="1" applyFont="1">
      <alignment readingOrder="0" shrinkToFit="0" vertical="center" wrapText="0"/>
    </xf>
    <xf borderId="0" fillId="3" fontId="1" numFmtId="0" xfId="0" applyAlignment="1" applyFont="1">
      <alignment readingOrder="0" shrinkToFit="0" vertical="center" wrapText="0"/>
    </xf>
    <xf borderId="0" fillId="19" fontId="3" numFmtId="164" xfId="0" applyAlignment="1" applyFont="1" applyNumberFormat="1">
      <alignment readingOrder="0" shrinkToFit="0" vertical="center" wrapText="0"/>
    </xf>
    <xf borderId="0" fillId="3" fontId="3" numFmtId="164" xfId="0" applyAlignment="1" applyFont="1" applyNumberFormat="1">
      <alignment readingOrder="0" shrinkToFit="0" vertical="center" wrapText="0"/>
    </xf>
    <xf borderId="0" fillId="20" fontId="3" numFmtId="164" xfId="0" applyAlignment="1" applyFill="1" applyFont="1" applyNumberFormat="1">
      <alignment readingOrder="0" shrinkToFit="0" vertical="center" wrapText="0"/>
    </xf>
    <xf borderId="0" fillId="21" fontId="3" numFmtId="164" xfId="0" applyAlignment="1" applyFill="1" applyFont="1" applyNumberFormat="1">
      <alignment readingOrder="0" shrinkToFit="0" vertical="center" wrapText="0"/>
    </xf>
    <xf borderId="0" fillId="7" fontId="1" numFmtId="0" xfId="0" applyAlignment="1" applyFont="1">
      <alignment readingOrder="0" shrinkToFit="0" vertical="center" wrapText="0"/>
    </xf>
    <xf borderId="0" fillId="0" fontId="1" numFmtId="164" xfId="0" applyAlignment="1" applyFont="1" applyNumberFormat="1">
      <alignment shrinkToFit="0" vertical="center" wrapText="0"/>
    </xf>
    <xf borderId="0" fillId="0" fontId="1" numFmtId="49" xfId="0" applyFont="1" applyNumberFormat="1"/>
    <xf borderId="0" fillId="0" fontId="1" numFmtId="0" xfId="0" applyFont="1"/>
    <xf borderId="0" fillId="0" fontId="1" numFmtId="3" xfId="0" applyFont="1" applyNumberFormat="1"/>
    <xf borderId="0" fillId="0" fontId="1" numFmtId="0" xfId="0" applyAlignment="1" applyFont="1">
      <alignment readingOrder="0"/>
    </xf>
    <xf borderId="20" fillId="0" fontId="3" numFmtId="0" xfId="0" applyAlignment="1" applyBorder="1" applyFont="1">
      <alignment horizontal="center" readingOrder="0" vertical="center"/>
    </xf>
    <xf borderId="20" fillId="0" fontId="3" numFmtId="0" xfId="0" applyAlignment="1" applyBorder="1" applyFont="1">
      <alignment horizontal="center" readingOrder="0"/>
    </xf>
    <xf borderId="21" fillId="0" fontId="1" numFmtId="0" xfId="0" applyAlignment="1" applyBorder="1" applyFont="1">
      <alignment horizontal="center" readingOrder="0" vertical="center"/>
    </xf>
    <xf borderId="20" fillId="0" fontId="1" numFmtId="0" xfId="0" applyAlignment="1" applyBorder="1" applyFont="1">
      <alignment horizontal="center" readingOrder="0"/>
    </xf>
    <xf borderId="20" fillId="0" fontId="1" numFmtId="0" xfId="0" applyAlignment="1" applyBorder="1" applyFont="1">
      <alignment horizontal="center"/>
    </xf>
    <xf borderId="22" fillId="0" fontId="45" numFmtId="0" xfId="0" applyBorder="1" applyFont="1"/>
    <xf borderId="23" fillId="0" fontId="45" numFmtId="0" xfId="0" applyBorder="1" applyFont="1"/>
    <xf borderId="0" fillId="0" fontId="1"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xf>
    <xf borderId="0" fillId="0" fontId="1" numFmtId="0" xfId="0" applyAlignment="1" applyFont="1">
      <alignment horizontal="center" readingOrder="0"/>
    </xf>
    <xf borderId="0" fillId="0" fontId="1" numFmtId="164" xfId="0" applyFont="1" applyNumberFormat="1"/>
    <xf borderId="0" fillId="6" fontId="1" numFmtId="0" xfId="0" applyFont="1"/>
    <xf borderId="20" fillId="0" fontId="1" numFmtId="49" xfId="0" applyBorder="1" applyFont="1" applyNumberFormat="1"/>
    <xf borderId="20" fillId="0" fontId="1" numFmtId="0" xfId="0" applyBorder="1" applyFont="1"/>
    <xf borderId="21" fillId="0" fontId="1" numFmtId="0" xfId="0" applyBorder="1" applyFont="1"/>
    <xf borderId="20" fillId="0" fontId="1" numFmtId="164" xfId="0" applyBorder="1" applyFont="1" applyNumberFormat="1"/>
    <xf borderId="0" fillId="0" fontId="46" numFmtId="0" xfId="0" applyAlignment="1" applyFont="1">
      <alignment horizontal="center" readingOrder="0" shrinkToFit="0" vertical="center" wrapText="0"/>
    </xf>
    <xf borderId="20" fillId="2" fontId="5" numFmtId="0" xfId="0" applyAlignment="1" applyBorder="1" applyFont="1">
      <alignment horizontal="center" shrinkToFit="0" vertical="center" wrapText="0"/>
    </xf>
    <xf borderId="20" fillId="3" fontId="5" numFmtId="0" xfId="0" applyAlignment="1" applyBorder="1" applyFont="1">
      <alignment horizontal="center" shrinkToFit="0" vertical="center" wrapText="0"/>
    </xf>
    <xf borderId="20" fillId="3" fontId="9"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0" fillId="2" fontId="9" numFmtId="0" xfId="0" applyAlignment="1" applyBorder="1" applyFont="1">
      <alignment horizontal="center" readingOrder="0" shrinkToFit="0" vertical="center" wrapText="0"/>
    </xf>
    <xf borderId="20" fillId="3" fontId="5" numFmtId="0" xfId="0" applyAlignment="1" applyBorder="1" applyFont="1">
      <alignment horizontal="center" readingOrder="0" shrinkToFit="0" vertical="center" wrapText="0"/>
    </xf>
    <xf borderId="24" fillId="22" fontId="9" numFmtId="0" xfId="0" applyAlignment="1" applyBorder="1" applyFill="1" applyFont="1">
      <alignment shrinkToFit="0" vertical="center" wrapText="0"/>
    </xf>
    <xf borderId="20" fillId="22" fontId="9" numFmtId="0" xfId="0" applyAlignment="1" applyBorder="1" applyFont="1">
      <alignment shrinkToFit="0" vertical="center" wrapText="0"/>
    </xf>
    <xf borderId="0" fillId="22" fontId="5" numFmtId="0" xfId="0" applyAlignment="1" applyFont="1">
      <alignment horizontal="center" shrinkToFit="0" vertical="center" wrapText="0"/>
    </xf>
    <xf borderId="25" fillId="0" fontId="47" numFmtId="0" xfId="0" applyAlignment="1" applyBorder="1" applyFont="1">
      <alignment horizontal="center" readingOrder="0"/>
    </xf>
    <xf borderId="26" fillId="0" fontId="47" numFmtId="49" xfId="0" applyAlignment="1" applyBorder="1" applyFont="1" applyNumberFormat="1">
      <alignment horizontal="center" readingOrder="0"/>
    </xf>
    <xf borderId="27" fillId="0" fontId="47" numFmtId="49" xfId="0" applyAlignment="1" applyBorder="1" applyFont="1" applyNumberFormat="1">
      <alignment horizontal="center" readingOrder="0"/>
    </xf>
    <xf borderId="28" fillId="0" fontId="1" numFmtId="164" xfId="0" applyAlignment="1" applyBorder="1" applyFont="1" applyNumberFormat="1">
      <alignment readingOrder="0"/>
    </xf>
    <xf borderId="29" fillId="0" fontId="1" numFmtId="0" xfId="0" applyAlignment="1" applyBorder="1" applyFont="1">
      <alignment readingOrder="0"/>
    </xf>
    <xf borderId="29" fillId="0" fontId="1" numFmtId="3" xfId="0" applyAlignment="1" applyBorder="1" applyFont="1" applyNumberFormat="1">
      <alignment readingOrder="0"/>
    </xf>
    <xf borderId="30" fillId="0" fontId="1" numFmtId="0" xfId="0" applyAlignment="1" applyBorder="1" applyFont="1">
      <alignment readingOrder="0"/>
    </xf>
    <xf borderId="29" fillId="0" fontId="1" numFmtId="164" xfId="0" applyAlignment="1" applyBorder="1" applyFont="1" applyNumberFormat="1">
      <alignment readingOrder="0"/>
    </xf>
    <xf borderId="26" fillId="0" fontId="47" numFmtId="0" xfId="0" applyAlignment="1" applyBorder="1" applyFont="1">
      <alignment horizontal="center" readingOrder="0"/>
    </xf>
    <xf borderId="27" fillId="0" fontId="47" numFmtId="0" xfId="0" applyAlignment="1" applyBorder="1" applyFont="1">
      <alignment horizontal="center" readingOrder="0"/>
    </xf>
    <xf borderId="29" fillId="0" fontId="1" numFmtId="0" xfId="0" applyBorder="1" applyFont="1"/>
    <xf borderId="29" fillId="0" fontId="1" numFmtId="10" xfId="0" applyAlignment="1" applyBorder="1" applyFont="1" applyNumberFormat="1">
      <alignment readingOrder="0"/>
    </xf>
    <xf borderId="29" fillId="0" fontId="1" numFmtId="10" xfId="0" applyAlignment="1" applyBorder="1" applyFont="1" applyNumberFormat="1">
      <alignment readingOrder="0"/>
    </xf>
    <xf borderId="29" fillId="0" fontId="1" numFmtId="49" xfId="0" applyAlignment="1" applyBorder="1" applyFont="1" applyNumberFormat="1">
      <alignment readingOrder="0"/>
    </xf>
    <xf borderId="30" fillId="0" fontId="1" numFmtId="0" xfId="0" applyBorder="1" applyFont="1"/>
    <xf borderId="25" fillId="23" fontId="47" numFmtId="0" xfId="0" applyAlignment="1" applyBorder="1" applyFill="1" applyFont="1">
      <alignment horizontal="center" readingOrder="0"/>
    </xf>
    <xf borderId="26" fillId="23" fontId="47" numFmtId="0" xfId="0" applyAlignment="1" applyBorder="1" applyFont="1">
      <alignment horizontal="center" readingOrder="0"/>
    </xf>
    <xf borderId="26" fillId="23" fontId="47" numFmtId="49" xfId="0" applyAlignment="1" applyBorder="1" applyFont="1" applyNumberFormat="1">
      <alignment horizontal="center" readingOrder="0"/>
    </xf>
    <xf borderId="27" fillId="23" fontId="47" numFmtId="0" xfId="0" applyAlignment="1" applyBorder="1" applyFont="1">
      <alignment horizontal="center" readingOrder="0"/>
    </xf>
    <xf borderId="28" fillId="24" fontId="1" numFmtId="164" xfId="0" applyAlignment="1" applyBorder="1" applyFill="1" applyFont="1" applyNumberFormat="1">
      <alignment readingOrder="0"/>
    </xf>
    <xf borderId="29" fillId="8" fontId="1" numFmtId="0" xfId="0" applyAlignment="1" applyBorder="1" applyFont="1">
      <alignment readingOrder="0"/>
    </xf>
    <xf borderId="29" fillId="24" fontId="1" numFmtId="0" xfId="0" applyAlignment="1" applyBorder="1" applyFont="1">
      <alignment readingOrder="0"/>
    </xf>
    <xf borderId="29" fillId="24" fontId="1" numFmtId="10" xfId="0" applyAlignment="1" applyBorder="1" applyFont="1" applyNumberFormat="1">
      <alignment readingOrder="0"/>
    </xf>
    <xf borderId="29" fillId="24" fontId="1" numFmtId="10" xfId="0" applyAlignment="1" applyBorder="1" applyFont="1" applyNumberFormat="1">
      <alignment readingOrder="0"/>
    </xf>
    <xf borderId="29" fillId="24" fontId="1" numFmtId="0" xfId="0" applyBorder="1" applyFont="1"/>
    <xf borderId="29" fillId="24" fontId="1" numFmtId="49" xfId="0" applyAlignment="1" applyBorder="1" applyFont="1" applyNumberFormat="1">
      <alignment readingOrder="0"/>
    </xf>
    <xf borderId="30" fillId="24" fontId="1" numFmtId="0" xfId="0" applyBorder="1" applyFont="1"/>
    <xf borderId="28" fillId="2" fontId="1" numFmtId="164" xfId="0" applyAlignment="1" applyBorder="1" applyFont="1" applyNumberFormat="1">
      <alignment readingOrder="0"/>
    </xf>
    <xf borderId="29" fillId="2" fontId="1" numFmtId="0" xfId="0" applyAlignment="1" applyBorder="1" applyFont="1">
      <alignment readingOrder="0"/>
    </xf>
    <xf borderId="29" fillId="2" fontId="1" numFmtId="10" xfId="0" applyAlignment="1" applyBorder="1" applyFont="1" applyNumberFormat="1">
      <alignment readingOrder="0"/>
    </xf>
    <xf borderId="29" fillId="2" fontId="1" numFmtId="10" xfId="0" applyAlignment="1" applyBorder="1" applyFont="1" applyNumberFormat="1">
      <alignment readingOrder="0"/>
    </xf>
    <xf borderId="29" fillId="2" fontId="1" numFmtId="0" xfId="0" applyBorder="1" applyFont="1"/>
    <xf borderId="29" fillId="2" fontId="1" numFmtId="49" xfId="0" applyAlignment="1" applyBorder="1" applyFont="1" applyNumberFormat="1">
      <alignment readingOrder="0"/>
    </xf>
    <xf borderId="30" fillId="2" fontId="1" numFmtId="0" xfId="0" applyBorder="1" applyFont="1"/>
    <xf borderId="29" fillId="6" fontId="1" numFmtId="0" xfId="0" applyAlignment="1" applyBorder="1" applyFont="1">
      <alignment readingOrder="0"/>
    </xf>
    <xf borderId="29" fillId="2" fontId="48" numFmtId="0" xfId="0" applyAlignment="1" applyBorder="1" applyFont="1">
      <alignment readingOrder="0"/>
    </xf>
    <xf borderId="29" fillId="24" fontId="49" numFmtId="0" xfId="0" applyAlignment="1" applyBorder="1" applyFont="1">
      <alignment readingOrder="0"/>
    </xf>
    <xf borderId="28" fillId="4" fontId="1" numFmtId="164" xfId="0" applyAlignment="1" applyBorder="1" applyFont="1" applyNumberFormat="1">
      <alignment readingOrder="0"/>
    </xf>
    <xf borderId="29" fillId="4" fontId="1" numFmtId="0" xfId="0" applyAlignment="1" applyBorder="1" applyFont="1">
      <alignment readingOrder="0"/>
    </xf>
    <xf borderId="0" fillId="0" fontId="1" numFmtId="167" xfId="0" applyAlignment="1" applyFont="1" applyNumberFormat="1">
      <alignment readingOrder="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
      <font/>
      <fill>
        <patternFill patternType="solid">
          <fgColor rgb="FF6C7687"/>
          <bgColor rgb="FF6C7687"/>
        </patternFill>
      </fill>
      <border/>
    </dxf>
    <dxf>
      <font/>
      <fill>
        <patternFill patternType="solid">
          <fgColor rgb="FFEBEFF1"/>
          <bgColor rgb="FFEBEFF1"/>
        </patternFill>
      </fill>
      <border/>
    </dxf>
  </dxfs>
  <tableStyles count="5">
    <tableStyle count="5" pivot="0" name="Sheet1-style">
      <tableStyleElement dxfId="1" type="headerRow"/>
      <tableStyleElement dxfId="2" type="firstRowStripe"/>
      <tableStyleElement dxfId="3" type="secondRowStripe"/>
      <tableStyleElement dxfId="4" type="totalRow"/>
      <tableStyleElement dxfId="5" size="0" type="wholeTable"/>
    </tableStyle>
    <tableStyle count="4" pivot="0" name="whatsapp-style">
      <tableStyleElement dxfId="1" type="headerRow"/>
      <tableStyleElement dxfId="2" type="firstRowStripe"/>
      <tableStyleElement dxfId="3" type="secondRowStripe"/>
      <tableStyleElement dxfId="5" size="0" type="wholeTable"/>
    </tableStyle>
    <tableStyle count="5" pivot="0" name="Sheet10-style">
      <tableStyleElement dxfId="1" type="headerRow"/>
      <tableStyleElement dxfId="2" type="firstRowStripe"/>
      <tableStyleElement dxfId="3" type="secondRowStripe"/>
      <tableStyleElement dxfId="4" type="totalRow"/>
      <tableStyleElement dxfId="5" size="0" type="wholeTable"/>
    </tableStyle>
    <tableStyle count="3" pivot="0" name="Detail12-Zone 4 Hi-tech City-Hi-style">
      <tableStyleElement dxfId="7" type="headerRow"/>
      <tableStyleElement dxfId="8" type="firstRowStripe"/>
      <tableStyleElement dxfId="2" type="secondRowStripe"/>
    </tableStyle>
    <tableStyle count="3" pivot="0" name="Detail9-10022026-style">
      <tableStyleElement dxfId="7" type="headerRow"/>
      <tableStyleElement dxfId="8"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4.xml"/><Relationship Id="rId30" Type="http://schemas.openxmlformats.org/officeDocument/2006/relationships/pivotCacheDefinition" Target="pivotCache/pivotCacheDefinition3.xml"/><Relationship Id="rId33" Type="http://schemas.openxmlformats.org/officeDocument/2006/relationships/pivotCacheDefinition" Target="pivotCache/pivotCacheDefinition6.xml"/><Relationship Id="rId32" Type="http://schemas.openxmlformats.org/officeDocument/2006/relationships/pivotCacheDefinition" Target="pivotCache/pivotCacheDefinition5.xml"/><Relationship Id="rId35" Type="http://schemas.openxmlformats.org/officeDocument/2006/relationships/pivotCacheDefinition" Target="pivotCache/pivotCacheDefinition8.xml"/><Relationship Id="rId34" Type="http://schemas.openxmlformats.org/officeDocument/2006/relationships/pivotCacheDefinition" Target="pivotCache/pivotCacheDefinition7.xml"/><Relationship Id="rId37" Type="http://schemas.openxmlformats.org/officeDocument/2006/relationships/pivotCacheDefinition" Target="pivotCache/pivotCacheDefinition10.xml"/><Relationship Id="rId36" Type="http://schemas.openxmlformats.org/officeDocument/2006/relationships/pivotCacheDefinition" Target="pivotCache/pivotCacheDefinition9.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1.xml"/><Relationship Id="rId27" Type="http://schemas.openxmlformats.org/officeDocument/2006/relationships/worksheet" Target="worksheets/sheet23.xml"/><Relationship Id="rId29"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I1:I1006" sheet="Sheet1"/>
  </cacheSource>
  <cacheFields>
    <cacheField name="Region" numFmtId="0">
      <sharedItems containsBlank="1">
        <s v="masab tank"/>
        <s v="mehdipatnam"/>
        <s v="Langar Houz"/>
        <s v="tolichowki"/>
        <s v="madhapur"/>
        <s v="ameerpet"/>
        <s v="panjagutta"/>
        <e v="#N/A"/>
        <s v="manikonda"/>
        <s v="Kondapur"/>
        <s v="Khairathabad"/>
        <s v="miyapur"/>
        <s v="not mentioned"/>
        <s v="begumpet"/>
        <s v="kukatpally"/>
        <s v="Sherilingampally"/>
        <s v="KPHP"/>
        <s v="nanakramguda"/>
        <s v="shaikpet"/>
        <s v="yousufguda"/>
        <s v="gachibowli"/>
        <s v="banjara hills"/>
        <s v="hafeezpet"/>
        <s v="Hitech-City"/>
        <s v="not mentionrd"/>
        <s v="Jubliee hills"/>
        <s v="Hyderabad"/>
        <s v="Raidurg"/>
        <s v="Borabanda"/>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R1004" sheet="Sheet1"/>
  </cacheSource>
  <cacheFields>
    <cacheField name="Date" numFmtId="164">
      <sharedItems containsDate="1" containsString="0" containsBlank="1">
        <d v="2026-02-01T00:00:00Z"/>
        <d v="2026-02-02T00:00:00Z"/>
        <d v="2026-02-03T00:00:00Z"/>
        <d v="2026-02-04T00:00:00Z"/>
        <d v="2026-02-05T00:00:00Z"/>
        <d v="2026-02-06T00:00:00Z"/>
        <d v="2026-02-07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2T00:00:00Z"/>
        <d v="2026-03-03T00:00:00Z"/>
        <d v="2026-03-05T00:00:00Z"/>
        <d v="2026-03-06T00:00:00Z"/>
        <d v="2026-03-09T00:00:00Z"/>
        <d v="2026-03-10T00:00:00Z"/>
        <d v="2026-03-11T00:00:00Z"/>
        <d v="2026-03-16T00:00:00Z"/>
        <d v="2026-03-17T00:00:00Z"/>
        <m/>
      </sharedItems>
    </cacheField>
    <cacheField name="Restaurant Name" numFmtId="0">
      <sharedItems containsBlank="1">
        <s v="Mohammed minhaj uddin(Fancy Ice Cream)"/>
        <s v="R and B hospitality (Lebanese Grill)"/>
        <s v="Rahat Restaurant"/>
        <s v="Alkemy"/>
        <s v="Begum ki briyani"/>
        <s v="Jusvous "/>
        <s v="New farmaish Restaurant"/>
        <s v="Waffle station "/>
        <s v="Al rawaf home made dishes"/>
        <s v="Bhojanams and biryani"/>
        <s v="Bhuvan's kitchen"/>
        <s v="Biryani N biryani"/>
        <s v="Bob's biryani"/>
        <s v="Eastin hotels"/>
        <s v="Ns bakers"/>
        <s v="Om Vaishnav Enterprise"/>
        <s v="Pandu fast food center"/>
        <s v="Sunrise "/>
        <s v="Vaarahi fast food and tiffins"/>
        <s v="Zyras Biryani house"/>
        <s v="Alankrutha multi cuisine Restaurant"/>
        <s v="Alnkarutha multicusine Restaurant"/>
        <s v="Ankapur Military Hotel Madhapur"/>
        <s v="Ankapur village a military hotel"/>
        <s v="Ankapur village-a military hotel (kokapet) "/>
        <s v="Govindas cafe"/>
        <s v="Guntur Mess"/>
        <s v="Lassi corner"/>
        <s v="Namaste the Indian kitchen"/>
        <s v="Rayalaseema spice Restaurant"/>
        <s v="Rolo one Bakers "/>
        <s v="Shree balaji tiffin center"/>
        <s v="Shri balaji family dhaba"/>
        <s v="Sri Udupi grand pure veg"/>
        <s v="Vidhusekhara pizzeria"/>
        <s v="Vrindaas kitchen"/>
        <s v="Ahladha kitchen"/>
        <s v="Flavours of biryani cafe "/>
        <s v="Food 4 U (Rahath)"/>
        <s v="Hunan chinese cuisine"/>
        <s v="krishna teeram"/>
        <s v="lucky Multicusine Restaurant  madhapur"/>
        <s v="Tahari house (rahaat fast food)"/>
        <s v="vijay durga pre veg tiffin and meals"/>
        <s v="Almas multi cusine Restaurant"/>
        <s v="Anand Bhavan mess "/>
        <s v="Brew commune cafe and bistro"/>
        <s v="Kissme mandi"/>
        <s v="Madapuram Restaurant"/>
        <s v="Meraj's Restaurant "/>
        <s v="Naseeb cafe"/>
        <s v="Sri balaji family Dhaba"/>
        <s v="The burger kitchen"/>
        <s v="Babu Gari Ruchulu and curry point"/>
        <s v="Lakshmi's United kitchen"/>
        <s v="Bakeway Bakers"/>
        <s v="C'est la vie bakes and cakes (pure veg)"/>
        <s v="Cafe Reels"/>
        <s v="Donut O' clock (pure veg)"/>
        <s v="Frost Bake Studio (pure veg)"/>
        <s v="Frost Bakery (pure veg)"/>
        <s v="Gupshup Bistro"/>
        <s v="Just so wow cakes"/>
        <s v="Kshatriya Grand"/>
        <s v="La boulangerie (pure veg)"/>
        <s v="Mokshi kitchen"/>
        <s v="North indian hub"/>
        <s v="Rivora"/>
        <s v="Say cheese patisserie (pure veg)"/>
        <s v="Sri sai ram food zone "/>
        <s v="Tempt Chocolates"/>
        <s v="The good sparrow"/>
        <s v="Times Green Energy India Limited"/>
        <s v="Veera Di chaap "/>
        <s v="Veeramma gari vantillu"/>
        <s v="New York Slice pizza"/>
        <s v="Soy &amp; Sesame "/>
        <s v="The Emperor"/>
        <s v="Thinnu mama"/>
        <s v="Anu archana kitchen"/>
        <s v="Brew and bloom heaven coffee shop"/>
        <s v="Laxmi addikecharla"/>
        <s v="lucky Multicusine Restaurant "/>
        <s v="Manasa kitchen swagrha sweets"/>
        <s v="MM cake factory and bakers"/>
        <s v="Pooja Dine Inn"/>
        <s v="subham grand multicusine family Restaurant"/>
        <s v="Al saba Restaurant"/>
        <s v="Amma chethi ruchulu"/>
        <s v="Andhra kitchens"/>
        <s v="Arm coffee place"/>
        <s v="Arukha flavours"/>
        <s v="Bunty biryanis"/>
        <s v="Eden Ice Treats "/>
        <s v="G Hitech Bawarchi food court"/>
        <s v="Hotel farzaan"/>
        <s v="Konaseema biryani"/>
        <s v="Krishna magic kitchen"/>
        <s v="Padmavathi food court"/>
        <s v="Punjabi Dhaba"/>
        <s v="SNS bake house bakery and cafe "/>
        <s v="Suryakantham military hotel"/>
        <s v="Trinetra cafe and Restaurant"/>
        <s v="Yummy foods"/>
        <s v="Al shawrma bites"/>
        <s v="Amogha cafe and Restaurant"/>
        <s v="Bamma Tiffins"/>
        <s v="Bulli Abbai Kodi Palau"/>
        <s v="Delhi Muradabadi Biryani"/>
        <s v="Hanuman Juice and salad"/>
        <s v="Hitech Bawarchi food zone"/>
        <s v="Hitech Biryani house"/>
        <s v="Kaaram the Authntic telangana spice kitchnen"/>
        <s v="Mother's kitchen"/>
        <s v="New Udupi sri krishna grand"/>
        <s v="Oye punjabi"/>
        <s v="Paruchuri foods"/>
        <s v="Sahi Nawab's Kitchen"/>
        <s v="Sri Aadhya Delicious"/>
        <s v="Sri Bhimanaram Thali/ Tangella Ravali"/>
        <s v="SS. Bawarchi"/>
        <s v="Vindhu maharaj"/>
        <s v="Vinni Cabin Cafe"/>
        <s v="Zeeshan Restaurant"/>
        <s v="Ahara kitchen"/>
        <s v="Sada me Brands of Bhimavarman (BOB)"/>
        <s v="Sri sai rama tiffins"/>
        <s v="Sri varahi sampradaya vindhu"/>
        <s v="A Balaji family dhaba"/>
        <s v="Al-Aadaab Arabian mandi Restaurant"/>
        <s v="Aroma biryanis and pulao's"/>
        <s v="Flavours of andhra (authentic andra cuisine)"/>
        <s v="IQ shawarma"/>
        <s v="Kings Kohinoor hotel"/>
        <s v="Mana inti bojanam"/>
        <s v="Mom's recipe"/>
        <s v="Mysore bakery/dinesh kumar"/>
        <s v="Oak Bistro"/>
        <s v="Palapiltta Ruchulu"/>
        <s v="Priyansh Fast Food"/>
        <s v="Rajasaab Royal kitchen"/>
        <s v="Samsatha tiffins"/>
        <s v="santhakam Ruchulu"/>
        <s v="Shasha shandaar shawarma"/>
        <s v="Spice theory"/>
        <s v="Sri ramana maharshi food court"/>
        <s v="Tealogy cafe"/>
        <s v="Telugu patnam ruchulu"/>
        <s v="The royal plate Restaurant"/>
        <s v="yousif shahed fain kalyani biryani"/>
        <s v="Yum yard"/>
        <s v="Zamana shawarma and fast food"/>
        <s v="Bhimavaram vari unlimited ruchulu"/>
        <s v="Blend and roast cafe"/>
        <s v="chicken shawarma hut"/>
        <s v="Deerga ayushman bhava"/>
        <s v="Fusion@49"/>
        <s v="Kamakshi curries,snacks and meals"/>
        <s v="Lassi store"/>
        <s v="Mahren's Kitchen"/>
        <s v="My Biryani"/>
        <s v="Nellore Padmavathi Ruchulu"/>
        <s v="RR Food court"/>
        <s v="SS live kitchen"/>
        <s v="Syed mohammed yasar (Grill on Fire)"/>
        <s v="Times food court "/>
        <s v="Tulija bhavani hotel"/>
        <s v="Mr.Chopsticks"/>
        <s v="Aahara food court"/>
        <s v="Astrio Restaurant"/>
        <s v="Biryani's &amp; co"/>
        <s v="Bites and Delights"/>
        <s v="Cherry's restaurant"/>
        <s v="Chinese from Mayabazaar"/>
        <s v="Dragon kitchen"/>
        <s v="Jai Bhavani food court"/>
        <s v="M/S Bhavani Mess"/>
        <s v="Made in Andhra"/>
        <s v="Mayabazar"/>
        <s v="Mcs twilight"/>
        <s v="Pasidipuri Kitchen"/>
        <s v="Pizza Mania"/>
        <s v="Qubz Restaurant"/>
        <s v="Rooster kitchen"/>
        <s v="Sangam Dhaba"/>
        <s v="Sangam family dhaba"/>
        <s v="Shawarma house"/>
        <s v="Sindhu tiffins and meals"/>
        <s v="SKG Nawab biryanis"/>
        <s v="Spicy Xpress"/>
        <s v="The Fusion Street"/>
        <s v="Times Tiffins And Meals"/>
        <s v="Rayalaseema Ruchulu"/>
        <s v="Akshaya Bhojanam"/>
        <s v="Aahara Aahvanam"/>
        <s v="Aham Parabrahma"/>
        <s v="Asian Pan House and Restaurant"/>
        <s v="Ayaansh Food Court"/>
        <s v="chinese express"/>
        <s v="BBQ Bites And Kitchen"/>
        <s v="East and west kitchen"/>
        <s v="Ichirakau ramen house"/>
        <s v="Kamakshi tiffins"/>
        <s v="Kings M Biryani Adda"/>
        <s v="madhura restraunt bar "/>
        <s v="Mohammed yaser (Tiffin Xpress)"/>
        <s v="Naidus food court"/>
        <s v="Punjabi Chaska"/>
        <s v="Rao gari military hotel "/>
        <s v="Rao gari military hotel"/>
        <s v="Red bucket biryani"/>
        <s v="Royal odisha dhaba"/>
        <s v="Sarasam the legacy of food"/>
        <s v="Sip and Chill Juice Bar"/>
        <s v="Slice and Bytes"/>
        <s v="Spicy Food Court"/>
        <s v="Squid Kitchen"/>
        <s v="Thulasi villas "/>
        <s v="Tuyaa the taste of india"/>
        <s v="Victoria Tiffins and Biryani's"/>
        <s v="Aadhya hotel"/>
        <s v="Bab Al Mandi"/>
        <s v="Five Star Chicken"/>
        <s v="ORUGALLU RUCHULU"/>
        <s v="Mickey's Tiffin"/>
        <s v="Raju gari bhimavaram biryani"/>
        <s v="Rowdy Momo expresses"/>
        <s v="Sai Mumbai famous"/>
        <s v="Sravanti Biryani"/>
        <s v="Sravanti Fast Food "/>
        <s v="Sravanti Mess"/>
        <s v="Sravanti Tiffins"/>
        <s v="Sri annapurna kitchen"/>
        <s v="Sri Sattibabu Biryani"/>
        <s v="Thunderbolts"/>
        <s v="Zafaron shawarma nd Chinese fast food"/>
        <s v="Zaiqa-11"/>
        <s v="Lassi shop"/>
        <s v="Hasi's kitchen"/>
        <s v="Hasi's pulavs"/>
        <s v="Spice Soiree"/>
        <s v="Sai Rishitha food centre"/>
        <s v="Sri Venkareswara food court"/>
        <s v="The Irawat Kitchen"/>
        <s v="The Sipping adda"/>
        <s v="Fresh Fruit Juices 'n' Bowls"/>
        <s v="Supreeth Currries and Meals"/>
        <s v="Supreeth Grand"/>
        <s v="Snacking Cafe Private limited"/>
        <s v="Sravanam 4am Biryani"/>
        <s v="Sravanam 4am kuska"/>
        <s v="Tasty flavours"/>
        <s v="Nadeem hotel"/>
        <s v="Aaha Bhojanam"/>
        <s v="Aahar vilas"/>
        <s v="Anu Kitchen "/>
        <s v="Bakely Bakers"/>
        <s v="Bakely cafe "/>
        <s v="Cafe 74"/>
        <s v="Club 10 chicken"/>
        <s v="Dostan biryani"/>
        <s v="Dostan fast foods"/>
        <s v="Dostan meals and snacks"/>
        <s v="Dosthan shawarma"/>
        <s v="Dosthan Tiffins"/>
        <s v="Hydes Diner"/>
        <s v="Khans Shawarma house ( arabian )"/>
        <s v="Bismillah Hotel"/>
        <s v="Perch 24 Cafe"/>
        <s v="Snack Bite"/>
        <s v="SnackBite"/>
        <s v="Snap foods and beverages"/>
        <s v="Sri nakshatra chinese hub"/>
        <s v="Sri Vigneshwara Aaha Bhojnam"/>
        <s v="Sri vigneshwara nellore Ruchulu"/>
        <s v="The hungry spot"/>
        <s v="M/S QUBZ the shawarma revolution"/>
        <s v="Tealogy Cafe Private Limited"/>
        <s v="Akshaya patra"/>
        <s v="Anagha kitchen"/>
        <s v="Avacado on wheels"/>
        <s v="Bhavani food court"/>
        <s v="Charcoal sahwarma "/>
        <s v="Famous arabian shawarma"/>
        <s v="Hayansh Kitchen(Authentic Andra Cuisine)"/>
        <s v="Kolipaka Srikanth(Araah Cafe)"/>
        <s v="Nawabi cafeteria and restaurant"/>
        <s v="Nawabi cafeteria Waffles"/>
        <s v="Oh My Momo's "/>
        <s v="Preeti tiffins"/>
        <s v="sekh raphik"/>
        <s v="Shaik sartaz alli"/>
        <s v="The Boat House Express"/>
        <s v="Wraps N More"/>
        <s v="5ves Diner"/>
        <s v="Amulya Abhiruchi Biryani"/>
        <s v="Amulya Abhiruchi fast food"/>
        <s v="Appis natural fresh juice"/>
        <s v="Beyond kimchi-The taste of korea"/>
        <s v="Caffine Biryani"/>
        <s v="caffine hub fast food"/>
        <s v="Caffine juice and milk shake"/>
        <s v="Caffine meals and staters"/>
        <s v="Caffine snacks"/>
        <s v="Cake corner Bakery"/>
        <s v="Chai kaburlu"/>
        <s v="classic crown restaurant"/>
        <s v="Corner fast food"/>
        <s v="Corner foods"/>
        <s v="Corner juice and milk shake"/>
        <s v="Crispy crunch dinner"/>
        <s v="D and D caterers"/>
        <s v="Dum biryani adda"/>
        <s v="Epic bawarchi "/>
        <s v="Epic bawarchi chat bhandar"/>
        <s v="Epic bawarchi tiffin centre"/>
        <s v="Healthy food promised"/>
        <s v="Healthy juices promised"/>
        <s v="Klassic Bakers and shawarma cafe"/>
        <s v="Kondapalli vijay kumar"/>
        <s v="Mana Vizag ruchulu"/>
        <s v="Military reddy tiffins"/>
        <s v="Mini Udipi's "/>
        <s v="Nellore Vantakallu"/>
        <s v="Raghuram dosa "/>
        <s v="Relax cafe"/>
        <s v="Sip of health"/>
        <s v="Slice and Bytes Biryani"/>
        <s v="Slice and Bytes food court"/>
        <s v="Sri Aadhya food court"/>
        <s v="Sri Raghavendra tiffins"/>
        <s v="Sri Tejas kitchen"/>
        <s v="Taaza Tiffins"/>
        <s v="Telangana cuisine(Indian and chinese)"/>
        <s v="The brazilian juice bar"/>
        <s v="The chinese zhag family"/>
        <s v="The english kitchen"/>
        <s v="The nice juice junction"/>
        <s v="Vizag beach street food"/>
        <s v="Telugu Ruchulu's Biryani"/>
        <s v="Telugu Ruchulu's FastFood"/>
        <s v="Telugu Ruchulu's Tiffins"/>
        <s v="Telugu Ruchulu's Curries and snacks"/>
        <s v="Telugu Ruchulu's Meals"/>
        <s v="SK foods"/>
        <s v="Amritsari Dhaba"/>
        <s v="Amritsari Khana"/>
        <s v="Chaiminar cafe"/>
        <s v="City chefs kitchen"/>
        <s v="Crispy hot wings"/>
        <s v="Deccan's Bawarchi restaurant"/>
        <s v="Dosa mart"/>
        <s v="Godavari vari vindhu maryada"/>
        <s v="Hot momo's "/>
        <s v="Hot shawarma and Wings"/>
        <s v="Hot Wings"/>
        <s v="Konaseema peddi raju ruchulu"/>
        <s v="Konsaseema Peddiraju ruchulu"/>
        <s v="Lasya fast food"/>
        <s v="Ma oori vanta"/>
        <s v="Mallesh mama fast food"/>
        <s v="Mankikanta's Eat hotsopt"/>
        <s v="Mexician fried chicken"/>
        <s v="Mummy ki Partha"/>
        <s v="Mummy ki rassoi"/>
        <s v="N Hot Chinese"/>
        <s v="Nikhil's Feast (A feast to be rembered)"/>
        <s v="Nostic Natural fruit ice cream"/>
        <s v="Rayalaseema Biryani"/>
        <s v="Rayalaseema chinese"/>
        <s v="Rayalaseema meals and curries"/>
        <s v="Second wife Biriyani"/>
        <s v="Second wife fast food"/>
        <s v="Second wife Meals C/O Guntur"/>
        <s v="Second wife rolls and snacks"/>
        <s v="Second wife Tiffins C/O Guntur"/>
        <s v="Shri Balaji chennai spices Restaurant"/>
        <s v="SRG Restro inn"/>
        <s v="The kebab kingdom(K24)"/>
        <s v="Venkateshwara Bakery"/>
        <s v="Venkateshwara Biryani"/>
        <s v="Venkateshwara Meals and curries"/>
        <s v="WOK 33"/>
        <s v="WOK 33 foods"/>
        <s v="Sainadh Snacks (Sainadh food court)"/>
        <s v="Sainadh Fast Food( Sainadh Food Court)"/>
        <s v="Sainadh Tiffins(SainadhFood Court)"/>
        <s v="Sai nadh fast food "/>
        <s v="Sainadh tiffins "/>
        <s v="Aahara Aahvanam Chinese"/>
        <s v="Aahara Aahvanam Juice and Ice cream"/>
        <s v="Aahara Aahvanam Meals and curries"/>
        <s v="Aahara Aahvanam Tiffins"/>
        <s v="Anji meals"/>
        <s v="Anji tiffins"/>
        <s v="Best biryani's and curries "/>
        <s v="Chandrasekahar Gullakunta (Meenakshi cafe)"/>
        <s v="Good moring cafe"/>
        <s v="Good moring cafe(Fast food)"/>
        <s v="Gottipati military hotel"/>
        <s v="Hammayya kadupu nindindi"/>
        <s v="Hanvika grand Biriyani"/>
        <s v="Hanvika grand fast food"/>
        <s v="House Of Dosa's"/>
        <s v="Koodu-the taste of telangana"/>
        <s v="Monkey's cafe"/>
        <s v="My3 Kitchen Biryani"/>
        <s v="My3 Kitchen Chinese"/>
        <s v="My3 Kitchen meals and curries"/>
        <s v="My3 Kitchen tiffins"/>
        <s v="Sherya fast food and momo"/>
        <s v="Snamk Hospitality"/>
        <s v="Sreeja's home foods"/>
        <s v="Sweets dude signature PVT LTD"/>
        <s v="The Hungry Kitchen"/>
        <s v="The Tasty Chapter"/>
        <s v="Thopuri Lakshikanth(Biryani Mandirr)"/>
        <s v="Zaiqa Bawarchi Restaurant"/>
        <s v="Dosarani Chethivanta Biriyanis"/>
        <s v="Dosarani Chethivanta Meals"/>
        <s v="Dosarani Chethivanta Tiffins"/>
        <s v="Kshithis kitchen"/>
        <s v="New Chanti mess biriyanis"/>
        <s v="New Chanti mess meals"/>
        <s v="New Chanti mess tiffins"/>
        <s v="P.K Food court Biriyanis"/>
        <s v="P.K Food court meals"/>
        <s v="P.K Food court tiffins"/>
        <s v="Sri saravana food and Beverages"/>
        <s v="SYVM hospitality LLP"/>
        <s v="Ahmed Restaurant"/>
        <s v="Avani Restaurant"/>
        <s v="Bhawaanee Restaurant"/>
        <s v="Cheese and mix kitchen"/>
        <s v="Chinese Adda"/>
        <s v="Chinese Adda(Sri sai bakers)"/>
        <s v="Darbar Street"/>
        <s v="Ellipaya Karam Express"/>
        <s v="Jaya laxmi food court center"/>
        <s v="Kathmandu Momo's"/>
        <s v="Lotus Biryani &amp; Fast Food Center"/>
        <s v="Mekala's Kitechen"/>
        <s v="Mohammedia Shawarma"/>
        <s v="Nagalla's shaawarma and kababs"/>
        <s v="Sri shakambhari Restaurant"/>
        <s v="Swamy's kitchen"/>
        <s v="The boat house"/>
        <s v="Udupi park pure veg "/>
        <s v="Chopsticks"/>
        <s v="Royal kitchen"/>
        <s v="Arya bhavan"/>
        <s v="Mamindla agrifarms and feeds pvt ltd"/>
        <s v="Dostea"/>
        <s v="Genz flavoria"/>
        <s v="K.G.N Hotel"/>
        <s v="Madhapur Bawarchi"/>
        <s v="Mini cafe"/>
        <s v="Open heart restaurant"/>
        <s v="R.K Biryani"/>
        <s v="Rajahmundry vaari real rose milk"/>
        <s v="Sri sai Raghavendra tiffins and meals"/>
        <s v="Udipis ahaara arogya"/>
        <s v="Zucifera"/>
        <s v="Sri Vengamamba Tiffins"/>
        <s v="Sri vengamamba Deluxe mess"/>
        <s v="Sri vengamamba chinese food"/>
        <s v="(Burger) Munchies"/>
        <s v="Babai hotel est.1942"/>
        <s v="Bamboo chicken "/>
        <s v="Biryani and More"/>
        <s v="Biryani N Moree (Pot Biryani)"/>
        <s v="Exotica slice and sauce private limited"/>
        <s v="Hotel the nawabi zaiqa(Bevarages)"/>
        <s v="Hotel the nawabi zaiqa(Biryani)"/>
        <s v="Hotel the nawabi zaiqa(chinese)"/>
        <s v="Hotel the nawabi zaiqa(Non Veg Curries)"/>
        <s v="Hotel the nawabi zaiqa(Parata)"/>
        <s v="Hotel the nawabi zaiqa(Pulka)"/>
        <s v="Hotel the nawabi zaiqa(Rices)"/>
        <s v="Hotel the nawabi zaiqa(shawarama)"/>
        <s v="Hotel the nawabi zaiqa(Veg Curries)"/>
        <s v="IDV kitchen muntha masala"/>
        <s v="Karthikeya Chitti Nethi idly"/>
        <s v="Kolkata food plaza"/>
        <s v="Munchies (Shawarma)"/>
        <s v="Pragatee Kitchen"/>
        <s v="Royal Family Dhaba "/>
        <s v="Royal Family Dhaba KEBAB"/>
        <s v="Ruchi chupistha"/>
        <s v="The Munchies (MOMO) "/>
        <s v="The sandwiches"/>
        <s v="Aroma Biryani's and Pulauo's"/>
        <s v="Aroma Cafe (Biryani)"/>
        <s v="Aroma Cafe (chinese)"/>
        <s v="Aroma Cafe (snacks and juices)"/>
        <s v="Aroma Cafe (Tiffins)"/>
        <s v="Aroma meals and chinese"/>
        <s v="Balaji kitchens "/>
        <s v="Balaji muntha masala "/>
        <s v="DFC (Dodla Fire Chicken)"/>
        <s v="Dwaraka mai tiffins"/>
        <s v="Hotel valentine"/>
        <s v="Hotel valentine Tiffins and meals"/>
        <s v="KBR Crispy chicken"/>
        <s v="KBR Popcorn chicken"/>
        <s v="Mammu's chinese kitchen"/>
        <s v="Mammu's kitchen"/>
        <s v="Om sri Hanuman foods"/>
        <s v="R.K Chinese"/>
        <s v="Sirf Chinese"/>
        <s v="The Hazelnut Co"/>
        <s v="Ala konaseemaloo currys"/>
        <s v="Ala konaseemaloo "/>
        <s v="VHR'S Tea @ Coffee"/>
        <s v="Vinayaka Tiffins"/>
        <s v="Tea Time"/>
        <s v="Adbuthaha Tiffins "/>
        <s v="Pulavs By One Kitchen"/>
        <s v="Mad Over Maggies "/>
        <s v="Godavari food court"/>
        <s v="Qubz"/>
        <s v="Celebs"/>
        <s v="Mathani Juice Hub"/>
        <s v="Rainbow foods"/>
        <s v="Maska Chaska  The Fast Food Company"/>
        <s v="Candella heights LLP (Monday Hotels)"/>
        <s v="Muisyle Elite Hospitality (Monday Hotels)"/>
        <s v="Sri Venkateshwara Hospitality (Monday Hotels)"/>
        <s v="Shriman Hotels LLP (Monday Hotels)"/>
        <s v="Zufra Mandi "/>
        <s v="Naivedya(Taste of Prasadam)"/>
        <s v="Zamindar's Cafe"/>
        <s v="Garuda Cafe"/>
        <s v="Gonguras by Garuda"/>
        <s v="Prathika Fast Food and Biryani Center"/>
        <s v="Grand Lucky Restaurant"/>
        <s v="Lassi Story"/>
        <s v="Ch Raja Anvesh C/O Ulava Padu Biryani and Pulaos"/>
        <s v="Olden Days Tiffins"/>
        <s v="Aaha Kitchen"/>
        <s v="Anandobrabma"/>
        <m/>
      </sharedItems>
    </cacheField>
    <cacheField name="RM/KAM" numFmtId="0">
      <sharedItems containsBlank="1">
        <s v="nitya.akshara@capsdelivery.com"/>
        <s v="manasa.chigurupati@capsdelivery.com"/>
        <s v="ankitha.baske@capsdelivery.com"/>
        <s v="madhumitha.sonnakula@capsdelivery.com"/>
        <s v="chanakya.inugala@capsdelivery.com"/>
        <s v="parthive.maganti@capsdelivery.com"/>
        <s v="akhila.narra@capsdelivery.com"/>
        <s v="greeshma.vanneldas@capsdelivery.com"/>
        <s v="moin.khan@capsdelivery.com"/>
        <s v="sumadhur.mummadi@capsdelivery.com"/>
        <s v="Srivani.reddy@capsdelivery.com"/>
        <s v="anisha.poddar@capsdelivery.com"/>
        <m/>
      </sharedItems>
    </cacheField>
    <cacheField name="Type of Ownership" numFmtId="0">
      <sharedItems containsBlank="1">
        <s v="Proprietorship"/>
        <s v="Partnership"/>
        <m/>
        <s v="LLP"/>
        <s v="Trust(company)"/>
        <s v="Pvt ltd"/>
        <s v="not mentioned"/>
        <s v="patnership "/>
        <s v="Private limited company"/>
      </sharedItems>
    </cacheField>
    <cacheField name="Address" numFmtId="0">
      <sharedItems containsBlank="1">
        <s v="Rs complex vijayanagar colony near anjuman deendar back gate,masab tank,hyd "/>
        <s v="12-2-825/2, Mehdipatnam"/>
        <s v="12-2-486,4/7,Tappa Chabutra rd, asif nagar"/>
        <s v="kismatpur, survey 132,alkemy, 1/2 near prestige royal woods, abhyudaya nagar,dargah khaleejkhan"/>
        <s v="Attapur, Hyderabad"/>
        <s v="Banglaguda plot no 13/a bandlaguda,rahendranagar"/>
        <s v="survey no.37,himayath sagar village bandlaguda jagir muncipal corporation gandipet mandal"/>
        <s v="Hakeem shah colony,tolichowki,hyderabad"/>
        <s v="plot no.87,swamy ayyappa society,madhapur,hyd"/>
        <s v="H.no:6-331192/1/g/3 block-1 ground floor white house,kundanbagh,begumpet"/>
        <s v="13-6-798/1/1,bapughat langa howz circle,13 hyd"/>
        <s v="1-8-370and372 abhishek scan center,2nd floor near huda office,begumpet"/>
        <s v="2-52/1/3 hitech city rd,phase 2,kaveri hills madhapur,hyd"/>
        <s v="H.no:7-1-455/23/12,Ameerpet gurudwara road, telangana,"/>
        <s v="bus shelter stall,bus bay premises on sp road,opp anand theater and piller non1292, sindhi colony,begumpet "/>
        <s v="B41/f5 shop no.3 ps nagar,vijay nagar"/>
        <s v="H.no:325/2rt,sanjeev reddy nagar,umeshchandra statue"/>
        <s v="plot no.111,60ft road swamy ayyappa society,megha hills,khanamet,madhapur,hyd"/>
        <s v="plot no.03-805,shop no.2 ground floor M and M elite home,sri swamy ayyappa co-op Hs madhapur,hyd"/>
        <s v="plot no-1206,madhapur,kondukur,rangareddy,telangana"/>
        <s v="plot no.1206,madhapur,kandukur,rangareddy, telangana"/>
        <m/>
        <s v="1-98/2,durgam chervu,inorbit mall rd, hyd"/>
        <s v="osman sagar, kokapet gandipet, hyd,telangana"/>
        <s v="plot no.220,mushak mahal residential, attapur,hyd"/>
        <s v="manikonda, ayyappa society"/>
        <s v="plot no 7,syno 17 ground floor R.R district 500047"/>
        <s v="h.no:1-98/6a/14,plot no 42 road no.3, patrikanagar hitech city,madhapur, hitech city"/>
        <s v="plot no. 501,sy no.11/14.11/15,11/16,khanamet village ayyappa society,htd"/>
        <s v="plot no.1208,g1andg2,ground floor,ayyappa society,madhapur,hyd,telangan"/>
        <s v="p.no.4(a),1-89/8/4, madhapur ,hyd,telangana"/>
        <s v="4-17-12,hitech city santosh residency,beside farmaish Restaurant,gandamguda,hyd"/>
        <s v="Gudi malkapur,12-2-417/46/9,sharada nagar colony gudimalk"/>
        <s v="Gudimalkapur, hyderabad 13-6-460/112, mahesh nagar gudimalkapur"/>
        <s v="plot no.o1,first floor survey no,12 kondapur village serlingampally circle"/>
        <s v="shopon plot no.2a in sy no 2a in sy no.12, situated at 500084"/>
        <s v="plot no 68,shop no 5,Ayyappa society main road,madhapur,serlingampally circle no20 hyd "/>
        <s v="6-1-964,shop no 2, khairthabad circel, no.17"/>
        <s v="12-1-486/b/4 krishan nagar"/>
        <s v="jap  hind gandhi road near ayyappa society hyd telangana "/>
        <s v="Ground flooor, plot no 84 sy no.11 swamy apyyappa housing society khanamet,hyd"/>
        <s v="sy no. 54,58,59 plot no 1,part gb guttala begumpet madhapur road"/>
        <s v="12-1-486/b/4/1,kishan nagar, tappachabutra road,hyd "/>
        <s v="12-1-486/b/2/5 krishan nagar,Tappachabuta"/>
        <s v="H.no:1-90/7/b/173,plot no.5,madhapur,selingampally circle no.20,hyd, telangana"/>
        <s v="not mentioned"/>
        <s v="H.no:1-98/9/3/74/2,R L raidurg,jai hind enclave,seasons pool, madhapur,hyd"/>
        <s v="shop no 7 first floor,plot no 2-56/11/53/a survey no 11/6 telangana"/>
        <s v="DROPPED"/>
        <s v="D.no:2-46/1,plot no 33/a megha hills cahndanagar circle,hyd,Telangana"/>
        <s v="x road, royal colony,mehidpatnam"/>
        <s v="13-1-1234,salum nasseb complex a/1,tappa"/>
        <s v="12-2-417/46/9,sharada nagarn colony gudimalk "/>
        <s v="plot no 51 khanamet,attapur,chandanagar,circle no2 hyd"/>
        <s v="100feet road, madhapur"/>
        <s v="7-1-455/12 opposite Bata showroom, Balkampet road,Ameerpet Hyd"/>
        <s v="138/1,flat no 45 sham apt,secunderabad 138/1,flat no 45 shama apt sindi colony pg road "/>
        <s v="floor no:ground floor,building no.1,d.no:1-98/90c beside durgamma temple,ayyappa society road"/>
        <s v="secunderbad circle 138/1,flat no 45 sham apt,secunderabad"/>
        <s v="138/1,flat no 45 sham apt,secunderabad 138/1,flat no 45 shama apt sindi colony pg road 500003"/>
        <s v="H.no:1-8-125/1/ g-2, shop no.2 , shop no.3 Aman arcade pg road, secundarabad, no. 129, hyderabad telangana"/>
        <s v="H.no: 4/1 Mig, ground floor , kphb colony, kukatpally,hyd"/>
        <s v="138/1,flat no 45, sham apts, secunderabad,sindhi colony pg road"/>
        <s v="plot no.2/a,whitefeilds,kondapur,serlingampally circle no 20,hyd"/>
        <s v="sutter no.3, plot no .2a sy no.12,kondapur serlingampally circle no.20 hyd"/>
        <s v="Gokul plots no.397and 492,VR Colony,beside vijetha super market,kphb"/>
        <s v="Mig-64 dharmareddy colony phase-1 kphb colony kukatpally,moosapet circle no.23,"/>
        <s v="sy no.274(a) aparnahills park, commerical buildings behind gangaram lake, chanda nagar"/>
        <s v="Jsr mall,vidia colony,madeenaguda,near allywn x road,miyapur"/>
        <s v="1-55/196 and 199A botanical garden road,serilingampally circle co 20"/>
        <s v="somajiguda, jumaaldinne laxmi,shop no 7, H.no 6-3-650"/>
        <s v="H.no: 1-8-153/2, shop no-1 ground floor pg road, paradise, secunderbad"/>
        <s v="plot no.11-12,block-f2, sainnath enclave, venkatramana colony, gokul plots, kphb, kukatpally"/>
        <s v="sai gayathri towers finacial district Nanakramguda,Telangana"/>
        <s v="sai gayathri towers finacial district Nanakramguda,Telangana "/>
        <s v="10-4-3,afia plaxa,near NMDC-vijay nagar colony,masab tank,hyd,telangana"/>
        <s v="h.no:8-1-284/ou/152,ou colony,shaikpet,jubilee hills circle no.18,hyd,telangana"/>
        <s v="sri sai arcade,beside prince biryani point,khairatabad circle no.17 hyd"/>
        <s v="flat no.5 1st floor block no-6 municipal no;15-31-21-6/5,kphb colony,hyd"/>
        <s v="Door no.6-3-1089/f/3/3 somajiguda,hyd,telangana"/>
        <s v="H.no:15-31-2L-1-5/275/3,lig-5/2,phase-3,kphb colony,kukatpally,hyd"/>
        <s v="opposite metro pillar no 833 beside vikings cricket, sangeet nagar,kukatpally,hyd"/>
        <s v="H.no:1-8-155/A 1st floor, pg road, secunderabad,begumpet circle no.30 Hyd, telangana"/>
        <s v="H.no:6-3-902/2and3,first floor,raj bhavan road,somajiguda,hyd,telangana"/>
        <s v="h.no:8-3-222/c/1/12,ground floor,madhura nagar,yousufnagar,hyd,telangana"/>
        <s v="8-3-6333/82/1,ali nagar, tawwal nagar,yella reddy,hyd,telangana"/>
        <s v="8-3/633/82/1,ali nagar,tawak kal, vellareddy guda,khairthabad circle no.17 hyd"/>
        <s v="plot no:11and12,sai nath enclave,gokul plots venkata ramana colony kphb,kukatpally"/>
        <s v="shop no.5, Manjira plaza,opposite Aadithya trade centre,near maithrivanam road,srinivas nagar,ameerpet,hyd,telangana"/>
        <s v="1-21/1 Madhapur,hyd,circle no.20,serlingampally"/>
        <s v="gate no 4,toulichowki gate no4,paramount colony near toulichowki "/>
        <s v="8-3-6338/82/1,ali nagar,yella reddy,hyd,telangana"/>
        <s v="Two shutter no.1 and 2, in h.no:8-3-318/6/3/13/1/18,ali nagar,tella reddy guda,yousufguda circle no.19,hyd"/>
        <s v="h.no:33-a,aphb colony,indira nagar,gachibowli,serlingampally circle no-20,hyd"/>
        <s v="h.no:8/1,in sector-2 of hudo techno enclave,madhapur,seringampally,rangareddy"/>
        <s v="no.2-22-311/53 A and 82a/31/a,p.no-53-a and 82-A, addagutta co-op society,bhagya nagar colony,kukatpally"/>
        <s v="ground floor, H.no:7-14/32/2b/g-01,Rajendra nagar,R.R dist"/>
        <s v="Manikonda,nanakramguda,selingampally circle no.20,hyd,telangana"/>
        <s v="H.no:2-23-310/83C ground floor,Addagutta society,pragthi road kukatpally,hyd"/>
        <s v="7-18-25/27/101,plot no.25,26,27,Alkapur,Ranga Reddy,Telangana"/>
        <s v="kavya deluxe apartment,lata enclave,madhuranagar,hyderabad"/>
        <s v="plot no.242,bayuth colony,pippalaguda,manikonda,Rajendra nagar,rangareddy"/>
        <s v="H.no:B/22,23,24,vengal rao nagar,khairtabad circle no.17,hyd.telangana"/>
        <s v="MIG-154,gachibowli,selingampally circle-20,hyderabad,telangana"/>
        <s v="plot no.64,opp HP petrol pump,peeramchervu,Gandhamguda,Bandlaguda jagir,hyd"/>
        <s v="H.no:1-59/8/2, nandi co-operative society,miyapur,serlingampally ranga reddy district hyd"/>
        <s v="H.no:4-28 plot no.28,dwauak nagar colony,banglaguda jagir,rajendra nagar"/>
        <s v="shop no.8,kk towers,yousufguda main road,engineers colony,telangana"/>
        <s v="8-3-222/8/76/G2, Madhura nagar, Circle No/17 hyderabad  HYD"/>
        <s v="plot no.82/c road no.3,shutter no.1,Addaguta society,kukatpally,hyd"/>
        <s v="51/b  vengal rao nagar,hyd,yousufguda circel no.19,hyd,telangana"/>
        <s v="Gandipet no.75,76,77,dwauaka nagar main road"/>
        <s v="H.no:2-27/7,vinayak nagar,gachibowlli,hyd,telagana"/>
        <s v="Rajendra nagar,hyderabad,1-224,kistmathpur,rajendra nagar"/>
        <s v="h.no:2-92/32,shop no.4,kondapur whitefields,selingampally circle no.20,hyd,telangana"/>
        <s v="CCPQ+HH8,yousufguda main road,lata enclave,besides,rayalavari ruchulu,madhura nagar,hyd,telangana"/>
        <s v="8-3-222/8/72,G-4,madhuranagar,yousufguda,hyd circel no.19,hyd"/>
        <s v="8-3-228/1280/46,jawahar nagar,yousufguda,hyd"/>
        <s v="9-1-364/G/1, Bapu ghat,langarlouz,hyd,500008,karwan circle no.13,hyd,telangana"/>
        <s v="D.no:2-22-134/A/1,vijaya nagar colony,opposite,patel kunta huda park,kukatpally,hyd"/>
        <s v="SHOP NO:10, Abhuyudaya Nagar-Anandh nagar colony-Himayathsagar village),Gandipet, Rangareddy, Telangana -500075"/>
        <s v="5-69 and 70/2 opposite,ratanadeep,select market westend colony,bangladuga jagir,hyd"/>
        <s v="8-3-228/678/1395,sri ram nagar,yousufguda circle no.19,hyderabad"/>
        <s v="2-94-,youth colony,beside flyover,opposite genpact,old hafeezpet, hyd ,telangana"/>
        <s v="Langarhouz"/>
        <s v="plot no.2A,opposite,divya shree,kondapur,hyd,serlingampally circle no.20,hyd,telangana"/>
        <s v="shop no.5 and 6 suitated opposite pochama galli dusakot village,gandipet"/>
        <s v="plot no.1,dargakhaliz khan,LV prasad eye instituation,h.no:14,,kismatpur,"/>
        <s v="1-90/2/E/A,sri sai nilayam,vinyaka nagar colony,madhapur,hyd"/>
        <s v="h.no:3-3/55,tulja bhavani nilayam vinay aka nagar colony,banglaguda jagir,rajendra nagar"/>
        <s v="6-58,dargha khaliz khan,kismatpur,rajendranagar,rangareddy"/>
        <s v="plot no.21A,sy no.12,whitefeilds,opposite,divya shree omega,kondapur,hyderabad,selingampally circle no&gt;20,hyd"/>
        <s v="D.no:6-3-1192/1/G/8,white house,G4,kundanbagh,begumpet,hyd,telangana"/>
        <s v="sy no.20/AA western colony,gandhmguda,banglaguda,telangana,gandipet"/>
        <s v="survey no.37,himayath sagar village,gandipet mandal,rangareddy district,telangana"/>
        <s v="h.no:5-68,shantinagar,hydershakote,banglaguda(jagir),rajendranagar"/>
        <s v="shop no.101 plot no.36 st.mincheals colony,banglaguda,gandipet"/>
        <s v="shutter no-1,first floor,h.no:2/17,satya towers,opposite,hanuman mandir,kothguda,hyd"/>
        <s v="sy no.88, near old hafeezpet,sai nagar,opposite genpact company,serilingampally, hyd"/>
        <s v="8-3-228/678/1398,sri ram nagar,near syedna omar masjid,yousufguda circel no.19,telangana"/>
        <s v="5-12A,darga khaliz,khaan guda,telangana"/>
        <s v="h.no:8-228/b/b/b,rd no.3,banjara hills,jubliee hills circle no.18,hyderabad"/>
        <s v="LIG 153,KPHB phase 7,kukatpally,moosapet circle no.23,hyd"/>
        <s v="8-3-235,yousufguda,hyd,khairthabad,circle no.17,hyderabad"/>
        <s v="plot no.146,beside dry fruit shop srinagar colony,main road hyderabad circle no.17"/>
        <s v="6-3-598/5 ground floor,venkataramana colony,khairatabad circle  no.17,hyd,telangana"/>
        <s v="Ishaq ahemed,h.no:2-499,sai nagar,old hafeezpet,selingampally circle no.20,hyd"/>
        <s v="plot no.212,prashanth nagar,kothaguda kondapur"/>
        <s v="H NO 1-31/A SRI RAMNA ARCADE KONDAPUR, Serlingampally Circle No 20,Hyderabad, Telangana - 500084"/>
        <s v="Yadagiri nagar rd,Jawahar nagar,yousfguda,khairthabad circle no.17,hyd"/>
        <s v="Road no.30,alkapoori township,hyd,rangareddy district"/>
        <s v="Seeramnagar colony,puppalguda village and G.P,rajendranagar mandal,puppalguda"/>
        <s v="H.no:37/4,near malaysian township,kphb colony,kukatpally circle no.24,hyd"/>
        <s v="sy no.88/9,h.no:1-85/5/A,old hafeezpet,miyapur,hyd circle no.12,"/>
        <s v="survey no.82,raidurg,panmaktha,serllingampally circle no.20,Hyd,telangana"/>
        <s v="sr.botanical garden road,hyd,kondapur,telangana"/>
        <s v="LIG 222,7th phase,kukatpally circle no.24,hyd,telangana"/>
        <s v="CRQR+ PJ. hyderabad, near lotus community srinivas nagar, madhura nagar"/>
        <s v="6-1-9,shop no.47,savinagar,pottisree Ramulu maig,khairtabad circle no.17,hyd,telangana"/>
        <s v="Villa 05, Wonder cherish villas, masjid banda, hyd, telangana"/>
        <s v="G1 Anusha Enclave Golden Temple, Rd, Secretariat  colony, Sri ram nagar colony,"/>
        <s v="8-1-284/472,ou colony,shaikpet,hyderabad,jubliee hills circle shop no.18"/>
        <s v="Villa 05, Wonder Cherish Villas, Masjid Banda,, Serlingampally Circle No 20,Hyderabad, Telangana - 500084"/>
        <s v="suryarao gonthireddy,h.no:5-3-37/B,madinaguda,chandanagar circle no.21,hyd,telangana"/>
        <s v="H.no:6-3-347/9/4/c, dwarakapuri colony,panjagutta,khairatabad circle, hyderabad,telangana "/>
        <s v="H.No-3/14/15, plot No 141 eg. No. 222, sai Tulasi enclave -1, Vallinagulapath, village, Narsingi."/>
        <s v="p.no 30 &amp;31, s y no 167, villa no 5, wonder cherish villas, masjid banda, kondapur, HYD,Telangana"/>
        <s v="Twilight, Road number 1, Neknampur Rd,Puppalguda, Rajendranagar, Rangareddy,Telangana - 500089"/>
        <s v="sy no-192, Camelot layout, kondapur, sangareddy, Telangana"/>
        <s v="G2 beside,baskin robbins, smr vinay hiland,miyapur,hyderabad "/>
        <s v="shop no.1,D.no:8-1-28/ou/448,Dream vally rd,ou colony,shaikpet,hyd"/>
        <s v="5-3/37/6,SR enclave,manjeera pipeline road,opposite raycon residency,mandinaguda,hyd,telangana"/>
        <s v="himyathnagar"/>
        <s v="Innu ringroad ground floor 3-4-104/1/,hyderguda 404 road attapur,hyd"/>
        <s v="plot no.16,madinaguda main road,chandanagar,hyderabad,chandanagar circle no.21,hyd,madinaguda"/>
        <s v="6-1-82 and 83/gf/1,ground floor ssr chambers,lakdikapool,hyderabad,khairthabad circle no.17"/>
        <s v="Cfrp+M7h pg road sappu bagh apartement sindi colony,begumpet hyd"/>
        <s v="shop no.07,block 01,RBR complex,miyapur,chandanagar circle no 21,hyderabad"/>
        <s v="1-27-356,Bapuji nagar,content munt aua except csds cantonment secunderabad,tealngana"/>
        <s v="HIG 41/1,9th phase rd,kphb phase 6,kukatpally,hyderabad,telangana"/>
        <s v="Puppalguda, Alkarpur township, 500089 Alwal circle No.23, hyderabad"/>
        <s v="Shop No.1, Block No:1, RBR Complex, Miyapur Chandanagar circle No 21, Hyderabad "/>
        <s v="Serlingampally circle no.20,hyd,telangana"/>
        <s v="Q city road,near US consultancy,serlingampally circle no.20,hyd,telangana "/>
        <s v="SY NO-78, KOLAN Rangareddy Function Hall Complex, Hyder Nagar, Nizampet, Kukatpally "/>
        <s v="Plot No 20/9, SY NO 1009, 1st floor, 6th phase KPHB colony, Moosapet circle No 23, Hyderabad, Telangana "/>
        <s v="13-6-815/13/1 ambedkar nagar langr house mehdipatnam circle no 12, hyderabad"/>
        <s v="20/10,6 phase Kphb, Kukatpally Circle NO 24, Hyderabad, Telangana "/>
        <s v="f908+gjh,shop no.1,siddhiq kebab centre dhaba, kondapur lane,gachibowli"/>
        <s v="momi gupta, plot no 111, sunrise colony, sajjan singh layout, narsingi, gandipet, mandar, r.r  dist"/>
        <s v="portion no.4,first floor,sp's saroja complex,plot no.20/9,sy no.1009,situated at 6th phase kphb colony,kukatpally"/>
        <s v="sri ram nagar colony,serlingampally circle no.20,hyd"/>
        <s v="7-4-413/11 ASR nagar east ameerpet, amberpet circle no. 16, hyderabad, telangana,"/>
        <s v="5-5-69 &amp; 70 Opp Jain Apartment, Gandipet, Rangareddi, Telangana"/>
        <s v="6-73/241,Bayuth colony,alkapur road,hyd,khairtabad circle no.17"/>
        <s v="c/o diyi satanayan plot no 151 h no 20-151 , surabhi colony, lingampally, lingampally, kv reddy, serlingampally "/>
        <s v="h.no 1-90/c/8, inside sri krishna food court, hudo techno enclave, opp LP tower, vittalrao nagar, hitech city "/>
        <s v="sai raghava enclave,beside vijetha,super market,ameenapur,chandanagar,selingampally"/>
        <s v="h.no:2-41/5/A,3rd street,police colony,hanuman nagar,kondapur"/>
        <s v="hyderabad bucket and kunda biryani,2,bus stop,15-25-890/3,temple beside vijetha super market,kphb phase 1,kukatpally"/>
        <s v="H.no:2-41/1 kothaguda,prashanth nagar colony,kondapur,serlingampally circle no .20,hyd"/>
        <s v="tngo'S colony,phase 2,gachibowli"/>
        <s v="H.NO.: 16-31-20/1/S2, Shop No 2 SVS Elegant Phase-6 , KPHB colony, kukatpally"/>
        <s v="Road no.5 KPHB kukatpally opposite punjab national bank beside american tourister, Kukatpally "/>
        <s v="h.no 1-57, serlingampally, circle no 20, hyd, telangana "/>
        <s v="TNGO's colony, phase-2 , gachibowli, hyderabad"/>
        <s v="23-83, BESIDE CMR SHOPPING MALL, BHEL, CHANDA NAGAR, HYDERABAD -500050, Chandanagar circle No 21, Hyderabad, Telangana-"/>
        <s v="tngo'S colony,phase 2,gachibowli,Hyderabad"/>
        <s v="beside hyderabad golf club, near banjara darwaza, golconda, fort road,tolichowki,hyderabad"/>
        <s v="plot no - 149, kismatpur road, near velly view enclave bandlaguda, hyderabad "/>
        <s v="7-1-282/C sriram nagar colony, Balkampet , hyd 500018, Begumpet circle NO 30"/>
        <s v="Plot No. 279 27/a, khanamet village, Hi-tech city. Seringampally near SSR on the way drive in , Seringampally "/>
        <s v="h.no:1-72/3, p no.7,sy no.18,gachibowli village,serlingampally mandal,rangareddy"/>
        <s v="S.R ecclave,5-3/37/6,manjeera pipelane rd,oppsite,raycon residency,mvtri nagar,phase-3,miyapur"/>
        <s v="LIG:35/3,3rd phase,kphb colony,hyd,kukatpally circle no.24,hyd,telangana"/>
        <s v="HNO No. 2-41/11/10/11, G3, Sri sai shanti residency prashanth nagar, kothaguda circle "/>
        <s v="Door No, 2-41/11/10/, G3, Sri sai residancy prashanth nagar, kothaguda circle "/>
        <s v="Door No, 2-41/11/10/, G3, Sri sai residancy prashanth nagar, kothaguda "/>
        <s v="plot no 749, sy no 61, sri ramnagar colony, gandipet, rangareddy, telangana "/>
        <s v="bilwa 36,5th floor,plot no.1101,road no.36,next to IDBI bank,cbi colony,jubliee hills,hyd"/>
        <s v="plot no.145,babu khan line,PJR nagar,Gachibowli,serlingampally circle no.20,hyd"/>
        <s v="plot no.1031,matrusri nagar colony,miyapur,hyd"/>
        <s v="flat no.G2,mythri bhavan,veshweshwara nagar,madinaguda,serlingampally circle no.20,hyd"/>
        <s v="shop no.3,h.no:6-94/17/1,MIG-101,Noorjahan complex,huda colony,chandanagar,hyd"/>
        <s v="plot 5-327, sree ram nagar colony, puppalguda rajendra nagar mandal, rangareddy district "/>
        <s v="plot no  -199,TNGO's colony, financial district, rajendra nagar"/>
        <s v="plot no 419,  j-heights, TNGO's colony, financial district, gachibowli,manikonda, rajendra nagar"/>
        <s v="RHS-R6-UE, Near Nift college, Hitech city metro chanda nagar Circle No 21, HYD "/>
        <s v="Plot No. 35, khampet , Hitech city, Chandanagar circle No. 21, Hyderbad "/>
        <s v="plot no.35,khanmet,chandanagar circle no.21"/>
        <s v="Sy No. 183, maseed banda kondapur, serlingampally circle NO 20. Telangana - 500084"/>
        <s v="h.no:8-3-228/678/140,sri ram nagar,moti nagar,yousufguda circle no.19,hyd,telangana"/>
        <s v="sy no.203, to 210p1,Tngo colony,backside Q city,gachibowli,selingampally,circle no 20"/>
        <s v="plot no:1449,sy no.78,gokul plots,venkata ramana colony,hyderabad"/>
        <s v="Plot No 1, Amrutha Enclave, Gandipet, Bandlaguda Jagir Rajendranagar, rangareddy, Telangana - 500086"/>
        <s v="H.no:4-229 and 230,plot no.227,sy no.78-93,Raja rajeshwara nagar,kondapur,selingampally circle "/>
        <s v="Tngo's colony,plot no.243,phase 1,kv ranga rao circle no.20"/>
        <s v="Baditha priyanka,plot no.782,seven hills driven,gopal nagar,Hafeezper,hyd"/>
        <s v="sy no.38,39,40,khanmet village,serlingampally circle no.20,hyd"/>
        <s v="H.no:8-2-248,shop no.G4,lumbini amrutha chambers,road no.3,banjara hills,hyd,telangana"/>
        <s v="8-1-398/ PM/175, paramount colony telangana - 500008 gate no. - 3, jubliee hill circle no. 18, hyd."/>
        <s v="plot no.22,part 1,amartahanda nagar,new hafeezpet,miyapur,selingampally,hyd"/>
        <s v="Plot No. 7, Near Crayon Hospital, Prasanth Nagar Colony, Bandlaguda (Jagir),Rajendranagar, Rangareddy, Telangana -500091"/>
        <s v="Plot No:- 7, Near Crayon Hospital, Prasanth nagar colony Bandlaguda Jagir, Rajendranagar, Rangareddy, Telangana - 500091"/>
        <s v="plot no.84/1,miyapur,chandanagar circle no.21,hyd,telangana"/>
        <s v="syapu kiran babu,plot no.782,seven hills,driveinn,gopal nagar,hafeezpet"/>
        <s v="plot no.212,Tngo's colony,wipro circle,near appolo pharmacy,circle no.20,hyd"/>
        <s v="Raja rajeshwarangar,GF9C4+2x9,kondapur,gachibowli,telangana"/>
        <s v="shop no.3,H.no:5-3/12,plot no.12,sai tulsai enclave,rattinagulapally,gandipet(19),ranga reddy"/>
        <s v="h.no 5-3/12, plot no 12, phase-I, sai tulasi enclave, vattinagullapally,rajendranagar"/>
        <s v="369,swathi avenu,ameerpet,khairtabad circle no.17,hyd,telangana"/>
        <s v="11-05-167/2,bhavani nagar,near pochamma temple,moosapet,hyd"/>
        <s v="shop no.1,patrika nagar,SLR guest house,selingampally circle no.20,hyd"/>
        <s v="7-1-403,balkampet road,ameerpet,khairtabad circle no.17,hyd,telangana"/>
        <s v="8-4-548/s 116/1,sanathnagar,erragada,hyd"/>
        <s v="plot no 122, venkateshwara colony oppo hospital kistmapur, rangareddy telangana "/>
        <s v="plot no 34 &amp; 5 park KFC lane near jv colony jubilee hills circle no 18,hyderabad telangana"/>
        <s v="road opposite LV prasad eye institute abhyudaya nagar,dargha khaliz khan,kismatpur"/>
        <s v="sy no.104-106,beside vaishnavi oasis,bandlaguda jagir,kismatpur road"/>
        <s v="sy no.104,beside vaishnavi oasis,bandlaguda jagir,kismatpur road"/>
        <s v="L135/3 3rd phase,bsnl road,temple,bus stand,kphb colony,kukatpally circle"/>
        <s v="plot no.156,part 1,narsingini,manikonda,rajendra nagar,rangareddy"/>
        <s v="plot no 202, beside kamadhenu jewellers, TNGO's colony, gachibowli, hyderabad,telangana"/>
        <s v="no. 4/5/6, shop no.2, kismatpur,shivasai colony, kismatpur, rajendranagar, rangareddy, telangana, 500030"/>
        <s v="8-4-549/26,netaji nagar,erragada,yousuf guda circle no.19,hyd,"/>
        <s v="H.no:1-72/3/316/27,plot no.27 and 37,gachibowli,serlingampally circle no.20"/>
        <s v="kedarisetty veera venta satya,MIG-264,shop no.3,road no.4,near apollo,kphb,kukatpally"/>
        <s v="MIG-264,shop no.3,road no.4,near apollo,kphb,kukatpally"/>
        <s v="shop no.1,JSR classic,vijetha super market,pragathi nagar,nizampet"/>
        <s v="Ragiv gandhi nagar,langarhouz,hyderabad,telangana"/>
        <s v="h.no:8-3-229/D175,ventatagiri,yousufguda,hyd,telangana"/>
        <s v="8-3-228/A/12,RRV apartments,opposite srisalam yadav"/>
        <s v="shop no.6,partika nagar,madhapur,serlingampally circle"/>
        <s v="LIG 22/2,ramya grounds road,3rd phase KPHB,moosapet circle"/>
        <s v="11-1-12751B,new bhoiguda,afzal sagar,goshamahal circle no.14,hyd,telangana"/>
        <s v="1-19,narayankhed,abenda,narayankhed,pragathi nagar,kukatpally"/>
        <s v="6-1-69/1,plot no.68,street no.7,bhagyalaxmi colony,manikonda,telangana"/>
        <s v="plot no.13,bandlaguda jagir,rajendra nagar circle no.11,hyd,telangana"/>
        <s v="Building no/flat no.8-1-284/ou/307,OU colony,shaikpet,hyd"/>
        <s v="plot no.691,692,OU colony main road,near dream valley villas, tanasha nagar"/>
        <s v="plot no.2,ganesh nagar,kismatpur,gandiper,rangareddy,telangana"/>
        <s v="shop no.6,badam sohana apartment,3-1085,Raj bhavan rd,somajiguda,hyd,telangana"/>
        <s v="Anuhav Art of Irumy road no.25,alkaprui township,manikonda,rajendra nagar"/>
        <s v="Road no.5,KPHB opposite punjabi national bank,kukatpally,hyd"/>
        <s v="plot no.82/c,road no.3,shutter no.1,addaguta society,kukatpally"/>
        <s v="Plot no.1,Bandlaguda jagir,rajendra nagar,rangareddy,telangana,500091"/>
        <s v="Pendyala teja arun kumar,plot no-2,survey no.155,to 165(p),vasavi co-operative housing,pragathi nagar"/>
        <s v="sy no.13 and 16,Bandlaguda jagir,gandipet mandal,rangareddy district,telangana"/>
        <s v="shop no.3,996V+nf5,kismatpur road,banglaguda jagir,telangana"/>
        <s v="plot no.51,serimallegardens attapur,mehadipatnam circle no.12,hyd"/>
        <s v="8-1-293/4,situated at dwaraka nagar colony,shaikpet,jubliee hills circle no.18"/>
        <s v="High tension,line rd,raghavendra colony,kondapur,telangana"/>
        <s v="Raidurga panmaktha near TCS , building madhapur, serlingampally circle no-2 , hyderabad "/>
        <s v="will- Mallipaathi po -malipathi, 210-C Sri Ram Kondapur "/>
        <s v="plot no.50,sri laxmi nagar colony,manikonda,hyd,telangana"/>
        <s v="plot no.822,100 feet road,ayyappa society,madhapur,hyd,telangana"/>
        <s v="plot no.13,sipa paradise,pragathi nagar"/>
        <s v="shop no.2,stilt floor,puppalaguda,rangareddy"/>
        <s v="h.no:1-26,survey no.61,ground floor and first floor road no.36 old road guttala begumpet,madhapur"/>
        <s v="sri laxmi nagar colony,manikonda,hyd"/>
        <s v="H.NO:1-90/7/B/126,P.no:53A,street-1,patrika nagar,madhapur"/>
        <s v="plot no.91/part,sy.no.11/19,11/20 and 11/21,khanamet,madhapur,chandanagar circle no.21,hyd"/>
        <s v="plot no.9,ground floor,shiva bhagh,Ameerpet,hyd"/>
        <s v="plot no.16/B,Addagutta,beside arjun theatre,jKPHB,kukatpally circle no.24,hyd"/>
        <s v="plot no.897,SS Drive in,S.A society,khanamet,madhapur,serlingampally circle no.20,hyd ,telangana,500081"/>
        <s v="Addagutta ,hmt sathavahana nagar,kukatpally,hyd,telangana"/>
        <s v="plot no.410,raja reshwara nagar,kondapur,serlingampally"/>
        <s v="h.no:7-1-621/269,S R nagar,khairthabad circle no.17,hyderabad,Telangana"/>
        <s v="H.no:7-1-304/2/64,BK guda,SR nagar,khairthabad circle no.17,hyd,telangana"/>
        <s v="(pratap ward) d.no:1-140/3/7/h/p2,Huda techno enclave sector,madhapur,serlingampally circle no.20"/>
        <s v="kokkigaddam prema raju plot no.897,Ayyappa society,madhapur,chandanagar"/>
        <s v="mk plaza, marthanda nagar, new hafeezpet, telangana - 500049"/>
        <s v="H. No 4-188, premnagar, hafeezpet, chandanagar  hafeezpeyt, chandanagar, circle no 21, hyderabad - 500049"/>
        <s v="SY NO-78, KOLAN RAGHAVAREDDY FUNCTION HALL COMPLEX, HYDER NAGAR , NIZAMPET, Kukatpally Circle No 24, Hyderabad, Telangana - 500090"/>
        <s v="sy no.-78,kolan raghavareddy function hall complex,hyder nagar,nizampet,kukatpally"/>
        <s v="plot no.420,sy no.78-93,raja rajeswara nagar,kondapur,serlingampally circle no.20"/>
        <s v="KPHB colony,kukatpally circle no.24,hyd"/>
        <s v="h.no:8-2-293/82/A/35,road number 5,jubliee hills,hyd,telangana"/>
        <s v="plot no.1774/1784/1,Incoyis circle,pragathi nagar road,3rd layout,a leap Industrial,telangana"/>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P SATYA SAI, MIGH-574, H.No.15-25-574, Ground Floor, Road No.1, KPHB Colony, Kukatpally, Hyderabad, Moosapet Circle No 23, Hyderabad, Telangana - 500072"/>
        <s v="Kismatpur road adjustent to vidyapeet school ,bhavani colony,velly viewen clave,Bandlaguda jagir,"/>
        <s v="plot no.299,h.no:8-2-309/7/3,sy no.129/81,ward no,10,block no.3,road no.14,Banjara hills,hyd"/>
        <s v="Door no.6-MIG-82,Tanisha nagar huda layout manikonda,rajendra nagar,ranga reddy,telangana,"/>
        <s v="Sy no.177/P,Anjamma residency,alkapur,township road,pupaalaguda,gandipet mandal"/>
        <s v="Door no.B-43,Journallist colony,Jubliee hills circle no.18,Hyd,telangana"/>
        <s v="Plot no.149,opposite shivalaram main road ou, shaikpet,jubliee hills circle no.18"/>
        <s v="plot no : 2s.263A, Ayyappa socity main Rd, sarojini naidu nagon, Madhapur, HYD, telangana 500081"/>
        <s v="H.NO.:1-110/MN/18/RER. Marthand nagar, new hafeezpet, chandanagar circle No 21, Hyderabad Telangana 500049"/>
        <s v="plot no. 14, HIG 15, sy no. 4, tanasha residental complex,pokalwada , village, manikonda"/>
        <s v="h.no: 6-13/MIG, bhagyalakshmi colony, tanasha nagar, manikonda, telangana, 500089"/>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survey no.167,ramachandra reddy nagar"/>
        <s v="shop no.S-8,block-A,pagadala pride,house no.6-250024,survey no.60,Bachupally"/>
        <s v="h.no:5-6,beside veterinary hospital,narsinginii"/>
        <s v="ground flor, razzak mazil G6, ambedkar colony, khairatabad, hyderabad,telangana "/>
        <s v="mumtaz hno 6-3-1090/a/2 circle no 20 opp katarya hotel towers, e, rajbhavan road, somajiguda, 500082"/>
        <s v="hno- 6-2-967/b/a/6, fatch manzil, khairathabad circle no - 17, hyderabad, telangana"/>
        <s v="kukatpally,allwyn colony,kukatpally circle no.24,hyd,telangana,"/>
        <s v="plot no 19, kismatpur road behind HP petrol bunk, sri venkateswara colony, 500086"/>
        <s v="Gaulidoddi , Gachibowli, Plot no 18919 sai tulasi Enclave-1, gandipet, Rangareddy, Telangana -500075"/>
        <s v="h 6-3-1247/237, rajbhavan road, rajnagar somajiguda, hyderabad"/>
        <s v="House No. 5-1-119 Shop No. 4 Ground floor bus Stop Pillar No. A815 Kukatpally, Hyd - 500072"/>
        <s v="H.NO:2-35,neknampur village,manikonda,gandipet mandal, R.R district "/>
        <s v="h.no:- 6-2-967/b/a/6, fateh man zil, khairatabad circle no - 17, hyderabad, telangana - 500004"/>
        <s v="16-31-245, KPHB, 6th PHASE Opp Bluedart, HYD 500072"/>
        <s v="sy no.106/P,107/1,Gulmohar park colony,tara nagar serlingampally telangana,hyd"/>
        <s v="B007,riddhis grand eur,neknampur road,manikonda,gandipet,rangareddy,telangana"/>
        <s v="Hno:- 8-46/p, 1st floor, swaran arcade, sai ram nagar, colony, bandlaguda jagir, rangareddy, telangana 500086"/>
        <s v="D.no:7-1-419/9/MS/1-C,opposite prime hospital,manjeera square,ameerpet"/>
        <s v="8-3-96019, sri nagar colony main rd, opp bank of baroda, yella reddy guda, telangana - 500073"/>
        <s v="5-5-35/18,amma mess road beside canara bank,prashant nagar,kukatpally circle no.24"/>
        <s v="D.no:7-1-645/A/1/E,Erragada,yousufguda circle no.19,hyderabad,telangana"/>
        <s v="prashanth nagar,kukatpally,hyd"/>
        <s v="plot no.41/A,Ameetpet road,opposite trends showroon,chandangar circle no.21,hyd,telangana"/>
        <s v="plot no.38,padmaja colony,chandanagar,hyderabad,telangana"/>
        <s v="Moosepet Tanjayab nagar,mossapet,hyd,pillar no.891"/>
        <s v="C9XR+F87,Ayyappa society main road,megha hills,sri sai nagar.madhapur,hyd"/>
        <s v="H.no:32-556/18,sai nagar X road kkukatpally circle no.24,hyderabad"/>
        <s v="plot no.41,opposite rajendra reddy nagar colony,chandnagar"/>
        <s v="H.NO:13-6-815/A/2,ground floor,langarhouz,hyderabad karwan circle no.13,hyd"/>
        <s v="plot no.1 and 2,padmaja colony,chandanagar,hyderabad,telangana"/>
        <s v="sy no.259,263,264,plot no.199,198,chandanagar,reddy colony,sangareddy"/>
        <s v="7-1-399/ameetpet,sr nagar main road,near police station,srinivas nagar,hyd,telangana"/>
        <s v="Plot no: 1271, opp bharath petrol bunk road no:63, checkpost, Jubilee hills , hyderabad - 500033, jubilee hills, circle no: 18, hyd"/>
        <s v="plot no.103 KSR, Enclave beside ayyappa swamy temple,chandanagar"/>
        <s v="Rd.1 kukatpallly housing board colony,phase 1,kukatpally,hyd"/>
        <s v="H.no:KIGH 145,KPHB 7th phase,opposite to GHMC basketball ground,kukatpally,moosapet circle no.23"/>
        <s v="H.no:2-106/9/1,krisat colony,phase-4,gangaram chandanagar"/>
        <s v="plot no.31 and 32, KSR layout,PJR colony,serlingampally,chandanagar circle no.21,hyd,telangana"/>
        <s v="Nallagandla, Tellapur,setlingampally circle no.20,hyd,telangana"/>
        <s v="D&gt;NO:1-11/A/81,Plot no.81,gopal reddy nagar,opposite RTA office,kondapur,hyd"/>
        <s v="plot no.491,near monkey center,madhapur nagar,pragathi nagar,hyd,telangana"/>
        <s v="plot no.105/LIG plhase -XV KPHB colony,kukatpally circle no.24,hyd,"/>
        <s v="H.no:LIG 145,KPHB 7th phase,road,qutubullapur,telangana"/>
        <s v="H.NO:10-31-IX-H5,phase9,KPHB colony,kukatpally,moosapet circele no.23"/>
        <s v="H.NO P-13/B,Addagutta society,backside vishwanth theatre,kukatpally"/>
        <s v="Aroma,HIG,phase 9,kphb colony,kukatapally, moosapet circle no.23,500072"/>
        <s v="plot number 828,venkata ramana colony ,gokul plots hyderabad -500072"/>
        <s v="KSR Enclave beside ayappa swamy temple,chandanagar,shop no.3,hyd,telangana"/>
        <s v="Anjanaya nagar,moosapet circle no.23,Hyderabad,telangana,500018"/>
        <s v="1-59/8/A,miyapur PS,serlingampally circle no.20,hyderabad,Telangana"/>
        <s v="Rayankathishravankumar,survey no.957,ICRISAT colony,Beeramguda 100feet road,502032"/>
        <s v="P.no.14/part,sy no.2,PJR enclave road,opposite gonguras restaurant,chandanagar"/>
        <s v="H.NO:HIG 65 3rd phase near manjeera water tank kayaka parameshwari temple road,Kphb"/>
        <s v="plot no.1452/p venkata ramana colony,gokul plots circle no21-hyderabad 500049"/>
        <s v="plot no.8-2/19/2,beside SBI Bank,Rampally village,keesara,medchal,malkajgiri,telangana"/>
        <s v="MIG-42/1-6,kukatpally hosing board colony,phase3 hyd"/>
        <s v="KSR Enclave beside ayappa swamy temple,chandanagar,shop no.6,hyd,telangana"/>
        <s v="beside feather n splash, kukutpally housing board colony, hafeezpet, telangana - 500085"/>
        <s v="Plot no, 1618, Radha krishna rd, Venkat a rammana rd hyderabad telangana,"/>
        <s v="Ramya Ground RD,beside mad over maggi near vinayaka temple,kukatpally housing board"/>
        <s v="KPHB colony,temple bus stop,opposite mammus kitchen"/>
        <s v="P.no:7/3/4,sector-03,huda technoE,madhapur,serlingampally circle no.20,hyderabad,telangana"/>
        <s v="survey 176,plot no c,addagutta housing society,circle no.24,kukatpally,hyderabad"/>
        <s v="plot no.22,MIG,KPHB phase 15,kukatpally,moosapet circle no.23,500072"/>
        <s v="plot no.27,khanmet village,Hitech city,,serlingampally near on the way driven in,hyd,chandanagar"/>
        <s v="H.NO:2-3-406/12/part,plot no.7,road no.2,Tulasinagar,near M2m jeans,kukatpally circle no.24"/>
        <s v="H.no:1-2-33/VP/76,Hydernagar,Balaji hills road,Ram naresh colony,Chandanagar circle no.24,hyd,telangana"/>
        <s v="PT.NO.52,SY.103/2,Jayabhari enclave,hyderabad"/>
        <s v="plot no.744,road no.40,Ayyappa society,madhapur,hyderabad,telangana"/>
        <s v="2-91/14/8,whitefeilds,kondapur,hitech city,serlingampally circle no.20,telangana"/>
        <s v="C9VV+26,megha hills,madhapur,telangana"/>
        <s v="p.no:897,ss drive in,S.A society,khanamet,madhapur,serlingampally circle no.20,hyderabad"/>
        <s v="shop no.4,plot no.897,ss drive in,ayappa society,madhapur,chandanagar,circle no.2,hyd,telangana"/>
        <s v="12-19-46/2,kukatpally circle no.24,hyderabad,telangana"/>
        <s v="H.NO:8-3-214/54/1/B-3,Madhaura nagar,Ameerpet,hyderbad,telangana"/>
        <s v="R/O plot no B3,Kundacottage,madhura nagar,Ameerpet,hyderabad,telangana"/>
        <s v="H.NO:7-1-632/17,Bapu nagar,sanjeeva reddy nagar,Khairthabad circle no.17,hyderabad"/>
        <s v="7-1-621/289/5/A,Bapu Nagar,SR Nagar,hyderabad,telangana"/>
        <s v="Flat no.909,block-A,Raghavendra's Mirra Pan chajan,Miyapur,AS Raj Miyapur,serlingampally circle no.20"/>
        <s v="32B,Opposite,Community Hall,SR Nagar,Hyderabad,Khairthabad circle no.17,Hyd,Telangana"/>
        <s v="H.NO:7-1-209,Sy No.153,Sanjeeva Reddy Nagar,Ameerpet,Hyderabad,Telanagana"/>
      </sharedItems>
    </cacheField>
    <cacheField name="Signing Authority" numFmtId="0">
      <sharedItems containsBlank="1">
        <s v="Mohammed minhaj uddin"/>
        <s v="M.A aqeel"/>
        <s v="Mohammed Arshad"/>
        <s v="Naika Amena"/>
        <s v="Syed Ameer Hussain"/>
        <s v="Shabana Begum"/>
        <s v="Mohd Shoieb"/>
        <s v="Asfiya sulthana"/>
        <s v="Katragadda Shesha sai"/>
        <s v="K.Rama Rao"/>
        <s v="Raguveer"/>
        <s v="Paul kumar"/>
        <s v="Bargava.B"/>
        <s v="Gardas saritha"/>
        <s v="Kuna Vaishnav"/>
        <s v="Yelgani sai kumar goud"/>
        <s v="veeram reddy seetharam reddy"/>
        <s v="Divvela sri mahalakshmi"/>
        <s v="Natva Santosh kumar"/>
        <s v="chatne akash"/>
        <m/>
        <s v="Ankapur village hotels llp"/>
        <s v="Sachinandan hari das"/>
        <s v="Siva Rama Krishna"/>
        <s v="Ashok thapa,Vishu thapa"/>
        <s v="venudhar reddy"/>
        <s v="not mentioned"/>
        <s v="Pokuri prathyusha"/>
        <s v="Ragavendra Gm"/>
        <s v="B.Raja yashwanth kumar"/>
        <s v="Bidhaniyasoni"/>
        <s v="Manjunath"/>
        <s v="Madyapaga Ravindra"/>
        <s v="Abhilash Thota"/>
        <s v="Penubua kula sai"/>
        <s v="Mangalarapu sai teja"/>
        <s v="Mohd Arshad"/>
        <s v="Rai shankar"/>
        <s v="Krishna teeram"/>
        <s v="Md mansoor"/>
        <s v="Mohammed feroz"/>
        <s v="Mohanmed feroz"/>
        <s v="karempudi vijava durga"/>
        <s v="SR Nagar"/>
        <s v="Juturi Rama seshagiri"/>
        <s v="Challa Triveni"/>
        <s v="Madapuram anil kumar"/>
        <s v="Mohammed umar khan"/>
        <s v="Mohammed Quddus hussain"/>
        <s v="K. Naga Bhushan Rao"/>
        <s v="Juhi sanjay sajnani"/>
        <s v="Sonal mohit mehta"/>
        <s v="Karthik"/>
        <s v="K.Rajesh"/>
        <s v="Ashish kumar"/>
        <s v="Vamshi krishna"/>
        <s v="Dinesh"/>
        <s v="Ramchandra rao"/>
        <s v="Yashwanth"/>
        <s v="Veera Di chaap "/>
        <s v="Yarlagadda Suryam"/>
        <s v="Medikonda kondaiah"/>
        <s v="Konda stella mary"/>
        <s v="Laxmi addikecharla"/>
        <s v="Khasim"/>
        <s v="Sudheer kumar"/>
        <s v="Musthakin"/>
        <s v="Pooja Karthik"/>
        <s v="sudarsan nayak"/>
        <s v="K. Shiv kumar"/>
        <s v="M.Sanjeev reddy"/>
        <s v="Arukha flavours/Arun"/>
        <s v="Enoch Chowdary"/>
        <s v="mohammed masurd"/>
        <s v="Kataru padmavathi"/>
        <s v="Vakalapudi subhash chowdary"/>
        <s v="Sri latha kakarla"/>
        <s v="Manikenteswara reddy.E"/>
        <s v="Prasad"/>
        <s v="Naveen"/>
        <s v="D.Venkata ramana"/>
        <s v="Paper missing"/>
        <s v="Mohammed Ishaq"/>
        <s v="Srikanth"/>
        <s v="Velagapudi meghana"/>
        <s v="Ravikanth Rao"/>
        <s v="Manikanta Reddy"/>
        <s v="T.Ravali"/>
        <s v="Prashanth Singh"/>
        <s v="V.Ravi Kumar"/>
        <s v="Aripelli VInesh"/>
        <s v="Tokala mahendra reddy"/>
        <s v="Venu prakash gunda"/>
        <s v="E.Balaji"/>
        <s v="K.Amulya"/>
        <s v="Dilip Deva"/>
        <s v="Sai lakshmi"/>
        <s v="Ravi Teja"/>
        <s v="Abhishek"/>
        <s v="MD.Ghouse"/>
        <s v="Mohammed Khaleel"/>
        <s v="Jagan"/>
        <s v="Monica Surana"/>
        <s v="Dinesh kumar"/>
        <s v="Sheik faehaan"/>
        <s v="Manne Hanumanth"/>
        <s v="Megha vath venkatesh"/>
        <s v="Dodda krupakar"/>
        <s v="B.Hsarsha vardhan Raju"/>
        <s v="Yeshwanth"/>
        <s v="Sri hari"/>
        <s v="Naveeed khan ahsan mohammed khan"/>
        <s v="Padmavathi"/>
        <s v="kotha akshok"/>
        <s v="Aduru sai charitha"/>
        <s v="Mohammed Bin Mansoor Al Jabri"/>
        <s v="Syed shahed"/>
        <s v="Lakshman kumar yadav"/>
        <s v="shiv kumar patil"/>
        <s v="mohammed Ameen Uddin"/>
        <s v="Gudelli srinivas"/>
        <s v="Ishaq ahmed"/>
        <s v="Sita Ram"/>
        <s v="Mehreen"/>
        <s v="Rakesh"/>
        <s v="Hemanta kumar jena"/>
        <s v="Ramakrishna reddy gaddampally"/>
        <s v="Kailash"/>
        <s v="Ajay"/>
        <s v="Khairatabad"/>
        <s v="Chalavadi Pavan Kalyan"/>
        <s v="Shaikhpet"/>
        <s v="Venkata Triven kumar Akula"/>
        <s v="Nagendra"/>
        <s v="Praveen Kumar "/>
        <s v="Laxman"/>
        <s v="Allampally Suresh"/>
        <s v="Narsimha"/>
        <s v="kailesh "/>
        <s v="Roopchand"/>
        <s v="G.Rajendra reddy"/>
        <s v="Regu srinivas"/>
        <s v="Y.Niraj"/>
        <s v="Amarnadh Reddy"/>
        <s v="Sai Kumar"/>
        <s v="Suryamanohara S Chivukula"/>
        <s v="Narasimha Murthy"/>
        <s v="Anjaneyareddy"/>
        <s v="Kakumanu sai teja"/>
        <s v="A. Mahesh"/>
        <s v="makkala narsing roa "/>
        <s v="Tataya Naidu"/>
        <s v="Angad Singh"/>
        <s v="Anjaneya reddy"/>
        <s v="Sravan Kumar"/>
        <s v="Sandeep"/>
        <s v="Syed Hisan Uddin"/>
        <s v="karani nagendra varama"/>
        <s v="kommala Krishna Nihar"/>
        <s v="Fathima"/>
        <s v="A. Anil Kumar"/>
        <s v="Sunny kumar arora"/>
        <s v="Manoj Reddy "/>
        <s v="Prashanth Vunnam"/>
        <s v="Mohammed Rasheed"/>
        <s v="Thirumala Reddy Balashow reddy"/>
        <s v="Prashanth prasad"/>
        <s v="Burra Rakesh Gound"/>
        <s v="Priyanka"/>
        <s v="Rahul Gupta"/>
        <s v="Naseer khan"/>
        <s v="Shadab"/>
        <s v="Madaram Shailaja"/>
        <s v="Mohan"/>
        <s v="Pidathala bharathi"/>
        <s v="Biradar Pradeep"/>
        <s v="Shajit sha"/>
        <s v="Shravan Kumar"/>
        <s v="Mohammed Irfaan"/>
        <s v="Meghana"/>
        <s v="Bhimalla Shiva Shankar"/>
        <s v="Hema Addanki"/>
        <s v="Mohammed Afroz"/>
        <s v="satya prasad"/>
        <s v="Auti Eknath"/>
        <s v="Krishna roa reddy"/>
        <s v="Korman sai krishna"/>
        <s v="Dasari kiran (Gani)"/>
        <s v="Sammidi Ranjith reddy"/>
        <s v="Raghavendra"/>
        <s v="Sai manikanta reddy"/>
        <s v="Karthik Reddy"/>
        <s v="Pendyala teja arun kumar"/>
        <s v="N. Goutham kumar"/>
        <s v="Deepak"/>
        <s v="Soheb"/>
        <s v="Kannavarapu Narendra babu"/>
        <s v="Raju gari sruthi"/>
        <s v="Satya vara prasad"/>
        <s v="Methri mallesh"/>
        <s v="Rambala sanjay"/>
        <s v="Mayabrahma nikhil"/>
        <s v="Nikhil"/>
        <s v="Anil kumar"/>
        <s v="Madhuri chand"/>
        <s v="Prem raju"/>
        <s v="not mentionrd"/>
        <s v="Veeranjaneyulu"/>
        <s v="Sekhar"/>
        <s v="Shiva karthik"/>
        <s v="Suresh Reddy"/>
        <s v="Manideep"/>
        <s v="P. Mastan Rao"/>
        <s v="Chithari sai bhuvan"/>
        <s v="P.Satya sai"/>
        <s v="P SATYA SAI,"/>
        <s v="Chandan"/>
        <s v="Mihir Khanna"/>
        <s v="Sivaji prasad vasireddy"/>
        <s v="G. Naveen kumar"/>
        <s v="Ajay Kumar"/>
        <s v="Modi venkata kishore Babu"/>
        <s v="M. Ramesh"/>
        <s v="Syed Hajiali"/>
        <s v="Srinivas"/>
        <s v="Hamdan Bin Masood"/>
        <s v="Sneha"/>
        <s v="Divya"/>
        <s v="Ravi kumar"/>
        <s v="Bishwash"/>
        <s v="Pradeep"/>
        <s v="Mekala Shasidar reddy"/>
        <s v="Nagalla Tejasai"/>
        <s v="A. Naveen"/>
        <s v="V. Rama Devi"/>
        <s v="K.Navanitha"/>
        <s v="Konda lokeswari"/>
        <s v="Khairuddin"/>
        <s v="Annappa shetty"/>
        <s v="Suresh"/>
        <s v="Birader usha"/>
        <s v="Vikram talasila"/>
        <s v="Amorz"/>
        <s v="Shiva Kumar"/>
        <s v="Shabbir"/>
        <s v="Alkehya"/>
        <s v="Tatavarthi somnath"/>
        <s v="M.Sai kiran"/>
        <s v="Santosh"/>
        <s v="Sri vengamamba delux mess"/>
        <s v="Kancharla Anand"/>
        <s v="Manjela Hanumantudu"/>
        <s v="Bhanu Prakash"/>
        <s v="Skindar"/>
        <s v="Golla Venkateshwara Rao"/>
        <s v="Sai Nagaraju Kumar"/>
        <s v="Balaram Khuntia"/>
        <s v="Madduri Ravindhar Reddy"/>
        <s v="Wasim Akram"/>
        <s v="Sunil Gowtham"/>
        <s v="Vinod"/>
        <s v="not mentioned "/>
        <s v="Naga Lakshmi"/>
        <s v="Shivananda"/>
        <s v="M.V Prabhavathi"/>
        <s v="Menday Vamshi"/>
        <s v="Arjun"/>
        <s v="Lalu Sekhar Gudavalli"/>
        <s v="Dr.Ravi Kumar"/>
        <s v="Seshu"/>
        <s v="Swarup Jana"/>
        <s v="Vasanthi Polu"/>
        <s v="M.Satya Durga"/>
        <s v="Kale Shravan Kumar"/>
        <s v="Fahad Mon Kalathingal"/>
        <s v="Phani Kumar"/>
        <s v="B.Ram Singh"/>
        <s v="Sambhashivarao"/>
        <s v="Pavithra"/>
        <s v="Ashok Kumar"/>
        <s v="Irfaan"/>
        <s v="G.Bhanu Prasad"/>
        <s v="Raja Chandra Sekhar Chevula"/>
        <s v="Kalidini Swathi"/>
        <s v="HemKumar"/>
      </sharedItems>
    </cacheField>
    <cacheField name="Pincode">
      <sharedItems containsBlank="1" containsMixedTypes="1" containsNumber="1" containsInteger="1">
        <n v="500057.0"/>
        <n v="500028.0"/>
        <n v="500006.0"/>
        <n v="500086.0"/>
        <n v="500048.0"/>
        <n v="500091.0"/>
        <n v="500008.0"/>
        <n v="500085.0"/>
        <n v="500082.0"/>
        <n v="500016.0"/>
        <n v="500081.0"/>
        <n v="500003.0"/>
        <n v="500038.0"/>
        <m/>
        <n v="500075.0"/>
        <n v="500047.0"/>
        <n v="500084.0"/>
        <n v="500019.0"/>
        <n v="500004.0"/>
        <s v="not mentioned"/>
        <n v="500072.0"/>
        <n v="500026.0"/>
        <n v="500050.0"/>
        <n v="500032.0"/>
        <n v="500033.0"/>
        <n v="500045.0"/>
        <n v="500073.0"/>
        <n v="500089.0"/>
        <n v="500049.0"/>
        <n v="500030.0"/>
        <n v="500034.0"/>
        <n v="502032.0"/>
        <n v="500104.0"/>
        <n v="500029.0"/>
        <n v="500090.0"/>
        <n v="500018.0"/>
        <n v="500046.0"/>
        <n v="500001.0"/>
        <n v="502286.0"/>
        <s v="not mentionrd"/>
        <n v="500043.0"/>
        <n v="501301.0"/>
      </sharedItems>
    </cacheField>
    <cacheField name="Locality" numFmtId="0">
      <sharedItems containsBlank="1">
        <s v="Masab Tank"/>
        <s v="Mehdipatnam"/>
        <s v="Kismathpur"/>
        <s v="Attapur"/>
        <s v="Bandlaguda"/>
        <s v="Gandipet"/>
        <s v="Tolichowki"/>
        <s v="Madhapur"/>
        <s v="Begumpet"/>
        <s v="Langer houz"/>
        <s v="Ameerpet"/>
        <s v="S.R Nagar"/>
        <m/>
        <s v="Manikonda"/>
        <s v="Gandamguda"/>
        <s v="Gudimalkapur"/>
        <s v="Kondapur"/>
        <s v="Khairathabad"/>
        <s v="Asif nagar"/>
        <s v="SR Nagar"/>
        <s v="Chandanagar"/>
        <s v="not mentioned"/>
        <s v="secunderabad"/>
        <s v="Kukatpally"/>
        <s v="Serilingampally"/>
        <s v="KBHP"/>
        <s v="Miyapur"/>
        <s v="Somajiguda"/>
        <s v="Nanakramguda"/>
        <s v="shaikpet"/>
        <s v="Madhura nagar"/>
        <s v="Yellareddy guda"/>
        <s v="SRINAGAR COLONY"/>
        <s v="Ali Nagar"/>
        <s v="yousufguda"/>
        <s v="Gachibowli"/>
        <s v="Banglaguda"/>
        <s v="Dwauaka Nagar"/>
        <s v="Hafeezpet"/>
        <s v="Banjara Hills"/>
        <s v="serlingampally"/>
        <s v="Panjagutta"/>
        <s v="Narsingi"/>
        <s v="Mandinaguda"/>
        <s v="Himayahnagar"/>
        <s v="Lakdikapool"/>
        <s v="Nizampet"/>
        <s v="KPHP"/>
        <s v="Hitech city"/>
        <s v="Ameenapur"/>
        <s v="Kismatpur"/>
        <s v="Kothaguda"/>
        <s v="not mentionrd"/>
        <s v="Jubliee hills"/>
        <s v="KPHB"/>
        <s v="Hyderabad"/>
        <s v="Raidurg"/>
        <s v="Borabanda"/>
        <s v="sri nagar colony"/>
        <s v="RC puram"/>
        <s v="Jubilee hills"/>
        <s v="Medchal "/>
      </sharedItems>
    </cacheField>
    <cacheField name="Region" numFmtId="0">
      <sharedItems containsBlank="1">
        <s v="masab tank"/>
        <s v="mehdipatnam"/>
        <s v="Langar Houz"/>
        <s v="tolichowki"/>
        <s v="madhapur"/>
        <s v="ameerpet"/>
        <s v="panjagutta"/>
        <e v="#N/A"/>
        <s v="manikonda"/>
        <s v="Kondapur"/>
        <s v="Khairathabad"/>
        <s v="miyapur"/>
        <s v="not mentioned"/>
        <s v="begumpet"/>
        <s v="kukatpally"/>
        <s v="Sherilingampally"/>
        <s v="KPHP"/>
        <s v="nanakramguda"/>
        <s v="shaikpet"/>
        <s v="yousufguda"/>
        <s v="gachibowli"/>
        <s v="banjara hills"/>
        <s v="hafeezpet"/>
        <s v="Hitech-City"/>
        <s v="not mentionrd"/>
        <s v="Jubliee hills"/>
        <s v="Hyderabad"/>
        <s v="Raidurg"/>
        <s v="Borabanda"/>
        <m/>
      </sharedItems>
    </cacheField>
    <cacheField name="Zone" numFmtId="0">
      <sharedItems containsBlank="1">
        <s v="Zone 1 Mehdipatnam"/>
        <s v="Zone 2 Jubliee hils"/>
        <s v="Zone 4 Hi-tech City"/>
        <s v="Zone 6 Ameerpet"/>
        <m/>
        <s v="Zone 3 Raidurg"/>
        <s v="Zone 5 Kukatpally"/>
        <s v="not mentioned"/>
        <s v="not mentionrd"/>
        <s v="jubliee hills zone 2"/>
      </sharedItems>
    </cacheField>
    <cacheField name="Service fees">
      <sharedItems containsBlank="1" containsMixedTypes="1" containsNumber="1">
        <n v="0.22"/>
        <n v="0.24"/>
        <n v="0.2"/>
        <n v="0.19"/>
        <n v="0.15"/>
        <n v="0.17"/>
        <n v="0.18"/>
        <m/>
        <n v="0.21"/>
        <s v="paper missing"/>
        <n v="0.185"/>
        <s v="not mentioned"/>
        <n v="0.16"/>
        <n v="0.12"/>
        <s v="25% including GST"/>
        <n v="0.23"/>
        <n v="0.26"/>
        <n v="0.13"/>
        <n v="0.25"/>
        <n v="0.14"/>
      </sharedItems>
    </cacheField>
    <cacheField name="Service Fees Bucket" numFmtId="10">
      <sharedItems containsBlank="1">
        <s v="20%+"/>
        <s v="&lt;20%"/>
        <s v="&lt;17%"/>
        <s v="0"/>
        <s v="&lt;15%"/>
        <s v="not mentioned"/>
        <m/>
      </sharedItems>
    </cacheField>
    <cacheField name="Payment Gateway Charges">
      <sharedItems containsBlank="1" containsMixedTypes="1" containsNumber="1">
        <n v="0.018"/>
        <m/>
        <s v="not mentioned"/>
      </sharedItems>
    </cacheField>
    <cacheField name="Long Distance Charges %">
      <sharedItems containsBlank="1" containsMixedTypes="1" containsNumber="1">
        <m/>
        <s v="papper missing"/>
        <s v="not mentioned"/>
        <n v="0.018"/>
        <n v="0.0"/>
        <n v="0.02"/>
        <s v="0%%"/>
        <s v="2%%"/>
        <s v="paper missing"/>
      </sharedItems>
    </cacheField>
    <cacheField name="Legal Entity Name" numFmtId="0">
      <sharedItems containsBlank="1">
        <s v="Mohammed minhaj uddin"/>
        <s v="R and B hospitality"/>
        <s v="Rahat Restaurant"/>
        <s v="alkemy"/>
        <s v="Tahaan foods private limited"/>
        <s v="Jusvous"/>
        <s v="New farmaish Restaurant"/>
        <s v="Waffle station"/>
        <s v="Al rawaf home made dishes"/>
        <s v="M/s. invences foods Bhojanams and biryani"/>
        <s v="Bhuvan's kitchen"/>
        <s v="Biryani N biryani"/>
        <s v="Bob's biryani"/>
        <s v="Eastin hotels"/>
        <s v="Ns bakers,Gardas saritha"/>
        <s v="Om Vaishnav Enterprise"/>
        <s v="Yelgani sai kumar goud"/>
        <s v="Sunrise"/>
        <s v="not mentioned"/>
        <s v="Natva Santosh kumar"/>
        <s v="chatne akash"/>
        <m/>
        <s v="Ankapur village hotels llp"/>
        <s v="A unit of Ankapur village hotels llp"/>
        <s v="Govindas cafe"/>
        <s v="Lassi corner"/>
        <s v="Ankapur village-A military hotel"/>
        <s v="V6 ventures LLP"/>
        <s v="Pokuri prathyusha"/>
        <s v="Rolo one Bakers"/>
        <s v="Shree balaji tiffin center"/>
        <s v="Shri balaji family dhaba"/>
        <s v="Sri Udupi grand pure veg"/>
        <s v="Vidhusekhara pizzeria private limited"/>
        <s v="Vrindaas kitchen"/>
        <s v="Ahladha kitchen"/>
        <s v="Mangalarapu sai teja"/>
        <s v="Mohd Arshad"/>
        <s v="Hunan Chinese Cuisine"/>
        <s v="Krishna teeram"/>
        <s v="lucky Multicusine Restaurant"/>
        <s v="Tahari house "/>
        <s v="Juturi Rama seshagiri"/>
        <s v="Challa Triveni"/>
        <s v="Meraj's Restaurant"/>
        <s v="Naseeb cafe"/>
        <s v="Sri balaji family Dhaba"/>
        <s v="Smash city"/>
        <s v="V J food partners "/>
        <s v="Bakeway Bakers"/>
        <s v="Juhi sanjay sajnani"/>
        <s v="Gupshup Bistro"/>
        <s v="Kshatriya Grand"/>
        <s v="MOKSHI KITCHEN // KETHINENI RAJESH"/>
        <s v="North indian hub"/>
        <s v="Rivora"/>
        <s v="Sri sai ram food zone"/>
        <s v="Good sparrow millets private limited"/>
        <s v="Times green enugy india limited"/>
        <s v="Veera Di chaap "/>
        <s v="Veeramma gari vantillu"/>
        <s v="Sri sai and co."/>
        <s v="Anu archana kitchen"/>
        <s v="Brew and bloom heaven coffee shop"/>
        <s v="Laxmi addikecharla"/>
        <s v="Manasa kitchen and swagrha sweets"/>
        <s v="MM cake factory and bakers"/>
        <s v="Pooja Karthik"/>
        <s v="subham grand multicusine family Restaurant"/>
        <s v="Al saba Restaurant"/>
        <s v="Amma chethi ruchulu"/>
        <s v="Andhra kitchens"/>
        <s v="Arm coffee place"/>
        <s v="Arukha flavours"/>
        <s v="Bunty biryani"/>
        <s v="Eden Ice Treats"/>
        <s v="Hitech bawarchi food court"/>
        <s v="Hotel farzaan "/>
        <s v="Konaseema biryani"/>
        <s v="Krishna magic kitchen"/>
        <s v="Padmavathi food court "/>
        <s v="SNS bakehouse bakery and cafe"/>
        <s v="suryakantham military hotel"/>
        <s v="Trinetra cafe and Restaurant"/>
        <s v="sonagiri samrajua lakshmi c/o mrtthym jaya"/>
        <s v="Al shawrma bites"/>
        <s v="Amogha cafe and Restaurant"/>
        <s v="Naveen"/>
        <s v="Bulliabbai kodi palau"/>
        <s v="Delhi Muradaladi Biryani"/>
        <s v="Hanuman Juice and salad"/>
        <s v="Hitech Bawarchi food zone"/>
        <s v="Mohammed Ishaq"/>
        <s v="Kaaram the Authntic telangana spice kitchnen"/>
        <s v="Mother's kitchen"/>
        <s v="New Udupi sri krishna grand"/>
        <s v="P.Chandra shekar Rao"/>
        <s v="Jamgam Rambabu"/>
        <s v="Sri Aadhya Delicious"/>
        <s v="Sri Bhimanaram Thali/Tangella Ravali"/>
        <s v="SS.Bawarchi"/>
        <s v="Vindhu maharaj"/>
        <s v="Vinnin Cabin Cafe"/>
        <s v="Zeeshan Restaurant"/>
        <s v="Ahara kitchen"/>
        <s v="Sada me Brands of Bhimavarman (BOB)"/>
        <s v="Sri sai rama tiffins"/>
        <s v="Sri varahi sampradaya vindhu"/>
        <s v="Dilip Deva"/>
        <s v="Al-Aadaab Arabian mandi Restaurant"/>
        <s v="Aroma biryanis and pulao's"/>
        <s v="Flavours of andhra (authentic andra cuisine)"/>
        <s v="IQ shawarma"/>
        <s v="Kings Kohinoor hotel"/>
        <s v="Mom's recipe"/>
        <s v="Mysore bakery"/>
        <s v="Oak Bistro"/>
        <s v="Palapiltta Ruchulu"/>
        <s v="Megha vath venkatesh"/>
        <s v="Dodda krupakar"/>
        <s v="Samastha tiffins"/>
        <s v="santhakam Ruchulu"/>
        <s v="Hari food"/>
        <s v="Spice theory"/>
        <s v="Sri ramana maharshi food court"/>
        <s v="Tealogy cafe"/>
        <s v="Telugu patnam ruchulu"/>
        <s v="The royal plate Restaurant"/>
        <s v="yousufain kalyani biryani"/>
        <s v="Zamana shawarma and fast food"/>
        <s v="Bhimavaram vari unlimited ruchulu"/>
        <s v="Blend and roast cafe"/>
        <s v="chicken shawarma hut"/>
        <s v="Deerga ayushman bhava"/>
        <s v="Fusion@49"/>
        <s v="Kamaskshi tiffins and snacks"/>
        <s v="LASSI STORY"/>
        <s v="Mahreen's kitchen"/>
        <s v="Nellore Padmavathi Ruchulu"/>
        <s v="RR food court"/>
        <s v="SS live kitchen"/>
        <s v="Syed mohammed yasar"/>
        <s v="Times food court"/>
        <s v="Tulija bhavani hotel"/>
        <s v="360 Degree Biryani's"/>
        <s v="Aahara food court"/>
        <s v="Biryani's &amp; co"/>
        <s v="Cherrys restaurant"/>
        <s v="Chalavadi Pavan Kalyan"/>
        <s v="Dragan kitchen"/>
        <s v="Jai Bhavani AK food court"/>
        <s v="M/S Bhavani Mess"/>
        <s v="Made in Andhra"/>
        <s v="Mayabazar"/>
        <s v="MCS TWILIGHT"/>
        <s v="Pasidipuri Kitchen"/>
        <s v="Pizza Mania"/>
        <s v="Rooster kitchen"/>
        <s v="Sangam dhaba"/>
        <s v="Shawarma house"/>
        <s v="Sindhu tiffins and meals"/>
        <s v="SKG Nawab biryanis"/>
        <s v="Spicy Xpress"/>
        <s v="The Fusion Street "/>
        <s v="Times Tiffins and Meals"/>
        <s v="Rayalaseema Ruchulu"/>
        <s v="Aahara Aahvanam"/>
        <s v="Annam Parabrahma"/>
        <s v="Asian Pan House and Restaurent"/>
        <s v="Ayaansh Food Corner"/>
        <s v="chinese express"/>
        <s v="BBQ Bites And Kitchen"/>
        <s v="East and west kitchen"/>
        <s v="Ichirakau ramen house"/>
        <s v="Kamakshi tiffins and sancks"/>
        <s v="kings M Biryani Adda"/>
        <s v="madhura restraunt and bar "/>
        <s v="Mohammed yaser(Tiffin Xpress)"/>
        <s v="Naidu Food Court"/>
        <s v="Punjabi Chaska"/>
        <s v="Rao gari military hotel"/>
        <s v="Red bucket biryani"/>
        <s v="Royal odisha daba"/>
        <s v="Sarasam the legacy of food"/>
        <s v="Sip and Chill Juice Bar"/>
        <s v="Slice and Bytes"/>
        <s v="Spicy Food Court"/>
        <s v="Squid Kitchen"/>
        <s v="Thualsi villas"/>
        <s v="Tuga the taste of india"/>
        <s v="Bab - Al - Mandi"/>
        <s v="Five Star Chicken"/>
        <s v="Annapurna"/>
        <s v="Mickey's Tiffin "/>
        <s v="Oye punjabi"/>
        <s v="Raju gari bhimavaram biryani"/>
        <s v="Rowdy Momo expresses"/>
        <s v="Sai Mumbai famous"/>
        <s v="sravanti food court"/>
        <s v="not mentionrd"/>
        <s v="Sri Sattibabu Biryani"/>
        <s v="Samika Agarwal"/>
        <s v="Zafaron shawarma nd Chinese fast food"/>
        <s v="Amerendra Naidu"/>
        <s v="The Sipping adda"/>
        <s v="Sri Venkareswara food court"/>
        <s v="Fresh fruit Juices 'n' bowles"/>
        <s v="Supreet Grand"/>
        <s v="Snaking Cafe Private Limited"/>
        <s v="Sravanam 4am biryani"/>
        <s v="Gunji chandra shekar"/>
        <s v="Jai sri ram Tasty flavours"/>
        <s v="Nadeem Hotel"/>
        <s v="Sri Vigneshwara Aaha biryani"/>
        <s v="Aahar vilas"/>
        <s v="Burra rakesh gound"/>
        <s v="The Bakely "/>
        <s v="Cafe 74"/>
        <s v="Club 10 chicken"/>
        <s v="Bashetty vennala"/>
        <s v="Hydes Diner"/>
        <s v="Naseer khan"/>
        <s v="MD kaleem Blsmillah hotel kalyani and chicken biryani"/>
        <s v="SNACKBITE (MADARAM SHAILAJA)"/>
        <s v="Madaram Shailaja"/>
        <s v="Snap fooda and beverages"/>
        <s v="Sri nakshatra chinese hub"/>
        <s v="Nagothu rajesh kumar"/>
        <s v="The hungry spot"/>
        <s v="Akshaya patra"/>
        <s v="Venkatesh vessam"/>
        <s v="Yakkanti Jahnavi "/>
        <s v="Bhavani food court"/>
        <s v="Famous arabian shawarma"/>
        <s v="Hayansh Kitchen"/>
        <s v="Kolipaka Srikanth"/>
        <s v="Nawabi cafeteria"/>
        <s v="Mamatha budhani"/>
        <s v="Preeti tiffins"/>
        <s v="sekh raphik"/>
        <s v="Shaik sartaz alli"/>
        <s v="Bhimalla Shiva Shankar"/>
        <s v="Hema Addanki"/>
        <s v="5ves Diner"/>
        <s v="Amulya Abhiruchi Biryani"/>
        <s v="Amulya Abhiruchi fast food"/>
        <s v="Appis natural fresh juice"/>
        <s v="Beyond kimchi-The taste of korea"/>
        <s v="caffeine hub"/>
        <s v="Toufeeq shaik"/>
        <s v="Chai kaburlu"/>
        <s v="classic crown restaurant"/>
        <s v="Crispy crunch dinner"/>
        <s v="D and D caterers"/>
        <s v="Dum biryani adda"/>
        <s v="Epic bawarchi "/>
        <s v="Epic bawarchi chat bhandar"/>
        <s v="Epic bawarchi tiffin centre"/>
        <s v="Healthy food promised"/>
        <s v="Healthy juice promised"/>
        <s v="Saba fathima"/>
        <s v="Kondapalli vijay kumar"/>
        <s v="Mana Vizag ruchulu"/>
        <s v="Military reddy tiffins"/>
        <s v="Sammidi Ranjith reddy"/>
        <s v="Nellore Vantakallu"/>
        <s v="Raghuram dosa "/>
        <s v="Sip of health"/>
        <s v="Slice and Bytes Biryani"/>
        <s v="Slice and Bytes food court"/>
        <s v="Sri Aadhya food court"/>
        <s v="Sri Raghavendra Bhavan Pure Veg"/>
        <s v="Sri Tejas kitchen"/>
        <s v="N. Goutham kumar"/>
        <s v="Telangana cuisine(Indian and chinese)"/>
        <s v="The brazilian juice bar"/>
        <s v="The chinese zhag family"/>
        <s v="The english kitchen"/>
        <s v="The nice juice junction"/>
        <s v="Vizag beach street food"/>
        <s v="Mohammed soheb"/>
        <s v="Telugu Ruchulu"/>
        <s v="SK foods"/>
        <s v="Amritsari Dhaba"/>
        <s v="Amritsari Khana"/>
        <s v="City chefs kitchen"/>
        <s v="Hot wings shawarma and fried chicken"/>
        <s v="Dosa mart"/>
        <s v="Godavari vari vindhu maryada"/>
        <s v="Darapuneni stores and Bakery"/>
        <s v="Mallesh mama fast food"/>
        <s v="Mankikanta's Eat hotsopt"/>
        <s v="Mexician fried chicken"/>
        <s v="Mummy ki rassoi"/>
        <s v="Nikhil's feast"/>
        <s v="Nostic Natural fruit ice cream"/>
        <s v="Rayalaseema meals and curries"/>
        <s v="Second wife C/O Gunthur"/>
        <s v="Shri Balaji chennai spices Restaurant"/>
        <s v="SRG Restro inn"/>
        <s v="The kebab kingdom(K24)"/>
        <s v="WOK 33"/>
        <s v="Sainadh fast food &amp; Tiffins &amp; snacks &amp; Tea "/>
        <s v="sainadh fast food &amp; Tiffins"/>
        <s v="KARRI VENKATA SAI KUMAR C/O AAHAR AAHVANAM"/>
        <s v="Aahara Aahvanam Tiffins"/>
        <s v="Anji Tiffins"/>
        <s v="Best biryani:s and curries "/>
        <s v="Meenakshi cafe"/>
        <s v="Good moring cafe"/>
        <s v="Gottipati military hotel"/>
        <s v="Hammayya kadupu nindindi"/>
        <s v="Hotel Hanvika Grand"/>
        <s v="P. Mastan Rao"/>
        <s v="Koodu-the taste of telangana"/>
        <s v="Monkey's cafe"/>
        <s v="Sherya fast food and momo"/>
        <s v="Snamk Hospitality"/>
        <s v="Sivaji prasad vasireddy"/>
        <s v="Sweeis dude signature pvt ltd"/>
        <s v="Ajay Kumar"/>
        <s v="The Tasty Chapter"/>
        <s v="Thopuri Lakshmikanth"/>
        <s v="Dosarani Chethivanta"/>
        <s v="Kshithis kitchen"/>
        <s v="New Chanti mess"/>
        <s v="P.K Food court"/>
        <s v="Sri saravana food and Beverages"/>
        <s v="SYVM hospitality"/>
        <s v="Ahmed Restaurant"/>
        <s v="Avani Restaurant"/>
        <s v="Bhawaanee Rest"/>
        <s v="Hamdan Bin Masood"/>
        <s v="Chinese Adda"/>
        <s v="Darbar Street"/>
        <s v="Inikaa foods"/>
        <s v="Jaya laxmi food center"/>
        <s v="Kathmandu Momos"/>
        <s v="Lotus Biryani &amp; Fast Food Center"/>
        <s v="Mekala's Kitechen"/>
        <s v="Nagalla's shaawarma and kababs"/>
        <s v="Taaza Tiffins"/>
        <s v="Udupi park pure veg"/>
        <s v="Chopsticks"/>
        <s v="Md.Khairuddin"/>
        <s v="Arya bhavan"/>
        <s v="Dostea"/>
        <s v="Genz flavoria"/>
        <s v="Pipaari Shin kumar"/>
        <s v="Mini cafe"/>
        <s v="Open heart restaurant"/>
        <s v="Rk Biryani"/>
        <s v="Sri sai Raghavendra tiffins and meals"/>
        <s v="Udipis ahaara arogya"/>
        <s v="Zucifera"/>
        <s v="Sri Vegamamba Deluxe mess"/>
        <s v="Muchies"/>
        <s v="Babai hotel"/>
        <s v="Manjela shiva kumar"/>
        <s v="Shiva kumar"/>
        <s v="Exotica slice and sauce private limited"/>
        <s v="Mohd Sikandar"/>
        <s v="Hotel the nawabi zaiqa"/>
        <s v="Hotel the nawabi zaiqa(Parata)"/>
        <s v="Hotel the nawabi zaiqa(Pulka)"/>
        <s v="Hotel the nawabi zaiqa(Rices)"/>
        <s v="Hotel the nawabi zaiqa(shawarama)"/>
        <s v="IDV kitchen muntha masala"/>
        <s v="Karthikeya Chitti Nethi idly"/>
        <s v="Karthikkeya Jain dosas"/>
        <s v="Balaram Khuntia"/>
        <s v="Munchies (Shawarma)"/>
        <s v="Madduri Ravindhar Reddy"/>
        <s v="Wasim Akram"/>
        <s v="Ruchi chupistha"/>
        <s v="Munchies"/>
        <s v="The Sandwiches"/>
        <s v="Aroma Authentic kitchen"/>
        <s v="Aroma Cafe"/>
        <s v="balaji kitchen "/>
        <s v="Sirf Chinese"/>
        <s v="Ampa Nagalakshmi"/>
        <s v="Hotel valentine"/>
        <s v="KBR Crispy chicken"/>
        <s v="KBR Popcorn chicken"/>
        <s v="Mammu's chinese kitchen"/>
        <s v="Mammu's kitchen"/>
        <s v="OM SRI HAMNUMAN"/>
        <s v="Menday Vamshi"/>
        <s v="Dosari swapna priya"/>
        <s v="VHR'S Tea @ Coffee"/>
        <s v="Gurvik entirprises"/>
        <s v="Edumakants vasu"/>
        <s v="Kolkata food plaza"/>
        <s v="Vasanthi Polu"/>
        <s v="Celebs"/>
        <s v="Mohd Wajid Ali khan"/>
        <s v="M.Satya Durga"/>
        <s v="Kale Shravan Kumar"/>
        <s v="Candella heights LLP"/>
        <s v="Muisyle Elite Hospitality Management LLP"/>
        <s v="Sri Venkateshwara Hospitality"/>
        <s v="Shriman Hotels LLP"/>
        <s v="Zufra Mandi "/>
        <s v="Phani Kumar Jallipalli"/>
        <s v="Banothy Ram Singh"/>
        <s v="Garuda Cafe"/>
        <s v="Gonguras by Garuda"/>
        <s v="Nanavath Ashok Kumar"/>
        <s v="Grand Lucky Restaurant"/>
        <s v="Gorijala Bhanu Prasad"/>
        <s v="CH.Raja Anvesh"/>
        <s v="Kaldini Swathi"/>
        <s v="Aaha Kitchen "/>
        <s v="Anandobrahma"/>
      </sharedItems>
    </cacheField>
    <cacheField name="Legal Entity Address" numFmtId="0">
      <sharedItems containsBlank="1">
        <s v="Rs complex vijayanagar colony near anjuman deendar back gate,masab tank,hyd 500057"/>
        <s v="12-2-825/2, Mehdipatnam"/>
        <s v="12-2-486,4/7,Tappa Chabutra rd, asif nagar"/>
        <s v="survey 132,alkemy, 1/2 near prestige royal woods, abhyudaya nagar,dargah khaleejkhan"/>
        <s v="syno:32,plot no 7,pillar no 242,suleman nagar,attapur 500031"/>
        <s v="syno:32,plot no 7,pillar no 242,suleman nagar,attapur 500030"/>
        <s v="Banglaguda plot no 13/a banglaguda,rahendranagar,500091"/>
        <s v="survey no.37,himayath sagar village bondlaguda jagir muncipal corporation gandipet mandal-500091"/>
        <s v="Hakeem shah colony,tolichowki,hyderabad"/>
        <s v="plot no.87,swamy ayyappa society,madhapur,hyd,500085"/>
        <s v="H.no:6-331192/1/g/3 block-1 ground floor white house,kundanbagh,begumpet,500082"/>
        <s v="13-6-798/1/1,bapughat langa howz circle,13 hyd"/>
        <s v="1-8-370and372 abhishek scan center,2nd floor near huda office,begumpet,500016"/>
        <s v="1-65-f,survey no.6,madhpur,gutlala begumpet,hyderabad,500081"/>
        <s v="H.no:7-1-455/23/12,Ameerpet gurudwara road"/>
        <s v="bus shelter stall,bus bay premises on sp road,opp anand theater and piller non1292, sindhi colony,begumpet ,500003"/>
        <s v="D.no: b41/f5 shop no.3 ps nagar,500057"/>
        <s v="H.no:325/2rt,sanjeev reddy nagar,umeshchandra statue road,s.r nagar hyd 500038"/>
        <s v="plot no.111,60ft road swamy ayyappa society,megha hills,khanamet,madhapur,hyd"/>
        <s v="plot no.03-805,shop no.2 ground floor M and M elite home,sri swamy ayyappa co-op Hs madhapur,hyd,500081"/>
        <s v="plot no-1206,madhapur,kondukur,rangareddy,telangana,500081"/>
        <s v="plot no.1206,madhapur,kandukur,rangareddy, telangana-500081"/>
        <m/>
        <s v="H.no:1-89/2/1/21,plot no-10,21,21/a,21/a, sy no.37,38,39,40,46,47 to 49,inorbit mall road, madhapur"/>
        <s v="s.v no.167/1,madhuri sadan osman nagar road,opp ocean park kokapet hyd"/>
        <s v="plot no.220,mushak mahal residential complex huda,attapur,hyd"/>
        <s v="not mentioned"/>
        <s v="plot no 7 ground floor,gandamguda 500045"/>
        <s v="h.no:1-98/6a/14,plot no 42 road no.3, patrikanagar hitech city,madhapur, hitech city"/>
        <s v="Bulding no/Flat no, sy no.64, mindspace road, madhapur"/>
        <s v="plot no.1208,g1andg2,ground floor,ayyappa society,madhapur,hyd,telangan,500081"/>
        <s v="p.no.4(a),1-89/8/4, madhapur ,hyd,telangana,500081"/>
        <s v="4-17-12,hitech city santosh residency,hyd"/>
        <s v="12-2-417/46/9,sharada nagar colony gudimalk,500028"/>
        <s v="13-6-460/112, mahesh nagar gudimalkapur"/>
        <s v="plot no.o1,first floor survey no,12 kondapur village serlingampally circle,500019"/>
        <s v="shopon plot no.2a in sy no 2a in sy no.12, situated at 500084"/>
        <s v="plot no-68 shop no-5 ayyappa socity circle-20 hyd,500081"/>
        <s v="6-1-964,shop no 2, khairthabad circel, no.17,hyderabad telangana500004"/>
        <s v="12-1-486/b/4 krishan nagar, 500006"/>
        <s v="Jai Hind Gandhi Rd, near Ayyappa Society, VIP Hills, Silicon Valley, Madhapur, Hyderabad, Telangana 500081, Chandanagar circle No 21, Hyderabad, Telangana - 500081"/>
        <s v="Plot no-84,sy no 11 swamy ayyappa housing society khanamet, hyd 500081"/>
        <s v="sy no. 54,58,59 plot no 1,part gb guttala begumpet madhapur road"/>
        <s v="12-1-486/b/4/1,kishan nagar, tappachabutra road,hyd 500006"/>
        <s v="12-1-486/b/2/5 krishan nagar"/>
        <s v="H.no:1-90/7/b/173,plot no.5,madhapur,selingampally circle no.20,hyd, telangana,500081"/>
        <s v="H.no:1-98/9/3/74/2,R L raidurg,jai hind enclave,seasons pool, madhapur,hyd,500081"/>
        <s v="first floor,plot no 2-56/11/53/a survey no 11/6,100ft road, near by meridian school,telangana"/>
        <s v="D.no:2-46/1,plot no 33/a megha hills cahndanagar circle,hyd,Telangana,500081"/>
        <s v="x road, royal colony,mehidpatnam,500028"/>
        <s v="13-1-1234,salum nasseb complex,500006"/>
        <s v="12-2-417/46/9,sharada nagarn colony gudimalkpur 500028"/>
        <s v="plot no 51 khanamet,attapur,chandanagar,circle no2 hyd,500084"/>
        <s v="H.no:27-3/26, shiva sai nagar-11-bairaguda,hyd,500091"/>
        <s v="7-1-455/12 opposite Bata showroom, Balkampet road,Ameerpet Hyd"/>
        <s v="138/1,flat no 45 shama apt sindi colony pg road 500005"/>
        <s v="Building no/flat no.1-98/90c,beside durgamma temple,ayyappa society road,madhapur"/>
        <s v="138/1,flat no 45 shama apt sindi colony pg road 500007"/>
        <s v="138/1,flat no 45 shama apt sindi colony pg road"/>
        <s v="138/1,flat no 45 shama apt sindi colony pg road 500003"/>
        <s v="H.NO: 1-8-125/1/G-2, SHOP NO. 2, AMAN ARCADE, P.G ROAD, SECUNDERABAD,Secunderabad Circle No.29, Hyderabad,Telangana - 500003"/>
        <s v="138/1,flat no 45 shama apt sindi colony pg road 500004"/>
        <s v="H.no: 4/1 Mig, ground floor , kphb colony, kukatpally,hyd-5000072"/>
        <s v="138/1,flat no 45,secunderabad 500003"/>
        <s v="plot no.2/a,whitefeilds,kondapur,serlingampally circle no 20,hyd,500084"/>
        <s v="sutter no.3, plot no .2a sy no.12,kondapur serlingampally circle no.20 hyd,500084"/>
        <s v="Gokul plots no.397and 492,VR Colony,beside vijetha super market,kphb,500085"/>
        <s v="Mig-64 dharmareddy colony phase-1 kphb colony kukatpally"/>
        <s v="138/1,flat no 45 shama apt sindi colony pg road 500006"/>
        <s v="2nd floor, 2-12-66 using B,kalyanamandapam west maredpally "/>
        <s v="2nd floor,2-12-66,using kalyanamadapam, west marredpally"/>
        <s v="2nd floor,2-12-66,west maredpally"/>
        <s v="no 7, H.no 6-3-650, 500082"/>
        <s v="H.no: 1-8-153/2, shop no-1 ground floor pg road, paradise, secunderbad,500003"/>
        <s v="Kukatpally"/>
        <s v="sai gayathri towers finacial district Nanakramguda,Telangana 500033"/>
        <s v="sai gayathri towers finacial district Nanakramguda,Telangana 500032"/>
        <s v="h.no:8-1-284/ou/152,ou colony,shaikpet,jubliee hills"/>
        <s v="sri sai arcade,beside prince biryani point,khairatabad circle no.17 hyd,500016"/>
        <s v="flat no.5 1st floor block no-6 municipal no;15-31-21-6/5,kphb colony,hyd,500072"/>
        <s v="Door no.6-3-1089/f/3/3 somajiguda,hyd,telangana,500082"/>
        <s v="kukatpally,hyd,500072"/>
        <s v="opposite metro pillar no 833 beside vikings cricket, sangeet nagar,kukatpally,hyd,500072"/>
        <s v="H.no:1-8-155/A 1st floor, pg road, secunderabad,begumpet circle no.30 Hyd, telangana,500016"/>
        <s v="H.no:6-3-902/2and3,first floor,raj bhavan road,somajiguda,hyd,telangana,500082"/>
        <s v="h.no:8-3-222/c/1/12,ground floor,madhura nagar,voulanfguda circle no.19"/>
        <s v="Yellareddy guda"/>
        <s v="ali nagar,khairthabad circle no.17"/>
        <s v="plot no:11and12,sai nath enclave,gokul plots venkata ramana colony kphb,kukatpally 500085"/>
        <s v="Ali nagar,yellareddy,madhura nagar"/>
        <s v="Madhura nagar"/>
        <s v="shop no.5, Manjira plaza,opposite Aadithya trade centre,near maithrivanam road,srinivas nagar,ameerpet,hyd,telangana,500038"/>
        <s v="h.no:12,17,opp indian oil petrol pump,madhapur"/>
        <s v="gate no.4 toulichowki"/>
        <s v="kharitabad circle no.17,yella reddy"/>
        <s v="two shutters no.1and 2,yousufguda circle no.19,hyd"/>
        <s v="H.no:33-a,aphb colony,indira nagar,gachibowli,serlingampally,circle no-20,hyd,telangana,500032"/>
        <s v="h.no:8/1,in sector-2 of hudo techno enclave,madhapur,seringampally,rangareddy,500081"/>
        <s v="no.2-22-311/53 A and 82a/31/a,p.no-53-a and 82-A, addagutta co-op society,bhagya nagar colony,kukatpally"/>
        <s v="ground floor, H.no:7-14/32/2b/g-01,alkapur township"/>
        <s v="plot no.1 road no.27,alkapur twp,manikonda"/>
        <s v="H.no:7-18-25/27/101, plot no.25,26,27,alkapur"/>
        <s v="shop no.8-3-22/16A and 16/B,madhura nagar"/>
        <s v="plot no.242,bayuth colony,pippalaguda,manikonda`"/>
        <s v="H.no:B/22,23,24,vengal rao nagar,khairtabad circle no.17,hyd.telangana,500038"/>
        <s v="MIG-154,gachibowli,selingampally circle-20,hyderabad,telangana,500081"/>
        <s v="plot no.64,opp HP petrol pump,peeramchervu,Gandhamguda,Bandlaguda jagir,hyd,500086"/>
        <s v="H.no:1-59/8/2, nandi co-operative society,miyapur,serlingampally ranga reddy district hyd 500049"/>
        <s v="H.no:4-28 plot no.28,dwauak nagar colony,banglaguda jagir,rajendra nagar,500086"/>
        <s v="Yousufguda"/>
        <s v="51/b  vengal rao nagar,hyd,yousufguda circel no.19,hyd,telangana,500045"/>
        <s v="plot no.75,76,77,dwauaka nagar "/>
        <s v="1-59/8/2, nandi co-operative society,miyapur,serlingampally ranga reddy district hyd 500049"/>
        <s v="H.no:2-27/7,vinayak nagar,gachibowlli,hyd,telagana,500032"/>
        <s v="Hyderabad"/>
        <s v="h.no:2-92/32,shop no.4,telangana,500084"/>
        <s v="CCPQ+HH8,circle no.17,madhura nagar,500073"/>
        <s v="yousufguda circle no.19,hyd,telangana,500038"/>
        <s v="-3-228/1280/46,circle no.19,hyd,500045"/>
        <s v="9-1-364/G/1, Bapu ghat,langarlouz,hyd,500008,karwan circle no.13,hyd,telangana,500008"/>
        <s v="SHOP NO:10, Abhuyudaya Nagar-Anandh nagar colony-Himayathsagar village),Gandipet, Rangareddy, Telangana -500075"/>
        <s v="5-69 and 70/2 opposite,ratanadee[,delect market westend colony,bangladuga jagir,hyd,500091"/>
        <s v="Sri ram nagar,yousufguda,hyd,500045"/>
        <s v="Hafeezpet"/>
        <s v="plot no.2A,sy no.12,opposite divya shree,hyd,500084"/>
        <s v="shop no.5 and 6 suitated opposite pochama galli dusakot village,gandipet,500091"/>
        <s v="plot no.1,darga khaliz khan,LV prasad eye instituation,h.no:14,200003,kismatpur,500086"/>
        <s v="1-90/2/E/A,sri sai nilayam,vinyaka nagar colony,madhapur,hyd,500081"/>
        <s v="6-58,dargha khalj khan,kismatpur,rajendranagar,rangareddy"/>
        <s v="plot no.21A,sy no.12,kondapur,500084"/>
        <s v="D.no:6-3-1192/1/G/8,white house G4,hyd,500016"/>
        <s v="sy no.20/AA western colony,gandhmguda,banglaguda,telangana,500086-gandipet"/>
        <s v="survey no.37,himayath sagar village,gandipet mandal,rangareddy district,telangana-500091"/>
        <s v="h.no:5-68,shantinagar,hydershakote"/>
        <s v="shop no.101 plot no.36 st.mincheals colony,banglaguda,gandipet,500086"/>
        <s v="shutter no-1,first floor,h.no:2/17,satya towers,opposite,hanuman,kothguda,hyd,500084"/>
        <s v="sy no.88, near old hafeezpet,sai nagar,opposite genpact company,serilingampally, hyd,500049"/>
        <s v="syedna omer masjid,yousufguda circle no.19,500045"/>
        <s v="5-12A,darga khaliz,khaan guda"/>
        <s v="Banjara hills,500034"/>
        <s v="LIG 153,KPHB phase 7,kukatpally,moosapet circle no.23,hyd,500085"/>
        <s v="8-3-235,Yousufguda,500045"/>
        <s v="Srinagar colony"/>
        <s v="6-3-598/5 ground floor,venkataramana colony,khairatabad circle  no.17,hyd,telangana,500004"/>
        <s v="Ishaq ahemed,h.no:2-499,sai nagar,old hafeezpet,selingampally circle no.20,hyd"/>
        <s v="plot no.212,prashanth nagar,kothaguda kondapur,500084"/>
        <s v="H NO 1-31/A SRI RAMNA ARCADE KONDAPUR, Serlingampally Circle No 20, Hyderabad, Telangana - 500084"/>
        <s v="Yousufguda,hyderabad,500045"/>
        <s v="Road no.30,alkapoori township,manikonda,rangareddy district,hyd,500089,gandipet,500089"/>
        <s v="Seeramnagar colony,puppalguda village"/>
        <s v="survey no.82,raidurg,panmaktha,500081"/>
        <s v="Botanical garden road,hyd,kondapur,telangana,500084"/>
        <s v="Madhura Nagar, Hyderabad"/>
        <s v="6-1-9,shop no.47,savinagar,pottisree Ramulu maig,khairtabad circle no.17,hyd,telangana"/>
        <s v="p.no 30 and 31,sy no 16,17 ,Villa 05, Wonder cherish villas, masjid banda, hyd, telangana, 500084"/>
        <s v="8-1-284/472,ou colony,shaikpet,hyderabad,jubliee hills circle shop no.18"/>
        <s v="Villa 05, Wonder Cherish Villas, Masjid Banda,, Serlingampally Circle No 20,Hyderabad, Telangana - 500084"/>
        <s v="suryarao gonthireddy,h.no:5-3-37/B,madinaguda,500049"/>
        <s v="H.no:6-3-347/9/4/c, dwarakapuri colony,panjagutta,khairatabad circle, hyderabad,telangana - 500082"/>
        <s v="H.No. 5-3/14/15, plot No.14, eg. No 222"/>
        <s v="p.no 30 &amp;31, s y no 167, villa no 5, wonder cherish villas, masjid banda, kondapur, HYD,Telangana, 500084"/>
        <s v="Twilight, Road number 1, Neknampur Rd,Puppalguda, Rajendranagar, Rangareddy,Telangana - 500089"/>
        <s v="sy no-192, Camelot layout, kondapur, sangareddy, Telangana, 500084"/>
        <s v="Miyapur"/>
        <s v="shop no.1-2,D.no:8-1-28/ou/448,Dream vally rd,ou colony,shaikpet,hyd,500104"/>
        <s v="mandinaguda"/>
        <s v="Innu ringroad ground floor 3-4-104/1/,hyderguda 404 road attapur,hyd,500048"/>
        <s v="plot no.16,madinaguda"/>
        <s v="6-1-82 and 83/gf/1,ground floor ssr chambers,lakdikapool,hyderabad,khairthabad circle no.17,500004"/>
        <s v="Cfrp+M7h pg road sappu bagh apartement sindi colony,begumpet hyd,500003"/>
        <s v="shop no.07,block 01,RBR complex,miyapur,chandanagar circle no 21,hyderabad,500049"/>
        <s v="1-27-356,Bapuji nagar,content munt aua except csds cantonment secunderabad,tealngana"/>
        <s v="Puppalguda Alkapur township, 500089"/>
        <s v="Shop No-1, Block No:1 RBR  complex, Miyapur chandanagar circle NO 21, Hyderabad - 500049"/>
        <s v="circle no.20,Q city road,near US consultancy,serlingampally,hyd,telangana "/>
        <s v="13-6-815/13/1 ambedkar nagar langri house mehdipatnam circle no 12, hyderabad, 500008"/>
        <s v="kothaguda,hyderabad"/>
        <s v="momi gupta, plot no 111, sunrise colony, sajjan singh layout, narsingi, gandipet, mandar, r.r  dist"/>
        <s v="portion no.4,first floor,sp's saroja complex,plot no.20/9,sy no.1009,situated at 6th phase kphb colony,kukatpally,500072"/>
        <s v="kondapur,circle no.20"/>
        <s v="plot no.212,prashanth nagar,kondapur,500084"/>
        <s v="7-4-413/11 ASR nagar east ameerpet, amberpet circle no. 16, hyderabad, telangana, 500016"/>
        <s v="5-5-69 &amp; 70 Opp Jain Apartment, Gandipet,  &#10;Rangareddi, Telangana-500086"/>
        <s v="6-73/241,bayuth colony,alkapur road"/>
        <s v="c/o h no 20-151 , surabhi colony, lingampally, lingampally, kv ranga reddy, serlingampally - 500019"/>
        <s v="h.no 1-90/c/8, inside sri krishna food court, hudo techno enclave, opp LP tower, vittalrao nagar, hitech city 500081"/>
        <s v="Ameenapur,selingampally,500050"/>
        <s v="kondapur,hyderabad"/>
        <s v="h.no:2-41/1,kothaguda,prashant nagar"/>
        <s v="tngo'S colony,phase 2,gachibowli"/>
        <s v="H.NO. 16-31-20/1/S2 Shop NO 2 SVS elegant phase-6, KPHB colony, Kukatpally - 500072, Hyderabad."/>
        <s v="h.no 1-57, serlingampally, circle no 20, hyd, telangana - 500084"/>
        <s v="TNGO's colony, phase-2 , gachibowli, hyderabad"/>
        <s v="23-83, BESIDE CMR SHOPPING MALL, BHEL, CHANDA NAGAR, HYDERABAD -500050, Chandanagar circle No 21, Hyderabad, Telangana-500050"/>
        <s v="beside hyderabad golf club, near banjara darwaza, golconda, fort road,tolichowki,hyderabad"/>
        <s v="plot no - 149, kismatpur road, near velly view enclave bandlaguda, hyderabad - 500086"/>
        <s v="7-1-28 2/C/69, sriram nagar BK guda Balkampet, hyd 500018"/>
        <s v="Hitech City, Hyderabad - 500081"/>
        <s v="h.no:1-72/3, p no.7,sy no.18,gachibowli village,serlingampally mandal,rangareddy"/>
        <s v="plot no 149, kistmatpur road, near velley view enclave banglaguda jagir, hyderabad - 500086"/>
        <s v="kothaguda kondapur"/>
        <s v="kothaguda HYD"/>
        <s v="not mentionrd"/>
        <s v="plot no 749, sy no 61, sri ramnagar colony, gandipet, rangareddy, telangana - 500089"/>
        <s v="bilwa 36,5th floor,plot no.1101,road no.36,next to IDBI bank,cbi colony,jubliee hills,hyd"/>
        <s v="plot no.1031,matrusri nagar colony,miyapur,hyd"/>
        <s v="flat no.G2,mythri bhavan,veshweshwara nagar,madinaguda,serlingampally circle no.20,hyd,500049"/>
        <s v="shop no.3,h.no:6-94/17/1,MIG-101,Noorjahan complex,huda colony,chandanagar,hyd,500050"/>
        <s v="plot no- 199 TNGO's colony, financial district"/>
        <s v="RHS-Rb-UE, Near . NIFI College Hyd - 500081"/>
        <s v="Hitech City, Hyderabad "/>
        <s v="Hitech city,telangana"/>
        <s v="Kondapur, Telangana - 500084"/>
        <s v="h.no:8-3-228/678/140,sri ram nagar,moti nagar,yousufguda circle no.19,hyd,telangana,500045"/>
        <s v="financilal district,hyd,500046"/>
        <s v="plot no:1449,sy no.78,gokul plots"/>
        <s v="plot no-1, amrutha enclave, bandlaguda, bandlaguda jagir, rajendranagar, rangareddy, telangana- 500086."/>
        <s v="Kondapur,Telangana"/>
        <s v="financilal district,hyd"/>
        <s v="madhapur,hyd,500081"/>
        <s v="H.no:8-2-248,shop no.G4,lumbini amrutha chambers,road no.3,banjara hills,jubilee hills circle no.18,hyd,telangana,500034"/>
        <s v="8-1-398/PM/paramont colony, gate no:-3, tolichowki, jubliee hills circle no:-18, Hyderabad, telangana - 500008"/>
        <s v="Plot no.22,part 1, amartahanda nagar"/>
        <s v="Plot No. 7, Near Crayon Hospital, Prasanth Nagar Colony, Bandlaguda (Jagir),Rajendranagar, Rangareddy, Telangana -500091"/>
        <s v="Plot No- 7, Near Gayon hospital, prasanth nagar colony, bandlaguda jagir, Rajendranagar, Rangareddy, Telangana 500091"/>
        <s v="plot no.84/1,miyapur,chandanagar circle no.21"/>
        <s v="plot no.12,sai tulsai enclave,vattinagulapally,gandipet(19),ranga reddy"/>
        <s v="5-3/12,plot no 12, phase-I, sai tulasi enclave, vattinagulapally, rajendranagar"/>
        <s v="369,swathi avenu,ameerpet,khairtabad circle no.17,hyd,telangana"/>
        <s v="Moosapet,hyd,500018"/>
        <s v="Hitech city,hyderabad"/>
        <s v="7-1-403,balkampet road,ameerpet,khairtabad circle no.17,hyd,telangana,500016"/>
        <s v="plot no 122 venkateshwara colony opp hospital bandlaguda   , jagir, bandlaguda, 500086"/>
        <s v="plot no 43,44 and 45 jv colony park gachibowli hyderabad jubilee hills"/>
        <s v="1-121,dargah khaliz,kismatpur,gandipet,rangareddy,telangana,5000861-121,dargah khaliz,kismatpur,gandipet,rangareddy,telangana,500086"/>
        <s v="1-121,dargah khaliz,kismatpur,gandipet,rangareddy,telangana,500086"/>
        <s v="sy no.104,105,106,Bandlaguda,Bandlaguda jagir,rajendranagar,rangareddy,telangana,500030"/>
        <s v="Sy.No.104,105,106, Bandlaguda, Bandlaguda (Jagir), Rajendranagar,Rangareddi, , Telangana, 500030"/>
        <s v="L135/3 3rd phase,bsnl road,temple,bus stand"/>
        <s v="plot no.156,part 1,narsingini,manikonda"/>
        <s v="plot no 202, beside kamadhenu jewellers, TNGO's colony, gachibowli, hyderabad,telangana"/>
        <s v="no. 4/5/6, shop no.2, kismatpur,shivasai colony, kismatpur, rajendranagar, rangareddy, telangana, 500030"/>
        <s v="H.no:1-72/3/316/27,plot no.27 and 37,gachibowli,serlingampally circle no.20,500032"/>
        <s v="shop no.1,JSR classic,vijetha super market,pragathi nagar,nizampet"/>
        <s v="plot no.51,serimallegardens attapur,mehadipatnam circle no.12,hyd,500004"/>
        <s v="Yousufguda,hyderabad "/>
        <s v="KPHB,hyderabad"/>
        <s v="11-1-12751B,new bhoiguda,afzal sagar,goshamahal circle no.14,hyd,telangana"/>
        <s v="1-19,narayankhed,abenda,narayankhed"/>
        <s v="6-1-69/1,plot no.68,street no.7,bhagyalaxmi colony,manikonda"/>
        <s v="plot no.13,bandlaguda jagir,rajendra nagar circle no.11,hyd,telangana,500086"/>
        <s v="Ragiv gandhi nagar,langarhouz,hyderabad,telangana,500048"/>
        <s v="Ragiv gandhi nagar,langarhouz,hyderabad,telangan,500048"/>
        <s v="plot no.691,692,OU colony main road,near dream valley villas, tanasha nagar"/>
        <s v="3-3-114/51,serimallegardens,phase-2,hyderguda,rajendra nagar circle no.11,hyderabad,500048"/>
        <s v="plot no.2,ganesh nagar,kismatpur,gandiper,rangareddy,telangana,500086"/>
        <s v="shop no.6,badam sohana apartment,3-1085,Raj bhavan rd,somajiguda,hyd,telangana"/>
        <s v="Anuhav Art of Irumy road no.25,alkaprui township,manikonda,rajendra nagar,500089"/>
        <s v="Plot no.1,Bandlaguda jagir,rajendra nagar,rangareddy,telangana,500091"/>
        <s v="Vasavi co-operative housing society hyd,pragathi nagar,500090"/>
        <s v="sy no.13 and 16,Bandlaguda jagir,gandipet mandal,rangareddy district,telangana,500091"/>
        <s v="shop no.3,996V+nf5,kismatpur road,banglaguda jagir,telangana"/>
        <s v="8-1-293/4,situated at dwaraka nagar colony,shaikpet,jubliee hills circle no.18"/>
        <s v="kondapur,telangana,500084"/>
        <s v="Raidurg, panmaktha near Tcs building "/>
        <s v="plot no.822,100 feet road,ayyappa society,madhapur,hyd,telangana,500081"/>
        <s v="plot no.13,sipa paradise,pragathi nagar,500090"/>
        <s v="h.no:1-26,survey no.61,ground floor and first floor road no.36 old road guttala begumpet,madhapur,500081"/>
        <s v="hitech city"/>
        <s v="khanamet,madhapur,chandanagar circle no.21,hyd,telangana,500081"/>
        <s v="plot no.9,ground floor,shiva bhagh,Ameerpet,hyd,500016"/>
        <s v="plot no.897,SS Drive in,S.A society,khanamet,madhapur,serlingampally circle no.20,hyd ,telangana,500081"/>
        <s v="kondapur,kothaguda"/>
        <s v="h.no:7-1-621/269,S R nagar,khairtabad circle no.17,hyderabad,Telangana,500038"/>
        <s v="H.no:7-1-304/2/64,BK guda,SR nagar,khairthabad circle no.17,hyd,telangana"/>
        <s v="Kokkiligadda prema raju,plot no.897,S.S driven In,ayyappa  society,madhapur,chandanagar circle no 21,hyd,telangan,500081"/>
        <s v="Kondapur,sri ram nagar"/>
        <s v="h.no 1-110/mn/18/1 RER, chandanagar- 500049"/>
        <s v="h No .4-188 premnagar , hafeezpet , chandanagar-21 "/>
        <s v="SY NO-78, KOLAN RAGHAVAREDDY FUNCTION HALL COMPLEX, HYDER NAGAR , NIZAMPET, Kukatpally Circle No 24, Hyderabad, Telangana - 500090"/>
        <s v="Nizampet"/>
        <s v="Kondapur"/>
        <s v="Ground gloor,9thphase,KPHB colony,kukatpally,hyd,500072"/>
        <s v="h.no:8-2-293/82/A/35,road number 5,jubliee hills,hyd,telangana,500033"/>
        <s v="Pragathi nagar"/>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P SATYA SAI, MIGH-574, H.No.15-25-574, Ground Floor, Road No.1, KPHB Colony, Kukatpally, Hyderabad, Moosapet Circle No 23, Hyderabad, Telangana - 500072"/>
        <s v="Kismatpur road adjustent to vidyapeet school ,bhavani colony,velly viewen clave,Bandlaguda jagir,"/>
        <s v="plot no.299,h.no:8-2-309/7/3,sy no.129/81,ward no,10,block no.3,road no.14,Banjara hills,hyd"/>
        <s v="Tanisha nagar huda layout manikonda,rajendra nagar,ranga reddy,telangana,"/>
        <s v="Sy no.177/P,Anjamma residency,alkapur,township road,pupaalaguda,gandipet mandal,500089"/>
        <s v="Door no.B-43,Journallist colony,Jubliee hills circle no.18,Hyd,telangana"/>
        <s v="Plot no.149,opposite shivalaram main road ou, shaikpet,jubliee hills circle no.18"/>
        <s v="plot no 25, 263 A, Ayyappa socoety main rd sarojini naidu nagar, madhapur, HYD, Telangana"/>
        <s v="H.NO.:1-110/MN/18/RER. Marthand nagar, new hafeezpet, chandanagar circle No 21, Hyderabad Telangana 500049"/>
        <s v="plot no. 14, HIG 15, sy no. 4, tanasha nagar"/>
        <s v="h.no: 6-13/ MIG, bhagya lakshmi colony"/>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
        <s v="shop no.S-8,block-A,pagadala pride"/>
        <s v="h.no:5-6,beside veterinary hospital,narsinginii"/>
        <s v="6-1-61/1,G6,Razzak estate ground floor,beside kamat hotel,saifabad,hyd,500004,khairatabad circle no.17,hyd,telangana,500004"/>
        <s v="hno - 3 1090/a/2, raj bhawan road, somajiguda, khairathabad circle no 17, hyderabad , 500082"/>
        <s v="hno- 6-2-967/b/a/6, fatch manzil, khairathabad circle no - 17, hyderabad, telangana"/>
        <s v="kukatpally,allwyn colony,kukatpally circle no.24,hyd,telangana,500072"/>
        <s v="plot no 19, kismatpur road behind HP petrol bunk, sri venkateswara colony, banglaguda jagir"/>
        <s v="Gandipet"/>
        <s v="h 6-3-1247/237, rajbhavan road, rajnagar somajiguda, hyderabad"/>
        <s v="H.NO:2-35,neknampur village,manikonda,gandipet mandal, R.R district ,500089"/>
        <s v="h.no:- 6-2-967/b/a/6, fateh man zil, khairatabad circle no - 17, hyderabad, telangana - 500004"/>
        <s v="H.NO:2-35,neknampur village,manikonda,gandipet mandal, R.R district,500089"/>
        <s v="#16-31-245, KPHB, 6th Phase Opp Bluedart, hyderabad- 500072"/>
        <s v="sy no.106/P,107/1,Gulmohar park colony,tara nagar serlingampally telangana,hyd"/>
        <s v="B007,riddhis grand eur,neknampur road,manikonda,gandipet,rangareddy,telangana,500089"/>
        <s v="HNo- 8-46/p. 1st floor, swaran arcade sai ram nagar colony, bandlaguda jagir, rangareddy, telangana- 500086"/>
        <s v="D.no:7-1-419/9/MS/1-C,opposite prime hospital,manjeera square,ameerpet"/>
        <s v="Sri nagar Colony"/>
        <s v="Amma mess road beside canara bank,prashant nagar,kukatpally"/>
        <s v="Erragada"/>
        <s v="sri laxmi industruies,prashanth nagar kukatpally,hyd,kukatpally circle no.24,500072"/>
        <s v="plot no.41/A,Ameetpet road,opposite trends showroon,chandangar circle no.21,hyd,telangana"/>
        <s v="plot no.38,padmaja colony,chandanagar,hyderabad,telangana"/>
        <s v="Moosepet Tanjayab nagar,mossapet,hyd,pillar no.891"/>
        <s v="C9XR+F87,Ayyappa society main road,megha hills,sri sai nagar.madhapur,hyd"/>
        <s v="plot no.41,opposite rajendra reddy nagar colony,chandnagar"/>
        <s v="H.NO:13-6-815/A/2,ground floor,langarhouz,hyderabad karwan circle no.13,hyd"/>
        <s v="Padmaja colony,chandanagar,500049"/>
        <s v="sy no.259,263,264,plot no.199,198,chandanagar,reddy colony,sangareddy"/>
        <s v="Ameerpet"/>
        <s v="Plot no: 1271, opp bharath petrol bunk road no:63, checkpost, Jubilee hills , hyderabad - 500033, jubilee hills, circle no: 18, hyd"/>
        <s v="KSR, Enclave beside ayyappa swamy temple,chandanagar"/>
        <s v="KPHB,hyderabad,500072"/>
        <s v="plot no.103 KSR, Enclave beside ayyappa swamy temple,chandanagar"/>
        <s v="H.no:106/9/1,krisat colony,phase-4,gangaram chandanagar,500050"/>
        <s v="plot no.31 and 32, KSR layout,PJR colony,serlingampally,chandanagar circle no.21,hyd,telangana"/>
        <s v="Nallagandla, Tellapur,setlingampally circle no.20,hyd,telangana"/>
        <s v="D&gt;NO:1-11/A/81,Plot no.81,gopal reddy nagar,opposite RTA office,kondapur,hyd,500084"/>
        <s v="plot no.491,near monkey center,madhapur nagar,pragathi nagar,hyd,telangana"/>
        <s v="plot no.105/LIG phase-XV,KPHB colony"/>
        <s v="Plot no.103,KSR, Enclave beside ayyappa swamy temple,chandanagar"/>
        <s v="phase-9,Kphb colony-500072"/>
        <s v="Kukatapally"/>
        <s v="kphb ,hyderabad "/>
        <s v="KSR Enclave beside ayappa swamy temple,chandanagar,shop no.3,hyd,telangana,500049"/>
        <s v="H.no: plot no.12,Anjanaya nagar,moosapet circle no.23,Hyderabad,telangana,500018"/>
        <s v="1-59/8/A,miyapur PS,Old Miyapur ps"/>
        <s v="Rayankathishravankumar,survey no.957,ICRISAT colony,Beeramguda 100feet road,502032"/>
        <s v="P.no.14/part,sy no.2,PJR enclave road,opposite gonguras restaurant,chandanagar circle no.21,hyd,500050"/>
        <s v="H.NO:HIG 65 3rd phase near manjeera water tank kayaka parameshwari temple road,Kphb"/>
        <s v="kphb "/>
        <s v="plot no.8-2/19/2,beside SBI Bank,Rampally village,keesara,medchal,malkajgiri,telangana"/>
        <s v="MIG-42/1-6,kukatpally hosing board colony,phase3 hyd,500072"/>
        <s v="KSR Enclave beside ayappa swamy temple,chandanagar,shop no.6,hyd,telangana"/>
        <s v="Gokul plots, venkata ramana - 500084"/>
        <s v="gokul plots Hafeezpeet, telangana - 500049"/>
        <s v="KPHB colony,temple bus stop,opposite mammus kitchen"/>
        <s v="Raidurg"/>
        <s v="survey 176,plot no c,addagutta housing society,circle no.24,kukatpally,hyderabad"/>
        <s v="plot no.22,MIG,KPHB phase 15"/>
        <s v="H.NO:2-3-406/12/part,plot no.7,road no.2,Tulasinagar,near M2m jeans,kukatpally circle no.24,hyd,500085"/>
        <s v="H.no:1-2-33/VP/76,Hydernagar,Balaji hills road,Ram naresh colony,Chandanagar circle no.24,hyd,telangana,500085"/>
        <s v="PT.NO.52 and 53,sy no.103 and Jayabhaeri enclave"/>
        <s v="madhapur,hyderabad"/>
        <s v="Hitech city,kkondapur,hyderabad"/>
        <s v="2-91/14/8,whitefeilds,kondapur"/>
        <s v="p.no:897,ss drive in,S.A society,khanamet,madhapur,serlingampally circle no.20,hyderabad,500081"/>
        <s v="shop no.4,plot no.897,ss drive in,ayappa society,madhapur,chandanagar,circle no.2,hyd,telangana,500081"/>
        <s v="12-19-46/2,kukatpally circle no.24,hyderabad,telangana,500018"/>
        <s v="H.NO:8-3-214/54/1/B-3,Madhaura nagar,Ameerpet,hyderbad,telangana,500038"/>
        <s v="R/O plot no B3,Kundacottage,madhura nagar,Ameerpet,hyderabad,telangana,500038"/>
        <s v="H.NO:7-1-632/17,Bapu nagar,sanjeeva reddy nagar,Khairthabad circle no.17,hyderabad,500038"/>
        <s v="7-1-621/289/5/A,Bapu Nagar,SR Nagar,hyderabad,telangana,500038"/>
        <s v="Flat no.909,block-A,Raghavendra's Mirra Pan chajan,Miyapur,AS Raj Miyapur,serlingampally circle no.20,500049"/>
        <s v="32B,Opposite,Community Hall,SR Nagar,Hyderabad,Khairthabad circle no.17,Hyd,Telangana,500038"/>
        <s v="H.NO:7-1-209,Sy No.153,Sanjeeva Reddy Nagar,Ameerpet,Hyderabad,Telanagana,500038"/>
      </sharedItems>
    </cacheField>
    <cacheField name="Contact Person" numFmtId="0">
      <sharedItems containsBlank="1">
        <s v="Mohammed minhaj uddin"/>
        <s v="M.A aqeel"/>
        <s v="Mohammed Arshad"/>
        <s v="Naika Amena"/>
        <s v="Syed Ameer Hussain"/>
        <s v="Shabana Begum"/>
        <s v="Mohd Shoieb"/>
        <s v="Mohammed rizwan qureshi"/>
        <s v="Katragadda Shesha sai"/>
        <s v="K.Rama Rao"/>
        <s v="Raguveer"/>
        <s v="Paul kumar"/>
        <s v="vamsi"/>
        <s v="Gardas saritha"/>
        <s v="Kuna Vaishnav"/>
        <s v="Yelgani sai kumar"/>
        <s v="veeram reddy seetharam reddy"/>
        <s v="Prashanth"/>
        <s v="Natva Santosh kumar"/>
        <s v="chatne akash"/>
        <m/>
        <s v="Venudhar reddy malakapalli"/>
        <s v="Venudhar reddy"/>
        <s v="Sachinandan hari das"/>
        <s v="Siva Rama Krishna"/>
        <s v="Ashok thapa"/>
        <s v="Raghav"/>
        <s v="Narupu reddy"/>
        <s v="Ragavendra Gm"/>
        <s v="B.Raja yashwanth kumar"/>
        <s v="Rihaan"/>
        <s v="Manjunath"/>
        <s v="Grandi sravan kumar"/>
        <s v="Abhilash Thota"/>
        <s v="naveen"/>
        <s v="Mangalarapu sai teja"/>
        <s v="Mohd Arshad"/>
        <s v="ravi"/>
        <s v="suresh"/>
        <s v="Md mansoor"/>
        <s v="mohammed feroz"/>
        <s v="Mohanmed feroz"/>
        <s v="karempudi vijava durga"/>
        <s v="not mentioned"/>
        <s v="V. Shankar"/>
        <s v="Triveni"/>
        <s v="Madapuram anil kumar"/>
        <s v="mohd umar khan"/>
        <s v="Quddus hussain"/>
        <s v="Pranay kumar"/>
        <s v="vidya sagar kadali"/>
        <s v="K. Naga Bhushan Rao"/>
        <s v="Juhi sanjay sajnani"/>
        <s v="Naveen reddy"/>
        <s v="Sonal mohit mehta"/>
        <s v="Karthik"/>
        <s v="Kethineni Rajesh"/>
        <s v="Ashish kumar"/>
        <s v="Vamshi krishna"/>
        <s v="Dinesh"/>
        <s v="Ramchandra rao"/>
        <s v="G.Yashwanth meher"/>
        <s v="suryam"/>
        <s v="Medikonda kondaiah"/>
        <s v="Deepak kumar"/>
        <s v="omkar.A"/>
        <s v="Khasim"/>
        <s v="Sudheer kumar"/>
        <s v="Musthakin"/>
        <s v="Pooja Karthik"/>
        <s v="sudarsan nayak"/>
        <s v="shivam"/>
        <s v="arun"/>
        <s v="M.Sanjeev reddy"/>
        <s v="Enoch Chowdary"/>
        <s v="Mohammed ilyas"/>
        <s v="mohammed masurd"/>
        <s v="Kataru padmavathi"/>
        <s v="Subhash"/>
        <s v="sri latha kakarla"/>
        <s v="Manikenteswara reddy.E"/>
        <s v="santhosh"/>
        <s v="Syed ali"/>
        <s v="Prasad"/>
        <s v="Venkata reddy"/>
        <s v="Alam"/>
        <s v="Venkata ramana"/>
        <s v="Mohammed Ishaq"/>
        <s v="Srikanth"/>
        <s v="Ravi Kumar"/>
        <s v="Nallari Ravi"/>
        <s v="P.Chandra shekar Rao"/>
        <s v="Rambabu"/>
        <s v="Manikanta Reddy"/>
        <s v="Satish"/>
        <s v="Prashanth Singh"/>
        <s v="V.Ravi Kumar"/>
        <s v="Aripelli VInesh"/>
        <s v="Mahendra reddy"/>
        <s v="venu"/>
        <s v="E.Balaji"/>
        <s v="Vijay kumar"/>
        <s v="sujeeth karnala"/>
        <s v="Dilip Deva"/>
        <s v="Sai lakshmi"/>
        <s v="Ravi Teja"/>
        <s v="Abhishek"/>
        <s v="MD.Ghouse"/>
        <s v="Mohammed Khaleel"/>
        <s v="Monica"/>
        <s v="Dinesh kumar"/>
        <s v="Sheik faehaan"/>
        <s v="Manne Hanumanth"/>
        <s v="Dodda krupakar"/>
        <s v="Harsha vardhan raju"/>
        <s v="Yeshwanth undragunta"/>
        <s v="Sri hari"/>
        <s v="Naveeed khan ahsan mohammed khan"/>
        <s v="kassa  venkata padmavathi"/>
        <s v="Ashok "/>
        <s v="Nithish"/>
        <s v="Imran khan"/>
        <s v="syed shahed"/>
        <s v="Megha vath venkatesh"/>
        <s v="Lakshman kumar yadav"/>
        <s v="Bhimavaram vari unlimited ruchulu"/>
        <s v="Mohammed"/>
        <s v="mohammed Ameen Uddin"/>
        <s v="Gudelli srinivas"/>
        <s v="Ishaq ahmed"/>
        <s v="P.SRINIVASHULU"/>
        <s v="Sita ram"/>
        <s v=" sk janbee"/>
        <s v="Shailaja reddy"/>
        <s v="Sudarshan reddy"/>
        <s v="Rakesh"/>
        <s v="Hemanta kumar jena"/>
        <s v="Syed mohammed yasar"/>
        <s v="Ramakrishna reddy gaddampally"/>
        <s v="Kailash"/>
        <s v="Mujeeb"/>
        <s v="Ajay"/>
        <s v="ABRAR"/>
        <s v="Chalavadi Pavan Kalyan"/>
        <s v="Umamaheshwari devi"/>
        <s v="Venkata Triven Kumar Akula"/>
        <s v="Nagendra"/>
        <s v="Praveen Kumar"/>
        <s v="laxman"/>
        <s v="Sunil"/>
        <s v="Triven Kumar"/>
        <s v="Narsimha"/>
        <s v="Roopchand"/>
        <s v="Subrata chaki"/>
        <s v="Rajendra reddy"/>
        <s v="Regu srinivas"/>
        <s v="Y.Niraj"/>
        <s v="Yanugunti Akhil"/>
        <s v="Amarnadh Reddy"/>
        <s v="Sai Kumar"/>
        <s v="Surya Manohar"/>
        <s v="Narasimha Murthy"/>
        <s v="Anjaneyareddy"/>
        <s v="keethi kumar"/>
        <s v="Raj"/>
        <s v="Sai teja"/>
        <s v="Purna chandhar rao"/>
        <s v="A.Mahesh"/>
        <s v="makkala narsing roa "/>
        <s v="Mohammed yasar"/>
        <s v="Diyi Tatayya Naidu"/>
        <s v="Angad Singh"/>
        <s v="mahesh.D"/>
        <s v="Anjaneya reddy"/>
        <s v="sk .Jani bakeas"/>
        <s v="Nayan Mitra"/>
        <s v="Sravan Kumar"/>
        <s v="Sandeep"/>
        <s v="Syed Hisam Uddin"/>
        <s v="karani nagendra varma "/>
        <s v="Nihar"/>
        <s v="chinna rao"/>
        <s v="Fathima"/>
        <s v="A. Anil Kumar"/>
        <s v="Annapurna"/>
        <s v="Kamlesh Dayal"/>
        <s v="Sunny kumar arora"/>
        <s v="Ajay kumar"/>
        <s v="sonali avinash jadhav"/>
        <s v="Manoj"/>
        <s v="not mentionrd"/>
        <s v="Abhishek aggarwal"/>
        <s v="Mohammed Rasheed"/>
        <s v="Amerendra Naidu"/>
        <s v="Thirumala Reddy Balashow reddy"/>
        <s v="manda Tirupathi"/>
        <s v="Ajay Reddy"/>
        <s v="Jagadeesh"/>
        <s v="Chandu"/>
        <s v="Chandu "/>
        <s v="Santosh"/>
        <s v="Junaid"/>
        <s v="keerthana"/>
        <s v="Burra Rakesh Gound"/>
        <s v="Sumanth"/>
        <s v="Nanda kishore"/>
        <s v="Priyanka"/>
        <s v="Anil kumar"/>
        <s v="Rahul Gupta"/>
        <s v="Naseer Khan"/>
        <s v="shaik khizar ahmed"/>
        <s v="Madaram Shailaja "/>
        <s v="Sharath"/>
        <s v="Rajesh kumar"/>
        <s v="Ibrahim"/>
        <s v="uday Bhaskar"/>
        <s v="Pidathala bharathi"/>
        <s v="Padmavathi"/>
        <s v="sri charen"/>
        <s v="Biradar Pradeep"/>
        <s v="Jahnavi"/>
        <s v="Shajit sha"/>
        <s v="Shravan"/>
        <s v="Mohammed Osman"/>
        <s v="Nithin Dev"/>
        <s v="Meghana"/>
        <s v="sekh raphik"/>
        <s v="shaik sartaz ali"/>
        <s v="Bhimalla Shiva Shankar"/>
        <s v="Hema Addanki"/>
        <s v="Mohammed Afroz"/>
        <s v="abdul rasheed and Iliyas"/>
        <s v="satya prasad"/>
        <s v="Auti Eknath"/>
        <s v="Krishna roa reddy"/>
        <s v="Usha rani"/>
        <s v="saleem shaik"/>
        <s v="Sai kiran"/>
        <s v="Korman sai krishna"/>
        <s v="Shankar reddy"/>
        <s v="Dasari kiran (Gani)"/>
        <s v="Nehad Siddiqui"/>
        <s v="Sammidi Ranjith reddy"/>
        <s v="Raghavendra"/>
        <s v="Sravani"/>
        <s v="Sai manikanta reddy"/>
        <s v="Pandu Ranga Reddy"/>
        <s v="Pendyala teja arun kumar"/>
        <s v="N. Goutham kumar"/>
        <s v="Deepak"/>
        <s v="Mohammed soheb"/>
        <s v="Rama krishna"/>
        <s v="M. Gopinath"/>
        <s v="Ravi "/>
        <s v="Kannavarapu Narendra babu"/>
        <s v="Raju gari sruthi"/>
        <s v="Satya vara prasad"/>
        <s v="venkat"/>
        <s v="Methri mallesh"/>
        <s v="Rambala sanjay"/>
        <s v="Nikhil"/>
        <s v="Madhuri chand"/>
        <s v="Prem raju"/>
        <s v="Ajay "/>
        <s v="veeranjaneyulu"/>
        <s v="shyam"/>
        <s v="Sekhar"/>
        <s v="Shiva karthik"/>
        <s v="Suresh Reddy"/>
        <s v="Manideep"/>
        <s v="P. Mastan Rao"/>
        <s v="Chithari sai bhuvan"/>
        <s v="Ganesh"/>
        <s v="P SATYA SAI"/>
        <s v="Chandan"/>
        <s v="Mihir Khanna"/>
        <s v="Naveen kumar"/>
        <s v="B.V.D Phani Kumar"/>
        <s v="Thopuri Lakshmikanth"/>
        <s v="Zubair"/>
        <s v="M. Ramesh"/>
        <s v="Banupriya Saravanan"/>
        <s v="Veluei sunil kumar"/>
        <s v="Syed Haji ali"/>
        <s v="Charan"/>
        <s v="Srinivas"/>
        <s v="Hamdan Bin Masood"/>
        <s v="Sneha"/>
        <s v="Anil  "/>
        <s v="Pradeep"/>
        <s v="Mekala's shasidar reddy"/>
        <s v="Nagalla Teja sai"/>
        <s v="A. Naveen"/>
        <s v="A . Naveen Kumar"/>
        <s v="V. Rama Devi"/>
        <s v="K.Navanitha"/>
        <s v="Nagaraju/ Padma"/>
        <s v="Md.Khairuddin"/>
        <s v="Annapa shetty"/>
        <s v="Birader usha"/>
        <s v="Vikram "/>
        <s v="not  mentioned"/>
        <s v="Shiva Kumar"/>
        <s v="Shabbir"/>
        <s v="Dr.Ravi Kumar"/>
        <s v="Tatavarthi somnath"/>
        <s v="M.Sai kiran"/>
        <s v="Dyanshwar"/>
        <s v="Kancharla Anand"/>
        <s v="Siva "/>
        <s v="Bhanu Prakash"/>
        <s v="Skindar"/>
        <s v="Golla Venkateshwara Rao"/>
        <s v="Sai Nagaraju Kumar"/>
        <s v="Balaram Khuntia"/>
        <s v="Madduri Ravindhar Reddy"/>
        <s v="Wasim Akram"/>
        <s v="Sunil Gowtham"/>
        <s v="Deepu"/>
        <s v="Vinod"/>
        <s v="srinivasulu "/>
        <s v="Naga Lakshmi"/>
        <s v="Shivananda"/>
        <s v="prabhavathi"/>
        <s v="Menday Vamshi"/>
        <s v="Arjun"/>
        <s v="Lalu Sekhar Gudavalli"/>
        <s v="Anil reddy "/>
        <s v="Anil"/>
        <s v="Seshu"/>
        <s v="Swarup Jana"/>
        <s v="Arbaaz"/>
        <s v="Darshan"/>
        <s v="Wajid"/>
        <s v="M.K.V.Swamy"/>
        <s v="Kale Shravan Kumar"/>
        <s v="Akhil"/>
        <s v="Fahad Mon Kalathingal"/>
        <s v="Phani Kumar"/>
        <s v="B.Ram Singh"/>
        <s v="Sambhashivarao"/>
        <s v="Pavithra"/>
        <s v="Ashok kumar"/>
        <s v="Irfaan"/>
        <s v="G.Bhanu Prasad"/>
        <s v="Avensh"/>
        <s v="Kaldini Swathi"/>
        <s v="HemKumar"/>
      </sharedItems>
    </cacheField>
    <cacheField name="Phone no." numFmtId="49">
      <sharedItems containsBlank="1">
        <s v="9949583785"/>
        <s v="9618659036"/>
        <s v="8686561072"/>
        <s v="8977918331"/>
        <s v="8121007155"/>
        <s v="9701168269"/>
        <s v="9398554461"/>
        <s v="8121586490"/>
        <s v="9052592437"/>
        <s v="9030611616"/>
        <s v="9963122625"/>
        <s v="9100777133"/>
        <s v="9177285333"/>
        <s v="9985000567"/>
        <s v="9014176534"/>
        <s v="9030518803"/>
        <s v="8989873636"/>
        <s v="8555825704"/>
        <s v="6302181276"/>
        <s v="8341514984"/>
        <m/>
        <s v="9642883377"/>
        <s v="8121040277"/>
        <s v="9392038004"/>
        <s v="9391167117"/>
        <s v="7995109409"/>
        <s v="7995854986"/>
        <s v="9972901941"/>
        <s v="6301782448"/>
        <s v="9963968917"/>
        <s v="9705812524"/>
        <s v="04023536061"/>
        <s v="9032944860"/>
        <s v="7347337323"/>
        <s v="7416814310"/>
        <s v="9849975158"/>
        <s v="9642897117"/>
        <s v="7396735758"/>
        <s v="9985609966"/>
        <s v="9676213874"/>
        <s v="7097949648"/>
        <s v="6303274660"/>
        <s v="not mentioned"/>
        <s v="7093762666"/>
        <s v="8333833299"/>
        <s v="7893713995"/>
        <s v="9885199151"/>
        <s v="9182466676"/>
        <s v="4023536061"/>
        <s v="9963967706"/>
        <s v="709504025"/>
        <s v="8501024577"/>
        <s v="9133847766"/>
        <s v="9676945646"/>
        <s v="9603939777"/>
        <s v="9642431013"/>
        <s v="7306445599"/>
        <s v="9398556461"/>
        <s v="9959357179"/>
        <s v="6281821329"/>
        <s v="8977709421"/>
        <s v="7702632033"/>
        <s v="7842804422"/>
        <s v="9849995653"/>
        <s v="9100112336"/>
        <s v="9989071021"/>
        <s v="9966591281"/>
        <s v="7032735002"/>
        <s v="9849108337"/>
        <s v="8185802329"/>
        <s v="9963317579"/>
        <s v="9160602527"/>
        <s v="8008623545"/>
        <s v="9392458574"/>
        <s v="9652222583"/>
        <s v="8125125635"/>
        <s v="9550930115"/>
        <s v="9618291465"/>
        <s v="7416826069"/>
        <s v="8121749748"/>
        <s v="9494399656"/>
        <s v="9959223649"/>
        <s v="910001662"/>
        <s v="8466082222"/>
        <s v="7995150934"/>
        <s v="8317636360"/>
        <s v="9885215007"/>
        <s v="9493989362"/>
        <s v="9911911949"/>
        <s v="9885552731"/>
        <s v="8247569561"/>
        <s v="9912699903"/>
        <s v="9177960195"/>
        <s v="9490840633"/>
        <s v="9391007154"/>
        <s v="9000002378"/>
        <s v="83339336696"/>
        <s v="7066346634"/>
        <s v="9032000555"/>
        <s v="8374628209"/>
        <s v="9490701464"/>
        <s v="9493106693"/>
        <s v="9700553599"/>
        <s v="7799208404"/>
        <s v="8328378624"/>
        <s v="9666650269"/>
        <s v="8801656811"/>
        <s v="9505154858"/>
        <s v="9000162702"/>
        <s v="8801925991"/>
        <s v="8897351867"/>
        <s v="9393132929"/>
        <s v="8897928087"/>
        <s v="9885238434"/>
        <s v="6281817630"/>
        <s v="7331139799"/>
        <s v="8328568920"/>
        <s v="6301302857"/>
        <s v="9704204592"/>
        <s v="9515758788"/>
        <s v="9502157868"/>
        <s v="8623075235"/>
        <s v="8008049249"/>
        <s v="9980102334"/>
        <s v="9000464440"/>
        <s v="8247527217"/>
        <s v="8367007137"/>
        <s v="8102839784"/>
        <s v="7336446648"/>
        <s v="9912340407"/>
        <s v="9618096343"/>
        <s v="9618084946"/>
        <s v="6300993721"/>
        <s v="8096234311"/>
        <s v="9491064999"/>
        <s v="9573462351"/>
        <s v="8801297760"/>
        <s v="9502547468"/>
        <s v="8374675950"/>
        <s v="6281737216"/>
        <s v="9985396392"/>
        <s v="8977945506"/>
        <s v="9000027744"/>
        <s v="9032099121"/>
        <s v="9247109555"/>
        <s v="9542781785"/>
        <s v="7330991470"/>
        <s v="9010089099"/>
        <s v="8639337298"/>
        <s v="8096631022"/>
        <s v="9346075821"/>
        <s v="7702090120"/>
        <s v="6300546345"/>
        <s v="9391389840"/>
        <s v="8125526123"/>
        <s v="9502236565"/>
        <s v="9010772255"/>
        <s v="7002940025"/>
        <s v="9640134565"/>
        <s v="9908670223"/>
        <s v="9957470763"/>
        <s v="8885260445"/>
        <s v="9949212817"/>
        <s v="9989151245"/>
        <s v="9700119173"/>
        <s v="7702484488"/>
        <s v="7730072371"/>
        <s v="8143603999"/>
        <s v="8978795897"/>
        <s v="9059457021"/>
        <s v="7981516906"/>
        <s v="9390077903"/>
        <s v="6281528028"/>
        <s v="9640166669"/>
        <s v="7981933914"/>
        <s v="6300840049"/>
        <s v="7406466642"/>
        <s v="8790689367"/>
        <s v="8918098855"/>
        <s v="8184836524"/>
        <s v="9885869143"/>
        <s v="8341901102"/>
        <s v="7718423292"/>
        <s v="897729979"/>
        <s v="8007452222"/>
        <s v="9000160480"/>
        <s v="9676509251"/>
        <s v="7337309794"/>
        <s v="7386013565"/>
        <s v="8555936674"/>
        <s v="8121340883"/>
        <s v="9676509250"/>
        <s v="70202266949"/>
        <s v="949473281"/>
        <s v="not mentionrd"/>
        <s v="9347727393"/>
        <s v="9866650027"/>
        <s v="9700481723"/>
        <s v="9642498490"/>
        <s v="9666674299"/>
        <s v="9866983997"/>
        <s v="7780460241"/>
        <s v="9573144658"/>
        <s v="9908866994"/>
        <s v="9908866993"/>
        <s v="9989981294"/>
        <s v="6303702150"/>
        <s v="9703166696"/>
        <s v="9390463901"/>
        <s v="7893053090"/>
        <s v="9494968626"/>
        <s v="9553442334"/>
        <s v="9394141282"/>
        <s v="6301730136"/>
        <s v="9133944255"/>
        <s v="7032209668"/>
        <s v="9985700007"/>
        <s v="9704141884"/>
        <s v="9700226988"/>
        <s v="9100267638"/>
        <s v="8886633304"/>
        <s v="9293245150"/>
        <s v="9866305968"/>
        <s v="9849117567"/>
        <s v="7989456218"/>
        <s v="7396680184"/>
        <s v="8247837141"/>
        <s v="7989953036"/>
        <s v="9900942019"/>
        <s v="9398294016"/>
        <s v="9000550143"/>
        <s v="6300227403"/>
        <s v="8919193385"/>
        <s v="9028234693"/>
        <s v="8897622869"/>
        <s v="8979949479"/>
        <s v="8686092883"/>
        <s v="7893194466"/>
        <s v="9030058654"/>
        <s v="7981177252"/>
        <s v="8074708028"/>
        <s v="7013883666"/>
        <s v="9398293706"/>
        <s v="9986881566"/>
        <s v="9059524358"/>
        <s v="8978565854"/>
        <s v="7036356575"/>
        <s v="8074527844"/>
        <s v="8790436037"/>
        <s v="7842712111"/>
        <s v="9100031572"/>
        <s v="9957456056"/>
        <s v="8328177189"/>
        <s v="9032306096"/>
        <s v="9032428282"/>
        <s v="8333936696"/>
        <s v="6301645687"/>
        <s v="812171982"/>
        <s v="9052736666"/>
        <s v="7816087272"/>
        <s v="9347207020"/>
        <s v="800783939"/>
        <s v="8019112034"/>
        <s v="8885578925"/>
        <s v="7411228981"/>
        <s v="6305683109"/>
        <s v="9553119997"/>
        <s v="9133991020"/>
        <s v="9908312934"/>
        <s v="6303439490"/>
        <s v="7337595099"/>
        <s v="9505032225"/>
        <s v="9652750853"/>
        <s v="9094642222"/>
        <s v="9849869084"/>
        <s v="9880212337"/>
        <s v="6300093627"/>
        <s v="6304772130"/>
        <s v="9848067277"/>
        <s v="9581948484"/>
        <s v="9989907230"/>
        <s v="8008908443"/>
        <s v="9704003230"/>
        <s v="970114700"/>
        <s v="8712828752"/>
        <s v="9182042737"/>
        <s v="99019904554"/>
        <s v="9955856460"/>
        <s v="9780978979"/>
        <s v="7416022022/ 7337445858"/>
        <s v="9000037654"/>
        <s v="8886044412"/>
        <s v="9391713197"/>
        <s v="9110302879"/>
        <s v="9000608773"/>
        <s v="953952885"/>
        <s v="9959610369"/>
        <s v="7207206239"/>
        <s v="9848232687"/>
        <s v="8801417049"/>
        <s v="9030525248"/>
        <s v="7997107107"/>
        <s v="7794965800"/>
        <s v="9949538044"/>
        <s v="8801858900"/>
        <s v="7095822597"/>
        <s v="9666267966"/>
        <s v="603972122"/>
        <s v="9908393938"/>
        <s v="8341395562"/>
        <s v="9980505056"/>
        <s v="7013902284"/>
        <s v="7416626655"/>
        <s v="8886555111"/>
        <s v="9849794341"/>
        <s v="9441855617"/>
        <s v="7981958799"/>
        <s v="96760993300"/>
        <s v="8019530803"/>
        <s v="8885303345"/>
        <s v="8125401252"/>
        <s v="9396420235"/>
        <s v="9951698337"/>
        <s v="8328047934"/>
        <s v="9177781711"/>
        <s v="9000200207"/>
        <s v="9542250303"/>
        <s v="6304551271"/>
        <s v="6309781483"/>
        <s v="9615550066"/>
        <s v="9030785244"/>
        <s v="9550045222"/>
        <s v="6281337544"/>
        <s v="9618242571"/>
        <s v="9714582975"/>
        <s v="7008264218"/>
        <s v="9392580216"/>
        <s v="9966887205"/>
        <s v="9059977899"/>
        <s v="9304529259"/>
        <s v="9177015185"/>
        <s v="9739368004"/>
        <s v="9948310080"/>
        <s v="9572638886"/>
        <s v="9381245681"/>
        <s v="7093010756"/>
        <s v="8919308595"/>
        <s v="9866687976"/>
        <s v="8688704595"/>
        <s v="8143586417"/>
        <s v="7601018276"/>
        <s v="8125638358"/>
        <s v="6281762639"/>
        <s v="9494433673"/>
        <s v="9392583121"/>
        <s v="7989383201"/>
        <s v="9000314794"/>
        <s v="9030501996"/>
        <s v="8113961718"/>
        <s v="8686886219"/>
        <s v="8688077052"/>
        <s v="9370093800"/>
        <s v="8688562257"/>
        <s v="9885835714"/>
        <s v="7386840498"/>
        <s v="9010667686"/>
        <s v="8790664378"/>
      </sharedItems>
    </cacheField>
    <cacheField name="Email ID" numFmtId="0">
      <sharedItems containsBlank="1">
        <s v="minhajsmarty@gmail.com"/>
        <s v="theoriginalgrill03@gmail.com"/>
        <s v="prinzzarshad@gamil.com"/>
        <s v="alkemy.ind@gmail.com"/>
        <s v="ameersyed131@gmail.com"/>
        <s v="shabanaameer131@gmail.com"/>
        <s v="mmshoieb786@gmail.com"/>
        <s v="anasriyanmohammed@gmail.com"/>
        <s v="sheshasai.katragadda@gmail.com"/>
        <s v="bhuvanskitchen25@gmail.com"/>
        <s v="munnoorraghuveer@gmail.com"/>
        <s v="bobsbiriyani07@gmail.com"/>
        <s v="info@easrinhotels.in"/>
        <s v="gardasnagesh34@gmail.com"/>
        <s v="kunavyshnav@gmail.com"/>
        <s v="rebalsaikumargoud@gmail.com"/>
        <s v="bowlrise.srnagaar@gmail.com"/>
        <s v="not mentioned"/>
        <s v="nsantosh086@gmail.com"/>
        <s v="cakash121@gmail.com"/>
        <m/>
        <s v="venudharr@gmail.com"/>
        <s v="admin.govindasatiskconattapur.com"/>
        <s v="shivakandavelli@gmail.com"/>
        <s v="vishnuthapaa@gmail.com"/>
        <s v="V6 venturesllp@gmail.com"/>
        <s v="rayalaseemaspicefamilyvetaura@gmail.com"/>
        <s v="raghavs2606@yahoo.com"/>
        <s v="yeshwanth.bugude@gmail.com"/>
        <s v="bighaniyasony@gmail.com"/>
        <s v="bmanjunathkotteri@gmail.com"/>
        <s v="vidhusekharapizzeria@gmail.com"/>
        <s v="abhigupta143@gmail.com"/>
        <s v="ahladha2025@gmail.com"/>
        <s v="flavourbiryanicafe@gmail.com"/>
        <s v="thehunanspice@gamil.com"/>
        <s v="krishnateeram2025@gmail.com"/>
        <s v="y96822534@gamil.com"/>
        <s v="ak.8977.ak@gmail.com"/>
        <s v="vijayvijju8096@gmail.com"/>
        <s v="anandbhavanmess@gmail.com"/>
        <s v="brewcommunecafe@gmail.com"/>
        <s v="danil madapuram@gmail.com"/>
        <s v="amer786khan@gmil.com"/>
        <s v="khuddushussain7@gmail.com"/>
        <s v="bidhaniyasony@gmail.com"/>
        <s v="smashcity.bk2025@gmail.com"/>
        <s v="vjfoodprenures@gmail.com"/>
        <s v="bhushankotta valasa@gmail.com"/>
        <s v="frostbakery@gmail.com"/>
        <s v="frostbakeryindia@gmail.com"/>
        <s v="gupshupbistro@gmail.com"/>
        <s v="tkartheek.516@gmail.com"/>
        <s v="vasmshikrishnamarch20@gmail.com"/>
        <s v="dinesg.pedamallu@gmail.com"/>
        <s v="info@thegoodsparrow.com"/>
        <s v="info@thegoodsparrow.in"/>
        <s v="yashwanthmeher@gmail.com"/>
        <s v="veeradichaap1@gmail.com"/>
        <s v="veerammagarivantillu@gmail.com"/>
        <s v="dhanyasideepakvarma@gmail.com"/>
        <s v="addomkar@gmail.com"/>
        <s v="sudheer2409@gmail.com"/>
        <s v="mmbakers8052@gmail.com"/>
        <s v="poojasdinein@gmail.com"/>
        <s v="hsgsubhamgrand@gmail.com"/>
        <s v="not mentioned "/>
        <s v="arukhaflavours@gmail.com"/>
        <s v="jaimaanukanda7@gmail.com"/>
        <s v="contact.edenindustries@gmail.com"/>
        <s v="mohdilyas13@gmail.com"/>
        <s v="faheen88977@gmail.com"/>
        <s v="bakehousesns@gmail.com"/>
        <s v="srichandrakakarla@gmail.com"/>
        <s v="emkreddy.19@gmail.com"/>
        <s v="punjabijunctionyf@gmail.com"/>
        <s v="alshawrmabites@gamil.com"/>
        <s v="amoghcafe1@gmail.com"/>
        <s v="naveenaryanchowdary@gmail.com"/>
        <s v="bulliabbhai@gmail.com"/>
        <s v="royalgaming51945@gmail.com"/>
        <s v="hjjuicesalad@gmail.com"/>
        <s v="ishaq.1963@yahoo.com"/>
        <s v="kaaramthspicekitchen@gmail.com"/>
        <s v="velagapudi6@gmail.com"/>
        <s v="ravikanthnalari@gmail.com"/>
        <s v="saimanikantareddy8172@gmail.com"/>
        <s v="sribhimavaramthali@gmail.com"/>
        <s v="prashanthhaakur6@gmail.com"/>
        <s v="avinesh363@gmail.com"/>
        <s v="humaenterprises1982@gmail.com"/>
        <s v="gundavenuprakash74@gmail.com"/>
        <s v="balu.evana396@gmail.com"/>
        <s v="vijjuvo52@gmail.com"/>
        <s v="sujith.atrity@gmail.com"/>
        <s v="dilipdevda2004@gmail.com"/>
        <s v="lakshmisai349@gmail.com"/>
        <s v="aromabiryanisandpulao@gmail.com"/>
        <s v="foabanglaguda@gmail.com and hsreddy81@gmail.com"/>
        <s v="saudimd28@gmail.com"/>
        <s v="khaleelmohameed232@gmail.com"/>
        <s v="msuranaktm@gmail.com"/>
        <s v="dineshdiyya@gmail.com"/>
        <s v="oakbistro@gmail.com"/>
        <s v="hanumudiraj@gmail.com"/>
        <s v="rathodvenkat62@gmail.com"/>
        <s v="rajaasab@03@gmail.com"/>
        <s v="vardhan2563@gmail.com"/>
        <s v="santhakamruchulu@gmail.com"/>
        <s v="pedhdhoda97@gmail.com"/>
        <s v="aakham302@gmail.com"/>
        <s v="padmakasa76@gmail.com"/>
        <s v="kothaashok25@gmail.com"/>
        <s v="patnamruchulu@gmail.com"/>
        <s v="mohammedjabri599@gmail.com"/>
        <s v="syedshahed509@gmail.com"/>
        <s v="alisahil66636@gmail.com"/>
        <s v="shiv.patil006@gmail.com"/>
        <s v="kadiyalmohd7@gmail.com"/>
        <s v="Alameen1srinagar@gmail.com"/>
        <s v="srinivas.gudelli@gmail.com"/>
        <s v="fusion49.theRestaurant@gmail.com"/>
        <s v="sk.janbee28@gmail.com"/>
        <s v="sudarshanreddy2676@gmail.com"/>
        <s v="sapankumar6281737216@gmail.com"/>
        <s v="fawwazenterprises3@gmail.com"/>
        <s v="aaharaajjus@gmail.com"/>
        <s v="mayabazaar24@gmail.com"/>
        <s v="roosterkitchen2025@gmail.com"/>
        <s v="kgajielapraveen@gmail.com"/>
        <s v="madeinandhra777@gmail.com"/>
        <s v="pasidipurikitchen@gmail.com"/>
        <s v="rjenterpriser1103@gmail.com"/>
        <s v="roopchand7545@gmail.com"/>
        <s v="subratachaki390@gmail.com"/>
        <s v="rajendhrag1982@gmail.com"/>
        <s v="srinivasyadav798@gmail.com"/>
        <s v="neerupinky.neeraja172gmail.com"/>
        <s v="akhilvinay@gmail.com"/>
        <s v="timestiffinsandmeals@gmail.com"/>
        <s v="akshayabhojanam@gmail.com"/>
        <s v="hangouthospilatities@gmail.com"/>
        <s v="annamparabrahmapb@gmail.com"/>
        <s v="murthysamo7@gmail.com"/>
        <s v="anjireddygali@gmail.com"/>
        <s v="priyamoff05@gmail.com"/>
        <s v="eastandwestkitchen.kphb@gmail.com"/>
        <s v="maheshanthati34@gmail.com"/>
        <s v="madhurarestrauntbar444@gmail.com"/>
        <s v="foodcourtnaidu@gmail.com"/>
        <s v="fatch.singh091996@gmail.com"/>
        <s v="maheshdontam@gmail.com"/>
        <s v="skjani19892@gmail.com"/>
        <s v="nayanmitra2111@gmail.com"/>
        <s v="devilsravan5@gmail.com"/>
        <s v="sandeep.zombie123@gmail.com"/>
        <s v="syedhissamuddin2580@gmail.com"/>
        <s v="feedback@byaa.in"/>
        <s v="nagendravarma1419@gmail.com"/>
        <s v="feedback@tuyaa.in"/>
        <s v="niharkommulanaidu99@gmail.com"/>
        <s v="eshalfatima152008@gmail.com"/>
        <s v="aakumar4280@gmail.com"/>
        <s v="kamleshdayal53@gmail.com"/>
        <s v="oyepunjabi65@gmail.com"/>
        <s v="avinashjadhav@gmail.com"/>
        <s v="not mentionrd"/>
        <s v="vunnamprashanth955@gmail.com"/>
        <s v="info@bilwa36.com"/>
        <s v="king9966859723@gmail.com"/>
        <s v="amarendranaidu@hotmail.com"/>
        <s v="bala.thirumalareddy111@gmail.com"/>
        <s v="ravichinna198@gmail.com"/>
        <s v="ajay201.eee@gmail.com"/>
        <s v="snakingcafe@gmail.com"/>
        <s v="gunjichandrashekar0924@gmail.com"/>
        <s v="jagadeshnagothu88@gmail.com"/>
        <s v="aaharvilas@gmail.com"/>
        <s v="anukitchen2026@gmail.com"/>
        <s v="thebakely@gmail.com"/>
        <s v="cafe74tangos@gmail.com"/>
        <s v="kurellasai@gmail.com"/>
        <s v="shaikqhizar@gmail.com"/>
        <s v="madaramshailajak@gmail.com"/>
        <s v="chennuricharat@gmail.com"/>
        <s v="nrrajesh2@gmail.com"/>
        <s v="tealogy.hyd2@gmail.com"/>
        <s v="teology.hyd2@gmail.com"/>
        <s v="pidathalabharathi@gmail.com"/>
        <s v="charcoalsbbqhyd@gmail.co,"/>
        <s v="pradipbiradar1433@gmail.com"/>
        <s v="shravanmaya@gmail.com"/>
        <s v="srikanthrock6300@gmail.com"/>
        <s v="mohammedirfaan5131@gmail.com"/>
        <s v="sgbhutada@gmail.com"/>
        <s v="shaikmustak960@gmail.com"/>
        <s v="mdtaj8994@gmail.com"/>
        <s v="snackbite.gachibowli@gmail.com"/>
        <s v="tulasinandan654@gmail.com"/>
        <s v="5vesrestaurent@gmail.com"/>
        <s v="kvvsatyaprasad1974@gmail.com"/>
        <s v="epicbawarchirestraunt@gmail.com"/>
        <s v="ksai5908@gmail.com"/>
        <s v="shankarreddy.vogala@gmail.com"/>
        <s v="saudasari051997@gmail.com"/>
        <s v="nehadsiddiqui7@gmail.com"/>
        <s v="freevfn@gmail.com"/>
        <s v="ranjithreddy.s1983@gmail.com"/>
        <s v="raghavbillam019@gmail.com"/>
        <s v="merampallysravani@gmail.com"/>
        <s v="karthik46@yahoo.com"/>
        <s v="tejaarunkumar147@gmail.com"/>
        <s v="taazatiffinsbandlagudajagir@gmail.com"/>
        <s v="deepak2002114@gmail.com"/>
        <s v="sohemdya@gmail.com"/>
        <s v="sunnycool.mech9@gmail.com"/>
        <s v="citychefskitchen@gmail.com"/>
        <s v="hotwings.business1@gmail.com"/>
        <s v="kurnoolsurekhalaw@gmail.com"/>
        <s v="godavari9997@gmail.com"/>
        <s v="raviskonaseemapeddirajuruchulu@gmail.com"/>
        <s v="yadavmallesh17101@gmail.com"/>
        <s v="sanjayrambala99@gmail.com"/>
        <s v="dk15200215@gmail.com"/>
        <s v="nikhilsfeast@fgmail.com"/>
        <s v="k24.thekebabkingdom@yahoo,com"/>
        <s v="bestbiryani'sandcurries@gmail.com"/>
        <s v="meenakshicafe.9@gmail.com"/>
        <s v="durgaprasadbanswada@gmil.com"/>
        <s v="srisaitraders45@gmail.com"/>
        <s v="gottipatimilitaryhotel@gmail.com"/>
        <s v="sp096482@gmail.com"/>
        <s v="massrajmassthan@gmail.com"/>
        <s v="bhuvanpatel173@gmail.com"/>
        <s v="kallepalliganesh0454@gmail.com"/>
        <s v="chandanbharti9831@gmail.com"/>
        <s v="mihirk10@icloud.com"/>
        <s v="vasireddysivakumar@gmail.com"/>
        <s v="naveen@sweetdude"/>
        <s v="biryanimandirr@gmail.com"/>
        <s v="rameshmuchakota94@gmail.com"/>
        <s v="bhanupriya@gmail.com"/>
        <s v="syvm.hospitality@gmail.com"/>
        <s v="syedhajiali028@gmail.com"/>
        <s v="charankumar2202@gmail.com"/>
        <s v="ksrinavas1234@gmail.com"/>
        <s v="hamdanalguthmi1234@gmail.com"/>
        <s v="srikanthpeddi54@gmail.com"/>
        <s v="sneharvinds@gmail.com"/>
        <s v="inikaafoods@gmail.com"/>
        <s v="pulipradeepgoud1436@gmail.com"/>
        <s v="mekalaskitchenette@gmail.com"/>
        <s v="ntsai143@gmail.com"/>
        <s v="naveengoodchap120@gmail.com"/>
        <s v="urs.neethasai1612@gmail.com"/>
        <s v="dudyaladineshkumar@gmail.com"/>
        <s v="dineshbolla10@gmail.com"/>
        <s v="khairuddinkhazi@gmail.com"/>
        <s v="genzflavoria@gmail.com"/>
        <s v="mdameerimaroz@gmail.com"/>
        <s v="b4ushiva@gmail.com"/>
        <s v="openheartrestaurant@gmail.com"/>
        <s v="alekhyakotla23@gmail.com"/>
        <s v="ksai96376@gmail.com"/>
        <s v="zucifera@gmail.com"/>
        <s v="srivegamamadeluxmess@gmail.com"/>
        <s v="kancharalaanand18@gmail.com"/>
        <s v="babihotellest942@gmail.com"/>
        <s v="manjelashivakumar33@gmail.com"/>
        <s v="bhanuprakash.adabala@gmail.com"/>
        <s v="sikandermohd376@gmail.com"/>
        <s v="gollavenkat889@gmail.com"/>
        <s v="sainagarajukumar183@gmail.com"/>
        <s v="bkhuntia91@gmail.com"/>
        <s v="racireddym111@gmail.com"/>
        <s v="wasimakram60652001@gmail.com"/>
        <s v="info@ruchichupistha.com"/>
        <s v="vinod1991rocks@gmail.com"/>
        <s v="ampanagalakshmi5555@gmail.com"/>
        <s v="kbrsravan999@gmail.com"/>
        <s v="abhishek.kumar728856@gmail.com"/>
        <s v="n.prabhavathi555@gmail.com"/>
        <s v="srinuvasulureddy1985@gmail.com"/>
        <s v="mendayvamshi28074@gmail.com"/>
        <s v="sifoods1505@gmail.com"/>
        <s v="lalugudavalli@gamil.com"/>
        <s v="N/A"/>
        <s v="seshuachanta003@gmail.com"/>
        <s v="swarupjana@yahoo.com"/>
        <s v="qubzjntu@gmail.com"/>
        <s v="celebs.reloaded@gmail.com"/>
        <s v="rainbowfood591@gmail.com"/>
        <s v="maskachaskaon@gmail.com"/>
        <s v="acc.gachibowli@mondayhotels.com"/>
        <s v="acc.llm@muslie.com"/>
        <s v="acc.hite@mondayhotels.com"/>
        <s v="acc.madhapur&quot;mondayhotels.com"/>
        <s v="fahadkalathingal007@gmail.com"/>
        <s v="enterprisesnaivedya@gmail.com"/>
        <s v="ramsinghbanoth000@gmail.com"/>
        <s v="garudacafeonline@gmail.com"/>
        <s v="gongurasbygaruda@gmail.com"/>
        <s v="nanavathashok8@gmail.com"/>
        <s v="irfan021085jassery@gmail.com"/>
        <s v="lassistorymayurinagark@gmail.com"/>
        <s v="ulavapudubiryanispulaos@gmail.com"/>
        <s v="anandobrahma2022@gmail.com"/>
      </sharedItems>
    </cacheField>
    <cacheField name="Benficiary name" numFmtId="0">
      <sharedItems containsBlank="1">
        <s v="Mohammed minhaj uddin"/>
        <s v="not mentioned"/>
        <s v="Mohammed Arshad"/>
        <s v="alkemy"/>
        <s v="Shabana Begum"/>
        <s v="Tahaan foods private limited"/>
        <s v="Mohd Shoieb"/>
        <s v="Asfiya sulthana"/>
        <s v="Invences foods"/>
        <s v="Ravindra babu tadiboyina"/>
        <s v="Paul kumar rapaka"/>
        <s v="Eastin hotels and resorts"/>
        <s v="Gardas saritha"/>
        <s v="Om Vaishnav Enterprise"/>
        <s v="Yelgani sai kumar goud"/>
        <s v="For aarav sunrise hospitalitfes"/>
        <s v="Zyras Biryani house"/>
        <s v="Alankrutha multi cuisine Restaurant"/>
        <s v="Alnkarutha multicusine Restaurant"/>
        <m/>
        <s v="Avhllp sambal"/>
        <s v="Avhllp kokapet"/>
        <s v="iskcon-Govindas"/>
        <s v="Kandavelli Siva Rama Krishna"/>
        <s v="Avhllp military hotel"/>
        <s v="V6 ventures LLP"/>
        <s v="Rayalaseema spice Restaurant"/>
        <s v="Muni Ragavendra gandavadi"/>
        <s v="B.Raja yashwanth kumar"/>
        <s v="B.soni"/>
        <s v="Bailu Manjunath"/>
        <s v="Vidhusekhara pizzeria private limited"/>
        <s v="Thota abhilash"/>
        <s v="Ahladha kitchen"/>
        <s v="M. sai teja"/>
        <s v="Hunan chinese cuisine"/>
        <s v="Lucky multi cuisine Restaurant"/>
        <s v="mohammed froz"/>
        <s v="Mohanmed feroz"/>
        <s v="kolli tirunala ravindra"/>
        <s v="Anand Bhavan mess"/>
        <s v="Brew commune cafe and bistro"/>
        <s v="Meraj's Restaurant"/>
        <s v="Mohammed Quddus hussain"/>
        <s v="Pranay kumar"/>
        <s v="VJ food prenures"/>
        <s v="K. Naga Bhushan Rao"/>
        <s v="frost bakery"/>
        <s v="Juhi sanjay sajnani"/>
        <s v="Gupshup Bistro"/>
        <s v="Therala kartheek"/>
        <s v="sambasiva rao kethineni"/>
        <s v="Ashish kumar"/>
        <s v="Pedamallu dinesh sai"/>
        <s v="Good sparrow foods private limited"/>
        <s v="Times green enugy india limited"/>
        <s v="Veeramma gari vantillu"/>
        <s v="Sri sai and co."/>
        <s v="Anu archana kitchen"/>
        <s v="Brew and bloom heaven coffee shop"/>
        <s v="chinthamani pulaous"/>
        <s v="Gogineni v j sudheer kumar"/>
        <s v="MM cake factory and bakers"/>
        <s v="For Poojas dine IN"/>
        <s v="Al saba Restaurant"/>
        <s v="arukha flavours"/>
        <s v="Arm coffee place"/>
        <s v="Eden industries"/>
        <s v="G Hitech Bawarchi food court"/>
        <s v="Mohammed masoor"/>
        <s v="padmavathi food court"/>
        <s v="SNS bakehouse bakery and cafe"/>
        <s v="castal kitchen "/>
        <s v="Evuri manikanteswara reddy"/>
        <s v="Yummy foods"/>
        <s v="Syed ali"/>
        <s v="Sindhu sha"/>
        <s v="Bulliabbai kodi palau"/>
        <s v="Imtiaz alam"/>
        <s v="Hanuman Juice and salad"/>
        <s v="Mohammed ishaq"/>
        <s v="Kaaram the Authntic telangana spice kitchnen"/>
        <s v="V.Meghana"/>
        <s v="Nallari Ravikanth rao"/>
        <s v="Paruchuri foods"/>
        <s v="Rambabu"/>
        <s v="Peram sai manikanta reddy"/>
        <s v="Sri Bhimanaram Thali/Tangella Ravali"/>
        <s v="Thakur Prasanth singh"/>
        <s v="V.Ravi Kumar"/>
        <s v="Aripelli VInesh"/>
        <s v="Huma Enterprises"/>
        <s v="Venu prakash gunda"/>
        <s v="Padavala Rama lakshmi"/>
        <s v="Sri sai rama tiffins"/>
        <s v="kanchu musthyam "/>
        <s v="A Balaji family dhaba"/>
        <s v="Al-Aadaab Arabian mandi Restaurant"/>
        <s v="Polanati Mowlikasri"/>
        <s v="Arya and srinika's kitchen"/>
        <s v="MD.Ghouse"/>
        <s v="Mohammed Khaleel"/>
        <s v="Monica surana"/>
        <s v="Dinesh kumar"/>
        <s v="Roast and krunch cafe"/>
        <s v="Palapiltta Ruchulu"/>
        <s v="Megha vath venkatesh"/>
        <s v="Dodda krupakar"/>
        <s v="Gold kumar"/>
        <s v="santhakam Ruchulu"/>
        <s v="Goundla srihari goud"/>
        <s v="Spice theory"/>
        <s v="kassa  venkata padmavathi"/>
        <s v="kotha ashok"/>
        <s v="Telugu patnam ruchulu"/>
        <s v="Mohammed Bin Mansoor Al Jabri"/>
        <s v="syed shahed"/>
        <s v="zamin ali"/>
        <s v="shiv kumar patil"/>
        <s v="Mohammed Zahera Begum"/>
        <s v="Al Ameen Shawarma"/>
        <s v="paka niharika"/>
        <s v="Fusion@49"/>
        <s v="P.SRINIVASHULU"/>
        <s v="Shaik janbee"/>
        <s v="Shailaja reddy"/>
        <s v="Sudarshan reddy"/>
        <s v="Sapan kumar jena"/>
        <s v="Fawwwaz Enterprises"/>
        <s v="K.Kailash"/>
        <s v="Gunda Ajay kumar"/>
        <s v="Chalavadi pavan Kalyan"/>
        <s v="Bhavani Mess"/>
        <s v="Made in Andhra"/>
        <s v="Mayabazaar"/>
        <s v="Umadevi Alampally"/>
        <s v="shru santhosh family dhaba"/>
        <s v="Rukima"/>
        <s v="santosh family dhaba"/>
        <s v="Gopal chaki"/>
        <s v="Sindhu tiffins and meals"/>
        <s v="Regu srinivas"/>
        <s v="Niraj"/>
        <s v="Yanugunti Akhil"/>
        <s v="Times tiffins and Meals"/>
        <s v="Akshaya Bhojanam"/>
        <s v="Hangout Hospilatities@gmail.com"/>
        <s v="Annam Parabrahma "/>
        <s v="Gali Anjaneya Reddy"/>
        <s v="laxmi shailaja sutrave"/>
        <s v="Momi Gupta"/>
        <s v="East and west kitchen"/>
        <s v="Ichirakau ramen house"/>
        <s v="Kings M Biryani Adda"/>
        <s v="madhura restraunt and bar "/>
        <s v="Mohammed yasar"/>
        <s v="Naidu Food Court"/>
        <s v="Gangan Preet Monga"/>
        <s v="Dontham mahesh"/>
        <s v="sekh jani bakes"/>
        <s v="Nayan mitra"/>
        <s v="Veedulakanty Sravan Kumar"/>
        <s v="Sandeep"/>
        <s v="Syed Hissam Uddin"/>
        <s v="Saraswati Biswas"/>
        <s v="karani nagendra varama "/>
        <s v="Kommula Krishna Nihar"/>
        <s v="A. Anil Kumar"/>
        <s v="Chemmala Rajender "/>
        <s v="J Manikanth"/>
        <s v="Oye punjabi"/>
        <s v="sonali avinash jadhav"/>
        <s v="Mandala Rama krishna reddy"/>
        <s v="Prashanth"/>
        <s v="S P Enterprises"/>
        <s v="Zafaron food court"/>
        <s v="Gondi Amerendra Naidu"/>
        <s v="Thirumala Reddy Balashow reddy"/>
        <s v="S.Ravi"/>
        <s v="Sugathi Homestays"/>
        <s v="SNAKING CAFE PVT.LTD"/>
        <s v="Gunji Shekar"/>
        <s v="Gunji chndra shekhar"/>
        <s v="Kottu Adiwarayana"/>
        <s v="Sri Vigneshwara Aaha biryani"/>
        <s v="Aahar vilas"/>
        <s v="Burra Rakesh Gound"/>
        <s v="The Bakely"/>
        <s v="Nandha kishore"/>
        <s v="D Indra"/>
        <s v="Hydes Diner"/>
        <s v="Mrs. Madaram Shailaja"/>
        <s v="Madaram Shailaja"/>
        <s v="sharat chandra chennuri"/>
        <s v="N.Rajesh kumar"/>
        <s v="Mohammed Ibrahim"/>
        <s v="Uday Bhaskar"/>
        <s v="Akshaya patra"/>
        <s v="Padmavathi vessam"/>
        <s v="srikanth charan"/>
        <s v="Biradar Pradeep"/>
        <s v="Yakkanti Jahnavi"/>
        <s v="Janapally Shravan Kumar"/>
        <s v="Srikanth Kolipaka"/>
        <s v="Mohammed Irfaan"/>
        <s v="Mamatha budhani"/>
        <s v="Preeti tiffins"/>
        <s v="sekh raphik"/>
        <s v="shaik sartaz ali"/>
        <s v="Snack Bite"/>
        <s v="The Boat House"/>
        <s v="5ves restaurant"/>
        <s v="Amulya Abhiruchi "/>
        <s v="Epic Bawarchi"/>
        <s v="caffine hub"/>
        <s v="cake corner bakers confectioners"/>
        <s v="Chai kaburlu"/>
        <s v="classic crown restaurant"/>
        <s v="Dasari kiran (Gani)"/>
        <s v="Kondapalli vijay kumar"/>
        <s v="Sammidi Ranjith reddy"/>
        <s v="Billam Raghavendra"/>
        <s v="Sri Raghavendra Bhavan Pure Veg"/>
        <s v="Pendyala teja arun kumar"/>
        <s v="Sri lakshmi Enterprises"/>
        <s v="Deepak"/>
        <s v="Mutta Gopal Ramakrishna"/>
        <s v="M.gopinath"/>
        <s v="Ravi kumar"/>
        <s v="Raju gari sruthi"/>
        <s v="Godavari vari vindhu maryada"/>
        <s v="Darapuneni stores and Bakery"/>
        <s v="methri mallesh"/>
        <s v="Rambala sanjay"/>
        <s v="Shyammala sai prasad"/>
        <s v="Second wife C/O Gunthur"/>
        <s v="Kokkilihada lankamma"/>
        <s v="Ravi kiran "/>
        <s v="Ajay Kumar"/>
        <s v="Anji Tiffins and meals"/>
        <s v="Prabhakar"/>
        <s v="Shiva karthik"/>
        <s v="Gottipati military hotel"/>
        <s v="Magram madhuri "/>
        <s v="Nandini Talluru"/>
        <s v="KURUKUTI RAM PRASAD"/>
        <s v="Gaddam vishal"/>
        <s v="P Satya sai"/>
        <s v="Snamk Hospitality"/>
        <s v="Sreejas Home foods"/>
        <s v="sweet dude signature PVT . LTD"/>
        <s v="The Tasty Chapter"/>
        <s v="Biryani Mandirr"/>
        <s v="Mucch kota Ramesh"/>
        <s v="Sri saravana food and Beverages"/>
        <s v="SYVM hospitality"/>
        <s v="SYED Haji Ali"/>
        <s v="Avani Restaurant"/>
        <s v="Bhawanee Multicuisine restaurent"/>
        <s v="Peddi naveen"/>
        <s v="Shena Yashwant randive"/>
        <s v="Divya"/>
        <s v="Kathmandu Momos"/>
        <s v="Puli Pradeep"/>
        <s v="Mr.N Gopichand and Mr.Mekala shesidhar reddy"/>
        <s v="Hamdan Bin Masood"/>
        <s v="N.Gopichand"/>
        <s v="Taaza Tiffins"/>
        <s v="Ch Ramesh kumar"/>
        <s v="Chopsticks"/>
        <s v="Md.Khairuddin"/>
        <s v="Arua bhavan udipi veg"/>
        <s v="Vikram talasila"/>
        <s v="Madhapur Bawarchi"/>
        <s v="SK Shabbir"/>
        <s v="open heart restaurant"/>
        <s v="Kotla Alkhya"/>
        <s v="Bejam Harika"/>
        <s v="Sri Vengamamba Deluxe mess"/>
        <s v="Kancharla Anand"/>
        <s v="Krilaba gana sathvikam"/>
        <s v="Manjela shiva kumar"/>
        <s v="Exotica slice and sauce private limited"/>
        <s v="Skindar Mohammed"/>
        <s v="Venkateshwara Rao"/>
        <s v="Sai Nagaraju Kumar"/>
        <s v="Balaram Khuntia"/>
        <s v="Madduri Ravindhar Reddy"/>
        <s v="Wasim Akram"/>
        <s v="Sunil Gowtham"/>
        <s v="Vinayanka Dileep varma kosuri"/>
        <s v="Vinod Kumar"/>
        <s v="srinivasulu "/>
        <s v="Dwarakamayee Tiffins Centre"/>
        <s v="Shivananda"/>
        <s v="KBR Crispy chicken"/>
        <s v="Mammu's kitchen"/>
        <s v="srinuvasulu reddy vada "/>
        <s v="Menday Vamshi"/>
        <s v="Lalu Sekhar Gudavalli"/>
        <s v="Tea time"/>
        <s v="Adbutaha Tiffins"/>
        <s v="Kolkata food plaza"/>
        <s v="Polu Vasanthi"/>
        <s v="Rajkiran Darshan"/>
        <s v="Mr. Mohd wajid ali khan"/>
        <s v="Mattaparthi Durga"/>
        <s v="Shravan Kumar Kale"/>
        <s v="Candella heights LLP"/>
        <s v="Muisyle Elite Hospitality"/>
        <s v="Sri Venkateshwara Hospitality"/>
        <s v="Shriman Hotels LLP"/>
        <s v="Fahad Mon Kalathingal"/>
        <s v="Naviedya enterprises"/>
        <s v="Zamindar's Cafe"/>
        <s v="Garuda Cafe"/>
        <s v="Gonguras by Garuda"/>
        <s v="Syed Irfaan Hussain Jaffery"/>
        <s v="Bhanu Food Hub"/>
        <s v="Ulavapudu Biryani and Pulaos"/>
        <s v="Oldendays Tiffins"/>
        <s v="Anandobrahma"/>
      </sharedItems>
    </cacheField>
    <cacheField name="Bank Name" numFmtId="0">
      <sharedItems containsBlank="1">
        <s v="Bank of Borada"/>
        <s v="not mentioned"/>
        <s v="Airtel Bank"/>
        <s v="Hdfc bank "/>
        <s v="Kotak mahindra bank"/>
        <s v="Axis Bank"/>
        <s v="State Bank of India"/>
        <s v="IDFC Bank"/>
        <s v="Telangana state cooperative apex bank ltd"/>
        <s v="ICICI BANK"/>
        <s v="Yes Bank"/>
        <s v="Centeal bank of india"/>
        <m/>
        <s v="Unioun bank of india"/>
        <s v="Bandhan Bank"/>
        <s v="Central Bank Of India"/>
        <s v="DCB bank "/>
        <s v="City union bank ltd"/>
        <s v="RBL Bank"/>
        <s v="Induslnd Bank"/>
        <s v="Indian bank"/>
        <s v="Canara bank"/>
        <s v="IDBI Bank"/>
        <s v="IDFC first bank"/>
        <s v="South Indian bank"/>
        <s v="The Gayatri Co-operative urban bank ltd"/>
        <s v="Indian Overseas Bank"/>
        <s v="Hdfc Bank"/>
        <s v="Axis bank "/>
        <s v="Federal bank"/>
        <s v="ICICI Bank "/>
        <s v="Equitas small business bank"/>
        <s v="UCO bank"/>
        <s v="SBI South Indian"/>
        <s v="IBBI bank"/>
        <s v="Industrial bank"/>
        <s v="Telangana Grameena Bank"/>
        <s v="Federal bank ,khairatabad"/>
        <s v="SBI "/>
        <s v="Karur vysya bank"/>
        <s v="Bank of India"/>
        <s v="Kotak Mahindra"/>
        <s v="YES Properity"/>
        <s v="Adarsh Bank"/>
        <s v="SBI Bank"/>
        <s v="Kotak"/>
        <s v="Punjab national bank"/>
        <s v="Indusland Bank"/>
        <s v="Kotak Mahendra Bank"/>
        <s v="Andhra bank"/>
        <s v="UNION Bank"/>
        <s v="not mentionrd"/>
        <s v="Axix bank"/>
        <s v="HDFC"/>
        <s v="IDFC . First bank"/>
        <s v="Indualand bank"/>
        <s v="Kotak Bank"/>
        <s v="Bank of maharashtra"/>
        <s v="kotak mahindra bank bank"/>
        <s v="Andhra pradesh mahesh cooperative urban bank limited"/>
        <s v="Bhandhan bank"/>
        <s v="telangana co-operative bank"/>
        <s v="Bank of Baroda"/>
        <s v="The adarsh CO-OP Urban Bank"/>
        <s v="IDFC First"/>
        <s v="SBI"/>
        <s v="Yes properity business"/>
        <s v="The Eenadu corperative urban bank"/>
      </sharedItems>
    </cacheField>
    <cacheField name="Account Number">
      <sharedItems containsBlank="1" containsMixedTypes="1" containsNumber="1" containsInteger="1">
        <n v="7.5540100010283E13"/>
        <s v="not mentioned"/>
        <n v="8.686561072E9"/>
        <n v="5.0200096500839E13"/>
        <n v="6.049069572E9"/>
        <n v="9.21002005488252E15"/>
        <n v="2.0308200989E10"/>
        <n v="4.254554867E10"/>
        <n v="1.0192341683E10"/>
        <n v="5.0200102000231E13"/>
        <n v="9.91111800000003E14"/>
        <n v="1.12005003328E11"/>
        <n v="2.0297710024E10"/>
        <n v="1.00126900000171E14"/>
        <n v="3.269632568E9"/>
        <n v="8.03705000004E11"/>
        <n v="6.450935473E9"/>
        <n v="6.5980200001283E13"/>
        <m/>
        <n v="5.0200029920971E13"/>
        <n v="5.020009320867E13"/>
        <n v="9.24010053814296E14"/>
        <n v="1.35610011001804E14"/>
        <n v="5.020002991824E13"/>
        <n v="4.005030744E9"/>
        <n v="2.0100061259823E13"/>
        <n v="5.684056323E9"/>
        <n v="8.0980100003622E13"/>
        <s v=";02711500006880"/>
        <n v="5.00101013048225E14"/>
        <n v="2.26711010000044E14"/>
        <n v="3.09005434613E11"/>
        <n v="2.59849975158E11"/>
        <n v="6.414081002E9"/>
        <n v="1.548257253E9"/>
        <s v="not mentioned "/>
        <n v="5.0200064899781E13"/>
        <n v="1.57097949648E11"/>
        <n v="3.049366762E9"/>
        <n v="1.836190000605E13"/>
        <n v="4.4866997013E10"/>
        <n v="1.20038671615E11"/>
        <n v="3.79474434E10"/>
        <n v="2.71150000688E12"/>
        <n v="3.3311501023101E13"/>
        <n v="5.0200069149286E13"/>
        <n v="5.0200047092427E13"/>
        <n v="9.23020067557565E14"/>
        <n v="9.448450312E9"/>
        <n v="3.212110291E9"/>
        <n v="2.0264573793E10"/>
        <n v="5.0200018292136E13"/>
        <n v="1.51010400003791E15"/>
        <n v="1.11605002567E11"/>
        <n v="6.2364741647E10"/>
        <n v="1.0085657065E10"/>
        <n v="4.4573150739E10"/>
        <n v="9.748601141E9"/>
        <n v="5.0200037904604E13"/>
        <s v=";0597073000000451"/>
        <n v="4.4662846419E10"/>
        <n v="1.04110021001175E14"/>
        <n v="5.0200037070986E13"/>
        <s v=";000101558510"/>
        <n v="4.650956984E9"/>
        <n v="2.0002000002527E13"/>
        <n v="9.24020006428812E14"/>
        <n v="5.0200116850493E13"/>
        <n v="1.47601900001351E14"/>
        <n v="1.47661900001351E14"/>
        <n v="1.04110021001527E14"/>
        <n v="5.0200117226947E13"/>
        <n v="9.17020033027897E14"/>
        <n v="3.0542010072789E13"/>
        <n v="1.4730200007249E13"/>
        <n v="8.9494399655E10"/>
        <n v="3.8920550013E11"/>
        <s v=";067901002598"/>
        <n v="5.871063531E9"/>
        <s v=";047761900002984"/>
        <n v="5.0100003745E10"/>
        <n v="8.150356795E9"/>
        <n v="1.5710100039717E13"/>
        <n v="1.69602000000386E14"/>
        <s v=";0798101023882"/>
        <n v="5.020010653571E13"/>
        <n v="5.010001507165E13"/>
        <n v="6.2092826288E10"/>
        <n v="5.0200031660125E13"/>
        <n v="2.0202523526E10"/>
        <n v="5.0100504584589E13"/>
        <n v="2.0003005621E10"/>
        <n v="3.9310150087E11"/>
        <n v="4.3288896643E10"/>
        <n v="2.1100110041208E13"/>
        <n v="1.57002000000978E14"/>
        <n v="5.0100406937092E13"/>
        <n v="4.2032773051E10"/>
        <n v="9.21020008513078E14"/>
        <n v="4.723780934E9"/>
        <n v="5.0200100349334E13"/>
        <n v="2.59866678342E11"/>
        <n v="8.0980200001473E13"/>
        <n v="5.2401202575E10"/>
        <n v="5.0100663398498E13"/>
        <n v="5.0200061840429E13"/>
        <s v="1282120100003325"/>
        <n v="5.2208382919E10"/>
        <n v="5.0200093317863E13"/>
        <s v=";0726073000000346"/>
        <n v="3.11269783E9"/>
        <n v="1.30810100038453E14"/>
        <s v=";0446104000204927"/>
        <n v="2.59515758788E11"/>
        <s v=";044910100104136"/>
        <s v=";047761900001031"/>
        <n v="6.2175906581E10"/>
        <n v="5.010046528124E12"/>
        <n v="5.0200116731631E13"/>
        <n v="4.914600005753E12"/>
        <n v="9.8145001154E10"/>
        <n v="5.2010106319482E13"/>
        <n v="5.0100379968456E13"/>
        <n v="1.11101518283E11"/>
        <n v="5.0200034722082E13"/>
        <n v="6.2430657001E10"/>
        <n v="4.4709877876E10"/>
        <n v="2.00523555986E11"/>
        <n v="3.99760777E9"/>
        <n v="7.9101285995E10"/>
        <n v="5.0100765124138E13"/>
        <n v="1.00284832813E11"/>
        <n v="5.556666661E9"/>
        <n v="5.0100325406784E13"/>
        <n v="9.9980112182519E13"/>
        <n v="7.62005500049E11"/>
        <n v="1.4730200007074E13"/>
        <n v="5.0200098074982E13"/>
        <n v="3.1254870928E10"/>
        <s v="not metioned"/>
        <n v="5.0200071249951E13"/>
        <n v="5.0200114180997E13"/>
        <n v="5.0200021425659E13"/>
        <n v="4.0322031139E10"/>
        <n v="1.48413500000779E15"/>
        <n v="5.1100974312E10"/>
        <n v="5.2210389705E10"/>
        <n v="8.62810110011789E14"/>
        <n v="5.0200083790791E13"/>
        <n v="5.0200112298727E13"/>
        <n v="5.97073000000553E14"/>
        <n v="5.14073000000595E14"/>
        <n v="6.30501549672E11"/>
        <n v="8.945296083E9"/>
        <n v="6.450147555E9"/>
        <s v=";0514073000000572"/>
        <n v="4.3352764998E10"/>
        <n v="9.15018156E9"/>
        <n v="5.0200082449899E13"/>
        <n v="1.52661900000512E14"/>
        <n v="1.0225700253E10"/>
        <n v="1.01220051002355E14"/>
        <n v="2.0025035345E10"/>
        <n v="5.020010164945E13"/>
        <n v="1.2511040000335E15"/>
        <n v="4.3968656032E10"/>
        <n v="5.0200020614888E13"/>
        <n v="2.049401213E9"/>
        <n v="1.03020010002391E15"/>
        <s v=";090310100076569"/>
        <n v="4.2302071794E10"/>
        <n v="1.05000415666E11"/>
        <n v="3.5180100000723E14"/>
        <n v="8.146469729E9"/>
        <n v="1.0082960313E10"/>
        <n v="1.11210100048593E14"/>
        <n v="4.0710100033245E13"/>
        <s v="not mentionrd"/>
        <n v="1.613912506E9"/>
        <n v="5.0200098504039E13"/>
        <n v="9.24020055483053E14"/>
        <n v="2.0050083625E10"/>
        <s v=";0548053000006314"/>
        <n v="5.0100782714211E13"/>
        <n v="5.712286063E9"/>
        <n v="8.9989981258E10"/>
        <n v="1.8630370215E11"/>
        <n v="6.450790386E9"/>
        <n v="1.45361900001302E14"/>
        <n v="2.59494969626E11"/>
        <n v="5.449926959E9"/>
        <n v="6.0561936317E10"/>
        <n v="1.10031112647E11"/>
        <n v="5.0100788335152E13"/>
        <n v="5.0200104900798E13"/>
        <n v="5.7201000019505E13"/>
        <n v="1.51212201000258E15"/>
        <n v="1.19650700001669E14"/>
        <n v="5.936315853E9"/>
        <n v="5.69305500026E11"/>
        <n v="5.0200100066906E13"/>
        <n v="3.499010005873E12"/>
        <n v="6.2229638385E10"/>
        <n v="5.08302010003947E14"/>
        <n v="5.020011269819E12"/>
        <n v="5.0100133454017E13"/>
        <n v="9.761900006867E12"/>
        <n v="1.945624313E9"/>
        <s v=";025301617423"/>
        <n v="2.9001200000945E13"/>
        <n v="1.6211110000434E14"/>
        <n v="3.498426213E9"/>
        <n v="1.10124467306E11"/>
        <n v="2.3780200001972E13"/>
        <n v="1.97405500141E11"/>
        <n v="5.0200112176575E13"/>
        <n v="8.447212963E9"/>
        <n v="9.986881566E9"/>
        <n v="9.20020055993691E14"/>
        <n v="5.02007950961E12"/>
        <n v="2.0100077076521E13"/>
        <n v="1.50120010005307E14"/>
        <n v="5.0100542315761E13"/>
        <n v="5.0100842782844E13"/>
        <n v="9.25010020128231E14"/>
        <n v="3.5307290341E10"/>
        <n v="5.020002814888E12"/>
        <n v="4.2533069588E10"/>
        <n v="9.1801002464014E14"/>
        <n v="1.97405001433E11"/>
        <n v="3.549801169E9"/>
        <n v="4.80117200007565E14"/>
        <n v="2.0271087187E10"/>
        <n v="9.13010031284567E14"/>
        <n v="6.2325087074E10"/>
        <n v="5.0200115430462E13"/>
        <s v="9210200049729747"/>
        <n v="4.312229258E9"/>
        <n v="1.7412010000258E13"/>
        <n v="2.0453364748E10"/>
        <s v="4565000100039825"/>
        <n v="5.0200088449082E13"/>
        <n v="2.2490100008769E13"/>
        <n v="4.89110110016961E14"/>
        <n v="2.0100035270802E13"/>
        <n v="4.10325695021E11"/>
        <n v="8.167740968E9"/>
        <n v="5.0200080613101E13"/>
        <n v="2.610100020394E12"/>
        <n v="2.80104000308816E14"/>
        <n v="3.4990200000312E13"/>
        <n v="5.0100683644109E13"/>
        <n v="1.00420051095667E14"/>
        <n v="7.77705271271E11"/>
        <n v="5.0200013147993E13"/>
        <n v="7.9848807672E10"/>
        <n v="1.42961900001026E14"/>
        <n v="8.1120500000714E13"/>
        <s v=";054312010001541"/>
        <n v="9.24020005914439E14"/>
        <n v="2.79905002841E11"/>
        <n v="3.0212200061585E13"/>
        <n v="1.20038051424E11"/>
        <n v="9.763300006949E12"/>
        <n v="9.21010003523141E14"/>
        <n v="5.0100532565376E13"/>
        <n v="6.052362851E9"/>
        <n v="5.0200113957548E13"/>
        <n v="3.6202620655E10"/>
        <n v="9.93111800000007E14"/>
        <n v="2.0357949431E10"/>
        <n v="5.70205000053E11"/>
        <n v="9.11020038082062E14"/>
        <n v="9.18020062545006E14"/>
        <n v="1.20037263891E11"/>
        <n v="1.89002000000422E14"/>
        <n v="8.246382942E9"/>
        <n v="1.512423141E9"/>
        <n v="1.0036566072E10"/>
        <n v="7.412212953E9"/>
        <n v="9.25020040226064E14"/>
        <n v="1.56710100065031E14"/>
        <n v="5.0200087578646E13"/>
        <n v="4.4167291537E10"/>
        <n v="7.148915104E9"/>
        <n v="9.22020018758873E14"/>
        <n v="3.9978485949E10"/>
        <n v="8.32871618E9"/>
        <n v="9.20020032884901E14"/>
        <n v="2.0269211075E10"/>
        <n v="7.549267543E9"/>
        <s v="1951102000000231"/>
        <n v="5.0200102359455E13"/>
        <n v="3.8883463457E10"/>
        <n v="1.001633000014E14"/>
        <n v="9.20010059932943E14"/>
        <n v="3.9665554375E10"/>
        <n v="3.3401005425E11"/>
        <n v="1.011014000017E12"/>
        <n v="5.0100144715322E13"/>
        <n v="5.0200095844955E13"/>
        <s v=";0514073000000598"/>
        <n v="1.83410100007985E14"/>
        <n v="9.21010002961119E14"/>
        <n v="9.2502003302611E14"/>
        <n v="3.5332027368E10"/>
        <n v="4.005026932E9"/>
        <n v="1.548349217E9"/>
        <n v="5.0200081127915E13"/>
        <n v="4.45935568366E11"/>
        <n v="7.777010930035E12"/>
        <n v="2.0287776633E10"/>
        <n v="1.45361900002201E15"/>
        <n v="3.9592316374E10"/>
        <n v="1.0163060481E10"/>
        <n v="1.01264647215E11"/>
        <n v="1.0070902944E10"/>
        <n v="1.0222082568E10"/>
        <n v="5.0200098129376E13"/>
        <s v=";048820700000592"/>
        <n v="2.0100077168248E13"/>
        <n v="1.11105003263E11"/>
        <n v="8.3700938001E10"/>
        <n v="7.76295069E8"/>
        <n v="5.020011632699E13"/>
        <n v="1.11905003129E11"/>
        <n v="4.4991583406E10"/>
        <n v="2.36305001676E11"/>
      </sharedItems>
    </cacheField>
    <cacheField name="IFSC Code" numFmtId="0">
      <sharedItems containsBlank="1">
        <s v="BARBOVJVCHY"/>
        <s v="not mentioned"/>
        <s v="AIRP0000001"/>
        <s v="HDFC0005853"/>
        <s v="KKBK0007487"/>
        <s v="UTIB0004826"/>
        <s v="SBIN0008026"/>
        <s v="SBIN0005095"/>
        <s v="IDFB0080231"/>
        <s v="HDFC0010090"/>
        <s v="TSAB0000111"/>
        <s v="ICIC0001120"/>
        <s v="SBIN0010676"/>
        <s v="YESB0001001"/>
        <s v="CBIN0283883"/>
        <s v="ICIC0008037"/>
        <s v="KKBK0000561"/>
        <s v="BARBODBMDHP"/>
        <m/>
        <s v="HDFC0003739"/>
        <s v="HDFC0000021"/>
        <s v="UBIN0813567"/>
        <s v="ICIC0000040"/>
        <s v="BDBL0002722"/>
        <s v="CBIN0280814"/>
        <s v="BARBOVJBUND"/>
        <s v="DCBL0000027"/>
        <s v="CIUB0000386"/>
        <s v="UBIN0822671"/>
        <s v="RATN000208"/>
        <s v="INDB0001805"/>
        <s v="IDIB000k284"/>
        <s v="KKBK0007466"/>
        <s v="HDFC0004277"/>
        <s v="INDB0001052"/>
        <s v="YESB0000183"/>
        <s v="SBIN0014676"/>
        <s v="CNRB0013007"/>
        <s v="SBIN0005322"/>
        <s v="NFSC000033"/>
        <s v="HDFC0003949"/>
        <s v="HDFC0001627"/>
        <s v="UTIB0003484"/>
        <s v="KKBK0007515"/>
        <s v="KKBK0000560"/>
        <s v="SBIN0014170"/>
        <s v="BDBL0001160"/>
        <s v="IBKL0001510"/>
        <s v="ICIC0001116"/>
        <s v="SBIN0020684"/>
        <s v="IDFB0080205"/>
        <s v="SBIN0032241"/>
        <s v="SBIN0018047"/>
        <s v="HDFC0004299"/>
        <s v="SIBL0000591"/>
        <s v="SBI003257"/>
        <s v="HDFCOCTGCUB"/>
        <s v="HDFC000512"/>
        <s v="ICIC0000001"/>
        <s v="KKBK0007535"/>
        <s v="IOBA0000200"/>
        <s v="UTIB0003305"/>
        <s v="HDFC0000642"/>
        <s v="YESB0001476"/>
        <s v="UTIN0001628"/>
        <s v="CBRB0013054"/>
        <s v="FDRL0001473"/>
        <s v="UICIC0003892"/>
        <s v="ICIC0000679"/>
        <s v="CBIN0285206"/>
        <s v="YES80000477"/>
        <s v="BARBOBJMAKO"/>
        <s v="IDIB000H601"/>
        <s v="BARBOSUARXX"/>
        <s v="IOBA0001696"/>
        <s v="CNRB0013051"/>
        <s v="HDFC0006456"/>
        <s v="HDFC0001021"/>
        <s v="SBIN0020121"/>
        <s v="HDFC0004348"/>
        <s v="ICIC0000069"/>
        <s v="HDFC0001624"/>
        <s v="ESFB0005004"/>
        <s v="SBIN0017744"/>
        <s v="UCBA0002110"/>
        <s v="IOBA0001571"/>
        <s v="HDFC0004216"/>
        <s v="SBIN0020530"/>
        <s v="UTIB0004719"/>
        <s v="SBIN0020593"/>
        <s v="HDFC0006995"/>
        <s v="INDB0001507"/>
        <s v="BARB0VJBUND"/>
        <s v="IDFB0080218"/>
        <s v="HDFC000626"/>
        <s v="UBIN0812820"/>
        <s v="SBIN0021357"/>
        <s v="HDFC0005790"/>
        <s v="SIBL0000726"/>
        <s v="KKBK0007472"/>
        <s v="UBIN0813397"/>
        <s v="IBKL0000446"/>
        <s v="INDB0000004"/>
        <s v="UBIN0804495"/>
        <s v="YESB0000477"/>
        <s v="SBIN0000788"/>
        <s v="HDFC0001031"/>
        <s v="HDFC0011675"/>
        <s v="DCBL0000049"/>
        <s v="KKBK0007488"/>
        <s v="UBIN0905909"/>
        <s v="HDFC0002243"/>
        <s v="ICIC000111 "/>
        <s v="HDFC0002391"/>
        <s v="SBIN0021404"/>
        <s v="SBIN0022063"/>
        <s v="SBIN0011081"/>
        <s v="SBIN0040479"/>
        <s v="TGRB0000292"/>
        <s v="HDFC0000813"/>
        <s v="INDB0000417"/>
        <s v="FDRL0001332"/>
        <s v="ICIC0007620"/>
        <s v="HDFC0066398"/>
        <s v="SBIN0062234"/>
        <s v="SBIN0060427"/>
        <s v="KKVBLooo1481"/>
        <s v="SBIN0013138"/>
        <s v="SBIN0021646"/>
        <s v="BKID0008628"/>
        <s v="HDFC0006575"/>
        <s v="SIBL0000597"/>
        <s v="SIBL0000514"/>
        <s v="ICIC0006305"/>
        <s v="KKBK0007489"/>
        <s v="KKBK0000555"/>
        <s v="SBIN0012741"/>
        <s v="KKBK0007453"/>
        <s v="YESB0001526"/>
        <s v="ICIC00ADRSH"/>
        <s v="SBIN0001441"/>
        <s v="HDFC0001821"/>
        <s v="IBKL0001251"/>
        <s v="SBIN0061790"/>
        <s v="HDFC0000700"/>
        <s v="KKBK0007469"/>
        <s v="PUNB0103020"/>
        <s v="UBIN0809039"/>
        <s v="SBIN0014571"/>
        <s v="INDB0001910"/>
        <s v="IOBA0003518"/>
        <s v="KKBK0007452"/>
        <s v="IDFC0080228"/>
        <s v="INDB0001909"/>
        <s v="ANDB0001112"/>
        <s v="UBIN0804070"/>
        <s v="not mentionrd"/>
        <s v="HDFC0000081"/>
        <s v="UTIB0000733"/>
        <s v="SBIN0000905"/>
        <s v="SBIL0000548"/>
        <s v="HDFC0009182"/>
        <s v="KKBK000561"/>
        <s v="IDFB0080222"/>
        <s v="KKBK0008398"/>
        <s v="YESB0001432"/>
        <s v="INDB0001418"/>
        <s v="KKBK0008397"/>
        <s v="MAHB001361"/>
        <s v="CNRB0013313"/>
        <s v="HDFC0006765"/>
        <s v="HDFC0000621"/>
        <s v="IOBA0000572"/>
        <s v="UBIN0815128"/>
        <s v="YESB0001196"/>
        <s v="CBIN0283836"/>
        <s v="ICIC0005693"/>
        <s v="BARBOSRIHYD"/>
        <s v="SBIN0021830"/>
        <s v="UBIN0550833"/>
        <s v="HDFC0000545"/>
        <s v="YESB0000097"/>
        <s v="KKBK0007478"/>
        <s v="ICIC0000253"/>
        <s v="APMC0000029"/>
        <s v="UBIN0816213"/>
        <s v="CBIN0284086"/>
        <s v="CNRB0013434"/>
        <s v="FDRL0002378"/>
        <s v="ICIC0001974"/>
        <s v="HDFC0009095"/>
        <s v="KKBK0007475"/>
        <s v="KKBK0007509"/>
        <s v="UTIB0003386"/>
        <s v="HDFC0001626"/>
        <s v="BDBL0001608"/>
        <s v="TSAB0015001"/>
        <s v="HDFC0009395"/>
        <s v="HDFC0008929"/>
        <s v="UTIB0005921"/>
        <s v="SBIN0005893"/>
        <s v="SBIN0017236"/>
        <s v="UTIB0002908"/>
        <s v="KKBK0007451"/>
        <s v="KUBI0004801"/>
        <s v="UTIB0000404"/>
        <s v="SBIN0021399"/>
        <s v="HDFC0002083"/>
        <s v="UTIB000030"/>
        <s v="UBIN0817147"/>
        <s v="KKBK0007876"/>
        <s v="PUNB0456500"/>
        <s v="FDRL0002249"/>
        <s v="BIKD0004891"/>
        <s v="BDBL0002716"/>
        <s v="SBIN0005650"/>
        <s v="IDIB000p171"/>
        <s v="HDFC0009607"/>
        <s v="BARBOPBBHYD"/>
        <s v="IBKL0000280"/>
        <s v="BARB0SRIHYD"/>
        <s v="HDFC0001993"/>
        <s v="ADBK0001004"/>
        <s v="ICIC0000382"/>
        <s v="HDFC0003611"/>
        <s v="IDFC 0080231"/>
        <s v="YESB0001429"/>
        <s v="BARBOVJRUPE"/>
        <s v="UBIN0805432"/>
        <s v="UTIB0003365"/>
        <s v="ICIC0002799"/>
        <s v="CNRB0013021"/>
        <s v="CNRB0013015"/>
        <s v="UTIB0000881"/>
        <s v="HDFC0003777"/>
        <s v="HDFC0008420"/>
        <s v="SBIN0014240"/>
        <s v="TSAB0000131"/>
        <s v="ICIC0005702"/>
        <s v="UBIN0805050"/>
        <s v="UTIB000425"/>
        <s v="CNRB0002427"/>
        <s v="IOBA0001890"/>
        <s v="IDFB0080201"/>
        <s v="UTIB0006160"/>
        <s v="UBIN0815675"/>
        <s v="HDFC0000045"/>
        <s v="SBIN0011745"/>
        <s v="UTIB0003385"/>
        <s v="SBIN0030488"/>
        <s v="IDFB0080226"/>
        <s v="UTIB0000538"/>
        <s v="SBIN0000996"/>
        <s v="KKBK0007492"/>
        <s v="IBKL0001951"/>
        <s v="HDFC0004854"/>
        <s v="SBIN0002109"/>
        <s v="YESB00001400"/>
        <s v="UTIB0000193"/>
        <s v="SBIN0013272"/>
        <s v="HDFCOCEENAD"/>
        <s v="HDFC0000969"/>
        <s v="UBIN0818348"/>
        <s v="UTIB0004508"/>
        <s v="SBIN0004808"/>
        <s v="ICIC000040"/>
        <s v="SBIN0020949"/>
        <s v="FDRL000777"/>
        <s v="SBIN0004904"/>
        <s v="YESB0001453"/>
        <s v="SBIN0021393"/>
        <s v="IDFCB0080222"/>
        <s v="IDFB008022"/>
        <s v="HDFC0007469"/>
        <s v="YESB0000488"/>
        <s v="BDBL0001635"/>
        <s v="ICIC0001111"/>
        <s v="IDFB00B0225"/>
        <s v="IDIB000D102"/>
        <s v="ICIC0001119"/>
        <s v="SBIN0020072"/>
        <s v="ICIC0002363"/>
      </sharedItems>
    </cacheField>
    <cacheField name="Account Type" numFmtId="0">
      <sharedItems containsBlank="1">
        <s v="Savings Account"/>
        <s v="No"/>
        <s v="Current Account"/>
        <s v="coperate account"/>
        <s v="not mentioned"/>
        <m/>
        <s v="Salary account"/>
        <s v="Savaings Account"/>
        <s v="not mentionrd"/>
      </sharedItems>
    </cacheField>
    <cacheField name="FSSAI" numFmtId="0">
      <sharedItems containsBlank="1">
        <s v="Yes"/>
        <s v="No"/>
        <m/>
      </sharedItems>
    </cacheField>
    <cacheField name="GST" numFmtId="0">
      <sharedItems containsBlank="1">
        <s v="No"/>
        <s v="Yes"/>
        <s v="NA"/>
        <m/>
        <s v="No, Yes"/>
        <s v="No, NA"/>
      </sharedItems>
    </cacheField>
    <cacheField name="PAN" numFmtId="0">
      <sharedItems containsBlank="1">
        <s v="Yes"/>
        <s v="No"/>
        <m/>
        <s v="NA"/>
      </sharedItems>
    </cacheField>
    <cacheField name="CHEQUE" numFmtId="0">
      <sharedItems containsBlank="1">
        <s v="No"/>
        <s v="Yes"/>
        <m/>
        <s v="NA"/>
        <s v="NA, Yes"/>
      </sharedItems>
    </cacheField>
    <cacheField name="MENU" numFmtId="0">
      <sharedItems containsBlank="1">
        <s v="No"/>
        <s v="Yes"/>
        <m/>
        <s v="NA"/>
        <s v="Yes, No"/>
      </sharedItems>
    </cacheField>
    <cacheField name="LABOUR LINCENSE" numFmtId="0">
      <sharedItems containsBlank="1">
        <s v="No"/>
        <s v="NA"/>
        <m/>
        <s v="Yes"/>
      </sharedItems>
    </cacheField>
    <cacheField name="Drive Link">
      <sharedItems containsBlank="1" containsMixedTypes="1" containsNumber="1" containsInteger="1">
        <m/>
        <s v="https://drive.google.com/drive/folders/1LEmpLQPhgga4iNmw8DK8oKC7Z9adVo_Z"/>
        <s v="https://drive.google.com/drive/folders/1hu60tEHn9OQubLStFBH50kklrc1mSCAQ"/>
        <s v="https://drive.google.com/drive/folders/10dJbKX5ksSDh27Q6F7Vv--1oAZHBxtZz?usp=drive_link"/>
        <s v="https://drive.google.com/drive/folders/1HsJMgJiTpKMJBeM_QGp1o0L2blqry1_p?usp=drive_link"/>
        <s v="https://drive.google.com/drive/folders/1fCUi5DR9A9LINTfSuXKP6MhAbwgu-JhO?usp=drive_link"/>
        <s v="https://drive.google.com/drive/folders/1ulPwAwYgA1k4f0sUZ1XbFUA0_rXx2Rcr"/>
        <s v="https://drive.google.com/drive/folders/1smCsR9G_YgZE_fKEqCXQq0ImYMzTeQTL"/>
        <s v="https://drive.google.com/drive/folders/1KNPeVcsMJ0WDp5KH6nSS-MfsJEjo5gEl"/>
        <s v="https://drive.google.com/drive/folders/1YsOVORTRLFpXHAUJiIrmFhshAi8DDIee?usp=drive_link"/>
        <s v="https://drive.google.com/drive/folders/16PzSygeOLaXCa7wt2mKHTfEYFJ3Y9ChJ"/>
        <s v="Eastin Hotel"/>
        <s v="https://drive.google.com/drive/folders/1Bcpf2nTkRm8vyXXW6mpna2LwmGTtAnVJ"/>
        <s v="https://drive.google.com/drive/folders/16Pqgac9j1zbGysD70GA0bsI2nEml5nxG?usp=drive_link"/>
        <s v="Sunrise Hotel"/>
        <s v="https://drive.google.com/drive/folders/1UCJPJOZGe8jeYMBocwtl6TwiAGnpIlby?usp=sharing"/>
        <s v="https://drive.google.com/drive/folders/1vjzFqzXaDbk0UgQjX9vk9TtWw7QA1ZRo?usp=drive_link"/>
        <s v="https://drive.google.com/drive/folders/1dSwEyifkPxUG9QNgXPEPSPe9Wz37Yjpx"/>
        <s v=" "/>
        <s v="https://drive.google.com/drive/folders/1O9zT56Qjx_Fn-1HXs44MbW70lNaEY6eu?usp=sharing"/>
        <s v="https://drive.google.com/drive/folders/1fMxi-4kuAYVRCumBpHT0cJ0OQJGZKWP9?usp=sharing"/>
        <s v="https://drive.google.com/drive/folders/1feNNzyCdx3sxbzFyqJhVyFJNTvoq8k2G"/>
        <s v="https://drive.google.com/drive/folders/1XNX_PCNBMLG34jK7wyR_ALjgQ6bEz51m"/>
        <s v="https://drive.google.com/drive/folders/1WEpYZjSzuc3cu3dsjnK0dhwMDIyFdwMG"/>
        <s v="https://drive.google.com/drive/folders/1s9cQYCodLGci_eu5hOKUMbv1xL8syNuT?usp=sharing"/>
        <s v="https://drive.google.com/drive/folders/103H3SyeCFb1aeW4_nmJsLx1A-k8jd-yJ?usp=sharing"/>
        <s v="https://drive.google.com/drive/folders/1jLPstIiQGwHXYF9SbDs4WLQgUwAvIFMx"/>
        <s v="https://drive.google.com/drive/folders/1tbQKo0BRhM1KMeFlCGTLyg8pB7WVsxpT?usp=sharing"/>
        <s v="https://drive.google.com/drive/folders/1UWFy24j0VbJy49ZBFd7Md1mSffwvmJFM?usp=sharing"/>
        <s v="https://drive.google.com/drive/folders/1ZhgTUeICe7C_yN0M6r9sIqQsX2RirxEj"/>
        <s v="https://drive.google.com/drive/folders/1r91rV1Plcx98BlVs7U95ATjl8nVQIxPT"/>
        <s v="https://drive.google.com/drive/folders/13RR--Sp7G4RzGdjYpim1KYichrJ67D1q?usp=drive_link"/>
        <s v="Lakshmi's United Kitchen"/>
        <s v="https://drive.google.com/drive/folders/12SN4-iTB989RjZFQ6mgf4CcnuRI5Bjgs"/>
        <s v="https://drive.google.com/drive/folders/1qqDAuHRUNSZORJNHvCtEG8P1NW_AwUL7"/>
        <s v="https://drive.google.com/drive/folders/1qqDAuHRUNSZORJNHvCtEG8P1NW_AwUL10"/>
        <s v="https://drive.google.com/drive/folders/1K6pBmqU93pqRUCSJpntmoI1L3BMw5xgl"/>
        <s v="https://drive.google.com/drive/folders/15_T7Ws4Hj0dUpZmHv1fPfcXjqwgZ3bqF?usp=drive_link"/>
        <s v="Mokshi Kitchen"/>
        <s v="North Indian Hub"/>
        <s v="https://drive.google.com/drive/folders/1kjGHv9fx_gvyji9Qe3xnW2P5yjNLNsOr"/>
        <s v="https://drive.google.com/drive/folders/1qqDAuHRUNSZORJNHvCtEG8P1NW_AwUL9"/>
        <s v="https://drive.google.com/drive/folders/16gfbzzZAYHYsCWvtHbZJvY-ryyLeZfvh"/>
        <s v="https://drive.google.com/drive/folders/1qqDAuHRUNSZORJNHvCtEG8P1NW_AwUL8"/>
        <s v="The Good Sparrow 1"/>
        <s v="The Good Sparrow 2"/>
        <s v="The Good Sparrow 3"/>
        <s v="https://drive.google.com/drive/folders/1E4Ykj6WozePtfLrLIk_S1m_2LpR40ZCm"/>
        <s v="https://drive.google.com/drive/folders/1xZcfj_aVWNi54pSCdPOTDkp-TusuAqYC"/>
        <s v="https://drive.google.com/drive/folders/1VOBUtu-z39SH2yaFZY4oZPcdzzygkse8?usp=drive_link"/>
        <s v="https://drive.google.com/drive/folders/1Pxy8lK7igSsskr30ZhKGFIpPz7wV_jBt"/>
        <s v="https://drive.google.com/drive/folders/1tqp8TfFW2_AiRzRoXvlt4cRRsEyGUaRx"/>
        <s v="Anu Archana kitchen"/>
        <s v="https://drive.google.com/drive/folders/1E9-9yixpt3TDMvd6hro7csptgS61njEI"/>
        <s v="https://drive.google.com/drive/folders/17e5ZoJ64peB0BjuARtUdrR5R8zWWHQuI"/>
        <s v="https://drive.google.com/drive/folders/1f4awwnmjkQ5VpEsLZr8FHC4T73B6cs-e?usp=sharing"/>
        <s v="https://drive.google.com/drive/folders/1z0sETsfH5F3Pi2AvC3G2RfzWuQW8x-4d?usp=drive_link"/>
        <s v="https://drive.google.com/drive/folders/1KkZU6RKi0QkgkyOtEjtz_QuS0voG0ou5"/>
        <s v="https://drive.google.com/drive/folders/1lwnoJfXa3KkWswaN1pg1EuD4LTJyD5En?usp=sharing"/>
        <s v="Al-saba Restaurant "/>
        <s v="Amma Chethi Ruchulu"/>
        <s v="Andhra Kitchens"/>
        <s v="https://drive.google.com/drive/folders/1qqGSu3p0OVLxVrQcgpXnUrmht0w0OURK"/>
        <s v="Arukha Flavours"/>
        <s v="Bunty Biryani's"/>
        <s v="https://drive.google.com/drive/folders/1KuOUXuC2qGOX8IivMWfrHVjxheMyFa1a"/>
        <s v="https://drive.google.com/drive/folders/14dWR2loYkBJGSKHxp4kTMqsqOOtdr2sa?usp=sharing"/>
        <s v="Konaseema Biryani"/>
        <s v="Krishna's Magic Kitchen"/>
        <s v="Padmavati Food Court"/>
        <s v="https://drive.google.com/drive/folders/1145tVUDZf_FIW0FsugIqK0IjD23RxzfY?usp=sharing"/>
        <s v="https://drive.google.com/drive/folders/1rmhQ_lZDAnRsbd2gdGPdwddiXsEBnkxe?usp=drive_link"/>
        <s v="https://drive.google.com/drive/folders/1eP2mhLyzu7U0Ldw8ueLsjOCBg_MBeYyr"/>
        <s v="https://drive.google.com/drive/folders/1KcwZz915JQlYso88EWcAtaDyCS3hyNy7"/>
        <s v="Buli Abbai Kodi Palau"/>
        <s v="https://drive.google.com/drive/folders/1wj1STRyWLksx3sLrcUKwC3FpyEaJB7LV"/>
        <s v="https://drive.google.com/drive/folders/1iGkq5x63L9MzLTFtbpSSdoRb2Z16w-QN"/>
        <s v="https://drive.google.com/drive/folders/1jbV98BQzIy5aax4E6TPt3kY2XFBwzOGp?usp=drive_link"/>
        <s v="https://drive.google.com/drive/folders/1O255hMRb9Bs_e18IkE82rtizAXPSGzhn"/>
        <s v="https://drive.google.com/drive/folders/1P3phSrvfEDSf9PhVaBz-jexhTOJBQMS1"/>
        <s v="https://drive.google.com/drive/folders/1q5m_oIPtx_q6EBqzQVHbpbGSahH2dFcx"/>
        <s v="Parchuri Foods"/>
        <s v="Sahi Nawabi's Kitchen"/>
        <s v="https://drive.google.com/drive/folders/1ywQmsXc-ZPzeIVEY4qw95oG5GpkRx0tz?usp=drive_link"/>
        <s v="https://drive.google.com/drive/folders/14gLod5g9ejIgDgoScB7Vcn_7rb662Fqr"/>
        <s v="https://drive.google.com/drive/folders/1GqMoz5620uZSNOJ3mml6RyVQEDJmVWHm"/>
        <s v="https://drive.google.com/drive/folders/1On2GNKh6wS0zpO3GoBDYsrEBYzgEtpWb"/>
        <s v="https://drive.google.com/drive/folders/1seQsw5LSW2e0tDBx-adbu1pr_Zk1JZLw?usp=sharing"/>
        <s v="https://drive.google.com/drive/folders/1U13VSi8AdHY1-kfcRQSIsNhtOFIIlglH"/>
        <s v="https://drive.google.com/drive/folders/1aHf2ExbPPUc59fLkesjNJN2JBnS0Uy1Q?usp=sharing"/>
        <s v="Sada Me Brands Of bhimavaram"/>
        <s v="Sri Sai rama Tiffins"/>
        <s v="sri vaarahi Sampradaya Vindhu"/>
        <s v="https://drive.google.com/drive/folders/1ry4NkINKPYXMKd9jVxYbWCN5YjjETQTV"/>
        <s v="https://drive.google.com/drive/folders/13QD9S9A9XKyaIsHMElIz8XGXsJMcHthf?usp=drive_link"/>
        <s v="https://drive.google.com/drive/folders/1Y4XVfH0he62lVDBe_LdMTnd90sOu6-5o"/>
        <s v="https://drive.google.com/drive/folders/1NoK9RFWRs9eBAc-uc5OGV2U5hx2zF9V8"/>
        <s v="IQ Shawarma"/>
        <s v="https://drive.google.com/drive/folders/10Ix6Ggp0NqgRJ1pLNoj-UiHZkJBg6jrC?usp=drive_link"/>
        <s v="Mom's Recipe"/>
        <s v="https://drive.google.com/drive/folders/1o3BavNI9DdCbKnrrrpHuc6X6BoVb7JRn?usp=sharing"/>
        <s v="https://drive.google.com/drive/folders/1dTS0kUR8NALwTE7yBbHIzAtGkyg2sqOI"/>
        <s v="https://drive.google.com/drive/folders/1F80kBNoOK3wMGQkHgnSRHBgjnZpsBHC8?usp=drive_link"/>
        <s v="https://drive.google.com/drive/folders/1m4N2PJVDiX8H3NdIUa4jjRzLaTv7ySG_?usp=sharing"/>
        <s v="samastha Tiffins"/>
        <s v="Santhakam Ruchulu"/>
        <s v="https://drive.google.com/drive/folders/1Zin3G8LACrq7KQRRTaP3Q2EBWYsJhoev"/>
        <s v="https://drive.google.com/drive/folders/19aGVt24O-BsWXrVVsZEgQU1WzvieiPwy"/>
        <s v="https://drive.google.com/drive/folders/1DTAi45bEtiO_tl1QsFPsc9Pqc9bGx17X"/>
        <s v="https://drive.google.com/drive/folders/188nldy4XpU1zhZAGouXDMVLnD3YlSe6e?usp=drive_link"/>
        <s v="https://drive.google.com/drive/folders/1ltWiHDaVWZ5EReOj8YuPp7qCJEvtdxgr"/>
        <s v="Yousfian Restaurent"/>
        <s v="Zamana Shawarma"/>
        <s v="https://drive.google.com/drive/folders/1Xv6LjNqBmzeoppDB0jf4_Eca-MR_jGWC"/>
        <s v="Blend and roast"/>
        <s v="Chicken Shawarma Hut"/>
        <s v="https://drive.google.com/drive/folders/1F5chHSsOpX-3cp_PH91MHBtPBoJQDuth"/>
        <s v="https://drive.google.com/drive/folders/1weI-DZjKo4mNFEQqfcqluiEMbhxtdD1t"/>
        <s v="Kamakshi curries,snacks and meals"/>
        <s v="https://drive.google.com/drive/folders/18YrIVLCVPITeKdR7kOJEh-1SCF6Tcx-s?usp=sharing"/>
        <s v="mehreens kitchen"/>
        <s v="https://drive.google.com/drive/folders/148iESv4zc3tFe4YmYrnGG51eXgJ9kTRM"/>
        <s v="https://drive.google.com/drive/folders/1Wkavl_hgYXeUYK_rzCr0prN85ZK_L2g5?usp=drive_link"/>
        <s v="https://drive.google.com/drive/folders/1glngCKOO93-NehocMIKTPeJ4gi3eZFjZ?usp=drive_link"/>
        <s v="https://drive.google.com/drive/folders/1diN7skbrMSWYjP7Rvn4Zc4emPAaut_T0?usp=drive_link"/>
        <s v="https://drive.google.com/drive/folders/1vCpm3qMxifko_SQQeMj_t2zOwBoe6lNE?usp=sharing"/>
        <s v="https://drive.google.com/drive/folders/1L3_cpB25gbYgd5XGSgEX7_lz_gBBsjkK?usp=drive_link"/>
        <s v="https://drive.google.com/drive/folders/1iCC4LdpKxTdf4mXURVvoLUoPo9L617vd?usp=drive_link"/>
        <s v="https://drive.google.com/drive/folders/1GR-UG90j7C2quoVQcTZszanRIJM9YpI6"/>
        <s v="https://drive.google.com/drive/folders/1kXpRrgaHWEjNLxQ_bb9FjgVz6OExoqIg"/>
        <s v="https://drive.google.com/drive/folders/1LbSlZUSrAgRjiWIjCiQxlblX1saAyVF9?usp=drive_link"/>
        <s v="https://drive.google.com/drive/folders/10e-FD2lMTrMhkl-PMJbSeP6PhkO2TD2Z?usp=drive_link"/>
        <s v="https://drive.google.com/drive/folders/1zGiFryCv814QmdTCuiyeggpt5Z9ErX6W?usp=drive_link"/>
        <s v="https://drive.google.com/drive/folders/1gohRLrQvHzM3fYz34d2k8CZNZLlB7vqN"/>
        <s v="https://drive.google.com/drive/folders/1hi7PMSsUqFKeMP_LU-JgY6G-cpf5a1t8"/>
        <s v="https://drive.google.com/drive/folders/1HBMP98c20eM8AnyU4HvOCH1ugHw4Bz3h"/>
        <s v="https://drive.google.com/drive/folders/1frBF37bh59l809SqnrUSJtFHHjGhWlbf"/>
        <s v="https://drive.google.com/drive/folders/1bVbYDnHXAF5z2Gh1G42X8KDeZWe8iPnR"/>
        <s v="https://drive.google.com/drive/folders/1Unu3wU1bORkMQXtFIeU6fCA3Em_1n92N"/>
        <s v="https://drive.google.com/drive/folders/1FqUin4hqvIZl72PCfBw98PGsEjh-yBdJ?usp=drive_link"/>
        <s v="https://drive.google.com/drive/folders/1P7G5VhQMdQOr-nZ8QMRUk6ZeRelNh1sm"/>
        <s v="https://drive.google.com/drive/folders/15UHO6kmicCW9vnN6myvd_upidjd7Lw-7"/>
        <s v="https://drive.google.com/drive/folders/1ERLRlQH5cBVNKhL_y0J-cilFrPuYDboF?usp=drive_link"/>
        <s v="https://drive.google.com/drive/folders/1llIbrhchyJeTK44W6Ej52Gq9r2ytLAHW?usp=drive_link"/>
        <s v="https://drive.google.com/drive/folders/1YleF3SKypXSBkLYs9XDsJCYPpuvL46-G?usp=drive_link"/>
        <s v="Chinese Express"/>
        <s v="https://drive.google.com/drive/folders/1SaTfyf3skIpsD9YuzOx08isGUMGbDEvQ"/>
        <s v="Ichirakau ramen house"/>
        <s v="Kamakshi Tiffins "/>
        <s v="https://drive.google.com/drive/folders/1y_AghwAl9LKZhbvQ-Izkv6n-beuJrDpW"/>
        <s v="https://drive.google.com/drive/folders/1hutovAp34wwO07iA5UeOPeiXF3D-Esg_"/>
        <s v="https://drive.google.com/drive/folders/1crbLWLnQPIV462vFtmDAYe_RXSAiTLZU?usp=sharing"/>
        <s v="https://drive.google.com/drive/folders/1gcfnSr_9IHoQAQwn81hq4PKIDQOJA1E-?usp=sharing"/>
        <s v="Rao gari military hotel 1"/>
        <s v="Rao Gari military hotel 2"/>
        <s v="royal odisha Daba"/>
        <s v="https://drive.google.com/drive/folders/15BwYHjSnPvzYdnyirWqjdTil-X4rzucn"/>
        <s v="https://drive.google.com/drive/folders/11Vdd0BmSFEeNQRIvOy_xaGxTvAEfZ526?usp=drive_link"/>
        <s v="https://drive.google.com/drive/folders/146P5cb0Y1pjxIgqP-KQS09YsNPioI6pV?usp=sharing"/>
        <s v="https://drive.google.com/drive/folders/1o5zjTbzfGpp-9jwka6gfbQnF1TC3vXsH"/>
        <n v="9.121858951E9"/>
        <s v="https://drive.google.com/drive/folders/1oEICQpTpdFDN7oTZN0hyjmhHclqCLvLi?usp=sharing"/>
        <s v="Mickey's Tiffin"/>
        <s v="https://drive.google.com/drive/folders/1awDT6H5xNM7SRMxXKGzlfQrHhu-RiZqH?usp=drive_link"/>
        <s v="https://drive.google.com/drive/folders/1-Bg57ELrElx4xZdC1S8HDu-uXWcOR2Ig"/>
        <s v="https://drive.google.com/drive/folders/1xWjqdV_lCsQYYb3NTy3F4IubdxFg7Zm-?usp=drive_link"/>
        <s v="Sravanthi Biryani"/>
        <s v="Sravanti Fastfood"/>
        <s v="Sravanthi Mess"/>
        <s v="Sravanthi Tiffins"/>
        <s v="https://drive.google.com/drive/folders/1FwtPr1DGQ2TayamqzucX6EiHKyoIIatV?usp=sharing"/>
        <s v="https://drive.google.com/drive/folders/19uVt0fQevfxr-B1IKMVVumtg7_nUqoxP?usp=drive_link"/>
        <s v="https://drive.google.com/drive/folders/1g1blutVC6IM_k2KynZjyUnvO3LXTEpB6?usp=sharing"/>
        <s v="https://drive.google.com/drive/folders/1jiDmiF4YUcXOyUTOvY3NlMJnOdRXZ6g_?usp=sharing"/>
        <s v="Srinivasa Mixture hub"/>
        <s v="Sravanam 4Am Biryani"/>
        <s v="https://drive.google.com/drive/folders/1hzVDTdS8M0l-ry7H5ZN3yyJve-VveP-p"/>
        <s v="Sri Vigneshwara Aaha Bhojanam"/>
        <s v="https://drive.google.com/drive/folders/1HuYxw4VAjfY00qs4hwHt-P_34_9m9z6Q"/>
        <s v="https://drive.google.com/drive/folders/1D6ABY-wJcIGqRhaWsbxv8e-Gp35t-zin?usp=drive_link"/>
        <s v="The Bakely Bakers"/>
        <s v="The Bakely Cafe"/>
        <s v="Cafe 74"/>
        <s v="https://drive.google.com/drive/folders/1wGKQl8bK8Rrz8H23b5SRyYeFBMPv9DIL?usp=drive_link"/>
        <s v="Dostan Biryani"/>
        <s v="Dostan Fast Food"/>
        <s v="Dostan Meals And Snacks"/>
        <s v="Dostan Shawarma"/>
        <s v="Dostan Tiffins"/>
        <s v="https://drive.google.com/drive/folders/15s6wZSxk9l_GyCQRrweygRiPAO5LbhIH?usp=sharing"/>
        <s v="https://drive.google.com/drive/folders/1VZj4TVwdlk6PvQtXFIOGTE1VFpy-qDEF?usp=sharing"/>
        <s v="https://drive.google.com/drive/folders/1ptGqmobNv-AF9wklOrwpiATBWB2I1d-i"/>
        <s v="https://drive.google.com/drive/folders/1TDGTkjgN8AV4VWnj9BFSNZ1yd8sKs4Tz?usp=drive_link"/>
        <s v="Sri Vigneshwara Nellore Chepala Pulusu"/>
        <s v="the Hungry Spot"/>
        <s v="https://drive.google.com/drive/folders/1H2L0OLXryJitPqdT3cUvQ03DeZU7C5wX?usp=sharing"/>
        <s v="Anagha Kitchen"/>
        <s v="Avacado On Wheels"/>
        <s v="https://drive.google.com/drive/folders/1ISrBU0FLBTh_Xu1e1kDHoKE886k9J9uF?usp=drive_link"/>
        <s v="Charcoal Shawarma"/>
        <s v="https://drive.google.com/drive/folders/1TpUo-klquf21FsZynXsRQJkFKvbRwakN"/>
        <s v="https://drive.google.com/drive/folders/14Gp6EZt8td6kqLeuFRK9bWHdkqJEncnj"/>
        <s v="https://drive.google.com/drive/folders/18p6doDdKQm-sXq4NKmJgqZNVB8YeaJ3M?usp=sharing"/>
        <s v="https://drive.google.com/drive/folders/1G_ky93niBmaL40jVSzHRR0MVNCTo-gnU"/>
        <s v="Oh My Momo's"/>
        <s v="https://drive.google.com/drive/folders/19y8lAY0XDQMK9FbVoJXfmatv8ozU2C7U"/>
        <s v="https://drive.google.com/drive/folders/1NCZe63ZgVZfOwmax02-xtsw36zzp3ZiC?usp=sharing"/>
        <s v="https://drive.google.com/drive/folders/1xUSMmrAXAuVsBbV5E7GFJhdECj8W_Xbd"/>
        <s v="https://drive.google.com/drive/folders/1CYVvWZYBbQk2ThPlpELGy8j4CArNdBrw"/>
        <s v="https://drive.google.com/drive/folders/11I8R1DR_Jn8VRg8y-vZyv_Zm_70sqneU?usp=drive_link"/>
        <s v="https://drive.google.com/drive/folders/1SiRVQA2LbArGXGV8EORPi4nOZloYVdsk?usp=sharing"/>
        <s v="5ves Diner"/>
        <s v="https://drive.google.com/drive/folders/1rgE6TiCyfdq4tV32zeWB_ZnfAjpWfoBY?usp=drive_link"/>
        <s v="https://drive.google.com/drive/folders/1HwRsI1zSxQFLedtpqh3GoMVCb5vzc1dy"/>
        <s v="caffine hub Biryani's"/>
        <s v="caffine hub fast food"/>
        <s v="caffine hub milkshaes and juice"/>
        <s v="caffine hub Meals"/>
        <s v="caffine hub snacks"/>
        <s v="Cake Corner Bakery"/>
        <s v="Chai Kaburlu Hitech city "/>
        <s v="Chai Kaburlu Kphb"/>
        <s v="https://drive.google.com/drive/folders/1RQ1pnFVLBRz27A_mF2Ec5PhMM6F9WJND?usp=sharing"/>
        <s v="corner fast food"/>
        <s v="corner foods"/>
        <s v="corner Juice and MilkShake"/>
        <s v="https://drive.google.com/drive/folders/1D7vvwcDNPi26kQgLMzJAd0UaIJ4RF6on?usp=sharing"/>
        <s v="https://drive.google.com/drive/folders/1MP29qumV0dDkQUnwm9NXBk0hTcUvLMGx"/>
        <s v="https://drive.google.com/drive/folders/1o9WkuGsuyo3pqZjmQ9WwPhG1Q7hZFAWo"/>
        <s v="https://drive.google.com/drive/folders/1pypXriyPoaCuTefIgFu6okYD9GpZ4cK9"/>
        <s v="https://drive.google.com/drive/folders/1vR-h7mk1tgx-5c0LK4VB1GazhrKLwpyk"/>
        <s v="https://drive.google.com/drive/folders/1JYNwylgLMuIt7gJI3LCAIUnmOly6KUWf"/>
        <s v="https://drive.google.com/drive/folders/1tDiCtk7CUbRaGRm1jguQte10gmLWwcu8"/>
        <s v="https://drive.google.com/drive/folders/1BHdcDDkcCJv7dgCKmBXXUyFUnbSHifFo?usp=sharing"/>
        <s v="https://drive.google.com/drive/folders/1_7YFtbk37Ihid-uHltIsZO1pLxGKCghg"/>
        <s v="https://drive.google.com/drive/folders/1mQ70ZCt5MHLiv1QjKhiC8b_Ia7Lw48P7"/>
        <s v="https://drive.google.com/drive/folders/1DcVdLDNik8t3h4nrqUoGYEkbgvlh-sGj"/>
        <s v="https://drive.google.com/drive/folders/1Znvvb3ha4nr4KtUkvajlNfpK3UQU2hYE"/>
        <s v="https://drive.google.com/drive/folders/1wXg_2Mwz9SuhQbgwmk5UncbAIJ-8z_2Q?usp=sharing"/>
        <s v="https://drive.google.com/drive/folders/1OyoNoWyyjL1UVLZ4O_B4BQAIwOXQtxNy?usp=sharing"/>
        <s v="https://drive.google.com/drive/folders/1-QkiG04iDyX3SQI6wvy7t-s5XLjDzHdE"/>
        <s v="https://drive.google.com/drive/folders/1dl735FRgk9S5yYlgpzJe9x0Tqj_LaJLg"/>
        <s v="https://drive.google.com/drive/folders/1WHdhu8E5KLUFUJEP-4Qux5rC4mYpqvl_"/>
        <s v="https://drive.google.com/drive/folders/1QKRLIeiaLBqT7fAC1kUJjOLLy_kyItmP"/>
        <s v="https://drive.google.com/drive/folders/1Xr3ORWnbqT-bcymgvf0XzBqPDmW6R7iN"/>
        <s v="https://drive.google.com/drive/folders/17iZlXjrl-a78j7bzmVn_qEdESs1kQ1fk"/>
        <s v="Amritsari Dhaba"/>
        <s v="Amritsari Khana"/>
        <s v="https://drive.google.com/drive/folders/10qR_JemDKbdInAVrBoMflJbViaHxfmk6?usp=sharing"/>
        <s v="https://drive.google.com/drive/folders/1KNk4vNX0ZABsIZWLiv1omzYre8jK0xS3?usp=sharing"/>
        <s v="https://drive.google.com/drive/folders/1RZHZgNYOYvHOpDJ0PPGejPemPE0ZpKUA"/>
        <s v="Lasya Fast Food Centre"/>
        <s v="https://drive.google.com/drive/folders/1XdPT9XqQwqU_bmkQ6YgTiv-7QOY_uSy_?usp=drive_link"/>
        <s v="https://drive.google.com/drive/folders/1-KSmOTbX2Vt3MR7WouOkO7yh4rBY1-Zl?usp=sharing"/>
        <s v="https://drive.google.com/drive/folders/19ma5o56uR2rOP3Xstkh04kZCutwT955P?usp=drive_link"/>
        <s v="Mummy ki Khana"/>
        <s v="Mummy Ki Rassoi"/>
        <s v="https://drive.google.com/drive/folders/1rkDNGF-Erc2YOHJiq5qMY1bUxf0R9Mha?usp=drive_link"/>
        <s v="https://drive.google.com/drive/folders/1ljeb_TY4E9Ja4YNOa2fi7TVbxpEJrpGe"/>
        <s v="SeocndWife Biryani"/>
        <s v="Second Wife Fast Food"/>
        <s v="Second Wife Melas"/>
        <s v="Second Wife Rolls And Snacks"/>
        <s v="Second wife tiffins"/>
        <s v="https://drive.google.com/drive/folders/1e-m6A_mbsgZDnRcx5fuor5vkPnr4mkCB?usp=sharing"/>
        <s v="https://drive.google.com/drive/folders/193aEDwzsy_aMRJyjG_y-u9sXzoevxyUB?usp=sharing"/>
        <s v="https://drive.google.com/drive/folders/1pogsK5-PXtHNeT9p1A_GFM_hqvyuV5r4"/>
        <s v="Venkateshwara Bakery"/>
        <s v="Venkateshwara Biryani"/>
        <s v="Venkaeshwara Meals"/>
        <s v="Wok 33"/>
        <s v="Wok 33 Foods"/>
        <s v="Sai Nadh Snacks"/>
        <s v="Sai Nadh Fast Food"/>
        <s v="Sai Nadh Tiffins"/>
        <s v="Sai Nadh Fastfood 2"/>
        <s v="https://drive.google.com/drive/folders/1mtrcV4enefSXdg5VSo2irVr94_6WAY2y?usp=drive_link"/>
        <s v="https://drive.google.com/drive/folders/1Oj6rwRmvtkuhLa9tOWy-6mn4w2vFhveQ?usp=sharing"/>
        <s v="https://drive.google.com/drive/folders/1ZuunOytbIbyIKC37IPWjg60vPcckmc-E"/>
        <s v="https://drive.google.com/drive/folders/141oWtHDKlk3EkxWEulFpluYYu2cqKw2u?usp=drive_link"/>
        <s v="https://drive.google.com/drive/folders/1ohLkhEx6qYHs68na4EDFzBJu56_HPfvj"/>
        <s v="https://drive.google.com/drive/folders/1XPPbdyalpAXLoz1I8G6PrkZH-KGKI2y8"/>
        <s v="https://drive.google.com/drive/folders/1F3FVRh68kWdVVMs0p7m-W2zohZOBrWTg?usp=drive_link"/>
        <s v="https://drive.google.com/drive/folders/1xIxu-rPgK-3j5bcK-s2o4c-Bn2AM1aoU?usp=sharing"/>
        <s v="https://drive.google.com/drive/folders/1WyFaaBFzYOjYLTTJey9n9Henn1IRme_m"/>
        <s v="https://drive.google.com/drive/folders/1X7EDuUfMZA3kObZCWl1HvMISM7j2Ia6x?usp=sharing"/>
        <s v="https://drive.google.com/drive/folders/19ZljDLPARdNd98qqzsfjOfba81pRvlqH"/>
        <s v="https://drive.google.com/drive/folders/1E8JRaYu66cn7CFhIHFgD-0nOgW7OJyXp?usp=drive_link"/>
        <s v="https://drive.google.com/drive/folders/1EcFNC4da5qA_gfnZpxvqJRxhlMRdu87q"/>
        <s v="https://drive.google.com/drive/folders/1I_tSOVQjsdczAnDiiPw7-vKjO8wZsdHL"/>
        <s v="dropped"/>
        <s v="https://drive.google.com/drive/folders/1bUnygrdN92KDvA2L1wFjTXVDPjc7_bKs"/>
        <s v="https://drive.google.com/drive/folders/1rSNAn8wbMG3gxG3yP3cMM2Nn5mQrU-tP"/>
        <s v="https://drive.google.com/drive/folders/1aUqj7MSkXbTaBwCOz5adschNXFIhpCuY"/>
        <s v="https://drive.google.com/drive/folders/1ZuDwkIGBI9qAL6sVOKdsFKBguhHROKkW"/>
        <s v="https://drive.google.com/drive/folders/1ypn3AV0U8JSXUHqKMWOVCcx-wZckVuBH"/>
        <s v="https://drive.google.com/drive/folders/1Yv_jzvYn8P0cowoQjEiffaLl9IAH9cuN?usp=sharing"/>
        <s v="https://drive.google.com/drive/folders/11gcG6fYUbVG55MFfUbxmOOFESBK9F7QY"/>
        <s v="https://drive.google.com/drive/folders/1Tu24kKTKiAXgbPwv0_kqy7DFYNBCYUVW"/>
        <s v="https://drive.google.com/drive/folders/1IdblWCIs_-c8q_oYuoyNrzXsyWyPF6Kg?usp=sharing"/>
        <s v="https://drive.google.com/drive/folders/1P4F01iWyp-_yyPql3ubZ7AldsMEJYbmO"/>
        <s v="https://drive.google.com/drive/folders/138S7kTUrJvuZPvFcl8fIgiNKngF3vzwj"/>
        <s v="https://drive.google.com/drive/folders/1_bYBHkhs3EZjkz4-6qfMtRRJb0GpzPrW"/>
        <s v="https://drive.google.com/drive/folders/1flpE45zjQEEX1xFYQIVx73ifd2jwpOHO?usp=sharing"/>
        <s v="https://drive.google.com/drive/folders/1nbJM9hIGI25SGmNzV4Xm1OXaz5EpihRR?usp=drive_link"/>
        <s v="https://drive.google.com/drive/folders/1gPUeYv_CBOdqQXjWbcgxyku9dlUuCwMq?usp=sharing"/>
        <s v="https://drive.google.com/drive/folders/14oX5qzGPY-Fh2ar8zSRaXg8k583apCoi?usp=sharing"/>
        <s v="https://drive.google.com/drive/folders/114UP2-3PTfk4i9-rw04RTToa_xTdCq6k?usp=sharing"/>
        <s v="https://drive.google.com/drive/folders/1oVGNLk0-cTm_FjM80H1KcMoS7Ev-YqYc?usp=drive_link"/>
        <s v="https://drive.google.com/drive/folders/1aw7_v78KzDJNL_ONPaGdj-BaelJ6hyrS"/>
        <s v="https://drive.google.com/drive/folders/1YsLka-4z-1FissFHsf9t7H-BwEWLGyLq"/>
        <s v="https://drive.google.com/drive/folders/1ecARZ7Loel2T5Yx-LAw6sj8BzufpTGBG?usp=sharing"/>
        <s v="https://drive.google.com/drive/folders/1-9_XV3zbx6PJUEA-kTFMyHPpJs-qbnEZ?usp=sharing"/>
        <s v="Chopsticks"/>
        <s v="https://drive.google.com/drive/folders/1XBNX_TDaQH1rYVPDv1yG1J0endNZiFO_?usp=drive_link"/>
        <s v="https://drive.google.com/drive/folders/1JPP61XTZhMtO0hhxR7R3y25F5LqOSd2j?usp=sharing"/>
        <s v="https://drive.google.com/drive/folders/1EL0lKlZTCIr1OH3aoYgxcLVoZHlTbEgR?usp=sharing"/>
        <s v="https://drive.google.com/drive/folders/1f85Ck-sDA3v26z1kzz8pC-yyZzqT6888?usp=sharing"/>
        <s v="https://drive.google.com/drive/folders/1mnk7kGXBo_V5L12OUDfiRjsZqJ8DuHxG?usp=drive_link"/>
        <s v="https://drive.google.com/drive/folders/1hVcz0cxaHIgC5rkk7ErVuicPVUuxb9rc?usp=sharing"/>
        <s v="https://drive.google.com/drive/folders/1ttBxcCBo1M1E-pQhRwfkQu9h4S6-sosg"/>
        <s v="https://drive.google.com/drive/folders/10q2tzUQREXDA0tttRxtjlcDTCsRqedR4?usp=sharing"/>
        <s v="https://drive.google.com/drive/folders/1PI4dgBlt2xoJcBBWPJhld9zZTHuDlQeB?usp=sharing"/>
        <s v="https://drive.google.com/drive/folders/1gsRP_llDBdgVHHQuAncpIEnMDxUMQ7Po?usp=sharing"/>
        <s v="https://drive.google.com/drive/folders/1-HJ1jL1YM28Ts6V0Axg18KyglAMIcgxf?usp=drive_link"/>
        <s v="https://drive.google.com/drive/folders/1OM8WzyC_xGTQr4IkWQuMWzlxnSo6tw-S?usp=drive_link"/>
        <s v="https://drive.google.com/drive/folders/1OjaURdVDXqH2PqZXgQhYKPYM2PHdaVgV"/>
        <s v="Babai Hotel Kphb"/>
        <s v="https://drive.google.com/drive/folders/12KJHOtBmlR_YMQVp613rrKs8D_1VKaUT"/>
        <s v="https://drive.google.com/drive/folders/16r9w-bHtOPEb56oIJBQk8XocLk_zp_ne?usp=drive_link"/>
        <s v="https://drive.google.com/drive/folders/1mUcGNB-msh0RrzzlAHfiyS-869YyUEA9"/>
        <s v="https://drive.google.com/drive/folders/1uTnWgbeLboqYJjrt4utbp1etKGVawHn2?usp=sharing"/>
        <s v="https://drive.google.com/drive/folders/1fj5yHNmi22FHFA4_lBC5P90AtU_7btJD?usp=sharing"/>
        <s v="https://drive.google.com/drive/folders/1aNS7_BLACWrD06CqafINzO9yQILI4Gd7?usp=sharing"/>
        <s v="https://drive.google.com/drive/folders/1_z4vloq2JCkb2QxaF4T2U_UGS36IOAS6"/>
        <s v="https://drive.google.com/drive/folders/1NNXMR6wV62PNzSlWdsyW7KkZH_49Ufko?usp=sharing"/>
        <s v="https://drive.google.com/drive/folders/1Zd901LhdFDxOryUxC7oSebWz-GcEeJlk?usp=sharing"/>
        <s v="https://drive.google.com/drive/folders/1TDoFMFmzD24wTE35QejlYTl1U4JgL7p7?usp=sharing"/>
        <s v="https://drive.google.com/drive/folders/16uIYj4QrQu5CTOeDfqmlaS1Kihgd9-hL?usp=sharing"/>
        <s v="https://drive.google.com/drive/folders/153jJPBBAc5J6R6QgL5wAeohQcCs2-h1y?usp=drive_link"/>
        <s v="https://drive.google.com/drive/folders/19R0DVL_OX8d9L9DzsD09wE4gW4XKX7xo"/>
        <s v="Aroma Biryani's and Pulauo's"/>
        <s v="https://drive.google.com/drive/folders/1fQHHxSlxho0OTDvdGwB-GlmOPJN4_2QO?usp=drive_link"/>
        <s v="Aroma meals and chinese"/>
        <s v="balaji Kitchen"/>
        <s v="Balaji Muntha Masala"/>
        <s v="https://drive.google.com/drive/folders/1ym7dtu4I7Ex8aqa82MAyU2jPomQe9IP9?usp=sharing"/>
        <s v="https://drive.google.com/drive/folders/15puFhg_dMbumboYY7eEty2LjQwUqgs3Q"/>
        <s v="https://drive.google.com/drive/folders/1OS2eq5ztA22Y0eoKiIJQiIbde5gOC7l7"/>
        <s v="https://drive.google.com/drive/folders/1xAL_mU4tChIozpHADi-67nK0k_6kLD92?usp=sharing"/>
        <s v="https://drive.google.com/drive/folders/1Ccf9zoq3j3CMZ2gtFexZekXr-nwQXzkB?usp=sharing"/>
        <s v="Om Shree Hanuman"/>
        <s v="https://drive.google.com/drive/folders/1k9-zjiVXVWIzMjkxjX0L9CnUeFZYZIIb?usp=sharing"/>
        <s v="https://drive.google.com/drive/folders/1FS215BYHgZheiOilYgt2S-KGS6jYT2Jb?usp=sharing"/>
        <s v="https://drive.google.com/drive/folders/1vnW_s1NoUdHVwyVKe2Kjtcv4FBbNjxfe?usp=sharing"/>
        <s v="https://drive.google.com/drive/folders/1rJ3AqHsRWgZGUFMJHxs7B-OJJRUz2voh?usp=sharing"/>
        <s v="https://drive.google.com/drive/folders/1zfywuGVp3JnYdQ2_fX4coasmzkdzM4Vp"/>
        <s v="Tea Time KPHB"/>
        <s v="Adbutaha Tiffins"/>
        <s v="https://drive.google.com/drive/folders/1CwYRsFbLxC01wP1H0WwPdjPAObGzdyip?usp=sharing"/>
        <s v="https://drive.google.com/drive/folders/1cPlVj7Ug6j6sJxzTV94u50omK-xjjdxJ?usp=drive_link"/>
        <s v="https://drive.google.com/drive/folders/1RZPi-oKUaQwWCSPz9y_-sTGuZRe54rj0?usp=drive_link"/>
        <s v="Celebs"/>
        <s v="Mathani Juice Hub"/>
        <s v="https://drive.google.com/drive/folders/1J4xwanAmEh-myQuZqJLBwlE3kNlZHogt?usp=drive_link"/>
        <s v="https://drive.google.com/drive/folders/1celxmQz1C2smYZDKCQ8kVd4xCzzODd-W?usp=drive_link"/>
        <s v="Monday Hotel (Gachibowli)"/>
        <s v="Elsyuim (Restaurent)"/>
        <s v="Monday Hotel (Hi-tech City)"/>
        <s v="Kunafa Cravings"/>
        <s v="Monday Hotel (Madhapur)"/>
        <s v="https://drive.google.com/drive/folders/1o6hYRIHqj8mwR90M6Mn0yWWaja0SjwlL?usp=sharing"/>
        <s v="https://drive.google.com/drive/folders/1pKLJme-tVhwtkJCFs6PPmYMT6UBHFANe"/>
        <s v="https://drive.google.com/drive/folders/1f9-zDVyxhcKYsd9eaYMjbK6_FUq9zxFC?usp=drive_link"/>
      </sharedItems>
    </cacheField>
    <cacheField name="Map Co-ordinates" numFmtId="0">
      <sharedItems containsBlank="1">
        <m/>
        <s v="https://www.google.com/maps/place/Bhojanams+%26+Biryanis/@17.4468252,78.3895983,17z/data=!3m1!4b1!4m6!3m5!1s0x3bcb91687dc6785f:0x9d238a8fc18acf44!8m2!3d17.4468201!4d78.3921732!16s%2Fg%2F11fgjxmc9s?entry=ttu&amp;g_ep=EgoyMDI2MDIxMS4wIKXMDSoASAFQAw%3D%3D"/>
        <s v="https://maps.app.goo.gl/7kDCtkQs6d4Hwruc8?g_st=iw"/>
        <s v="Sunrise Business Hotel"/>
        <s v="https://maps.app.goo.gl/MJ7UedzFq2PJ6SB88"/>
        <s v="17.447125553953608, 78.38804061226678"/>
        <s v="Lakshmi's United Kitchen"/>
        <s v="17°26'12.6&quot;N 78°26'53.5&quot;E"/>
        <s v="https://maps.app.goo.gl/Sq2bCzb7zN1sfzjj8"/>
        <s v="The Good Sparrow (Millet Tiffins)"/>
        <s v="https://www.google.com/maps/place/Anu+Archana+Kitchen/@17.4083423,78.3904879,17z/data=!3m1!4b1!4m6!3m5!1s0x3bcb97000c2a71c3:0xf15817e8716a38db!8m2!3d17.4083372!4d78.3930628!16s%2Fg%2F11xr_gtynz?entry=ttu&amp;g_ep=EgoyMDI2MDIxMS4wIKXMDSoASAFQAw%3D%3D"/>
        <s v="17.437127,78.447463"/>
        <s v="Al Saba Cafe"/>
        <s v="ARUKHAFLAVORS"/>
        <s v="17.437412,78.446691"/>
        <s v="Padmavathi Food Court"/>
        <s v="Bulli Abbai Kodi Pulav7"/>
        <s v="17.440225,78.439709"/>
        <s v="Paruchuri Foods"/>
        <s v="SHAHI NAWABS KITCHEN"/>
        <s v="17.441117,78.439259"/>
        <s v="1m, Yousufguda Main Rd"/>
        <s v="Om Sai Ram Tiffins"/>
        <s v="Sri Varahi Sampradaya Vindhu"/>
        <s v="IQ Shawarma"/>
        <s v="Mom's Recipe"/>
        <s v="SAMASTHA TIFFIN'S"/>
        <s v="White House Block B"/>
        <s v="Moulana Kalyani Biryani Hotel"/>
        <s v="G.S Plaza"/>
        <s v="Blend &amp; Roast Cafe6"/>
        <s v="Chicken Shawarma Hut"/>
        <s v="17.413410,78.453940"/>
        <s v="Sri Kamakshi Tiffin Centre And Curry Point"/>
        <s v="https://maps.app.goo.gl/jLsyvQaRHEvnUupz9"/>
        <s v="https://maps.app.goo.gl/XmKzaEksajZUJrq79"/>
        <s v="Ichiraku Ramen House"/>
        <s v="KAMAKSHI TIFFINS AND SNACKS"/>
        <s v="Rao Gari Military Hotel"/>
        <s v="https://maps.app.goo.gl/DMWV52m7TT1eoeza9"/>
        <s v="Royal Odisha Dhaba"/>
        <s v="https://maps.app.goo.gl/ov9jTkpC6RafJUgCA"/>
        <s v="17° 26' 54.9636&quot; N 78° 22' 51.9726&quot; E"/>
        <s v="SRAVANAM 4AM KUSHKA BIRYANI"/>
        <s v="Sri Vigneshwara Aaha Bhojanam"/>
        <s v="Bakely"/>
        <s v="CAFE 74"/>
        <s v="https://maps.app.goo.gl/E5xhqBiRDxNfMXBD8"/>
        <s v="https://maps.app.goo.gl/E5xhqBiRDxNfMXBD9"/>
        <s v="https://maps.app.goo.gl/E5xhqBiRDxNfMXBD10"/>
        <s v="https://maps.app.goo.gl/E5xhqBiRDxNfMXBD11"/>
        <s v="https://maps.app.goo.gl/E5xhqBiRDxNfMXBD12"/>
        <s v="17.4030848,78.4269312"/>
        <s v="https://maps.app.goo.gl/Poy4P6VsexDRpvWv5"/>
        <s v="56/135"/>
        <s v="N/A"/>
        <s v="Charcoals Shawarma &amp; Kebabs"/>
        <s v="17.4302523,78.1125558"/>
        <s v="17.346937,78.391701"/>
        <s v="5ves Restaurant"/>
        <s v="Caffeine Hub - Awaken your senses &amp; Rejuvenate your mind...."/>
        <s v="CAKE'S CORNER"/>
        <s v="Chai Kaburlu"/>
        <s v="Chai Kaburlu KPHB"/>
        <s v="17.334330,78.390114"/>
        <s v="17.36293,78.39071"/>
        <s v="17.40954470540178, 78.39901650838479"/>
        <s v="Mummy Ki Rassoi"/>
        <s v="https://maps.app.goo.gl/yWw2wQT97SkCbQMK8"/>
        <s v="SECOND WIFE C/O GUNTUR"/>
        <s v="17.42617867388426, 78.3294032883618"/>
        <s v="https://maps.app.goo.gl/yWw2wQT97SkCbQMK9"/>
        <s v="https://maps.app.goo.gl/yWw2wQT97SkCbQMK10"/>
        <s v="F9G7+638"/>
        <s v="17.4235064,78.4595902"/>
        <s v="17.4069137,78.4579542"/>
        <s v="Chopsticks"/>
        <s v="17.42662185713705, 78.41425202429257"/>
        <s v="Babai Hotel"/>
        <s v="17.47286,78.3616576"/>
        <s v="https://maps.app.goo.gl/ZtYwokMh4bckUTTK7"/>
        <s v="https://maps.app.goo.gl/4TDTFE6tGGCzyzv48"/>
        <s v="https://maps.app.goo.gl/4TDTFE6tGGCzyzv49"/>
        <s v="TEA TIME"/>
        <s v="Adbhutaha Tea, tiffins &amp; Chinese"/>
        <s v="17.499254,78.396355"/>
        <s v="Celebs"/>
        <s v="https://maps.app.goo.gl/d5iSsQWpfK3si4t47"/>
        <s v="17.5124885098837, 78.39672735005787"/>
        <s v="Destino by Monday Hotels Gachibowli"/>
        <s v="Elysium studio suites Madhapur"/>
        <s v="Monday Hotels Hitec City"/>
        <s v="Monday Premium Madhapur"/>
      </sharedItems>
    </cacheField>
    <cacheField name="LOCALITY AREA" numFmtId="0">
      <sharedItems containsBlank="1">
        <e v="#REF!"/>
        <s v="KONDAPUR"/>
        <m/>
        <s v="TOWLICHOWKI"/>
        <s v="not mentioned"/>
        <s v="Narsingi "/>
        <s v="kukatpally "/>
        <s v="Langar Houz"/>
        <s v="Gachibowli"/>
        <s v="Banjara Hills"/>
        <s v="Khairatabad"/>
        <s v="Jubilee Hills"/>
        <s v="Hafeezpet"/>
        <s v="Kukatpally"/>
        <s v="Medchal"/>
      </sharedItems>
    </cacheField>
    <cacheField name="Remarks" numFmtId="0">
      <sharedItems containsBlank="1">
        <m/>
        <s v="switch off "/>
        <s v="Checked "/>
        <s v="number does not exist "/>
        <s v="checked"/>
        <s v="Today by EOD"/>
        <s v="Merchant asked to visit directly &amp; explain the details."/>
        <s v="Today bt eod"/>
        <s v="Anexure Missing"/>
        <s v="not answering calls "/>
        <s v="just menu pending  will receive today"/>
        <s v="All done"/>
        <s v="menu pending"/>
        <s v="Bank details and menu pending"/>
        <s v="Its under renovation,need 4 days of time"/>
        <s v="did not lift the call"/>
        <s v="will share it with parthive "/>
        <s v="No Contact Info"/>
        <s v="menu from zomato nd swiggy"/>
        <s v="not answering thw call"/>
        <s v="menu from zomato"/>
        <s v="2 days time"/>
        <s v="asked to call in some time he will send the menu"/>
        <s v="did not answer the call"/>
        <s v="asked to call tommrow"/>
        <s v="menu needs to increase"/>
        <s v="Unresponsive."/>
        <s v="weneed to change the price on offline menu"/>
        <s v="Fssai &amp; Menu Pending."/>
        <s v="he is out of station,didnt got the exact date when he will return,menu from swiggy and zomato"/>
        <s v="Again onboarded by chankaya"/>
        <s v="need to increase price"/>
        <s v="Have been reaching to mx on call since 3 days, he is unresponsive.Will make sure to collect as earliest convenience."/>
        <s v="Follow up required, Merchant is busy right now."/>
        <s v="Duplicate entry created - Pls delete"/>
        <s v="15 days to send documents"/>
        <s v="will send the document by tommrow"/>
        <s v="One week"/>
        <s v="Not Mentioned in Whatsapp"/>
        <s v="NO ACCESS"/>
        <s v="need to increase price ans still we have more menu"/>
        <s v="Had a word with mx, he will be sharing by tomorrow."/>
        <s v="Wrong Entry"/>
        <s v="Menu price hike has been done - GTG"/>
        <s v="will  send documents by tommrow"/>
        <s v=" will  send documents by tommrow"/>
        <s v="All docs collected."/>
        <s v="SWITCH OFF"/>
        <s v="DROPED"/>
        <s v="filled the document,soft copies im following up"/>
        <s v="ASKED TO CALL TMMROW"/>
        <s v="They need time to share menu"/>
        <s v="need to inrease price"/>
        <s v="need to increase price "/>
        <s v="NEED TO INCREASE PRICE ON MENU"/>
        <s v="Had a word with mx, he will be sharing by tomorrow. not answering"/>
        <s v=" Labour license pending, had a word with mx on call, he will be sharing shortly."/>
        <s v="will share on wednesday "/>
        <s v=" will get the documents within 2 day"/>
        <s v="All docs in"/>
        <s v="All docs in -price hike has to be done"/>
      </sharedItems>
    </cacheField>
    <cacheField name="remarks2" numFmtId="0">
      <sharedItems containsBlank="1">
        <m/>
        <s v="Not Uploaded"/>
        <s v="different"/>
        <s v="not answering calls"/>
        <s v="not answering calls "/>
        <s v="collect menu from support@petpooja.com"/>
        <s v="will share documents in half an hour "/>
        <s v="No Access"/>
      </sharedItems>
    </cacheField>
    <cacheField name="Column 35" numFmtId="0">
      <sharedItems containsString="0" containsBlank="1">
        <m/>
      </sharedItems>
    </cacheField>
    <cacheField name="Column 36" numFmtId="0">
      <sharedItems containsString="0" containsBlank="1">
        <m/>
      </sharedItems>
    </cacheField>
    <cacheField name="Column 37" numFmtId="0">
      <sharedItems containsString="0" containsBlank="1">
        <m/>
      </sharedItems>
    </cacheField>
    <cacheField name="Column 38" numFmtId="0">
      <sharedItems containsString="0" containsBlank="1">
        <m/>
      </sharedItems>
    </cacheField>
    <cacheField name="Column 39" numFmtId="0">
      <sharedItems containsString="0" containsBlank="1">
        <m/>
      </sharedItems>
    </cacheField>
    <cacheField name="Column 40" numFmtId="0">
      <sharedItems containsString="0" containsBlank="1">
        <m/>
      </sharedItems>
    </cacheField>
    <cacheField name="Column 41" numFmtId="0">
      <sharedItems containsString="0" containsBlank="1">
        <m/>
      </sharedItems>
    </cacheField>
    <cacheField name="Column 42" numFmtId="0">
      <sharedItems containsString="0" containsBlank="1">
        <m/>
      </sharedItems>
    </cacheField>
    <cacheField name="Column 43"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1006" sheet="Sheet1"/>
  </cacheSource>
  <cacheFields>
    <cacheField name="Address" numFmtId="0">
      <sharedItems containsBlank="1">
        <s v="Rs complex vijayanagar colony near anjuman deendar back gate,masab tank,hyd "/>
        <s v="12-2-825/2, Mehdipatnam"/>
        <s v="12-2-486,4/7,Tappa Chabutra rd, asif nagar"/>
        <s v="kismatpur, survey 132,alkemy, 1/2 near prestige royal woods, abhyudaya nagar,dargah khaleejkhan"/>
        <s v="Attapur, Hyderabad"/>
        <s v="Banglaguda plot no 13/a bandlaguda,rahendranagar"/>
        <s v="survey no.37,himayath sagar village bandlaguda jagir muncipal corporation gandipet mandal"/>
        <s v="Hakeem shah colony,tolichowki,hyderabad"/>
        <s v="plot no.87,swamy ayyappa society,madhapur,hyd"/>
        <s v="H.no:6-331192/1/g/3 block-1 ground floor white house,kundanbagh,begumpet"/>
        <s v="13-6-798/1/1,bapughat langa howz circle,13 hyd"/>
        <s v="1-8-370and372 abhishek scan center,2nd floor near huda office,begumpet"/>
        <s v="2-52/1/3 hitech city rd,phase 2,kaveri hills madhapur,hyd"/>
        <s v="H.no:7-1-455/23/12,Ameerpet gurudwara road, telangana,"/>
        <s v="bus shelter stall,bus bay premises on sp road,opp anand theater and piller non1292, sindhi colony,begumpet "/>
        <s v="B41/f5 shop no.3 ps nagar,vijay nagar"/>
        <s v="H.no:325/2rt,sanjeev reddy nagar,umeshchandra statue"/>
        <s v="plot no.111,60ft road swamy ayyappa society,megha hills,khanamet,madhapur,hyd"/>
        <s v="plot no.03-805,shop no.2 ground floor M and M elite home,sri swamy ayyappa co-op Hs madhapur,hyd"/>
        <s v="plot no-1206,madhapur,kondukur,rangareddy,telangana"/>
        <s v="plot no.1206,madhapur,kandukur,rangareddy, telangana"/>
        <m/>
        <s v="1-98/2,durgam chervu,inorbit mall rd, hyd"/>
        <s v="osman sagar, kokapet gandipet, hyd,telangana"/>
        <s v="plot no.220,mushak mahal residential, attapur,hyd"/>
        <s v="manikonda, ayyappa society"/>
        <s v="plot no 7,syno 17 ground floor R.R district 500047"/>
        <s v="h.no:1-98/6a/14,plot no 42 road no.3, patrikanagar hitech city,madhapur, hitech city"/>
        <s v="plot no. 501,sy no.11/14.11/15,11/16,khanamet village ayyappa society,htd"/>
        <s v="plot no.1208,g1andg2,ground floor,ayyappa society,madhapur,hyd,telangan"/>
        <s v="p.no.4(a),1-89/8/4, madhapur ,hyd,telangana"/>
        <s v="4-17-12,hitech city santosh residency,beside farmaish Restaurant,gandamguda,hyd"/>
        <s v="Gudi malkapur,12-2-417/46/9,sharada nagar colony gudimalk"/>
        <s v="Gudimalkapur, hyderabad 13-6-460/112, mahesh nagar gudimalkapur"/>
        <s v="plot no.o1,first floor survey no,12 kondapur village serlingampally circle"/>
        <s v="shopon plot no.2a in sy no 2a in sy no.12, situated at 500084"/>
        <s v="plot no 68,shop no 5,Ayyappa society main road,madhapur,serlingampally circle no20 hyd "/>
        <s v="6-1-964,shop no 2, khairthabad circel, no.17"/>
        <s v="12-1-486/b/4 krishan nagar"/>
        <s v="jap  hind gandhi road near ayyappa society hyd telangana "/>
        <s v="Ground flooor, plot no 84 sy no.11 swamy apyyappa housing society khanamet,hyd"/>
        <s v="sy no. 54,58,59 plot no 1,part gb guttala begumpet madhapur road"/>
        <s v="12-1-486/b/4/1,kishan nagar, tappachabutra road,hyd "/>
        <s v="12-1-486/b/2/5 krishan nagar,Tappachabuta"/>
        <s v="H.no:1-90/7/b/173,plot no.5,madhapur,selingampally circle no.20,hyd, telangana"/>
        <s v="not mentioned"/>
        <s v="H.no:1-98/9/3/74/2,R L raidurg,jai hind enclave,seasons pool, madhapur,hyd"/>
        <s v="shop no 7 first floor,plot no 2-56/11/53/a survey no 11/6 telangana"/>
        <s v="DROPPED"/>
        <s v="D.no:2-46/1,plot no 33/a megha hills cahndanagar circle,hyd,Telangana"/>
        <s v="x road, royal colony,mehidpatnam"/>
        <s v="13-1-1234,salum nasseb complex a/1,tappa"/>
        <s v="12-2-417/46/9,sharada nagarn colony gudimalk "/>
        <s v="plot no 51 khanamet,attapur,chandanagar,circle no2 hyd"/>
        <s v="100feet road, madhapur"/>
        <s v="7-1-455/12 opposite Bata showroom, Balkampet road,Ameerpet Hyd"/>
        <s v="138/1,flat no 45 sham apt,secunderabad 138/1,flat no 45 shama apt sindi colony pg road "/>
        <s v="floor no:ground floor,building no.1,d.no:1-98/90c beside durgamma temple,ayyappa society road"/>
        <s v="secunderbad circle 138/1,flat no 45 sham apt,secunderabad"/>
        <s v="138/1,flat no 45 sham apt,secunderabad 138/1,flat no 45 shama apt sindi colony pg road 500003"/>
        <s v="H.no:1-8-125/1/ g-2, shop no.2 , shop no.3 Aman arcade pg road, secundarabad, no. 129, hyderabad telangana"/>
        <s v="H.no: 4/1 Mig, ground floor , kphb colony, kukatpally,hyd"/>
        <s v="138/1,flat no 45, sham apts, secunderabad,sindhi colony pg road"/>
        <s v="plot no.2/a,whitefeilds,kondapur,serlingampally circle no 20,hyd"/>
        <s v="sutter no.3, plot no .2a sy no.12,kondapur serlingampally circle no.20 hyd"/>
        <s v="Gokul plots no.397and 492,VR Colony,beside vijetha super market,kphb"/>
        <s v="Mig-64 dharmareddy colony phase-1 kphb colony kukatpally,moosapet circle no.23,"/>
        <s v="sy no.274(a) aparnahills park, commerical buildings behind gangaram lake, chanda nagar"/>
        <s v="Jsr mall,vidia colony,madeenaguda,near allywn x road,miyapur"/>
        <s v="1-55/196 and 199A botanical garden road,serilingampally circle co 20"/>
        <s v="somajiguda, jumaaldinne laxmi,shop no 7, H.no 6-3-650"/>
        <s v="H.no: 1-8-153/2, shop no-1 ground floor pg road, paradise, secunderbad"/>
        <s v="plot no.11-12,block-f2, sainnath enclave, venkatramana colony, gokul plots, kphb, kukatpally"/>
        <s v="sai gayathri towers finacial district Nanakramguda,Telangana"/>
        <s v="sai gayathri towers finacial district Nanakramguda,Telangana "/>
        <s v="10-4-3,afia plaxa,near NMDC-vijay nagar colony,masab tank,hyd,telangana"/>
        <s v="h.no:8-1-284/ou/152,ou colony,shaikpet,jubilee hills circle no.18,hyd,telangana"/>
        <s v="sri sai arcade,beside prince biryani point,khairatabad circle no.17 hyd"/>
        <s v="flat no.5 1st floor block no-6 municipal no;15-31-21-6/5,kphb colony,hyd"/>
        <s v="Door no.6-3-1089/f/3/3 somajiguda,hyd,telangana"/>
        <s v="H.no:15-31-2L-1-5/275/3,lig-5/2,phase-3,kphb colony,kukatpally,hyd"/>
        <s v="opposite metro pillar no 833 beside vikings cricket, sangeet nagar,kukatpally,hyd"/>
        <s v="H.no:1-8-155/A 1st floor, pg road, secunderabad,begumpet circle no.30 Hyd, telangana"/>
        <s v="H.no:6-3-902/2and3,first floor,raj bhavan road,somajiguda,hyd,telangana"/>
        <s v="h.no:8-3-222/c/1/12,ground floor,madhura nagar,yousufnagar,hyd,telangana"/>
        <s v="8-3-6333/82/1,ali nagar, tawwal nagar,yella reddy,hyd,telangana"/>
        <s v="8-3/633/82/1,ali nagar,tawak kal, vellareddy guda,khairthabad circle no.17 hyd"/>
        <s v="plot no:11and12,sai nath enclave,gokul plots venkata ramana colony kphb,kukatpally"/>
        <s v="shop no.5, Manjira plaza,opposite Aadithya trade centre,near maithrivanam road,srinivas nagar,ameerpet,hyd,telangana"/>
        <s v="1-21/1 Madhapur,hyd,circle no.20,serlingampally"/>
        <s v="gate no 4,toulichowki gate no4,paramount colony near toulichowki "/>
        <s v="8-3-6338/82/1,ali nagar,yella reddy,hyd,telangana"/>
        <s v="Two shutter no.1 and 2, in h.no:8-3-318/6/3/13/1/18,ali nagar,tella reddy guda,yousufguda circle no.19,hyd"/>
        <s v="h.no:33-a,aphb colony,indira nagar,gachibowli,serlingampally circle no-20,hyd"/>
        <s v="h.no:8/1,in sector-2 of hudo techno enclave,madhapur,seringampally,rangareddy"/>
        <s v="no.2-22-311/53 A and 82a/31/a,p.no-53-a and 82-A, addagutta co-op society,bhagya nagar colony,kukatpally"/>
        <s v="ground floor, H.no:7-14/32/2b/g-01,Rajendra nagar,R.R dist"/>
        <s v="Manikonda,nanakramguda,selingampally circle no.20,hyd,telangana"/>
        <s v="H.no:2-23-310/83C ground floor,Addagutta society,pragthi road kukatpally,hyd"/>
        <s v="7-18-25/27/101,plot no.25,26,27,Alkapur,Ranga Reddy,Telangana"/>
        <s v="kavya deluxe apartment,lata enclave,madhuranagar,hyderabad"/>
        <s v="plot no.242,bayuth colony,pippalaguda,manikonda,Rajendra nagar,rangareddy"/>
        <s v="H.no:B/22,23,24,vengal rao nagar,khairtabad circle no.17,hyd.telangana"/>
        <s v="MIG-154,gachibowli,selingampally circle-20,hyderabad,telangana"/>
        <s v="plot no.64,opp HP petrol pump,peeramchervu,Gandhamguda,Bandlaguda jagir,hyd"/>
        <s v="H.no:1-59/8/2, nandi co-operative society,miyapur,serlingampally ranga reddy district hyd"/>
        <s v="H.no:4-28 plot no.28,dwauak nagar colony,banglaguda jagir,rajendra nagar"/>
        <s v="shop no.8,kk towers,yousufguda main road,engineers colony,telangana"/>
        <s v="8-3-222/8/76/G2, Madhura nagar, Circle No/17 hyderabad  HYD"/>
        <s v="plot no.82/c road no.3,shutter no.1,Addaguta society,kukatpally,hyd"/>
        <s v="51/b  vengal rao nagar,hyd,yousufguda circel no.19,hyd,telangana"/>
        <s v="Gandipet no.75,76,77,dwauaka nagar main road"/>
        <s v="H.no:2-27/7,vinayak nagar,gachibowlli,hyd,telagana"/>
        <s v="Rajendra nagar,hyderabad,1-224,kistmathpur,rajendra nagar"/>
        <s v="h.no:2-92/32,shop no.4,kondapur whitefields,selingampally circle no.20,hyd,telangana"/>
        <s v="CCPQ+HH8,yousufguda main road,lata enclave,besides,rayalavari ruchulu,madhura nagar,hyd,telangana"/>
        <s v="8-3-222/8/72,G-4,madhuranagar,yousufguda,hyd circel no.19,hyd"/>
        <s v="8-3-228/1280/46,jawahar nagar,yousufguda,hyd"/>
        <s v="9-1-364/G/1, Bapu ghat,langarlouz,hyd,500008,karwan circle no.13,hyd,telangana"/>
        <s v="D.no:2-22-134/A/1,vijaya nagar colony,opposite,patel kunta huda park,kukatpally,hyd"/>
        <s v="SHOP NO:10, Abhuyudaya Nagar-Anandh nagar colony-Himayathsagar village),Gandipet, Rangareddy, Telangana -500075"/>
        <s v="5-69 and 70/2 opposite,ratanadeep,select market westend colony,bangladuga jagir,hyd"/>
        <s v="8-3-228/678/1395,sri ram nagar,yousufguda circle no.19,hyderabad"/>
        <s v="2-94-,youth colony,beside flyover,opposite genpact,old hafeezpet, hyd ,telangana"/>
        <s v="Langarhouz"/>
        <s v="plot no.2A,opposite,divya shree,kondapur,hyd,serlingampally circle no.20,hyd,telangana"/>
        <s v="shop no.5 and 6 suitated opposite pochama galli dusakot village,gandipet"/>
        <s v="plot no.1,dargakhaliz khan,LV prasad eye instituation,h.no:14,,kismatpur,"/>
        <s v="1-90/2/E/A,sri sai nilayam,vinyaka nagar colony,madhapur,hyd"/>
        <s v="h.no:3-3/55,tulja bhavani nilayam vinay aka nagar colony,banglaguda jagir,rajendra nagar"/>
        <s v="6-58,dargha khaliz khan,kismatpur,rajendranagar,rangareddy"/>
        <s v="plot no.21A,sy no.12,whitefeilds,opposite,divya shree omega,kondapur,hyderabad,selingampally circle no&gt;20,hyd"/>
        <s v="D.no:6-3-1192/1/G/8,white house,G4,kundanbagh,begumpet,hyd,telangana"/>
        <s v="sy no.20/AA western colony,gandhmguda,banglaguda,telangana,gandipet"/>
        <s v="survey no.37,himayath sagar village,gandipet mandal,rangareddy district,telangana"/>
        <s v="h.no:5-68,shantinagar,hydershakote,banglaguda(jagir),rajendranagar"/>
        <s v="shop no.101 plot no.36 st.mincheals colony,banglaguda,gandipet"/>
        <s v="shutter no-1,first floor,h.no:2/17,satya towers,opposite,hanuman mandir,kothguda,hyd"/>
        <s v="sy no.88, near old hafeezpet,sai nagar,opposite genpact company,serilingampally, hyd"/>
        <s v="8-3-228/678/1398,sri ram nagar,near syedna omar masjid,yousufguda circel no.19,telangana"/>
        <s v="5-12A,darga khaliz,khaan guda,telangana"/>
        <s v="h.no:8-228/b/b/b,rd no.3,banjara hills,jubliee hills circle no.18,hyderabad"/>
        <s v="LIG 153,KPHB phase 7,kukatpally,moosapet circle no.23,hyd"/>
        <s v="8-3-235,yousufguda,hyd,khairthabad,circle no.17,hyderabad"/>
        <s v="plot no.146,beside dry fruit shop srinagar colony,main road hyderabad circle no.17"/>
        <s v="6-3-598/5 ground floor,venkataramana colony,khairatabad circle  no.17,hyd,telangana"/>
        <s v="Ishaq ahemed,h.no:2-499,sai nagar,old hafeezpet,selingampally circle no.20,hyd"/>
        <s v="plot no.212,prashanth nagar,kothaguda kondapur"/>
        <s v="H NO 1-31/A SRI RAMNA ARCADE KONDAPUR, Serlingampally Circle No 20,Hyderabad, Telangana - 500084"/>
        <s v="Yadagiri nagar rd,Jawahar nagar,yousfguda,khairthabad circle no.17,hyd"/>
        <s v="Road no.30,alkapoori township,hyd,rangareddy district"/>
        <s v="Seeramnagar colony,puppalguda village and G.P,rajendranagar mandal,puppalguda"/>
        <s v="H.no:37/4,near malaysian township,kphb colony,kukatpally circle no.24,hyd"/>
        <s v="sy no.88/9,h.no:1-85/5/A,old hafeezpet,miyapur,hyd circle no.12,"/>
        <s v="survey no.82,raidurg,panmaktha,serllingampally circle no.20,Hyd,telangana"/>
        <s v="sr.botanical garden road,hyd,kondapur,telangana"/>
        <s v="LIG 222,7th phase,kukatpally circle no.24,hyd,telangana"/>
        <s v="CRQR+ PJ. hyderabad, near lotus community srinivas nagar, madhura nagar"/>
        <s v="6-1-9,shop no.47,savinagar,pottisree Ramulu maig,khairtabad circle no.17,hyd,telangana"/>
        <s v="Villa 05, Wonder cherish villas, masjid banda, hyd, telangana"/>
        <s v="G1 Anusha Enclave Golden Temple, Rd, Secretariat  colony, Sri ram nagar colony,"/>
        <s v="8-1-284/472,ou colony,shaikpet,hyderabad,jubliee hills circle shop no.18"/>
        <s v="Villa 05, Wonder Cherish Villas, Masjid Banda,, Serlingampally Circle No 20,Hyderabad, Telangana - 500084"/>
        <s v="suryarao gonthireddy,h.no:5-3-37/B,madinaguda,chandanagar circle no.21,hyd,telangana"/>
        <s v="H.no:6-3-347/9/4/c, dwarakapuri colony,panjagutta,khairatabad circle, hyderabad,telangana "/>
        <s v="H.No-3/14/15, plot No 141 eg. No. 222, sai Tulasi enclave -1, Vallinagulapath, village, Narsingi."/>
        <s v="p.no 30 &amp;31, s y no 167, villa no 5, wonder cherish villas, masjid banda, kondapur, HYD,Telangana"/>
        <s v="Twilight, Road number 1, Neknampur Rd,Puppalguda, Rajendranagar, Rangareddy,Telangana - 500089"/>
        <s v="sy no-192, Camelot layout, kondapur, sangareddy, Telangana"/>
        <s v="G2 beside,baskin robbins, smr vinay hiland,miyapur,hyderabad "/>
        <s v="shop no.1,D.no:8-1-28/ou/448,Dream vally rd,ou colony,shaikpet,hyd"/>
        <s v="5-3/37/6,SR enclave,manjeera pipeline road,opposite raycon residency,mandinaguda,hyd,telangana"/>
        <s v="himyathnagar"/>
        <s v="Innu ringroad ground floor 3-4-104/1/,hyderguda 404 road attapur,hyd"/>
        <s v="plot no.16,madinaguda main road,chandanagar,hyderabad,chandanagar circle no.21,hyd,madinaguda"/>
        <s v="6-1-82 and 83/gf/1,ground floor ssr chambers,lakdikapool,hyderabad,khairthabad circle no.17"/>
        <s v="Cfrp+M7h pg road sappu bagh apartement sindi colony,begumpet hyd"/>
        <s v="shop no.07,block 01,RBR complex,miyapur,chandanagar circle no 21,hyderabad"/>
        <s v="1-27-356,Bapuji nagar,content munt aua except csds cantonment secunderabad,tealngana"/>
        <s v="HIG 41/1,9th phase rd,kphb phase 6,kukatpally,hyderabad,telangana"/>
        <s v="Puppalguda, Alkarpur township, 500089 Alwal circle No.23, hyderabad"/>
        <s v="Shop No.1, Block No:1, RBR Complex, Miyapur Chandanagar circle No 21, Hyderabad "/>
        <s v="Serlingampally circle no.20,hyd,telangana"/>
        <s v="Q city road,near US consultancy,serlingampally circle no.20,hyd,telangana "/>
        <s v="SY NO-78, KOLAN Rangareddy Function Hall Complex, Hyder Nagar, Nizampet, Kukatpally "/>
        <s v="Plot No 20/9, SY NO 1009, 1st floor, 6th phase KPHB colony, Moosapet circle No 23, Hyderabad, Telangana "/>
        <s v="13-6-815/13/1 ambedkar nagar langr house mehdipatnam circle no 12, hyderabad"/>
        <s v="20/10,6 phase Kphb, Kukatpally Circle NO 24, Hyderabad, Telangana "/>
        <s v="f908+gjh,shop no.1,siddhiq kebab centre dhaba, kondapur lane,gachibowli"/>
        <s v="momi gupta, plot no 111, sunrise colony, sajjan singh layout, narsingi, gandipet, mandar, r.r  dist"/>
        <s v="portion no.4,first floor,sp's saroja complex,plot no.20/9,sy no.1009,situated at 6th phase kphb colony,kukatpally"/>
        <s v="sri ram nagar colony,serlingampally circle no.20,hyd"/>
        <s v="7-4-413/11 ASR nagar east ameerpet, amberpet circle no. 16, hyderabad, telangana,"/>
        <s v="5-5-69 &amp; 70 Opp Jain Apartment, Gandipet, Rangareddi, Telangana"/>
        <s v="6-73/241,Bayuth colony,alkapur road,hyd,khairtabad circle no.17"/>
        <s v="c/o diyi satanayan plot no 151 h no 20-151 , surabhi colony, lingampally, lingampally, kv reddy, serlingampally "/>
        <s v="h.no 1-90/c/8, inside sri krishna food court, hudo techno enclave, opp LP tower, vittalrao nagar, hitech city "/>
        <s v="sai raghava enclave,beside vijetha,super market,ameenapur,chandanagar,selingampally"/>
        <s v="h.no:2-41/5/A,3rd street,police colony,hanuman nagar,kondapur"/>
        <s v="hyderabad bucket and kunda biryani,2,bus stop,15-25-890/3,temple beside vijetha super market,kphb phase 1,kukatpally"/>
        <s v="H.no:2-41/1 kothaguda,prashanth nagar colony,kondapur,serlingampally circle no .20,hyd"/>
        <s v="tngo'S colony,phase 2,gachibowli"/>
        <s v="H.NO.: 16-31-20/1/S2, Shop No 2 SVS Elegant Phase-6 , KPHB colony, kukatpally"/>
        <s v="Road no.5 KPHB kukatpally opposite punjab national bank beside american tourister, Kukatpally "/>
        <s v="h.no 1-57, serlingampally, circle no 20, hyd, telangana "/>
        <s v="TNGO's colony, phase-2 , gachibowli, hyderabad"/>
        <s v="23-83, BESIDE CMR SHOPPING MALL, BHEL, CHANDA NAGAR, HYDERABAD -500050, Chandanagar circle No 21, Hyderabad, Telangana-"/>
        <s v="tngo'S colony,phase 2,gachibowli,Hyderabad"/>
        <s v="beside hyderabad golf club, near banjara darwaza, golconda, fort road,tolichowki,hyderabad"/>
        <s v="plot no - 149, kismatpur road, near velly view enclave bandlaguda, hyderabad "/>
        <s v="7-1-282/C sriram nagar colony, Balkampet , hyd 500018, Begumpet circle NO 30"/>
        <s v="Plot No. 279 27/a, khanamet village, Hi-tech city. Seringampally near SSR on the way drive in , Seringampally "/>
        <s v="h.no:1-72/3, p no.7,sy no.18,gachibowli village,serlingampally mandal,rangareddy"/>
        <s v="S.R ecclave,5-3/37/6,manjeera pipelane rd,oppsite,raycon residency,mvtri nagar,phase-3,miyapur"/>
        <s v="LIG:35/3,3rd phase,kphb colony,hyd,kukatpally circle no.24,hyd,telangana"/>
        <s v="HNO No. 2-41/11/10/11, G3, Sri sai shanti residency prashanth nagar, kothaguda circle "/>
        <s v="Door No, 2-41/11/10/, G3, Sri sai residancy prashanth nagar, kothaguda circle "/>
        <s v="Door No, 2-41/11/10/, G3, Sri sai residancy prashanth nagar, kothaguda "/>
        <s v="plot no 749, sy no 61, sri ramnagar colony, gandipet, rangareddy, telangana "/>
        <s v="bilwa 36,5th floor,plot no.1101,road no.36,next to IDBI bank,cbi colony,jubliee hills,hyd"/>
        <s v="plot no.145,babu khan line,PJR nagar,Gachibowli,serlingampally circle no.20,hyd"/>
        <s v="plot no.1031,matrusri nagar colony,miyapur,hyd"/>
        <s v="flat no.G2,mythri bhavan,veshweshwara nagar,madinaguda,serlingampally circle no.20,hyd"/>
        <s v="shop no.3,h.no:6-94/17/1,MIG-101,Noorjahan complex,huda colony,chandanagar,hyd"/>
        <s v="plot 5-327, sree ram nagar colony, puppalguda rajendra nagar mandal, rangareddy district "/>
        <s v="plot no  -199,TNGO's colony, financial district, rajendra nagar"/>
        <s v="plot no 419,  j-heights, TNGO's colony, financial district, gachibowli,manikonda, rajendra nagar"/>
        <s v="RHS-R6-UE, Near Nift college, Hitech city metro chanda nagar Circle No 21, HYD "/>
        <s v="Plot No. 35, khampet , Hitech city, Chandanagar circle No. 21, Hyderbad "/>
        <s v="plot no.35,khanmet,chandanagar circle no.21"/>
        <s v="Sy No. 183, maseed banda kondapur, serlingampally circle NO 20. Telangana - 500084"/>
        <s v="h.no:8-3-228/678/140,sri ram nagar,moti nagar,yousufguda circle no.19,hyd,telangana"/>
        <s v="sy no.203, to 210p1,Tngo colony,backside Q city,gachibowli,selingampally,circle no 20"/>
        <s v="plot no:1449,sy no.78,gokul plots,venkata ramana colony,hyderabad"/>
        <s v="Plot No 1, Amrutha Enclave, Gandipet, Bandlaguda Jagir Rajendranagar, rangareddy, Telangana - 500086"/>
        <s v="H.no:4-229 and 230,plot no.227,sy no.78-93,Raja rajeshwara nagar,kondapur,selingampally circle "/>
        <s v="Tngo's colony,plot no.243,phase 1,kv ranga rao circle no.20"/>
        <s v="Baditha priyanka,plot no.782,seven hills driven,gopal nagar,Hafeezper,hyd"/>
        <s v="sy no.38,39,40,khanmet village,serlingampally circle no.20,hyd"/>
        <s v="H.no:8-2-248,shop no.G4,lumbini amrutha chambers,road no.3,banjara hills,hyd,telangana"/>
        <s v="8-1-398/ PM/175, paramount colony telangana - 500008 gate no. - 3, jubliee hill circle no. 18, hyd."/>
        <s v="plot no.22,part 1,amartahanda nagar,new hafeezpet,miyapur,selingampally,hyd"/>
        <s v="Plot No. 7, Near Crayon Hospital, Prasanth Nagar Colony, Bandlaguda (Jagir),Rajendranagar, Rangareddy, Telangana -500091"/>
        <s v="Plot No:- 7, Near Crayon Hospital, Prasanth nagar colony Bandlaguda Jagir, Rajendranagar, Rangareddy, Telangana - 500091"/>
        <s v="plot no.84/1,miyapur,chandanagar circle no.21,hyd,telangana"/>
        <s v="syapu kiran babu,plot no.782,seven hills,driveinn,gopal nagar,hafeezpet"/>
        <s v="plot no.212,Tngo's colony,wipro circle,near appolo pharmacy,circle no.20,hyd"/>
        <s v="Raja rajeshwarangar,GF9C4+2x9,kondapur,gachibowli,telangana"/>
        <s v="shop no.3,H.no:5-3/12,plot no.12,sai tulsai enclave,rattinagulapally,gandipet(19),ranga reddy"/>
        <s v="h.no 5-3/12, plot no 12, phase-I, sai tulasi enclave, vattinagullapally,rajendranagar"/>
        <s v="369,swathi avenu,ameerpet,khairtabad circle no.17,hyd,telangana"/>
        <s v="11-05-167/2,bhavani nagar,near pochamma temple,moosapet,hyd"/>
        <s v="shop no.1,patrika nagar,SLR guest house,selingampally circle no.20,hyd"/>
        <s v="7-1-403,balkampet road,ameerpet,khairtabad circle no.17,hyd,telangana"/>
        <s v="8-4-548/s 116/1,sanathnagar,erragada,hyd"/>
        <s v="plot no 122, venkateshwara colony oppo hospital kistmapur, rangareddy telangana "/>
        <s v="plot no 34 &amp; 5 park KFC lane near jv colony jubilee hills circle no 18,hyderabad telangana"/>
        <s v="road opposite LV prasad eye institute abhyudaya nagar,dargha khaliz khan,kismatpur"/>
        <s v="sy no.104-106,beside vaishnavi oasis,bandlaguda jagir,kismatpur road"/>
        <s v="sy no.104,beside vaishnavi oasis,bandlaguda jagir,kismatpur road"/>
        <s v="L135/3 3rd phase,bsnl road,temple,bus stand,kphb colony,kukatpally circle"/>
        <s v="plot no.156,part 1,narsingini,manikonda,rajendra nagar,rangareddy"/>
        <s v="plot no 202, beside kamadhenu jewellers, TNGO's colony, gachibowli, hyderabad,telangana"/>
        <s v="no. 4/5/6, shop no.2, kismatpur,shivasai colony, kismatpur, rajendranagar, rangareddy, telangana, 500030"/>
        <s v="8-4-549/26,netaji nagar,erragada,yousuf guda circle no.19,hyd,"/>
        <s v="H.no:1-72/3/316/27,plot no.27 and 37,gachibowli,serlingampally circle no.20"/>
        <s v="kedarisetty veera venta satya,MIG-264,shop no.3,road no.4,near apollo,kphb,kukatpally"/>
        <s v="MIG-264,shop no.3,road no.4,near apollo,kphb,kukatpally"/>
        <s v="shop no.1,JSR classic,vijetha super market,pragathi nagar,nizampet"/>
        <s v="Ragiv gandhi nagar,langarhouz,hyderabad,telangana"/>
        <s v="h.no:8-3-229/D175,ventatagiri,yousufguda,hyd,telangana"/>
        <s v="8-3-228/A/12,RRV apartments,opposite srisalam yadav"/>
        <s v="shop no.6,partika nagar,madhapur,serlingampally circle"/>
        <s v="LIG 22/2,ramya grounds road,3rd phase KPHB,moosapet circle"/>
        <s v="11-1-12751B,new bhoiguda,afzal sagar,goshamahal circle no.14,hyd,telangana"/>
        <s v="1-19,narayankhed,abenda,narayankhed,pragathi nagar,kukatpally"/>
        <s v="6-1-69/1,plot no.68,street no.7,bhagyalaxmi colony,manikonda,telangana"/>
        <s v="plot no.13,bandlaguda jagir,rajendra nagar circle no.11,hyd,telangana"/>
        <s v="Building no/flat no.8-1-284/ou/307,OU colony,shaikpet,hyd"/>
        <s v="plot no.691,692,OU colony main road,near dream valley villas, tanasha nagar"/>
        <s v="plot no.2,ganesh nagar,kismatpur,gandiper,rangareddy,telangana"/>
        <s v="shop no.6,badam sohana apartment,3-1085,Raj bhavan rd,somajiguda,hyd,telangana"/>
        <s v="Anuhav Art of Irumy road no.25,alkaprui township,manikonda,rajendra nagar"/>
        <s v="Road no.5,KPHB opposite punjabi national bank,kukatpally,hyd"/>
        <s v="plot no.82/c,road no.3,shutter no.1,addaguta society,kukatpally"/>
        <s v="Plot no.1,Bandlaguda jagir,rajendra nagar,rangareddy,telangana,500091"/>
        <s v="Pendyala teja arun kumar,plot no-2,survey no.155,to 165(p),vasavi co-operative housing,pragathi nagar"/>
        <s v="sy no.13 and 16,Bandlaguda jagir,gandipet mandal,rangareddy district,telangana"/>
        <s v="shop no.3,996V+nf5,kismatpur road,banglaguda jagir,telangana"/>
        <s v="plot no.51,serimallegardens attapur,mehadipatnam circle no.12,hyd"/>
        <s v="8-1-293/4,situated at dwaraka nagar colony,shaikpet,jubliee hills circle no.18"/>
        <s v="High tension,line rd,raghavendra colony,kondapur,telangana"/>
        <s v="Raidurga panmaktha near TCS , building madhapur, serlingampally circle no-2 , hyderabad "/>
        <s v="will- Mallipaathi po -malipathi, 210-C Sri Ram Kondapur "/>
        <s v="plot no.50,sri laxmi nagar colony,manikonda,hyd,telangana"/>
        <s v="plot no.822,100 feet road,ayyappa society,madhapur,hyd,telangana"/>
        <s v="plot no.13,sipa paradise,pragathi nagar"/>
        <s v="shop no.2,stilt floor,puppalaguda,rangareddy"/>
        <s v="h.no:1-26,survey no.61,ground floor and first floor road no.36 old road guttala begumpet,madhapur"/>
        <s v="sri laxmi nagar colony,manikonda,hyd"/>
        <s v="H.NO:1-90/7/B/126,P.no:53A,street-1,patrika nagar,madhapur"/>
        <s v="plot no.91/part,sy.no.11/19,11/20 and 11/21,khanamet,madhapur,chandanagar circle no.21,hyd"/>
        <s v="plot no.9,ground floor,shiva bhagh,Ameerpet,hyd"/>
        <s v="plot no.16/B,Addagutta,beside arjun theatre,jKPHB,kukatpally circle no.24,hyd"/>
        <s v="plot no.897,SS Drive in,S.A society,khanamet,madhapur,serlingampally circle no.20,hyd ,telangana,500081"/>
        <s v="Addagutta ,hmt sathavahana nagar,kukatpally,hyd,telangana"/>
        <s v="plot no.410,raja reshwara nagar,kondapur,serlingampally"/>
        <s v="h.no:7-1-621/269,S R nagar,khairthabad circle no.17,hyderabad,Telangana"/>
        <s v="H.no:7-1-304/2/64,BK guda,SR nagar,khairthabad circle no.17,hyd,telangana"/>
        <s v="(pratap ward) d.no:1-140/3/7/h/p2,Huda techno enclave sector,madhapur,serlingampally circle no.20"/>
        <s v="kokkigaddam prema raju plot no.897,Ayyappa society,madhapur,chandanagar"/>
        <s v="mk plaza, marthanda nagar, new hafeezpet, telangana - 500049"/>
        <s v="H. No 4-188, premnagar, hafeezpet, chandanagar  hafeezpeyt, chandanagar, circle no 21, hyderabad - 500049"/>
        <s v="SY NO-78, KOLAN RAGHAVAREDDY FUNCTION HALL COMPLEX, HYDER NAGAR , NIZAMPET, Kukatpally Circle No 24, Hyderabad, Telangana - 500090"/>
        <s v="sy no.-78,kolan raghavareddy function hall complex,hyder nagar,nizampet,kukatpally"/>
        <s v="plot no.420,sy no.78-93,raja rajeswara nagar,kondapur,serlingampally circle no.20"/>
        <s v="KPHB colony,kukatpally circle no.24,hyd"/>
        <s v="h.no:8-2-293/82/A/35,road number 5,jubliee hills,hyd,telangana"/>
        <s v="plot no.1774/1784/1,Incoyis circle,pragathi nagar road,3rd layout,a leap Industrial,telangana"/>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P SATYA SAI, MIGH-574, H.No.15-25-574, Ground Floor, Road No.1, KPHB Colony, Kukatpally, Hyderabad, Moosapet Circle No 23, Hyderabad, Telangana - 500072"/>
        <s v="Kismatpur road adjustent to vidyapeet school ,bhavani colony,velly viewen clave,Bandlaguda jagir,"/>
        <s v="plot no.299,h.no:8-2-309/7/3,sy no.129/81,ward no,10,block no.3,road no.14,Banjara hills,hyd"/>
        <s v="Door no.6-MIG-82,Tanisha nagar huda layout manikonda,rajendra nagar,ranga reddy,telangana,"/>
        <s v="Sy no.177/P,Anjamma residency,alkapur,township road,pupaalaguda,gandipet mandal"/>
        <s v="Door no.B-43,Journallist colony,Jubliee hills circle no.18,Hyd,telangana"/>
        <s v="Plot no.149,opposite shivalaram main road ou, shaikpet,jubliee hills circle no.18"/>
        <s v="plot no : 2s.263A, Ayyappa socity main Rd, sarojini naidu nagon, Madhapur, HYD, telangana 500081"/>
        <s v="H.NO.:1-110/MN/18/RER. Marthand nagar, new hafeezpet, chandanagar circle No 21, Hyderabad Telangana 500049"/>
        <s v="plot no. 14, HIG 15, sy no. 4, tanasha residental complex,pokalwada , village, manikonda"/>
        <s v="h.no: 6-13/MIG, bhagyalakshmi colony, tanasha nagar, manikonda, telangana, 500089"/>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survey no.167,ramachandra reddy nagar"/>
        <s v="shop no.S-8,block-A,pagadala pride,house no.6-250024,survey no.60,Bachupally"/>
        <s v="h.no:5-6,beside veterinary hospital,narsinginii"/>
        <s v="ground flor, razzak mazil G6, ambedkar colony, khairatabad, hyderabad,telangana "/>
        <s v="mumtaz hno 6-3-1090/a/2 circle no 20 opp katarya hotel towers, e, rajbhavan road, somajiguda, 500082"/>
        <s v="hno- 6-2-967/b/a/6, fatch manzil, khairathabad circle no - 17, hyderabad, telangana"/>
        <s v="kukatpally,allwyn colony,kukatpally circle no.24,hyd,telangana,"/>
        <s v="plot no 19, kismatpur road behind HP petrol bunk, sri venkateswara colony, 500086"/>
        <s v="Gaulidoddi , Gachibowli, Plot no 18919 sai tulasi Enclave-1, gandipet, Rangareddy, Telangana -500075"/>
        <s v="h 6-3-1247/237, rajbhavan road, rajnagar somajiguda, hyderabad"/>
        <s v="House No. 5-1-119 Shop No. 4 Ground floor bus Stop Pillar No. A815 Kukatpally, Hyd - 500072"/>
        <s v="H.NO:2-35,neknampur village,manikonda,gandipet mandal, R.R district "/>
        <s v="h.no:- 6-2-967/b/a/6, fateh man zil, khairatabad circle no - 17, hyderabad, telangana - 500004"/>
        <s v="16-31-245, KPHB, 6th PHASE Opp Bluedart, HYD 500072"/>
        <s v="sy no.106/P,107/1,Gulmohar park colony,tara nagar serlingampally telangana,hyd"/>
        <s v="B007,riddhis grand eur,neknampur road,manikonda,gandipet,rangareddy,telangana"/>
        <s v="Hno:- 8-46/p, 1st floor, swaran arcade, sai ram nagar, colony, bandlaguda jagir, rangareddy, telangana 500086"/>
        <s v="D.no:7-1-419/9/MS/1-C,opposite prime hospital,manjeera square,ameerpet"/>
        <s v="8-3-96019, sri nagar colony main rd, opp bank of baroda, yella reddy guda, telangana - 500073"/>
        <s v="5-5-35/18,amma mess road beside canara bank,prashant nagar,kukatpally circle no.24"/>
        <s v="D.no:7-1-645/A/1/E,Erragada,yousufguda circle no.19,hyderabad,telangana"/>
        <s v="prashanth nagar,kukatpally,hyd"/>
        <s v="plot no.41/A,Ameetpet road,opposite trends showroon,chandangar circle no.21,hyd,telangana"/>
        <s v="plot no.38,padmaja colony,chandanagar,hyderabad,telangana"/>
        <s v="Moosepet Tanjayab nagar,mossapet,hyd,pillar no.891"/>
        <s v="C9XR+F87,Ayyappa society main road,megha hills,sri sai nagar.madhapur,hyd"/>
        <s v="H.no:32-556/18,sai nagar X road kkukatpally circle no.24,hyderabad"/>
        <s v="plot no.41,opposite rajendra reddy nagar colony,chandnagar"/>
        <s v="H.NO:13-6-815/A/2,ground floor,langarhouz,hyderabad karwan circle no.13,hyd"/>
        <s v="plot no.1 and 2,padmaja colony,chandanagar,hyderabad,telangana"/>
        <s v="sy no.259,263,264,plot no.199,198,chandanagar,reddy colony,sangareddy"/>
        <s v="7-1-399/ameetpet,sr nagar main road,near police station,srinivas nagar,hyd,telangana"/>
        <s v="Plot no: 1271, opp bharath petrol bunk road no:63, checkpost, Jubilee hills , hyderabad - 500033, jubilee hills, circle no: 18, hyd"/>
        <s v="plot no.103 KSR, Enclave beside ayyappa swamy temple,chandanagar"/>
        <s v="Rd.1 kukatpallly housing board colony,phase 1,kukatpally,hyd"/>
        <s v="H.no:KIGH 145,KPHB 7th phase,opposite to GHMC basketball ground,kukatpally,moosapet circle no.23"/>
        <s v="H.no:2-106/9/1,krisat colony,phase-4,gangaram chandanagar"/>
        <s v="plot no.31 and 32, KSR layout,PJR colony,serlingampally,chandanagar circle no.21,hyd,telangana"/>
        <s v="Nallagandla, Tellapur,setlingampally circle no.20,hyd,telangana"/>
        <s v="D&gt;NO:1-11/A/81,Plot no.81,gopal reddy nagar,opposite RTA office,kondapur,hyd"/>
        <s v="plot no.491,near monkey center,madhapur nagar,pragathi nagar,hyd,telangana"/>
        <s v="plot no.105/LIG plhase -XV KPHB colony,kukatpally circle no.24,hyd,"/>
        <s v="H.no:LIG 145,KPHB 7th phase,road,qutubullapur,telangana"/>
        <s v="H.NO:10-31-IX-H5,phase9,KPHB colony,kukatpally,moosapet circele no.23"/>
        <s v="H.NO P-13/B,Addagutta society,backside vishwanth theatre,kukatpally"/>
        <s v="Aroma,HIG,phase 9,kphb colony,kukatapally, moosapet circle no.23,500072"/>
        <s v="plot number 828,venkata ramana colony ,gokul plots hyderabad -500072"/>
        <s v="KSR Enclave beside ayappa swamy temple,chandanagar,shop no.3,hyd,telangana"/>
        <s v="Anjanaya nagar,moosapet circle no.23,Hyderabad,telangana,500018"/>
        <s v="1-59/8/A,miyapur PS,serlingampally circle no.20,hyderabad,Telangana"/>
        <s v="Rayankathishravankumar,survey no.957,ICRISAT colony,Beeramguda 100feet road,502032"/>
        <s v="P.no.14/part,sy no.2,PJR enclave road,opposite gonguras restaurant,chandanagar"/>
        <s v="H.NO:HIG 65 3rd phase near manjeera water tank kayaka parameshwari temple road,Kphb"/>
        <s v="plot no.1452/p venkata ramana colony,gokul plots circle no21-hyderabad 500049"/>
        <s v="plot no.8-2/19/2,beside SBI Bank,Rampally village,keesara,medchal,malkajgiri,telangana"/>
        <s v="MIG-42/1-6,kukatpally hosing board colony,phase3 hyd"/>
        <s v="KSR Enclave beside ayappa swamy temple,chandanagar,shop no.6,hyd,telangana"/>
        <s v="beside feather n splash, kukutpally housing board colony, hafeezpet, telangana - 500085"/>
        <s v="Plot no, 1618, Radha krishna rd, Venkat a rammana rd hyderabad telangana,"/>
        <s v="Ramya Ground RD,beside mad over maggi near vinayaka temple,kukatpally housing board"/>
        <s v="KPHB colony,temple bus stop,opposite mammus kitchen"/>
        <s v="P.no:7/3/4,sector-03,huda technoE,madhapur,serlingampally circle no.20,hyderabad,telangana"/>
        <s v="survey 176,plot no c,addagutta housing society,circle no.24,kukatpally,hyderabad"/>
        <s v="plot no.22,MIG,KPHB phase 15,kukatpally,moosapet circle no.23,500072"/>
        <s v="plot no.27,khanmet village,Hitech city,,serlingampally near on the way driven in,hyd,chandanagar"/>
        <s v="H.NO:2-3-406/12/part,plot no.7,road no.2,Tulasinagar,near M2m jeans,kukatpally circle no.24"/>
        <s v="H.no:1-2-33/VP/76,Hydernagar,Balaji hills road,Ram naresh colony,Chandanagar circle no.24,hyd,telangana"/>
        <s v="PT.NO.52,SY.103/2,Jayabhari enclave,hyderabad"/>
        <s v="plot no.744,road no.40,Ayyappa society,madhapur,hyderabad,telangana"/>
        <s v="2-91/14/8,whitefeilds,kondapur,hitech city,serlingampally circle no.20,telangana"/>
        <s v="C9VV+26,megha hills,madhapur,telangana"/>
        <s v="p.no:897,ss drive in,S.A society,khanamet,madhapur,serlingampally circle no.20,hyderabad"/>
        <s v="shop no.4,plot no.897,ss drive in,ayappa society,madhapur,chandanagar,circle no.2,hyd,telangana"/>
        <s v="12-19-46/2,kukatpally circle no.24,hyderabad,telangana"/>
        <s v="H.NO:8-3-214/54/1/B-3,Madhaura nagar,Ameerpet,hyderbad,telangana"/>
        <s v="R/O plot no B3,Kundacottage,madhura nagar,Ameerpet,hyderabad,telangana"/>
        <s v="H.NO:7-1-632/17,Bapu nagar,sanjeeva reddy nagar,Khairthabad circle no.17,hyderabad"/>
        <s v="7-1-621/289/5/A,Bapu Nagar,SR Nagar,hyderabad,telangana"/>
        <s v="Flat no.909,block-A,Raghavendra's Mirra Pan chajan,Miyapur,AS Raj Miyapur,serlingampally circle no.20"/>
        <s v="32B,Opposite,Community Hall,SR Nagar,Hyderabad,Khairthabad circle no.17,Hyd,Telangana"/>
        <s v="H.NO:7-1-209,Sy No.153,Sanjeeva Reddy Nagar,Ameerpet,Hyderabad,Telanagana"/>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1006" sheet="Sheet1"/>
  </cacheSource>
  <cacheFields>
    <cacheField name="Restaurant Name" numFmtId="0">
      <sharedItems containsBlank="1">
        <s v="Mohammed minhaj uddin(Fancy Ice Cream)"/>
        <s v="R and B hospitality (Lebanese Grill)"/>
        <s v="Rahat Restaurant"/>
        <s v="Alkemy"/>
        <s v="Begum ki briyani"/>
        <s v="Jusvous "/>
        <s v="New farmaish Restaurant"/>
        <s v="Waffle station "/>
        <s v="Al rawaf home made dishes"/>
        <s v="Bhojanams and biryani"/>
        <s v="Bhuvan's kitchen"/>
        <s v="Biryani N biryani"/>
        <s v="Bob's biryani"/>
        <s v="Eastin hotels"/>
        <s v="Ns bakers"/>
        <s v="Om Vaishnav Enterprise"/>
        <s v="Pandu fast food center"/>
        <s v="Sunrise "/>
        <s v="Vaarahi fast food and tiffins"/>
        <s v="Zyras Biryani house"/>
        <s v="Alankrutha multi cuisine Restaurant"/>
        <s v="Alnkarutha multicusine Restaurant"/>
        <s v="Ankapur Military Hotel Madhapur"/>
        <s v="Ankapur village a military hotel"/>
        <s v="Ankapur village-a military hotel (kokapet) "/>
        <s v="Govindas cafe"/>
        <s v="Guntur Mess"/>
        <s v="Lassi corner"/>
        <s v="Namaste the Indian kitchen"/>
        <s v="Rayalaseema spice Restaurant"/>
        <s v="Rolo one Bakers "/>
        <s v="Shree balaji tiffin center"/>
        <s v="Shri balaji family dhaba"/>
        <s v="Sri Udupi grand pure veg"/>
        <s v="Vidhusekhara pizzeria"/>
        <s v="Vrindaas kitchen"/>
        <s v="Ahladha kitchen"/>
        <s v="Flavours of biryani cafe "/>
        <s v="Food 4 U (Rahath)"/>
        <s v="Hunan chinese cuisine"/>
        <s v="krishna teeram"/>
        <s v="lucky Multicusine Restaurant  madhapur"/>
        <s v="Tahari house (rahaat fast food)"/>
        <s v="vijay durga pre veg tiffin and meals"/>
        <s v="Almas multi cusine Restaurant"/>
        <s v="Anand Bhavan mess "/>
        <s v="Brew commune cafe and bistro"/>
        <s v="Kissme mandi"/>
        <s v="Madapuram Restaurant"/>
        <s v="Meraj's Restaurant "/>
        <s v="Naseeb cafe"/>
        <s v="Sri balaji family Dhaba"/>
        <s v="The burger kitchen"/>
        <s v="Babu Gari Ruchulu and curry point"/>
        <s v="Lakshmi's United kitchen"/>
        <s v="Bakeway Bakers"/>
        <s v="C'est la vie bakes and cakes (pure veg)"/>
        <s v="Cafe Reels"/>
        <s v="Donut O' clock (pure veg)"/>
        <s v="Frost Bake Studio (pure veg)"/>
        <s v="Frost Bakery (pure veg)"/>
        <s v="Gupshup Bistro"/>
        <s v="Just so wow cakes"/>
        <s v="Kshatriya Grand"/>
        <s v="La boulangerie (pure veg)"/>
        <s v="Mokshi kitchen"/>
        <s v="North indian hub"/>
        <s v="Rivora"/>
        <s v="Say cheese patisserie (pure veg)"/>
        <s v="Sri sai ram food zone "/>
        <s v="Tempt Chocolates"/>
        <s v="The good sparrow"/>
        <s v="Times Green Energy India Limited"/>
        <s v="Veera Di chaap "/>
        <s v="Veeramma gari vantillu"/>
        <s v="New York Slice pizza"/>
        <s v="Soy &amp; Sesame "/>
        <s v="The Emperor"/>
        <s v="Thinnu mama"/>
        <s v="Anu archana kitchen"/>
        <s v="Brew and bloom heaven coffee shop"/>
        <s v="Laxmi addikecharla"/>
        <s v="lucky Multicusine Restaurant "/>
        <s v="Manasa kitchen swagrha sweets"/>
        <s v="MM cake factory and bakers"/>
        <s v="Pooja Dine Inn"/>
        <s v="subham grand multicusine family Restaurant"/>
        <s v="Al saba Restaurant"/>
        <s v="Amma chethi ruchulu"/>
        <s v="Andhra kitchens"/>
        <s v="Arm coffee place"/>
        <s v="Arukha flavours"/>
        <s v="Bunty biryanis"/>
        <s v="Eden Ice Treats "/>
        <s v="G Hitech Bawarchi food court"/>
        <s v="Hotel farzaan"/>
        <s v="Konaseema biryani"/>
        <s v="Krishna magic kitchen"/>
        <s v="Padmavathi food court"/>
        <s v="Punjabi Dhaba"/>
        <s v="SNS bake house bakery and cafe "/>
        <s v="Suryakantham military hotel"/>
        <s v="Trinetra cafe and Restaurant"/>
        <s v="Yummy foods"/>
        <s v="Al shawrma bites"/>
        <s v="Amogha cafe and Restaurant"/>
        <s v="Bamma Tiffins"/>
        <s v="Bulli Abbai Kodi Palau"/>
        <s v="Delhi Muradabadi Biryani"/>
        <s v="Hanuman Juice and salad"/>
        <s v="Hitech Bawarchi food zone"/>
        <s v="Hitech Biryani house"/>
        <s v="Kaaram the Authntic telangana spice kitchnen"/>
        <s v="Mother's kitchen"/>
        <s v="New Udupi sri krishna grand"/>
        <s v="Oye punjabi"/>
        <s v="Paruchuri foods"/>
        <s v="Sahi Nawab's Kitchen"/>
        <s v="Sri Aadhya Delicious"/>
        <s v="Sri Bhimanaram Thali/ Tangella Ravali"/>
        <s v="SS. Bawarchi"/>
        <s v="Vindhu maharaj"/>
        <s v="Vinni Cabin Cafe"/>
        <s v="Zeeshan Restaurant"/>
        <s v="Ahara kitchen"/>
        <s v="Sada me Brands of Bhimavarman (BOB)"/>
        <s v="Sri sai rama tiffins"/>
        <s v="Sri varahi sampradaya vindhu"/>
        <s v="A Balaji family dhaba"/>
        <s v="Al-Aadaab Arabian mandi Restaurant"/>
        <s v="Aroma biryanis and pulao's"/>
        <s v="Flavours of andhra (authentic andra cuisine)"/>
        <s v="IQ shawarma"/>
        <s v="Kings Kohinoor hotel"/>
        <s v="Mana inti bojanam"/>
        <s v="Mom's recipe"/>
        <s v="Mysore bakery/dinesh kumar"/>
        <s v="Oak Bistro"/>
        <s v="Palapiltta Ruchulu"/>
        <s v="Priyansh Fast Food"/>
        <s v="Rajasaab Royal kitchen"/>
        <s v="Samsatha tiffins"/>
        <s v="santhakam Ruchulu"/>
        <s v="Shasha shandaar shawarma"/>
        <s v="Spice theory"/>
        <s v="Sri ramana maharshi food court"/>
        <s v="Tealogy cafe"/>
        <s v="Telugu patnam ruchulu"/>
        <s v="The royal plate Restaurant"/>
        <s v="yousif shahed fain kalyani biryani"/>
        <s v="Yum yard"/>
        <s v="Zamana shawarma and fast food"/>
        <s v="Bhimavaram vari unlimited ruchulu"/>
        <s v="Blend and roast cafe"/>
        <s v="chicken shawarma hut"/>
        <s v="Deerga ayushman bhava"/>
        <s v="Fusion@49"/>
        <s v="Kamakshi curries,snacks and meals"/>
        <s v="Lassi store"/>
        <s v="Mahren's Kitchen"/>
        <s v="My Biryani"/>
        <s v="Nellore Padmavathi Ruchulu"/>
        <s v="RR Food court"/>
        <s v="SS live kitchen"/>
        <s v="Syed mohammed yasar (Grill on Fire)"/>
        <s v="Times food court "/>
        <s v="Tulija bhavani hotel"/>
        <s v="Mr.Chopsticks"/>
        <s v="Aahara food court"/>
        <s v="Astrio Restaurant"/>
        <s v="Biryani's &amp; co"/>
        <s v="Bites and Delights"/>
        <s v="Cherry's restaurant"/>
        <s v="Chinese from Mayabazaar"/>
        <s v="Dragon kitchen"/>
        <s v="Jai Bhavani food court"/>
        <s v="M/S Bhavani Mess"/>
        <s v="Made in Andhra"/>
        <s v="Mayabazar"/>
        <s v="Mcs twilight"/>
        <s v="Pasidipuri Kitchen"/>
        <s v="Pizza Mania"/>
        <s v="Qubz Restaurant"/>
        <s v="Rooster kitchen"/>
        <s v="Sangam Dhaba"/>
        <s v="Sangam family dhaba"/>
        <s v="Shawarma house"/>
        <s v="Sindhu tiffins and meals"/>
        <s v="SKG Nawab biryanis"/>
        <s v="Spicy Xpress"/>
        <s v="The Fusion Street"/>
        <s v="Times Tiffins And Meals"/>
        <s v="Rayalaseema Ruchulu"/>
        <s v="Akshaya Bhojanam"/>
        <s v="Aahara Aahvanam"/>
        <s v="Aham Parabrahma"/>
        <s v="Asian Pan House and Restaurant"/>
        <s v="Ayaansh Food Court"/>
        <s v="chinese express"/>
        <s v="BBQ Bites And Kitchen"/>
        <s v="East and west kitchen"/>
        <s v="Ichirakau ramen house"/>
        <s v="Kamakshi tiffins"/>
        <s v="Kings M Biryani Adda"/>
        <s v="madhura restraunt bar "/>
        <s v="Mohammed yaser (Tiffin Xpress)"/>
        <s v="Naidus food court"/>
        <s v="Punjabi Chaska"/>
        <s v="Rao gari military hotel "/>
        <s v="Rao gari military hotel"/>
        <s v="Red bucket biryani"/>
        <s v="Royal odisha dhaba"/>
        <s v="Sarasam the legacy of food"/>
        <s v="Sip and Chill Juice Bar"/>
        <s v="Slice and Bytes"/>
        <s v="Spicy Food Court"/>
        <s v="Squid Kitchen"/>
        <s v="Thulasi villas "/>
        <s v="Tuyaa the taste of india"/>
        <s v="Victoria Tiffins and Biryani's"/>
        <s v="Aadhya hotel"/>
        <s v="Bab Al Mandi"/>
        <s v="Five Star Chicken"/>
        <s v="ORUGALLU RUCHULU"/>
        <s v="Mickey's Tiffin"/>
        <s v="Raju gari bhimavaram biryani"/>
        <s v="Rowdy Momo expresses"/>
        <s v="Sai Mumbai famous"/>
        <s v="Sravanti Biryani"/>
        <s v="Sravanti Fast Food "/>
        <s v="Sravanti Mess"/>
        <s v="Sravanti Tiffins"/>
        <s v="Sri annapurna kitchen"/>
        <s v="Sri Sattibabu Biryani"/>
        <s v="Thunderbolts"/>
        <s v="Zafaron shawarma nd Chinese fast food"/>
        <s v="Zaiqa-11"/>
        <s v="Lassi shop"/>
        <s v="Hasi's kitchen"/>
        <s v="Hasi's pulavs"/>
        <s v="Spice Soiree"/>
        <s v="Sai Rishitha food centre"/>
        <s v="Sri Venkareswara food court"/>
        <s v="The Irawat Kitchen"/>
        <s v="The Sipping adda"/>
        <s v="Fresh Fruit Juices 'n' Bowls"/>
        <s v="Supreeth Currries and Meals"/>
        <s v="Supreeth Grand"/>
        <s v="Snacking Cafe Private limited"/>
        <s v="Sravanam 4am Biryani"/>
        <s v="Sravanam 4am kuska"/>
        <s v="Tasty flavours"/>
        <s v="Nadeem hotel"/>
        <s v="Aaha Bhojanam"/>
        <s v="Aahar vilas"/>
        <s v="Anu Kitchen "/>
        <s v="Bakely Bakers"/>
        <s v="Bakely cafe "/>
        <s v="Cafe 74"/>
        <s v="Club 10 chicken"/>
        <s v="Dostan biryani"/>
        <s v="Dostan fast foods"/>
        <s v="Dostan meals and snacks"/>
        <s v="Dosthan shawarma"/>
        <s v="Dosthan Tiffins"/>
        <s v="Hydes Diner"/>
        <s v="Khans Shawarma house ( arabian )"/>
        <s v="Bismillah Hotel"/>
        <s v="Perch 24 Cafe"/>
        <s v="Snack Bite"/>
        <s v="SnackBite"/>
        <s v="Snap foods and beverages"/>
        <s v="Sri nakshatra chinese hub"/>
        <s v="Sri Vigneshwara Aaha Bhojnam"/>
        <s v="Sri vigneshwara nellore Ruchulu"/>
        <s v="The hungry spot"/>
        <s v="M/S QUBZ the shawarma revolution"/>
        <s v="Tealogy Cafe Private Limited"/>
        <s v="Akshaya patra"/>
        <s v="Anagha kitchen"/>
        <s v="Avacado on wheels"/>
        <s v="Bhavani food court"/>
        <s v="Charcoal sahwarma "/>
        <s v="Famous arabian shawarma"/>
        <s v="Hayansh Kitchen(Authentic Andra Cuisine)"/>
        <s v="Kolipaka Srikanth(Araah Cafe)"/>
        <s v="Nawabi cafeteria and restaurant"/>
        <s v="Nawabi cafeteria Waffles"/>
        <s v="Oh My Momo's "/>
        <s v="Preeti tiffins"/>
        <s v="sekh raphik"/>
        <s v="Shaik sartaz alli"/>
        <s v="The Boat House Express"/>
        <s v="Wraps N More"/>
        <s v="5ves Diner"/>
        <s v="Amulya Abhiruchi Biryani"/>
        <s v="Amulya Abhiruchi fast food"/>
        <s v="Appis natural fresh juice"/>
        <s v="Beyond kimchi-The taste of korea"/>
        <s v="Caffine Biryani"/>
        <s v="caffine hub fast food"/>
        <s v="Caffine juice and milk shake"/>
        <s v="Caffine meals and staters"/>
        <s v="Caffine snacks"/>
        <s v="Cake corner Bakery"/>
        <s v="Chai kaburlu"/>
        <s v="classic crown restaurant"/>
        <s v="Corner fast food"/>
        <s v="Corner foods"/>
        <s v="Corner juice and milk shake"/>
        <s v="Crispy crunch dinner"/>
        <s v="D and D caterers"/>
        <s v="Dum biryani adda"/>
        <s v="Epic bawarchi "/>
        <s v="Epic bawarchi chat bhandar"/>
        <s v="Epic bawarchi tiffin centre"/>
        <s v="Healthy food promised"/>
        <s v="Healthy juices promised"/>
        <s v="Klassic Bakers and shawarma cafe"/>
        <s v="Kondapalli vijay kumar"/>
        <s v="Mana Vizag ruchulu"/>
        <s v="Military reddy tiffins"/>
        <s v="Mini Udipi's "/>
        <s v="Nellore Vantakallu"/>
        <s v="Raghuram dosa "/>
        <s v="Relax cafe"/>
        <s v="Sip of health"/>
        <s v="Slice and Bytes Biryani"/>
        <s v="Slice and Bytes food court"/>
        <s v="Sri Aadhya food court"/>
        <s v="Sri Raghavendra tiffins"/>
        <s v="Sri Tejas kitchen"/>
        <s v="Taaza Tiffins"/>
        <s v="Telangana cuisine(Indian and chinese)"/>
        <s v="The brazilian juice bar"/>
        <s v="The chinese zhag family"/>
        <s v="The english kitchen"/>
        <s v="The nice juice junction"/>
        <s v="Vizag beach street food"/>
        <s v="Telugu Ruchulu's Biryani"/>
        <s v="Telugu Ruchulu's FastFood"/>
        <s v="Telugu Ruchulu's Tiffins"/>
        <s v="Telugu Ruchulu's Curries and snacks"/>
        <s v="Telugu Ruchulu's Meals"/>
        <s v="SK foods"/>
        <s v="Amritsari Dhaba"/>
        <s v="Amritsari Khana"/>
        <s v="Chaiminar cafe"/>
        <s v="City chefs kitchen"/>
        <s v="Crispy hot wings"/>
        <s v="Deccan's Bawarchi restaurant"/>
        <s v="Dosa mart"/>
        <s v="Godavari vari vindhu maryada"/>
        <s v="Hot momo's "/>
        <s v="Hot shawarma and Wings"/>
        <s v="Hot Wings"/>
        <s v="Konaseema peddi raju ruchulu"/>
        <s v="Konsaseema Peddiraju ruchulu"/>
        <s v="Lasya fast food"/>
        <s v="Ma oori vanta"/>
        <s v="Mallesh mama fast food"/>
        <s v="Mankikanta's Eat hotsopt"/>
        <s v="Mexician fried chicken"/>
        <s v="Mummy ki Partha"/>
        <s v="Mummy ki rassoi"/>
        <s v="N Hot Chinese"/>
        <s v="Nikhil's Feast (A feast to be rembered)"/>
        <s v="Nostic Natural fruit ice cream"/>
        <s v="Rayalaseema Biryani"/>
        <s v="Rayalaseema chinese"/>
        <s v="Rayalaseema meals and curries"/>
        <s v="Second wife Biriyani"/>
        <s v="Second wife fast food"/>
        <s v="Second wife Meals C/O Guntur"/>
        <s v="Second wife rolls and snacks"/>
        <s v="Second wife Tiffins C/O Guntur"/>
        <s v="Shri Balaji chennai spices Restaurant"/>
        <s v="SRG Restro inn"/>
        <s v="The kebab kingdom(K24)"/>
        <s v="Venkateshwara Bakery"/>
        <s v="Venkateshwara Biryani"/>
        <s v="Venkateshwara Meals and curries"/>
        <s v="WOK 33"/>
        <s v="WOK 33 foods"/>
        <s v="Sainadh Snacks (Sainadh food court)"/>
        <s v="Sainadh Fast Food( Sainadh Food Court)"/>
        <s v="Sainadh Tiffins(SainadhFood Court)"/>
        <s v="Sai nadh fast food "/>
        <s v="Sainadh tiffins "/>
        <s v="Aahara Aahvanam Chinese"/>
        <s v="Aahara Aahvanam Juice and Ice cream"/>
        <s v="Aahara Aahvanam Meals and curries"/>
        <s v="Aahara Aahvanam Tiffins"/>
        <s v="Anji meals"/>
        <s v="Anji tiffins"/>
        <s v="Best biryani's and curries "/>
        <s v="Chandrasekahar Gullakunta (Meenakshi cafe)"/>
        <s v="Good moring cafe"/>
        <s v="Good moring cafe(Fast food)"/>
        <s v="Gottipati military hotel"/>
        <s v="Hammayya kadupu nindindi"/>
        <s v="Hanvika grand Biriyani"/>
        <s v="Hanvika grand fast food"/>
        <s v="House Of Dosa's"/>
        <s v="Koodu-the taste of telangana"/>
        <s v="Monkey's cafe"/>
        <s v="My3 Kitchen Biryani"/>
        <s v="My3 Kitchen Chinese"/>
        <s v="My3 Kitchen meals and curries"/>
        <s v="My3 Kitchen tiffins"/>
        <s v="Sherya fast food and momo"/>
        <s v="Snamk Hospitality"/>
        <s v="Sreeja's home foods"/>
        <s v="Sweets dude signature PVT LTD"/>
        <s v="The Hungry Kitchen"/>
        <s v="The Tasty Chapter"/>
        <s v="Thopuri Lakshikanth(Biryani Mandirr)"/>
        <s v="Zaiqa Bawarchi Restaurant"/>
        <s v="Dosarani Chethivanta Biriyanis"/>
        <s v="Dosarani Chethivanta Meals"/>
        <s v="Dosarani Chethivanta Tiffins"/>
        <s v="Kshithis kitchen"/>
        <s v="New Chanti mess biriyanis"/>
        <s v="New Chanti mess meals"/>
        <s v="New Chanti mess tiffins"/>
        <s v="P.K Food court Biriyanis"/>
        <s v="P.K Food court meals"/>
        <s v="P.K Food court tiffins"/>
        <s v="Sri saravana food and Beverages"/>
        <s v="SYVM hospitality LLP"/>
        <s v="Ahmed Restaurant"/>
        <s v="Avani Restaurant"/>
        <s v="Bhawaanee Restaurant"/>
        <s v="Cheese and mix kitchen"/>
        <s v="Chinese Adda"/>
        <s v="Chinese Adda(Sri sai bakers)"/>
        <s v="Darbar Street"/>
        <s v="Ellipaya Karam Express"/>
        <s v="Jaya laxmi food court center"/>
        <s v="Kathmandu Momo's"/>
        <s v="Lotus Biryani &amp; Fast Food Center"/>
        <s v="Mekala's Kitechen"/>
        <s v="Mohammedia Shawarma"/>
        <s v="Nagalla's shaawarma and kababs"/>
        <s v="Sri shakambhari Restaurant"/>
        <s v="Swamy's kitchen"/>
        <s v="The boat house"/>
        <s v="Udupi park pure veg "/>
        <s v="Chopsticks"/>
        <s v="Royal kitchen"/>
        <s v="Arya bhavan"/>
        <s v="Mamindla agrifarms and feeds pvt ltd"/>
        <s v="Dostea"/>
        <s v="Genz flavoria"/>
        <s v="K.G.N Hotel"/>
        <s v="Madhapur Bawarchi"/>
        <s v="Mini cafe"/>
        <s v="Open heart restaurant"/>
        <s v="R.K Biryani"/>
        <s v="Rajahmundry vaari real rose milk"/>
        <s v="Sri sai Raghavendra tiffins and meals"/>
        <s v="Udipis ahaara arogya"/>
        <s v="Zucifera"/>
        <s v="Sri Vengamamba Tiffins"/>
        <s v="Sri vengamamba Deluxe mess"/>
        <s v="Sri vengamamba chinese food"/>
        <s v="(Burger) Munchies"/>
        <s v="Babai hotel est.1942"/>
        <s v="Bamboo chicken "/>
        <s v="Biryani and More"/>
        <s v="Biryani N Moree (Pot Biryani)"/>
        <s v="Exotica slice and sauce private limited"/>
        <s v="Hotel the nawabi zaiqa(Bevarages)"/>
        <s v="Hotel the nawabi zaiqa(Biryani)"/>
        <s v="Hotel the nawabi zaiqa(chinese)"/>
        <s v="Hotel the nawabi zaiqa(Non Veg Curries)"/>
        <s v="Hotel the nawabi zaiqa(Parata)"/>
        <s v="Hotel the nawabi zaiqa(Pulka)"/>
        <s v="Hotel the nawabi zaiqa(Rices)"/>
        <s v="Hotel the nawabi zaiqa(shawarama)"/>
        <s v="Hotel the nawabi zaiqa(Veg Curries)"/>
        <s v="IDV kitchen muntha masala"/>
        <s v="Karthikeya Chitti Nethi idly"/>
        <s v="Kolkata food plaza"/>
        <s v="Munchies (Shawarma)"/>
        <s v="Pragatee Kitchen"/>
        <s v="Royal Family Dhaba "/>
        <s v="Royal Family Dhaba KEBAB"/>
        <s v="Ruchi chupistha"/>
        <s v="The Munchies (MOMO) "/>
        <s v="The sandwiches"/>
        <s v="Aroma Biryani's and Pulauo's"/>
        <s v="Aroma Cafe (Biryani)"/>
        <s v="Aroma Cafe (chinese)"/>
        <s v="Aroma Cafe (snacks and juices)"/>
        <s v="Aroma Cafe (Tiffins)"/>
        <s v="Aroma meals and chinese"/>
        <s v="Balaji kitchens "/>
        <s v="Balaji muntha masala "/>
        <s v="DFC (Dodla Fire Chicken)"/>
        <s v="Dwaraka mai tiffins"/>
        <s v="Hotel valentine"/>
        <s v="Hotel valentine Tiffins and meals"/>
        <s v="KBR Crispy chicken"/>
        <s v="KBR Popcorn chicken"/>
        <s v="Mammu's chinese kitchen"/>
        <s v="Mammu's kitchen"/>
        <s v="Om sri Hanuman foods"/>
        <s v="R.K Chinese"/>
        <s v="Sirf Chinese"/>
        <s v="The Hazelnut Co"/>
        <s v="Ala konaseemaloo currys"/>
        <s v="Ala konaseemaloo "/>
        <s v="VHR'S Tea @ Coffee"/>
        <s v="Vinayaka Tiffins"/>
        <s v="Tea Time"/>
        <s v="Adbuthaha Tiffins "/>
        <s v="Pulavs By One Kitchen"/>
        <s v="Mad Over Maggies "/>
        <s v="Godavari food court"/>
        <s v="Qubz"/>
        <s v="Celebs"/>
        <s v="Mathani Juice Hub"/>
        <s v="Rainbow foods"/>
        <s v="Maska Chaska  The Fast Food Company"/>
        <s v="Candella heights LLP (Monday Hotels)"/>
        <s v="Muisyle Elite Hospitality (Monday Hotels)"/>
        <s v="Sri Venkateshwara Hospitality (Monday Hotels)"/>
        <s v="Shriman Hotels LLP (Monday Hotels)"/>
        <s v="Zufra Mandi "/>
        <s v="Naivedya(Taste of Prasadam)"/>
        <s v="Zamindar's Cafe"/>
        <s v="Garuda Cafe"/>
        <s v="Gonguras by Garuda"/>
        <s v="Prathika Fast Food and Biryani Center"/>
        <s v="Grand Lucky Restaurant"/>
        <s v="Lassi Story"/>
        <s v="Ch Raja Anvesh C/O Ulava Padu Biryani and Pulaos"/>
        <s v="Olden Days Tiffins"/>
        <s v="Aaha Kitchen"/>
        <s v="Anandobrabma"/>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R1006" sheet="Sheet1"/>
  </cacheSource>
  <cacheFields>
    <cacheField name="Date" numFmtId="164">
      <sharedItems containsDate="1" containsString="0" containsBlank="1">
        <d v="2026-02-01T00:00:00Z"/>
        <d v="2026-02-02T00:00:00Z"/>
        <d v="2026-02-03T00:00:00Z"/>
        <d v="2026-02-04T00:00:00Z"/>
        <d v="2026-02-05T00:00:00Z"/>
        <d v="2026-02-06T00:00:00Z"/>
        <d v="2026-02-07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2T00:00:00Z"/>
        <d v="2026-03-03T00:00:00Z"/>
        <d v="2026-03-05T00:00:00Z"/>
        <d v="2026-03-06T00:00:00Z"/>
        <d v="2026-03-09T00:00:00Z"/>
        <d v="2026-03-10T00:00:00Z"/>
        <d v="2026-03-11T00:00:00Z"/>
        <d v="2026-03-16T00:00:00Z"/>
        <d v="2026-03-17T00:00:00Z"/>
        <m/>
      </sharedItems>
    </cacheField>
    <cacheField name="Restaurant Name" numFmtId="0">
      <sharedItems containsBlank="1">
        <s v="Mohammed minhaj uddin(Fancy Ice Cream)"/>
        <s v="R and B hospitality (Lebanese Grill)"/>
        <s v="Rahat Restaurant"/>
        <s v="Alkemy"/>
        <s v="Begum ki briyani"/>
        <s v="Jusvous "/>
        <s v="New farmaish Restaurant"/>
        <s v="Waffle station "/>
        <s v="Al rawaf home made dishes"/>
        <s v="Bhojanams and biryani"/>
        <s v="Bhuvan's kitchen"/>
        <s v="Biryani N biryani"/>
        <s v="Bob's biryani"/>
        <s v="Eastin hotels"/>
        <s v="Ns bakers"/>
        <s v="Om Vaishnav Enterprise"/>
        <s v="Pandu fast food center"/>
        <s v="Sunrise "/>
        <s v="Vaarahi fast food and tiffins"/>
        <s v="Zyras Biryani house"/>
        <s v="Alankrutha multi cuisine Restaurant"/>
        <s v="Alnkarutha multicusine Restaurant"/>
        <s v="Ankapur Military Hotel Madhapur"/>
        <s v="Ankapur village a military hotel"/>
        <s v="Ankapur village-a military hotel (kokapet) "/>
        <s v="Govindas cafe"/>
        <s v="Guntur Mess"/>
        <s v="Lassi corner"/>
        <s v="Namaste the Indian kitchen"/>
        <s v="Rayalaseema spice Restaurant"/>
        <s v="Rolo one Bakers "/>
        <s v="Shree balaji tiffin center"/>
        <s v="Shri balaji family dhaba"/>
        <s v="Sri Udupi grand pure veg"/>
        <s v="Vidhusekhara pizzeria"/>
        <s v="Vrindaas kitchen"/>
        <s v="Ahladha kitchen"/>
        <s v="Flavours of biryani cafe "/>
        <s v="Food 4 U (Rahath)"/>
        <s v="Hunan chinese cuisine"/>
        <s v="krishna teeram"/>
        <s v="lucky Multicusine Restaurant  madhapur"/>
        <s v="Tahari house (rahaat fast food)"/>
        <s v="vijay durga pre veg tiffin and meals"/>
        <s v="Almas multi cusine Restaurant"/>
        <s v="Anand Bhavan mess "/>
        <s v="Brew commune cafe and bistro"/>
        <s v="Kissme mandi"/>
        <s v="Madapuram Restaurant"/>
        <s v="Meraj's Restaurant "/>
        <s v="Naseeb cafe"/>
        <s v="Sri balaji family Dhaba"/>
        <s v="The burger kitchen"/>
        <s v="Babu Gari Ruchulu and curry point"/>
        <s v="Lakshmi's United kitchen"/>
        <s v="Bakeway Bakers"/>
        <s v="C'est la vie bakes and cakes (pure veg)"/>
        <s v="Cafe Reels"/>
        <s v="Donut O' clock (pure veg)"/>
        <s v="Frost Bake Studio (pure veg)"/>
        <s v="Frost Bakery (pure veg)"/>
        <s v="Gupshup Bistro"/>
        <s v="Just so wow cakes"/>
        <s v="Kshatriya Grand"/>
        <s v="La boulangerie (pure veg)"/>
        <s v="Mokshi kitchen"/>
        <s v="North indian hub"/>
        <s v="Rivora"/>
        <s v="Say cheese patisserie (pure veg)"/>
        <s v="Sri sai ram food zone "/>
        <s v="Tempt Chocolates"/>
        <s v="The good sparrow"/>
        <s v="Times Green Energy India Limited"/>
        <s v="Veera Di chaap "/>
        <s v="Veeramma gari vantillu"/>
        <s v="New York Slice pizza"/>
        <s v="Soy &amp; Sesame "/>
        <s v="The Emperor"/>
        <s v="Thinnu mama"/>
        <s v="Anu archana kitchen"/>
        <s v="Brew and bloom heaven coffee shop"/>
        <s v="Laxmi addikecharla"/>
        <s v="lucky Multicusine Restaurant "/>
        <s v="Manasa kitchen swagrha sweets"/>
        <s v="MM cake factory and bakers"/>
        <s v="Pooja Dine Inn"/>
        <s v="subham grand multicusine family Restaurant"/>
        <s v="Al saba Restaurant"/>
        <s v="Amma chethi ruchulu"/>
        <s v="Andhra kitchens"/>
        <s v="Arm coffee place"/>
        <s v="Arukha flavours"/>
        <s v="Bunty biryanis"/>
        <s v="Eden Ice Treats "/>
        <s v="G Hitech Bawarchi food court"/>
        <s v="Hotel farzaan"/>
        <s v="Konaseema biryani"/>
        <s v="Krishna magic kitchen"/>
        <s v="Padmavathi food court"/>
        <s v="Punjabi Dhaba"/>
        <s v="SNS bake house bakery and cafe "/>
        <s v="Suryakantham military hotel"/>
        <s v="Trinetra cafe and Restaurant"/>
        <s v="Yummy foods"/>
        <s v="Al shawrma bites"/>
        <s v="Amogha cafe and Restaurant"/>
        <s v="Bamma Tiffins"/>
        <s v="Bulli Abbai Kodi Palau"/>
        <s v="Delhi Muradabadi Biryani"/>
        <s v="Hanuman Juice and salad"/>
        <s v="Hitech Bawarchi food zone"/>
        <s v="Hitech Biryani house"/>
        <s v="Kaaram the Authntic telangana spice kitchnen"/>
        <s v="Mother's kitchen"/>
        <s v="New Udupi sri krishna grand"/>
        <s v="Oye punjabi"/>
        <s v="Paruchuri foods"/>
        <s v="Sahi Nawab's Kitchen"/>
        <s v="Sri Aadhya Delicious"/>
        <s v="Sri Bhimanaram Thali/ Tangella Ravali"/>
        <s v="SS. Bawarchi"/>
        <s v="Vindhu maharaj"/>
        <s v="Vinni Cabin Cafe"/>
        <s v="Zeeshan Restaurant"/>
        <s v="Ahara kitchen"/>
        <s v="Sada me Brands of Bhimavarman (BOB)"/>
        <s v="Sri sai rama tiffins"/>
        <s v="Sri varahi sampradaya vindhu"/>
        <s v="A Balaji family dhaba"/>
        <s v="Al-Aadaab Arabian mandi Restaurant"/>
        <s v="Aroma biryanis and pulao's"/>
        <s v="Flavours of andhra (authentic andra cuisine)"/>
        <s v="IQ shawarma"/>
        <s v="Kings Kohinoor hotel"/>
        <s v="Mana inti bojanam"/>
        <s v="Mom's recipe"/>
        <s v="Mysore bakery/dinesh kumar"/>
        <s v="Oak Bistro"/>
        <s v="Palapiltta Ruchulu"/>
        <s v="Priyansh Fast Food"/>
        <s v="Rajasaab Royal kitchen"/>
        <s v="Samsatha tiffins"/>
        <s v="santhakam Ruchulu"/>
        <s v="Shasha shandaar shawarma"/>
        <s v="Spice theory"/>
        <s v="Sri ramana maharshi food court"/>
        <s v="Tealogy cafe"/>
        <s v="Telugu patnam ruchulu"/>
        <s v="The royal plate Restaurant"/>
        <s v="yousif shahed fain kalyani biryani"/>
        <s v="Yum yard"/>
        <s v="Zamana shawarma and fast food"/>
        <s v="Bhimavaram vari unlimited ruchulu"/>
        <s v="Blend and roast cafe"/>
        <s v="chicken shawarma hut"/>
        <s v="Deerga ayushman bhava"/>
        <s v="Fusion@49"/>
        <s v="Kamakshi curries,snacks and meals"/>
        <s v="Lassi store"/>
        <s v="Mahren's Kitchen"/>
        <s v="My Biryani"/>
        <s v="Nellore Padmavathi Ruchulu"/>
        <s v="RR Food court"/>
        <s v="SS live kitchen"/>
        <s v="Syed mohammed yasar (Grill on Fire)"/>
        <s v="Times food court "/>
        <s v="Tulija bhavani hotel"/>
        <s v="Mr.Chopsticks"/>
        <s v="Aahara food court"/>
        <s v="Astrio Restaurant"/>
        <s v="Biryani's &amp; co"/>
        <s v="Bites and Delights"/>
        <s v="Cherry's restaurant"/>
        <s v="Chinese from Mayabazaar"/>
        <s v="Dragon kitchen"/>
        <s v="Jai Bhavani food court"/>
        <s v="M/S Bhavani Mess"/>
        <s v="Made in Andhra"/>
        <s v="Mayabazar"/>
        <s v="Mcs twilight"/>
        <s v="Pasidipuri Kitchen"/>
        <s v="Pizza Mania"/>
        <s v="Qubz Restaurant"/>
        <s v="Rooster kitchen"/>
        <s v="Sangam Dhaba"/>
        <s v="Sangam family dhaba"/>
        <s v="Shawarma house"/>
        <s v="Sindhu tiffins and meals"/>
        <s v="SKG Nawab biryanis"/>
        <s v="Spicy Xpress"/>
        <s v="The Fusion Street"/>
        <s v="Times Tiffins And Meals"/>
        <s v="Rayalaseema Ruchulu"/>
        <s v="Akshaya Bhojanam"/>
        <s v="Aahara Aahvanam"/>
        <s v="Aham Parabrahma"/>
        <s v="Asian Pan House and Restaurant"/>
        <s v="Ayaansh Food Court"/>
        <s v="chinese express"/>
        <s v="BBQ Bites And Kitchen"/>
        <s v="East and west kitchen"/>
        <s v="Ichirakau ramen house"/>
        <s v="Kamakshi tiffins"/>
        <s v="Kings M Biryani Adda"/>
        <s v="madhura restraunt bar "/>
        <s v="Mohammed yaser (Tiffin Xpress)"/>
        <s v="Naidus food court"/>
        <s v="Punjabi Chaska"/>
        <s v="Rao gari military hotel "/>
        <s v="Rao gari military hotel"/>
        <s v="Red bucket biryani"/>
        <s v="Royal odisha dhaba"/>
        <s v="Sarasam the legacy of food"/>
        <s v="Sip and Chill Juice Bar"/>
        <s v="Slice and Bytes"/>
        <s v="Spicy Food Court"/>
        <s v="Squid Kitchen"/>
        <s v="Thulasi villas "/>
        <s v="Tuyaa the taste of india"/>
        <s v="Victoria Tiffins and Biryani's"/>
        <s v="Aadhya hotel"/>
        <s v="Bab Al Mandi"/>
        <s v="Five Star Chicken"/>
        <s v="ORUGALLU RUCHULU"/>
        <s v="Mickey's Tiffin"/>
        <s v="Raju gari bhimavaram biryani"/>
        <s v="Rowdy Momo expresses"/>
        <s v="Sai Mumbai famous"/>
        <s v="Sravanti Biryani"/>
        <s v="Sravanti Fast Food "/>
        <s v="Sravanti Mess"/>
        <s v="Sravanti Tiffins"/>
        <s v="Sri annapurna kitchen"/>
        <s v="Sri Sattibabu Biryani"/>
        <s v="Thunderbolts"/>
        <s v="Zafaron shawarma nd Chinese fast food"/>
        <s v="Zaiqa-11"/>
        <s v="Lassi shop"/>
        <s v="Hasi's kitchen"/>
        <s v="Hasi's pulavs"/>
        <s v="Spice Soiree"/>
        <s v="Sai Rishitha food centre"/>
        <s v="Sri Venkareswara food court"/>
        <s v="The Irawat Kitchen"/>
        <s v="The Sipping adda"/>
        <s v="Fresh Fruit Juices 'n' Bowls"/>
        <s v="Supreeth Currries and Meals"/>
        <s v="Supreeth Grand"/>
        <s v="Snacking Cafe Private limited"/>
        <s v="Sravanam 4am Biryani"/>
        <s v="Sravanam 4am kuska"/>
        <s v="Tasty flavours"/>
        <s v="Nadeem hotel"/>
        <s v="Aaha Bhojanam"/>
        <s v="Aahar vilas"/>
        <s v="Anu Kitchen "/>
        <s v="Bakely Bakers"/>
        <s v="Bakely cafe "/>
        <s v="Cafe 74"/>
        <s v="Club 10 chicken"/>
        <s v="Dostan biryani"/>
        <s v="Dostan fast foods"/>
        <s v="Dostan meals and snacks"/>
        <s v="Dosthan shawarma"/>
        <s v="Dosthan Tiffins"/>
        <s v="Hydes Diner"/>
        <s v="Khans Shawarma house ( arabian )"/>
        <s v="Bismillah Hotel"/>
        <s v="Perch 24 Cafe"/>
        <s v="Snack Bite"/>
        <s v="SnackBite"/>
        <s v="Snap foods and beverages"/>
        <s v="Sri nakshatra chinese hub"/>
        <s v="Sri Vigneshwara Aaha Bhojnam"/>
        <s v="Sri vigneshwara nellore Ruchulu"/>
        <s v="The hungry spot"/>
        <s v="M/S QUBZ the shawarma revolution"/>
        <s v="Tealogy Cafe Private Limited"/>
        <s v="Akshaya patra"/>
        <s v="Anagha kitchen"/>
        <s v="Avacado on wheels"/>
        <s v="Bhavani food court"/>
        <s v="Charcoal sahwarma "/>
        <s v="Famous arabian shawarma"/>
        <s v="Hayansh Kitchen(Authentic Andra Cuisine)"/>
        <s v="Kolipaka Srikanth(Araah Cafe)"/>
        <s v="Nawabi cafeteria and restaurant"/>
        <s v="Nawabi cafeteria Waffles"/>
        <s v="Oh My Momo's "/>
        <s v="Preeti tiffins"/>
        <s v="sekh raphik"/>
        <s v="Shaik sartaz alli"/>
        <s v="The Boat House Express"/>
        <s v="Wraps N More"/>
        <s v="5ves Diner"/>
        <s v="Amulya Abhiruchi Biryani"/>
        <s v="Amulya Abhiruchi fast food"/>
        <s v="Appis natural fresh juice"/>
        <s v="Beyond kimchi-The taste of korea"/>
        <s v="Caffine Biryani"/>
        <s v="caffine hub fast food"/>
        <s v="Caffine juice and milk shake"/>
        <s v="Caffine meals and staters"/>
        <s v="Caffine snacks"/>
        <s v="Cake corner Bakery"/>
        <s v="Chai kaburlu"/>
        <s v="classic crown restaurant"/>
        <s v="Corner fast food"/>
        <s v="Corner foods"/>
        <s v="Corner juice and milk shake"/>
        <s v="Crispy crunch dinner"/>
        <s v="D and D caterers"/>
        <s v="Dum biryani adda"/>
        <s v="Epic bawarchi "/>
        <s v="Epic bawarchi chat bhandar"/>
        <s v="Epic bawarchi tiffin centre"/>
        <s v="Healthy food promised"/>
        <s v="Healthy juices promised"/>
        <s v="Klassic Bakers and shawarma cafe"/>
        <s v="Kondapalli vijay kumar"/>
        <s v="Mana Vizag ruchulu"/>
        <s v="Military reddy tiffins"/>
        <s v="Mini Udipi's "/>
        <s v="Nellore Vantakallu"/>
        <s v="Raghuram dosa "/>
        <s v="Relax cafe"/>
        <s v="Sip of health"/>
        <s v="Slice and Bytes Biryani"/>
        <s v="Slice and Bytes food court"/>
        <s v="Sri Aadhya food court"/>
        <s v="Sri Raghavendra tiffins"/>
        <s v="Sri Tejas kitchen"/>
        <s v="Taaza Tiffins"/>
        <s v="Telangana cuisine(Indian and chinese)"/>
        <s v="The brazilian juice bar"/>
        <s v="The chinese zhag family"/>
        <s v="The english kitchen"/>
        <s v="The nice juice junction"/>
        <s v="Vizag beach street food"/>
        <s v="Telugu Ruchulu's Biryani"/>
        <s v="Telugu Ruchulu's FastFood"/>
        <s v="Telugu Ruchulu's Tiffins"/>
        <s v="Telugu Ruchulu's Curries and snacks"/>
        <s v="Telugu Ruchulu's Meals"/>
        <s v="SK foods"/>
        <s v="Amritsari Dhaba"/>
        <s v="Amritsari Khana"/>
        <s v="Chaiminar cafe"/>
        <s v="City chefs kitchen"/>
        <s v="Crispy hot wings"/>
        <s v="Deccan's Bawarchi restaurant"/>
        <s v="Dosa mart"/>
        <s v="Godavari vari vindhu maryada"/>
        <s v="Hot momo's "/>
        <s v="Hot shawarma and Wings"/>
        <s v="Hot Wings"/>
        <s v="Konaseema peddi raju ruchulu"/>
        <s v="Konsaseema Peddiraju ruchulu"/>
        <s v="Lasya fast food"/>
        <s v="Ma oori vanta"/>
        <s v="Mallesh mama fast food"/>
        <s v="Mankikanta's Eat hotsopt"/>
        <s v="Mexician fried chicken"/>
        <s v="Mummy ki Partha"/>
        <s v="Mummy ki rassoi"/>
        <s v="N Hot Chinese"/>
        <s v="Nikhil's Feast (A feast to be rembered)"/>
        <s v="Nostic Natural fruit ice cream"/>
        <s v="Rayalaseema Biryani"/>
        <s v="Rayalaseema chinese"/>
        <s v="Rayalaseema meals and curries"/>
        <s v="Second wife Biriyani"/>
        <s v="Second wife fast food"/>
        <s v="Second wife Meals C/O Guntur"/>
        <s v="Second wife rolls and snacks"/>
        <s v="Second wife Tiffins C/O Guntur"/>
        <s v="Shri Balaji chennai spices Restaurant"/>
        <s v="SRG Restro inn"/>
        <s v="The kebab kingdom(K24)"/>
        <s v="Venkateshwara Bakery"/>
        <s v="Venkateshwara Biryani"/>
        <s v="Venkateshwara Meals and curries"/>
        <s v="WOK 33"/>
        <s v="WOK 33 foods"/>
        <s v="Sainadh Snacks (Sainadh food court)"/>
        <s v="Sainadh Fast Food( Sainadh Food Court)"/>
        <s v="Sainadh Tiffins(SainadhFood Court)"/>
        <s v="Sai nadh fast food "/>
        <s v="Sainadh tiffins "/>
        <s v="Aahara Aahvanam Chinese"/>
        <s v="Aahara Aahvanam Juice and Ice cream"/>
        <s v="Aahara Aahvanam Meals and curries"/>
        <s v="Aahara Aahvanam Tiffins"/>
        <s v="Anji meals"/>
        <s v="Anji tiffins"/>
        <s v="Best biryani's and curries "/>
        <s v="Chandrasekahar Gullakunta (Meenakshi cafe)"/>
        <s v="Good moring cafe"/>
        <s v="Good moring cafe(Fast food)"/>
        <s v="Gottipati military hotel"/>
        <s v="Hammayya kadupu nindindi"/>
        <s v="Hanvika grand Biriyani"/>
        <s v="Hanvika grand fast food"/>
        <s v="House Of Dosa's"/>
        <s v="Koodu-the taste of telangana"/>
        <s v="Monkey's cafe"/>
        <s v="My3 Kitchen Biryani"/>
        <s v="My3 Kitchen Chinese"/>
        <s v="My3 Kitchen meals and curries"/>
        <s v="My3 Kitchen tiffins"/>
        <s v="Sherya fast food and momo"/>
        <s v="Snamk Hospitality"/>
        <s v="Sreeja's home foods"/>
        <s v="Sweets dude signature PVT LTD"/>
        <s v="The Hungry Kitchen"/>
        <s v="The Tasty Chapter"/>
        <s v="Thopuri Lakshikanth(Biryani Mandirr)"/>
        <s v="Zaiqa Bawarchi Restaurant"/>
        <s v="Dosarani Chethivanta Biriyanis"/>
        <s v="Dosarani Chethivanta Meals"/>
        <s v="Dosarani Chethivanta Tiffins"/>
        <s v="Kshithis kitchen"/>
        <s v="New Chanti mess biriyanis"/>
        <s v="New Chanti mess meals"/>
        <s v="New Chanti mess tiffins"/>
        <s v="P.K Food court Biriyanis"/>
        <s v="P.K Food court meals"/>
        <s v="P.K Food court tiffins"/>
        <s v="Sri saravana food and Beverages"/>
        <s v="SYVM hospitality LLP"/>
        <s v="Ahmed Restaurant"/>
        <s v="Avani Restaurant"/>
        <s v="Bhawaanee Restaurant"/>
        <s v="Cheese and mix kitchen"/>
        <s v="Chinese Adda"/>
        <s v="Chinese Adda(Sri sai bakers)"/>
        <s v="Darbar Street"/>
        <s v="Ellipaya Karam Express"/>
        <s v="Jaya laxmi food court center"/>
        <s v="Kathmandu Momo's"/>
        <s v="Lotus Biryani &amp; Fast Food Center"/>
        <s v="Mekala's Kitechen"/>
        <s v="Mohammedia Shawarma"/>
        <s v="Nagalla's shaawarma and kababs"/>
        <s v="Sri shakambhari Restaurant"/>
        <s v="Swamy's kitchen"/>
        <s v="The boat house"/>
        <s v="Udupi park pure veg "/>
        <s v="Chopsticks"/>
        <s v="Royal kitchen"/>
        <s v="Arya bhavan"/>
        <s v="Mamindla agrifarms and feeds pvt ltd"/>
        <s v="Dostea"/>
        <s v="Genz flavoria"/>
        <s v="K.G.N Hotel"/>
        <s v="Madhapur Bawarchi"/>
        <s v="Mini cafe"/>
        <s v="Open heart restaurant"/>
        <s v="R.K Biryani"/>
        <s v="Rajahmundry vaari real rose milk"/>
        <s v="Sri sai Raghavendra tiffins and meals"/>
        <s v="Udipis ahaara arogya"/>
        <s v="Zucifera"/>
        <s v="Sri Vengamamba Tiffins"/>
        <s v="Sri vengamamba Deluxe mess"/>
        <s v="Sri vengamamba chinese food"/>
        <s v="(Burger) Munchies"/>
        <s v="Babai hotel est.1942"/>
        <s v="Bamboo chicken "/>
        <s v="Biryani and More"/>
        <s v="Biryani N Moree (Pot Biryani)"/>
        <s v="Exotica slice and sauce private limited"/>
        <s v="Hotel the nawabi zaiqa(Bevarages)"/>
        <s v="Hotel the nawabi zaiqa(Biryani)"/>
        <s v="Hotel the nawabi zaiqa(chinese)"/>
        <s v="Hotel the nawabi zaiqa(Non Veg Curries)"/>
        <s v="Hotel the nawabi zaiqa(Parata)"/>
        <s v="Hotel the nawabi zaiqa(Pulka)"/>
        <s v="Hotel the nawabi zaiqa(Rices)"/>
        <s v="Hotel the nawabi zaiqa(shawarama)"/>
        <s v="Hotel the nawabi zaiqa(Veg Curries)"/>
        <s v="IDV kitchen muntha masala"/>
        <s v="Karthikeya Chitti Nethi idly"/>
        <s v="Kolkata food plaza"/>
        <s v="Munchies (Shawarma)"/>
        <s v="Pragatee Kitchen"/>
        <s v="Royal Family Dhaba "/>
        <s v="Royal Family Dhaba KEBAB"/>
        <s v="Ruchi chupistha"/>
        <s v="The Munchies (MOMO) "/>
        <s v="The sandwiches"/>
        <s v="Aroma Biryani's and Pulauo's"/>
        <s v="Aroma Cafe (Biryani)"/>
        <s v="Aroma Cafe (chinese)"/>
        <s v="Aroma Cafe (snacks and juices)"/>
        <s v="Aroma Cafe (Tiffins)"/>
        <s v="Aroma meals and chinese"/>
        <s v="Balaji kitchens "/>
        <s v="Balaji muntha masala "/>
        <s v="DFC (Dodla Fire Chicken)"/>
        <s v="Dwaraka mai tiffins"/>
        <s v="Hotel valentine"/>
        <s v="Hotel valentine Tiffins and meals"/>
        <s v="KBR Crispy chicken"/>
        <s v="KBR Popcorn chicken"/>
        <s v="Mammu's chinese kitchen"/>
        <s v="Mammu's kitchen"/>
        <s v="Om sri Hanuman foods"/>
        <s v="R.K Chinese"/>
        <s v="Sirf Chinese"/>
        <s v="The Hazelnut Co"/>
        <s v="Ala konaseemaloo currys"/>
        <s v="Ala konaseemaloo "/>
        <s v="VHR'S Tea @ Coffee"/>
        <s v="Vinayaka Tiffins"/>
        <s v="Tea Time"/>
        <s v="Adbuthaha Tiffins "/>
        <s v="Pulavs By One Kitchen"/>
        <s v="Mad Over Maggies "/>
        <s v="Godavari food court"/>
        <s v="Qubz"/>
        <s v="Celebs"/>
        <s v="Mathani Juice Hub"/>
        <s v="Rainbow foods"/>
        <s v="Maska Chaska  The Fast Food Company"/>
        <s v="Candella heights LLP (Monday Hotels)"/>
        <s v="Muisyle Elite Hospitality (Monday Hotels)"/>
        <s v="Sri Venkateshwara Hospitality (Monday Hotels)"/>
        <s v="Shriman Hotels LLP (Monday Hotels)"/>
        <s v="Zufra Mandi "/>
        <s v="Naivedya(Taste of Prasadam)"/>
        <s v="Zamindar's Cafe"/>
        <s v="Garuda Cafe"/>
        <s v="Gonguras by Garuda"/>
        <s v="Prathika Fast Food and Biryani Center"/>
        <s v="Grand Lucky Restaurant"/>
        <s v="Lassi Story"/>
        <s v="Ch Raja Anvesh C/O Ulava Padu Biryani and Pulaos"/>
        <s v="Olden Days Tiffins"/>
        <s v="Aaha Kitchen"/>
        <s v="Anandobrabma"/>
        <m/>
      </sharedItems>
    </cacheField>
    <cacheField name="RM/KAM" numFmtId="0">
      <sharedItems containsBlank="1">
        <s v="nitya.akshara@capsdelivery.com"/>
        <s v="manasa.chigurupati@capsdelivery.com"/>
        <s v="ankitha.baske@capsdelivery.com"/>
        <s v="madhumitha.sonnakula@capsdelivery.com"/>
        <s v="chanakya.inugala@capsdelivery.com"/>
        <s v="parthive.maganti@capsdelivery.com"/>
        <s v="akhila.narra@capsdelivery.com"/>
        <s v="greeshma.vanneldas@capsdelivery.com"/>
        <s v="moin.khan@capsdelivery.com"/>
        <s v="sumadhur.mummadi@capsdelivery.com"/>
        <s v="Srivani.reddy@capsdelivery.com"/>
        <s v="anisha.poddar@capsdelivery.com"/>
        <m/>
        <s v=" "/>
      </sharedItems>
    </cacheField>
    <cacheField name="Type of Ownership" numFmtId="0">
      <sharedItems containsBlank="1">
        <s v="Proprietorship"/>
        <s v="Partnership"/>
        <m/>
        <s v="LLP"/>
        <s v="Trust(company)"/>
        <s v="Pvt ltd"/>
        <s v="not mentioned"/>
        <s v="patnership "/>
        <s v="Private limited company"/>
      </sharedItems>
    </cacheField>
    <cacheField name="Address" numFmtId="0">
      <sharedItems containsBlank="1">
        <s v="Rs complex vijayanagar colony near anjuman deendar back gate,masab tank,hyd "/>
        <s v="12-2-825/2, Mehdipatnam"/>
        <s v="12-2-486,4/7,Tappa Chabutra rd, asif nagar"/>
        <s v="kismatpur, survey 132,alkemy, 1/2 near prestige royal woods, abhyudaya nagar,dargah khaleejkhan"/>
        <s v="Attapur, Hyderabad"/>
        <s v="Banglaguda plot no 13/a bandlaguda,rahendranagar"/>
        <s v="survey no.37,himayath sagar village bandlaguda jagir muncipal corporation gandipet mandal"/>
        <s v="Hakeem shah colony,tolichowki,hyderabad"/>
        <s v="plot no.87,swamy ayyappa society,madhapur,hyd"/>
        <s v="H.no:6-331192/1/g/3 block-1 ground floor white house,kundanbagh,begumpet"/>
        <s v="13-6-798/1/1,bapughat langa howz circle,13 hyd"/>
        <s v="1-8-370and372 abhishek scan center,2nd floor near huda office,begumpet"/>
        <s v="2-52/1/3 hitech city rd,phase 2,kaveri hills madhapur,hyd"/>
        <s v="H.no:7-1-455/23/12,Ameerpet gurudwara road, telangana,"/>
        <s v="bus shelter stall,bus bay premises on sp road,opp anand theater and piller non1292, sindhi colony,begumpet "/>
        <s v="B41/f5 shop no.3 ps nagar,vijay nagar"/>
        <s v="H.no:325/2rt,sanjeev reddy nagar,umeshchandra statue"/>
        <s v="plot no.111,60ft road swamy ayyappa society,megha hills,khanamet,madhapur,hyd"/>
        <s v="plot no.03-805,shop no.2 ground floor M and M elite home,sri swamy ayyappa co-op Hs madhapur,hyd"/>
        <s v="plot no-1206,madhapur,kondukur,rangareddy,telangana"/>
        <s v="plot no.1206,madhapur,kandukur,rangareddy, telangana"/>
        <m/>
        <s v="1-98/2,durgam chervu,inorbit mall rd, hyd"/>
        <s v="osman sagar, kokapet gandipet, hyd,telangana"/>
        <s v="plot no.220,mushak mahal residential, attapur,hyd"/>
        <s v="manikonda, ayyappa society"/>
        <s v="plot no 7,syno 17 ground floor R.R district 500047"/>
        <s v="h.no:1-98/6a/14,plot no 42 road no.3, patrikanagar hitech city,madhapur, hitech city"/>
        <s v="plot no. 501,sy no.11/14.11/15,11/16,khanamet village ayyappa society,htd"/>
        <s v="plot no.1208,g1andg2,ground floor,ayyappa society,madhapur,hyd,telangan"/>
        <s v="p.no.4(a),1-89/8/4, madhapur ,hyd,telangana"/>
        <s v="4-17-12,hitech city santosh residency,beside farmaish Restaurant,gandamguda,hyd"/>
        <s v="Gudi malkapur,12-2-417/46/9,sharada nagar colony gudimalk"/>
        <s v="Gudimalkapur, hyderabad 13-6-460/112, mahesh nagar gudimalkapur"/>
        <s v="plot no.o1,first floor survey no,12 kondapur village serlingampally circle"/>
        <s v="shopon plot no.2a in sy no 2a in sy no.12, situated at 500084"/>
        <s v="plot no 68,shop no 5,Ayyappa society main road,madhapur,serlingampally circle no20 hyd "/>
        <s v="6-1-964,shop no 2, khairthabad circel, no.17"/>
        <s v="12-1-486/b/4 krishan nagar"/>
        <s v="jap  hind gandhi road near ayyappa society hyd telangana "/>
        <s v="Ground flooor, plot no 84 sy no.11 swamy apyyappa housing society khanamet,hyd"/>
        <s v="sy no. 54,58,59 plot no 1,part gb guttala begumpet madhapur road"/>
        <s v="12-1-486/b/4/1,kishan nagar, tappachabutra road,hyd "/>
        <s v="12-1-486/b/2/5 krishan nagar,Tappachabuta"/>
        <s v="H.no:1-90/7/b/173,plot no.5,madhapur,selingampally circle no.20,hyd, telangana"/>
        <s v="not mentioned"/>
        <s v="H.no:1-98/9/3/74/2,R L raidurg,jai hind enclave,seasons pool, madhapur,hyd"/>
        <s v="shop no 7 first floor,plot no 2-56/11/53/a survey no 11/6 telangana"/>
        <s v="DROPPED"/>
        <s v="D.no:2-46/1,plot no 33/a megha hills cahndanagar circle,hyd,Telangana"/>
        <s v="x road, royal colony,mehidpatnam"/>
        <s v="13-1-1234,salum nasseb complex a/1,tappa"/>
        <s v="12-2-417/46/9,sharada nagarn colony gudimalk "/>
        <s v="plot no 51 khanamet,attapur,chandanagar,circle no2 hyd"/>
        <s v="100feet road, madhapur"/>
        <s v="7-1-455/12 opposite Bata showroom, Balkampet road,Ameerpet Hyd"/>
        <s v="138/1,flat no 45 sham apt,secunderabad 138/1,flat no 45 shama apt sindi colony pg road "/>
        <s v="floor no:ground floor,building no.1,d.no:1-98/90c beside durgamma temple,ayyappa society road"/>
        <s v="secunderbad circle 138/1,flat no 45 sham apt,secunderabad"/>
        <s v="138/1,flat no 45 sham apt,secunderabad 138/1,flat no 45 shama apt sindi colony pg road 500003"/>
        <s v="H.no:1-8-125/1/ g-2, shop no.2 , shop no.3 Aman arcade pg road, secundarabad, no. 129, hyderabad telangana"/>
        <s v="H.no: 4/1 Mig, ground floor , kphb colony, kukatpally,hyd"/>
        <s v="138/1,flat no 45, sham apts, secunderabad,sindhi colony pg road"/>
        <s v="plot no.2/a,whitefeilds,kondapur,serlingampally circle no 20,hyd"/>
        <s v="sutter no.3, plot no .2a sy no.12,kondapur serlingampally circle no.20 hyd"/>
        <s v="Gokul plots no.397and 492,VR Colony,beside vijetha super market,kphb"/>
        <s v="Mig-64 dharmareddy colony phase-1 kphb colony kukatpally,moosapet circle no.23,"/>
        <s v="sy no.274(a) aparnahills park, commerical buildings behind gangaram lake, chanda nagar"/>
        <s v="Jsr mall,vidia colony,madeenaguda,near allywn x road,miyapur"/>
        <s v="1-55/196 and 199A botanical garden road,serilingampally circle co 20"/>
        <s v="somajiguda, jumaaldinne laxmi,shop no 7, H.no 6-3-650"/>
        <s v="H.no: 1-8-153/2, shop no-1 ground floor pg road, paradise, secunderbad"/>
        <s v="plot no.11-12,block-f2, sainnath enclave, venkatramana colony, gokul plots, kphb, kukatpally"/>
        <s v="sai gayathri towers finacial district Nanakramguda,Telangana"/>
        <s v="sai gayathri towers finacial district Nanakramguda,Telangana "/>
        <s v="10-4-3,afia plaxa,near NMDC-vijay nagar colony,masab tank,hyd,telangana"/>
        <s v="h.no:8-1-284/ou/152,ou colony,shaikpet,jubilee hills circle no.18,hyd,telangana"/>
        <s v="sri sai arcade,beside prince biryani point,khairatabad circle no.17 hyd"/>
        <s v="flat no.5 1st floor block no-6 municipal no;15-31-21-6/5,kphb colony,hyd"/>
        <s v="Door no.6-3-1089/f/3/3 somajiguda,hyd,telangana"/>
        <s v="H.no:15-31-2L-1-5/275/3,lig-5/2,phase-3,kphb colony,kukatpally,hyd"/>
        <s v="opposite metro pillar no 833 beside vikings cricket, sangeet nagar,kukatpally,hyd"/>
        <s v="H.no:1-8-155/A 1st floor, pg road, secunderabad,begumpet circle no.30 Hyd, telangana"/>
        <s v="H.no:6-3-902/2and3,first floor,raj bhavan road,somajiguda,hyd,telangana"/>
        <s v="h.no:8-3-222/c/1/12,ground floor,madhura nagar,yousufnagar,hyd,telangana"/>
        <s v="8-3-6333/82/1,ali nagar, tawwal nagar,yella reddy,hyd,telangana"/>
        <s v="8-3/633/82/1,ali nagar,tawak kal, vellareddy guda,khairthabad circle no.17 hyd"/>
        <s v="plot no:11and12,sai nath enclave,gokul plots venkata ramana colony kphb,kukatpally"/>
        <s v="shop no.5, Manjira plaza,opposite Aadithya trade centre,near maithrivanam road,srinivas nagar,ameerpet,hyd,telangana"/>
        <s v="1-21/1 Madhapur,hyd,circle no.20,serlingampally"/>
        <s v="gate no 4,toulichowki gate no4,paramount colony near toulichowki "/>
        <s v="8-3-6338/82/1,ali nagar,yella reddy,hyd,telangana"/>
        <s v="Two shutter no.1 and 2, in h.no:8-3-318/6/3/13/1/18,ali nagar,tella reddy guda,yousufguda circle no.19,hyd"/>
        <s v="h.no:33-a,aphb colony,indira nagar,gachibowli,serlingampally circle no-20,hyd"/>
        <s v="h.no:8/1,in sector-2 of hudo techno enclave,madhapur,seringampally,rangareddy"/>
        <s v="no.2-22-311/53 A and 82a/31/a,p.no-53-a and 82-A, addagutta co-op society,bhagya nagar colony,kukatpally"/>
        <s v="ground floor, H.no:7-14/32/2b/g-01,Rajendra nagar,R.R dist"/>
        <s v="Manikonda,nanakramguda,selingampally circle no.20,hyd,telangana"/>
        <s v="H.no:2-23-310/83C ground floor,Addagutta society,pragthi road kukatpally,hyd"/>
        <s v="7-18-25/27/101,plot no.25,26,27,Alkapur,Ranga Reddy,Telangana"/>
        <s v="kavya deluxe apartment,lata enclave,madhuranagar,hyderabad"/>
        <s v="plot no.242,bayuth colony,pippalaguda,manikonda,Rajendra nagar,rangareddy"/>
        <s v="H.no:B/22,23,24,vengal rao nagar,khairtabad circle no.17,hyd.telangana"/>
        <s v="MIG-154,gachibowli,selingampally circle-20,hyderabad,telangana"/>
        <s v="plot no.64,opp HP petrol pump,peeramchervu,Gandhamguda,Bandlaguda jagir,hyd"/>
        <s v="H.no:1-59/8/2, nandi co-operative society,miyapur,serlingampally ranga reddy district hyd"/>
        <s v="H.no:4-28 plot no.28,dwauak nagar colony,banglaguda jagir,rajendra nagar"/>
        <s v="shop no.8,kk towers,yousufguda main road,engineers colony,telangana"/>
        <s v="8-3-222/8/76/G2, Madhura nagar, Circle No/17 hyderabad  HYD"/>
        <s v="plot no.82/c road no.3,shutter no.1,Addaguta society,kukatpally,hyd"/>
        <s v="51/b  vengal rao nagar,hyd,yousufguda circel no.19,hyd,telangana"/>
        <s v="Gandipet no.75,76,77,dwauaka nagar main road"/>
        <s v="H.no:2-27/7,vinayak nagar,gachibowlli,hyd,telagana"/>
        <s v="Rajendra nagar,hyderabad,1-224,kistmathpur,rajendra nagar"/>
        <s v="h.no:2-92/32,shop no.4,kondapur whitefields,selingampally circle no.20,hyd,telangana"/>
        <s v="CCPQ+HH8,yousufguda main road,lata enclave,besides,rayalavari ruchulu,madhura nagar,hyd,telangana"/>
        <s v="8-3-222/8/72,G-4,madhuranagar,yousufguda,hyd circel no.19,hyd"/>
        <s v="8-3-228/1280/46,jawahar nagar,yousufguda,hyd"/>
        <s v="9-1-364/G/1, Bapu ghat,langarlouz,hyd,500008,karwan circle no.13,hyd,telangana"/>
        <s v="D.no:2-22-134/A/1,vijaya nagar colony,opposite,patel kunta huda park,kukatpally,hyd"/>
        <s v="SHOP NO:10, Abhuyudaya Nagar-Anandh nagar colony-Himayathsagar village),Gandipet, Rangareddy, Telangana -500075"/>
        <s v="5-69 and 70/2 opposite,ratanadeep,select market westend colony,bangladuga jagir,hyd"/>
        <s v="8-3-228/678/1395,sri ram nagar,yousufguda circle no.19,hyderabad"/>
        <s v="2-94-,youth colony,beside flyover,opposite genpact,old hafeezpet, hyd ,telangana"/>
        <s v="Langarhouz"/>
        <s v="plot no.2A,opposite,divya shree,kondapur,hyd,serlingampally circle no.20,hyd,telangana"/>
        <s v="shop no.5 and 6 suitated opposite pochama galli dusakot village,gandipet"/>
        <s v="plot no.1,dargakhaliz khan,LV prasad eye instituation,h.no:14,,kismatpur,"/>
        <s v="1-90/2/E/A,sri sai nilayam,vinyaka nagar colony,madhapur,hyd"/>
        <s v="h.no:3-3/55,tulja bhavani nilayam vinay aka nagar colony,banglaguda jagir,rajendra nagar"/>
        <s v="6-58,dargha khaliz khan,kismatpur,rajendranagar,rangareddy"/>
        <s v="plot no.21A,sy no.12,whitefeilds,opposite,divya shree omega,kondapur,hyderabad,selingampally circle no&gt;20,hyd"/>
        <s v="D.no:6-3-1192/1/G/8,white house,G4,kundanbagh,begumpet,hyd,telangana"/>
        <s v="sy no.20/AA western colony,gandhmguda,banglaguda,telangana,gandipet"/>
        <s v="survey no.37,himayath sagar village,gandipet mandal,rangareddy district,telangana"/>
        <s v="h.no:5-68,shantinagar,hydershakote,banglaguda(jagir),rajendranagar"/>
        <s v="shop no.101 plot no.36 st.mincheals colony,banglaguda,gandipet"/>
        <s v="shutter no-1,first floor,h.no:2/17,satya towers,opposite,hanuman mandir,kothguda,hyd"/>
        <s v="sy no.88, near old hafeezpet,sai nagar,opposite genpact company,serilingampally, hyd"/>
        <s v="8-3-228/678/1398,sri ram nagar,near syedna omar masjid,yousufguda circel no.19,telangana"/>
        <s v="5-12A,darga khaliz,khaan guda,telangana"/>
        <s v="h.no:8-228/b/b/b,rd no.3,banjara hills,jubliee hills circle no.18,hyderabad"/>
        <s v="LIG 153,KPHB phase 7,kukatpally,moosapet circle no.23,hyd"/>
        <s v="8-3-235,yousufguda,hyd,khairthabad,circle no.17,hyderabad"/>
        <s v="plot no.146,beside dry fruit shop srinagar colony,main road hyderabad circle no.17"/>
        <s v="6-3-598/5 ground floor,venkataramana colony,khairatabad circle  no.17,hyd,telangana"/>
        <s v="Ishaq ahemed,h.no:2-499,sai nagar,old hafeezpet,selingampally circle no.20,hyd"/>
        <s v="plot no.212,prashanth nagar,kothaguda kondapur"/>
        <s v="H NO 1-31/A SRI RAMNA ARCADE KONDAPUR, Serlingampally Circle No 20,Hyderabad, Telangana - 500084"/>
        <s v="Yadagiri nagar rd,Jawahar nagar,yousfguda,khairthabad circle no.17,hyd"/>
        <s v="Road no.30,alkapoori township,hyd,rangareddy district"/>
        <s v="Seeramnagar colony,puppalguda village and G.P,rajendranagar mandal,puppalguda"/>
        <s v="H.no:37/4,near malaysian township,kphb colony,kukatpally circle no.24,hyd"/>
        <s v="sy no.88/9,h.no:1-85/5/A,old hafeezpet,miyapur,hyd circle no.12,"/>
        <s v="survey no.82,raidurg,panmaktha,serllingampally circle no.20,Hyd,telangana"/>
        <s v="sr.botanical garden road,hyd,kondapur,telangana"/>
        <s v="LIG 222,7th phase,kukatpally circle no.24,hyd,telangana"/>
        <s v="CRQR+ PJ. hyderabad, near lotus community srinivas nagar, madhura nagar"/>
        <s v="6-1-9,shop no.47,savinagar,pottisree Ramulu maig,khairtabad circle no.17,hyd,telangana"/>
        <s v="Villa 05, Wonder cherish villas, masjid banda, hyd, telangana"/>
        <s v="G1 Anusha Enclave Golden Temple, Rd, Secretariat  colony, Sri ram nagar colony,"/>
        <s v="8-1-284/472,ou colony,shaikpet,hyderabad,jubliee hills circle shop no.18"/>
        <s v="Villa 05, Wonder Cherish Villas, Masjid Banda,, Serlingampally Circle No 20,Hyderabad, Telangana - 500084"/>
        <s v="suryarao gonthireddy,h.no:5-3-37/B,madinaguda,chandanagar circle no.21,hyd,telangana"/>
        <s v="H.no:6-3-347/9/4/c, dwarakapuri colony,panjagutta,khairatabad circle, hyderabad,telangana "/>
        <s v="H.No-3/14/15, plot No 141 eg. No. 222, sai Tulasi enclave -1, Vallinagulapath, village, Narsingi."/>
        <s v="p.no 30 &amp;31, s y no 167, villa no 5, wonder cherish villas, masjid banda, kondapur, HYD,Telangana"/>
        <s v="Twilight, Road number 1, Neknampur Rd,Puppalguda, Rajendranagar, Rangareddy,Telangana - 500089"/>
        <s v="sy no-192, Camelot layout, kondapur, sangareddy, Telangana"/>
        <s v="G2 beside,baskin robbins, smr vinay hiland,miyapur,hyderabad "/>
        <s v="shop no.1,D.no:8-1-28/ou/448,Dream vally rd,ou colony,shaikpet,hyd"/>
        <s v="5-3/37/6,SR enclave,manjeera pipeline road,opposite raycon residency,mandinaguda,hyd,telangana"/>
        <s v="himyathnagar"/>
        <s v="Innu ringroad ground floor 3-4-104/1/,hyderguda 404 road attapur,hyd"/>
        <s v="plot no.16,madinaguda main road,chandanagar,hyderabad,chandanagar circle no.21,hyd,madinaguda"/>
        <s v="6-1-82 and 83/gf/1,ground floor ssr chambers,lakdikapool,hyderabad,khairthabad circle no.17"/>
        <s v="Cfrp+M7h pg road sappu bagh apartement sindi colony,begumpet hyd"/>
        <s v="shop no.07,block 01,RBR complex,miyapur,chandanagar circle no 21,hyderabad"/>
        <s v="1-27-356,Bapuji nagar,content munt aua except csds cantonment secunderabad,tealngana"/>
        <s v="HIG 41/1,9th phase rd,kphb phase 6,kukatpally,hyderabad,telangana"/>
        <s v="Puppalguda, Alkarpur township, 500089 Alwal circle No.23, hyderabad"/>
        <s v="Shop No.1, Block No:1, RBR Complex, Miyapur Chandanagar circle No 21, Hyderabad "/>
        <s v="Serlingampally circle no.20,hyd,telangana"/>
        <s v="Q city road,near US consultancy,serlingampally circle no.20,hyd,telangana "/>
        <s v="SY NO-78, KOLAN Rangareddy Function Hall Complex, Hyder Nagar, Nizampet, Kukatpally "/>
        <s v="Plot No 20/9, SY NO 1009, 1st floor, 6th phase KPHB colony, Moosapet circle No 23, Hyderabad, Telangana "/>
        <s v="13-6-815/13/1 ambedkar nagar langr house mehdipatnam circle no 12, hyderabad"/>
        <s v="20/10,6 phase Kphb, Kukatpally Circle NO 24, Hyderabad, Telangana "/>
        <s v="f908+gjh,shop no.1,siddhiq kebab centre dhaba, kondapur lane,gachibowli"/>
        <s v="momi gupta, plot no 111, sunrise colony, sajjan singh layout, narsingi, gandipet, mandar, r.r  dist"/>
        <s v="portion no.4,first floor,sp's saroja complex,plot no.20/9,sy no.1009,situated at 6th phase kphb colony,kukatpally"/>
        <s v="sri ram nagar colony,serlingampally circle no.20,hyd"/>
        <s v="7-4-413/11 ASR nagar east ameerpet, amberpet circle no. 16, hyderabad, telangana,"/>
        <s v="5-5-69 &amp; 70 Opp Jain Apartment, Gandipet, Rangareddi, Telangana"/>
        <s v="6-73/241,Bayuth colony,alkapur road,hyd,khairtabad circle no.17"/>
        <s v="c/o diyi satanayan plot no 151 h no 20-151 , surabhi colony, lingampally, lingampally, kv reddy, serlingampally "/>
        <s v="h.no 1-90/c/8, inside sri krishna food court, hudo techno enclave, opp LP tower, vittalrao nagar, hitech city "/>
        <s v="sai raghava enclave,beside vijetha,super market,ameenapur,chandanagar,selingampally"/>
        <s v="h.no:2-41/5/A,3rd street,police colony,hanuman nagar,kondapur"/>
        <s v="hyderabad bucket and kunda biryani,2,bus stop,15-25-890/3,temple beside vijetha super market,kphb phase 1,kukatpally"/>
        <s v="H.no:2-41/1 kothaguda,prashanth nagar colony,kondapur,serlingampally circle no .20,hyd"/>
        <s v="tngo'S colony,phase 2,gachibowli"/>
        <s v="H.NO.: 16-31-20/1/S2, Shop No 2 SVS Elegant Phase-6 , KPHB colony, kukatpally"/>
        <s v="Road no.5 KPHB kukatpally opposite punjab national bank beside american tourister, Kukatpally "/>
        <s v="h.no 1-57, serlingampally, circle no 20, hyd, telangana "/>
        <s v="TNGO's colony, phase-2 , gachibowli, hyderabad"/>
        <s v="23-83, BESIDE CMR SHOPPING MALL, BHEL, CHANDA NAGAR, HYDERABAD -500050, Chandanagar circle No 21, Hyderabad, Telangana-"/>
        <s v="tngo'S colony,phase 2,gachibowli,Hyderabad"/>
        <s v="beside hyderabad golf club, near banjara darwaza, golconda, fort road,tolichowki,hyderabad"/>
        <s v="plot no - 149, kismatpur road, near velly view enclave bandlaguda, hyderabad "/>
        <s v="7-1-282/C sriram nagar colony, Balkampet , hyd 500018, Begumpet circle NO 30"/>
        <s v="Plot No. 279 27/a, khanamet village, Hi-tech city. Seringampally near SSR on the way drive in , Seringampally "/>
        <s v="h.no:1-72/3, p no.7,sy no.18,gachibowli village,serlingampally mandal,rangareddy"/>
        <s v="S.R ecclave,5-3/37/6,manjeera pipelane rd,oppsite,raycon residency,mvtri nagar,phase-3,miyapur"/>
        <s v="LIG:35/3,3rd phase,kphb colony,hyd,kukatpally circle no.24,hyd,telangana"/>
        <s v="HNO No. 2-41/11/10/11, G3, Sri sai shanti residency prashanth nagar, kothaguda circle "/>
        <s v="Door No, 2-41/11/10/, G3, Sri sai residancy prashanth nagar, kothaguda circle "/>
        <s v="Door No, 2-41/11/10/, G3, Sri sai residancy prashanth nagar, kothaguda "/>
        <s v="plot no 749, sy no 61, sri ramnagar colony, gandipet, rangareddy, telangana "/>
        <s v="bilwa 36,5th floor,plot no.1101,road no.36,next to IDBI bank,cbi colony,jubliee hills,hyd"/>
        <s v="plot no.145,babu khan line,PJR nagar,Gachibowli,serlingampally circle no.20,hyd"/>
        <s v="plot no.1031,matrusri nagar colony,miyapur,hyd"/>
        <s v="flat no.G2,mythri bhavan,veshweshwara nagar,madinaguda,serlingampally circle no.20,hyd"/>
        <s v="shop no.3,h.no:6-94/17/1,MIG-101,Noorjahan complex,huda colony,chandanagar,hyd"/>
        <s v="plot 5-327, sree ram nagar colony, puppalguda rajendra nagar mandal, rangareddy district "/>
        <s v="plot no  -199,TNGO's colony, financial district, rajendra nagar"/>
        <s v="plot no 419,  j-heights, TNGO's colony, financial district, gachibowli,manikonda, rajendra nagar"/>
        <s v="RHS-R6-UE, Near Nift college, Hitech city metro chanda nagar Circle No 21, HYD "/>
        <s v="Plot No. 35, khampet , Hitech city, Chandanagar circle No. 21, Hyderbad "/>
        <s v="plot no.35,khanmet,chandanagar circle no.21"/>
        <s v="Sy No. 183, maseed banda kondapur, serlingampally circle NO 20. Telangana - 500084"/>
        <s v="h.no:8-3-228/678/140,sri ram nagar,moti nagar,yousufguda circle no.19,hyd,telangana"/>
        <s v="sy no.203, to 210p1,Tngo colony,backside Q city,gachibowli,selingampally,circle no 20"/>
        <s v="plot no:1449,sy no.78,gokul plots,venkata ramana colony,hyderabad"/>
        <s v="Plot No 1, Amrutha Enclave, Gandipet, Bandlaguda Jagir Rajendranagar, rangareddy, Telangana - 500086"/>
        <s v="H.no:4-229 and 230,plot no.227,sy no.78-93,Raja rajeshwara nagar,kondapur,selingampally circle "/>
        <s v="Tngo's colony,plot no.243,phase 1,kv ranga rao circle no.20"/>
        <s v="Baditha priyanka,plot no.782,seven hills driven,gopal nagar,Hafeezper,hyd"/>
        <s v="sy no.38,39,40,khanmet village,serlingampally circle no.20,hyd"/>
        <s v="H.no:8-2-248,shop no.G4,lumbini amrutha chambers,road no.3,banjara hills,hyd,telangana"/>
        <s v="8-1-398/ PM/175, paramount colony telangana - 500008 gate no. - 3, jubliee hill circle no. 18, hyd."/>
        <s v="plot no.22,part 1,amartahanda nagar,new hafeezpet,miyapur,selingampally,hyd"/>
        <s v="Plot No. 7, Near Crayon Hospital, Prasanth Nagar Colony, Bandlaguda (Jagir),Rajendranagar, Rangareddy, Telangana -500091"/>
        <s v="Plot No:- 7, Near Crayon Hospital, Prasanth nagar colony Bandlaguda Jagir, Rajendranagar, Rangareddy, Telangana - 500091"/>
        <s v="plot no.84/1,miyapur,chandanagar circle no.21,hyd,telangana"/>
        <s v="syapu kiran babu,plot no.782,seven hills,driveinn,gopal nagar,hafeezpet"/>
        <s v="plot no.212,Tngo's colony,wipro circle,near appolo pharmacy,circle no.20,hyd"/>
        <s v="Raja rajeshwarangar,GF9C4+2x9,kondapur,gachibowli,telangana"/>
        <s v="shop no.3,H.no:5-3/12,plot no.12,sai tulsai enclave,rattinagulapally,gandipet(19),ranga reddy"/>
        <s v="h.no 5-3/12, plot no 12, phase-I, sai tulasi enclave, vattinagullapally,rajendranagar"/>
        <s v="369,swathi avenu,ameerpet,khairtabad circle no.17,hyd,telangana"/>
        <s v="11-05-167/2,bhavani nagar,near pochamma temple,moosapet,hyd"/>
        <s v="shop no.1,patrika nagar,SLR guest house,selingampally circle no.20,hyd"/>
        <s v="7-1-403,balkampet road,ameerpet,khairtabad circle no.17,hyd,telangana"/>
        <s v="8-4-548/s 116/1,sanathnagar,erragada,hyd"/>
        <s v="plot no 122, venkateshwara colony oppo hospital kistmapur, rangareddy telangana "/>
        <s v="plot no 34 &amp; 5 park KFC lane near jv colony jubilee hills circle no 18,hyderabad telangana"/>
        <s v="road opposite LV prasad eye institute abhyudaya nagar,dargha khaliz khan,kismatpur"/>
        <s v="sy no.104-106,beside vaishnavi oasis,bandlaguda jagir,kismatpur road"/>
        <s v="sy no.104,beside vaishnavi oasis,bandlaguda jagir,kismatpur road"/>
        <s v="L135/3 3rd phase,bsnl road,temple,bus stand,kphb colony,kukatpally circle"/>
        <s v="plot no.156,part 1,narsingini,manikonda,rajendra nagar,rangareddy"/>
        <s v="plot no 202, beside kamadhenu jewellers, TNGO's colony, gachibowli, hyderabad,telangana"/>
        <s v="no. 4/5/6, shop no.2, kismatpur,shivasai colony, kismatpur, rajendranagar, rangareddy, telangana, 500030"/>
        <s v="8-4-549/26,netaji nagar,erragada,yousuf guda circle no.19,hyd,"/>
        <s v="H.no:1-72/3/316/27,plot no.27 and 37,gachibowli,serlingampally circle no.20"/>
        <s v="kedarisetty veera venta satya,MIG-264,shop no.3,road no.4,near apollo,kphb,kukatpally"/>
        <s v="MIG-264,shop no.3,road no.4,near apollo,kphb,kukatpally"/>
        <s v="shop no.1,JSR classic,vijetha super market,pragathi nagar,nizampet"/>
        <s v="Ragiv gandhi nagar,langarhouz,hyderabad,telangana"/>
        <s v="h.no:8-3-229/D175,ventatagiri,yousufguda,hyd,telangana"/>
        <s v="8-3-228/A/12,RRV apartments,opposite srisalam yadav"/>
        <s v="shop no.6,partika nagar,madhapur,serlingampally circle"/>
        <s v="LIG 22/2,ramya grounds road,3rd phase KPHB,moosapet circle"/>
        <s v="11-1-12751B,new bhoiguda,afzal sagar,goshamahal circle no.14,hyd,telangana"/>
        <s v="1-19,narayankhed,abenda,narayankhed,pragathi nagar,kukatpally"/>
        <s v="6-1-69/1,plot no.68,street no.7,bhagyalaxmi colony,manikonda,telangana"/>
        <s v="plot no.13,bandlaguda jagir,rajendra nagar circle no.11,hyd,telangana"/>
        <s v="Building no/flat no.8-1-284/ou/307,OU colony,shaikpet,hyd"/>
        <s v="plot no.691,692,OU colony main road,near dream valley villas, tanasha nagar"/>
        <s v="plot no.2,ganesh nagar,kismatpur,gandiper,rangareddy,telangana"/>
        <s v="shop no.6,badam sohana apartment,3-1085,Raj bhavan rd,somajiguda,hyd,telangana"/>
        <s v="Anuhav Art of Irumy road no.25,alkaprui township,manikonda,rajendra nagar"/>
        <s v="Road no.5,KPHB opposite punjabi national bank,kukatpally,hyd"/>
        <s v="plot no.82/c,road no.3,shutter no.1,addaguta society,kukatpally"/>
        <s v="Plot no.1,Bandlaguda jagir,rajendra nagar,rangareddy,telangana,500091"/>
        <s v="Pendyala teja arun kumar,plot no-2,survey no.155,to 165(p),vasavi co-operative housing,pragathi nagar"/>
        <s v="sy no.13 and 16,Bandlaguda jagir,gandipet mandal,rangareddy district,telangana"/>
        <s v="shop no.3,996V+nf5,kismatpur road,banglaguda jagir,telangana"/>
        <s v="plot no.51,serimallegardens attapur,mehadipatnam circle no.12,hyd"/>
        <s v="8-1-293/4,situated at dwaraka nagar colony,shaikpet,jubliee hills circle no.18"/>
        <s v="High tension,line rd,raghavendra colony,kondapur,telangana"/>
        <s v="Raidurga panmaktha near TCS , building madhapur, serlingampally circle no-2 , hyderabad "/>
        <s v="will- Mallipaathi po -malipathi, 210-C Sri Ram Kondapur "/>
        <s v="plot no.50,sri laxmi nagar colony,manikonda,hyd,telangana"/>
        <s v="plot no.822,100 feet road,ayyappa society,madhapur,hyd,telangana"/>
        <s v="plot no.13,sipa paradise,pragathi nagar"/>
        <s v="shop no.2,stilt floor,puppalaguda,rangareddy"/>
        <s v="h.no:1-26,survey no.61,ground floor and first floor road no.36 old road guttala begumpet,madhapur"/>
        <s v="sri laxmi nagar colony,manikonda,hyd"/>
        <s v="H.NO:1-90/7/B/126,P.no:53A,street-1,patrika nagar,madhapur"/>
        <s v="plot no.91/part,sy.no.11/19,11/20 and 11/21,khanamet,madhapur,chandanagar circle no.21,hyd"/>
        <s v="plot no.9,ground floor,shiva bhagh,Ameerpet,hyd"/>
        <s v="plot no.16/B,Addagutta,beside arjun theatre,jKPHB,kukatpally circle no.24,hyd"/>
        <s v="plot no.897,SS Drive in,S.A society,khanamet,madhapur,serlingampally circle no.20,hyd ,telangana,500081"/>
        <s v="Addagutta ,hmt sathavahana nagar,kukatpally,hyd,telangana"/>
        <s v="plot no.410,raja reshwara nagar,kondapur,serlingampally"/>
        <s v="h.no:7-1-621/269,S R nagar,khairthabad circle no.17,hyderabad,Telangana"/>
        <s v="H.no:7-1-304/2/64,BK guda,SR nagar,khairthabad circle no.17,hyd,telangana"/>
        <s v="(pratap ward) d.no:1-140/3/7/h/p2,Huda techno enclave sector,madhapur,serlingampally circle no.20"/>
        <s v="kokkigaddam prema raju plot no.897,Ayyappa society,madhapur,chandanagar"/>
        <s v="mk plaza, marthanda nagar, new hafeezpet, telangana - 500049"/>
        <s v="H. No 4-188, premnagar, hafeezpet, chandanagar  hafeezpeyt, chandanagar, circle no 21, hyderabad - 500049"/>
        <s v="SY NO-78, KOLAN RAGHAVAREDDY FUNCTION HALL COMPLEX, HYDER NAGAR , NIZAMPET, Kukatpally Circle No 24, Hyderabad, Telangana - 500090"/>
        <s v="sy no.-78,kolan raghavareddy function hall complex,hyder nagar,nizampet,kukatpally"/>
        <s v="plot no.420,sy no.78-93,raja rajeswara nagar,kondapur,serlingampally circle no.20"/>
        <s v="KPHB colony,kukatpally circle no.24,hyd"/>
        <s v="h.no:8-2-293/82/A/35,road number 5,jubliee hills,hyd,telangana"/>
        <s v="plot no.1774/1784/1,Incoyis circle,pragathi nagar road,3rd layout,a leap Industrial,telangana"/>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P SATYA SAI, MIGH-574, H.No.15-25-574, Ground Floor, Road No.1, KPHB Colony, Kukatpally, Hyderabad, Moosapet Circle No 23, Hyderabad, Telangana - 500072"/>
        <s v="Kismatpur road adjustent to vidyapeet school ,bhavani colony,velly viewen clave,Bandlaguda jagir,"/>
        <s v="plot no.299,h.no:8-2-309/7/3,sy no.129/81,ward no,10,block no.3,road no.14,Banjara hills,hyd"/>
        <s v="Door no.6-MIG-82,Tanisha nagar huda layout manikonda,rajendra nagar,ranga reddy,telangana,"/>
        <s v="Sy no.177/P,Anjamma residency,alkapur,township road,pupaalaguda,gandipet mandal"/>
        <s v="Door no.B-43,Journallist colony,Jubliee hills circle no.18,Hyd,telangana"/>
        <s v="Plot no.149,opposite shivalaram main road ou, shaikpet,jubliee hills circle no.18"/>
        <s v="plot no : 2s.263A, Ayyappa socity main Rd, sarojini naidu nagon, Madhapur, HYD, telangana 500081"/>
        <s v="H.NO.:1-110/MN/18/RER. Marthand nagar, new hafeezpet, chandanagar circle No 21, Hyderabad Telangana 500049"/>
        <s v="plot no. 14, HIG 15, sy no. 4, tanasha residental complex,pokalwada , village, manikonda"/>
        <s v="h.no: 6-13/MIG, bhagyalakshmi colony, tanasha nagar, manikonda, telangana, 500089"/>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survey no.167,ramachandra reddy nagar"/>
        <s v="shop no.S-8,block-A,pagadala pride,house no.6-250024,survey no.60,Bachupally"/>
        <s v="h.no:5-6,beside veterinary hospital,narsinginii"/>
        <s v="ground flor, razzak mazil G6, ambedkar colony, khairatabad, hyderabad,telangana "/>
        <s v="mumtaz hno 6-3-1090/a/2 circle no 20 opp katarya hotel towers, e, rajbhavan road, somajiguda, 500082"/>
        <s v="hno- 6-2-967/b/a/6, fatch manzil, khairathabad circle no - 17, hyderabad, telangana"/>
        <s v="kukatpally,allwyn colony,kukatpally circle no.24,hyd,telangana,"/>
        <s v="plot no 19, kismatpur road behind HP petrol bunk, sri venkateswara colony, 500086"/>
        <s v="Gaulidoddi , Gachibowli, Plot no 18919 sai tulasi Enclave-1, gandipet, Rangareddy, Telangana -500075"/>
        <s v="h 6-3-1247/237, rajbhavan road, rajnagar somajiguda, hyderabad"/>
        <s v="House No. 5-1-119 Shop No. 4 Ground floor bus Stop Pillar No. A815 Kukatpally, Hyd - 500072"/>
        <s v="H.NO:2-35,neknampur village,manikonda,gandipet mandal, R.R district "/>
        <s v="h.no:- 6-2-967/b/a/6, fateh man zil, khairatabad circle no - 17, hyderabad, telangana - 500004"/>
        <s v="16-31-245, KPHB, 6th PHASE Opp Bluedart, HYD 500072"/>
        <s v="sy no.106/P,107/1,Gulmohar park colony,tara nagar serlingampally telangana,hyd"/>
        <s v="B007,riddhis grand eur,neknampur road,manikonda,gandipet,rangareddy,telangana"/>
        <s v="Hno:- 8-46/p, 1st floor, swaran arcade, sai ram nagar, colony, bandlaguda jagir, rangareddy, telangana 500086"/>
        <s v="D.no:7-1-419/9/MS/1-C,opposite prime hospital,manjeera square,ameerpet"/>
        <s v="8-3-96019, sri nagar colony main rd, opp bank of baroda, yella reddy guda, telangana - 500073"/>
        <s v="5-5-35/18,amma mess road beside canara bank,prashant nagar,kukatpally circle no.24"/>
        <s v="D.no:7-1-645/A/1/E,Erragada,yousufguda circle no.19,hyderabad,telangana"/>
        <s v="prashanth nagar,kukatpally,hyd"/>
        <s v="plot no.41/A,Ameetpet road,opposite trends showroon,chandangar circle no.21,hyd,telangana"/>
        <s v="plot no.38,padmaja colony,chandanagar,hyderabad,telangana"/>
        <s v="Moosepet Tanjayab nagar,mossapet,hyd,pillar no.891"/>
        <s v="C9XR+F87,Ayyappa society main road,megha hills,sri sai nagar.madhapur,hyd"/>
        <s v="H.no:32-556/18,sai nagar X road kkukatpally circle no.24,hyderabad"/>
        <s v="plot no.41,opposite rajendra reddy nagar colony,chandnagar"/>
        <s v="H.NO:13-6-815/A/2,ground floor,langarhouz,hyderabad karwan circle no.13,hyd"/>
        <s v="plot no.1 and 2,padmaja colony,chandanagar,hyderabad,telangana"/>
        <s v="sy no.259,263,264,plot no.199,198,chandanagar,reddy colony,sangareddy"/>
        <s v="7-1-399/ameetpet,sr nagar main road,near police station,srinivas nagar,hyd,telangana"/>
        <s v="Plot no: 1271, opp bharath petrol bunk road no:63, checkpost, Jubilee hills , hyderabad - 500033, jubilee hills, circle no: 18, hyd"/>
        <s v="plot no.103 KSR, Enclave beside ayyappa swamy temple,chandanagar"/>
        <s v="Rd.1 kukatpallly housing board colony,phase 1,kukatpally,hyd"/>
        <s v="H.no:KIGH 145,KPHB 7th phase,opposite to GHMC basketball ground,kukatpally,moosapet circle no.23"/>
        <s v="H.no:2-106/9/1,krisat colony,phase-4,gangaram chandanagar"/>
        <s v="plot no.31 and 32, KSR layout,PJR colony,serlingampally,chandanagar circle no.21,hyd,telangana"/>
        <s v="Nallagandla, Tellapur,setlingampally circle no.20,hyd,telangana"/>
        <s v="D&gt;NO:1-11/A/81,Plot no.81,gopal reddy nagar,opposite RTA office,kondapur,hyd"/>
        <s v="plot no.491,near monkey center,madhapur nagar,pragathi nagar,hyd,telangana"/>
        <s v="plot no.105/LIG plhase -XV KPHB colony,kukatpally circle no.24,hyd,"/>
        <s v="H.no:LIG 145,KPHB 7th phase,road,qutubullapur,telangana"/>
        <s v="H.NO:10-31-IX-H5,phase9,KPHB colony,kukatpally,moosapet circele no.23"/>
        <s v="H.NO P-13/B,Addagutta society,backside vishwanth theatre,kukatpally"/>
        <s v="Aroma,HIG,phase 9,kphb colony,kukatapally, moosapet circle no.23,500072"/>
        <s v="plot number 828,venkata ramana colony ,gokul plots hyderabad -500072"/>
        <s v="KSR Enclave beside ayappa swamy temple,chandanagar,shop no.3,hyd,telangana"/>
        <s v="Anjanaya nagar,moosapet circle no.23,Hyderabad,telangana,500018"/>
        <s v="1-59/8/A,miyapur PS,serlingampally circle no.20,hyderabad,Telangana"/>
        <s v="Rayankathishravankumar,survey no.957,ICRISAT colony,Beeramguda 100feet road,502032"/>
        <s v="P.no.14/part,sy no.2,PJR enclave road,opposite gonguras restaurant,chandanagar"/>
        <s v="H.NO:HIG 65 3rd phase near manjeera water tank kayaka parameshwari temple road,Kphb"/>
        <s v="plot no.1452/p venkata ramana colony,gokul plots circle no21-hyderabad 500049"/>
        <s v="plot no.8-2/19/2,beside SBI Bank,Rampally village,keesara,medchal,malkajgiri,telangana"/>
        <s v="MIG-42/1-6,kukatpally hosing board colony,phase3 hyd"/>
        <s v="KSR Enclave beside ayappa swamy temple,chandanagar,shop no.6,hyd,telangana"/>
        <s v="beside feather n splash, kukutpally housing board colony, hafeezpet, telangana - 500085"/>
        <s v="Plot no, 1618, Radha krishna rd, Venkat a rammana rd hyderabad telangana,"/>
        <s v="Ramya Ground RD,beside mad over maggi near vinayaka temple,kukatpally housing board"/>
        <s v="KPHB colony,temple bus stop,opposite mammus kitchen"/>
        <s v="P.no:7/3/4,sector-03,huda technoE,madhapur,serlingampally circle no.20,hyderabad,telangana"/>
        <s v="survey 176,plot no c,addagutta housing society,circle no.24,kukatpally,hyderabad"/>
        <s v="plot no.22,MIG,KPHB phase 15,kukatpally,moosapet circle no.23,500072"/>
        <s v="plot no.27,khanmet village,Hitech city,,serlingampally near on the way driven in,hyd,chandanagar"/>
        <s v="H.NO:2-3-406/12/part,plot no.7,road no.2,Tulasinagar,near M2m jeans,kukatpally circle no.24"/>
        <s v="H.no:1-2-33/VP/76,Hydernagar,Balaji hills road,Ram naresh colony,Chandanagar circle no.24,hyd,telangana"/>
        <s v="PT.NO.52,SY.103/2,Jayabhari enclave,hyderabad"/>
        <s v="plot no.744,road no.40,Ayyappa society,madhapur,hyderabad,telangana"/>
        <s v="2-91/14/8,whitefeilds,kondapur,hitech city,serlingampally circle no.20,telangana"/>
        <s v="C9VV+26,megha hills,madhapur,telangana"/>
        <s v="p.no:897,ss drive in,S.A society,khanamet,madhapur,serlingampally circle no.20,hyderabad"/>
        <s v="shop no.4,plot no.897,ss drive in,ayappa society,madhapur,chandanagar,circle no.2,hyd,telangana"/>
        <s v="12-19-46/2,kukatpally circle no.24,hyderabad,telangana"/>
        <s v="H.NO:8-3-214/54/1/B-3,Madhaura nagar,Ameerpet,hyderbad,telangana"/>
        <s v="R/O plot no B3,Kundacottage,madhura nagar,Ameerpet,hyderabad,telangana"/>
        <s v="H.NO:7-1-632/17,Bapu nagar,sanjeeva reddy nagar,Khairthabad circle no.17,hyderabad"/>
        <s v="7-1-621/289/5/A,Bapu Nagar,SR Nagar,hyderabad,telangana"/>
        <s v="Flat no.909,block-A,Raghavendra's Mirra Pan chajan,Miyapur,AS Raj Miyapur,serlingampally circle no.20"/>
        <s v="32B,Opposite,Community Hall,SR Nagar,Hyderabad,Khairthabad circle no.17,Hyd,Telangana"/>
        <s v="H.NO:7-1-209,Sy No.153,Sanjeeva Reddy Nagar,Ameerpet,Hyderabad,Telanagana"/>
      </sharedItems>
    </cacheField>
    <cacheField name="Signing Authority" numFmtId="0">
      <sharedItems containsBlank="1">
        <s v="Mohammed minhaj uddin"/>
        <s v="M.A aqeel"/>
        <s v="Mohammed Arshad"/>
        <s v="Naika Amena"/>
        <s v="Syed Ameer Hussain"/>
        <s v="Shabana Begum"/>
        <s v="Mohd Shoieb"/>
        <s v="Asfiya sulthana"/>
        <s v="Katragadda Shesha sai"/>
        <s v="K.Rama Rao"/>
        <s v="Raguveer"/>
        <s v="Paul kumar"/>
        <s v="Bargava.B"/>
        <s v="Gardas saritha"/>
        <s v="Kuna Vaishnav"/>
        <s v="Yelgani sai kumar goud"/>
        <s v="veeram reddy seetharam reddy"/>
        <s v="Divvela sri mahalakshmi"/>
        <s v="Natva Santosh kumar"/>
        <s v="chatne akash"/>
        <m/>
        <s v="Ankapur village hotels llp"/>
        <s v="Sachinandan hari das"/>
        <s v="Siva Rama Krishna"/>
        <s v="Ashok thapa,Vishu thapa"/>
        <s v="venudhar reddy"/>
        <s v="not mentioned"/>
        <s v="Pokuri prathyusha"/>
        <s v="Ragavendra Gm"/>
        <s v="B.Raja yashwanth kumar"/>
        <s v="Bidhaniyasoni"/>
        <s v="Manjunath"/>
        <s v="Madyapaga Ravindra"/>
        <s v="Abhilash Thota"/>
        <s v="Penubua kula sai"/>
        <s v="Mangalarapu sai teja"/>
        <s v="Mohd Arshad"/>
        <s v="Rai shankar"/>
        <s v="Krishna teeram"/>
        <s v="Md mansoor"/>
        <s v="Mohammed feroz"/>
        <s v="Mohanmed feroz"/>
        <s v="karempudi vijava durga"/>
        <s v="SR Nagar"/>
        <s v="Juturi Rama seshagiri"/>
        <s v="Challa Triveni"/>
        <s v="Madapuram anil kumar"/>
        <s v="Mohammed umar khan"/>
        <s v="Mohammed Quddus hussain"/>
        <s v="K. Naga Bhushan Rao"/>
        <s v="Juhi sanjay sajnani"/>
        <s v="Sonal mohit mehta"/>
        <s v="Karthik"/>
        <s v="K.Rajesh"/>
        <s v="Ashish kumar"/>
        <s v="Vamshi krishna"/>
        <s v="Dinesh"/>
        <s v="Ramchandra rao"/>
        <s v="Yashwanth"/>
        <s v="Veera Di chaap "/>
        <s v="Yarlagadda Suryam"/>
        <s v="Medikonda kondaiah"/>
        <s v="Konda stella mary"/>
        <s v="Laxmi addikecharla"/>
        <s v="Khasim"/>
        <s v="Sudheer kumar"/>
        <s v="Musthakin"/>
        <s v="Pooja Karthik"/>
        <s v="sudarsan nayak"/>
        <s v="K. Shiv kumar"/>
        <s v="M.Sanjeev reddy"/>
        <s v="Arukha flavours/Arun"/>
        <s v="Enoch Chowdary"/>
        <s v="mohammed masurd"/>
        <s v="Kataru padmavathi"/>
        <s v="Vakalapudi subhash chowdary"/>
        <s v="Sri latha kakarla"/>
        <s v="Manikenteswara reddy.E"/>
        <s v="Prasad"/>
        <s v="Naveen"/>
        <s v="D.Venkata ramana"/>
        <s v="Paper missing"/>
        <s v="Mohammed Ishaq"/>
        <s v="Srikanth"/>
        <s v="Velagapudi meghana"/>
        <s v="Ravikanth Rao"/>
        <s v="Manikanta Reddy"/>
        <s v="T.Ravali"/>
        <s v="Prashanth Singh"/>
        <s v="V.Ravi Kumar"/>
        <s v="Aripelli VInesh"/>
        <s v="Tokala mahendra reddy"/>
        <s v="Venu prakash gunda"/>
        <s v="E.Balaji"/>
        <s v="K.Amulya"/>
        <s v="Dilip Deva"/>
        <s v="Sai lakshmi"/>
        <s v="Ravi Teja"/>
        <s v="Abhishek"/>
        <s v="MD.Ghouse"/>
        <s v="Mohammed Khaleel"/>
        <s v="Jagan"/>
        <s v="Monica Surana"/>
        <s v="Dinesh kumar"/>
        <s v="Sheik faehaan"/>
        <s v="Manne Hanumanth"/>
        <s v="Megha vath venkatesh"/>
        <s v="Dodda krupakar"/>
        <s v="B.Hsarsha vardhan Raju"/>
        <s v="Yeshwanth"/>
        <s v="Sri hari"/>
        <s v="Naveeed khan ahsan mohammed khan"/>
        <s v="Padmavathi"/>
        <s v="kotha akshok"/>
        <s v="Aduru sai charitha"/>
        <s v="Mohammed Bin Mansoor Al Jabri"/>
        <s v="Syed shahed"/>
        <s v="Lakshman kumar yadav"/>
        <s v="shiv kumar patil"/>
        <s v="mohammed Ameen Uddin"/>
        <s v="Gudelli srinivas"/>
        <s v="Ishaq ahmed"/>
        <s v="Sita Ram"/>
        <s v="Mehreen"/>
        <s v="Rakesh"/>
        <s v="Hemanta kumar jena"/>
        <s v="Ramakrishna reddy gaddampally"/>
        <s v="Kailash"/>
        <s v="Ajay"/>
        <s v="Khairatabad"/>
        <s v="Chalavadi Pavan Kalyan"/>
        <s v="Shaikhpet"/>
        <s v="Venkata Triven kumar Akula"/>
        <s v="Nagendra"/>
        <s v="Praveen Kumar "/>
        <s v="Laxman"/>
        <s v="Allampally Suresh"/>
        <s v="Narsimha"/>
        <s v="kailesh "/>
        <s v="Roopchand"/>
        <s v="G.Rajendra reddy"/>
        <s v="Regu srinivas"/>
        <s v="Y.Niraj"/>
        <s v="Amarnadh Reddy"/>
        <s v="Sai Kumar"/>
        <s v="Suryamanohara S Chivukula"/>
        <s v="Narasimha Murthy"/>
        <s v="Anjaneyareddy"/>
        <s v="Kakumanu sai teja"/>
        <s v="A. Mahesh"/>
        <s v="makkala narsing roa "/>
        <s v="Tataya Naidu"/>
        <s v="Angad Singh"/>
        <s v="Anjaneya reddy"/>
        <s v="Sravan Kumar"/>
        <s v="Sandeep"/>
        <s v="Syed Hisan Uddin"/>
        <s v="karani nagendra varama"/>
        <s v="kommala Krishna Nihar"/>
        <s v="Fathima"/>
        <s v="A. Anil Kumar"/>
        <s v="Sunny kumar arora"/>
        <s v="Manoj Reddy "/>
        <s v="Prashanth Vunnam"/>
        <s v="Mohammed Rasheed"/>
        <s v="Thirumala Reddy Balashow reddy"/>
        <s v="Prashanth prasad"/>
        <s v="Burra Rakesh Gound"/>
        <s v="Priyanka"/>
        <s v="Rahul Gupta"/>
        <s v="Naseer khan"/>
        <s v="Shadab"/>
        <s v="Madaram Shailaja"/>
        <s v="Mohan"/>
        <s v="Pidathala bharathi"/>
        <s v="Biradar Pradeep"/>
        <s v="Shajit sha"/>
        <s v="Shravan Kumar"/>
        <s v="Mohammed Irfaan"/>
        <s v="Meghana"/>
        <s v="Bhimalla Shiva Shankar"/>
        <s v="Hema Addanki"/>
        <s v="Mohammed Afroz"/>
        <s v="satya prasad"/>
        <s v="Auti Eknath"/>
        <s v="Krishna roa reddy"/>
        <s v="Korman sai krishna"/>
        <s v="Dasari kiran (Gani)"/>
        <s v="Sammidi Ranjith reddy"/>
        <s v="Raghavendra"/>
        <s v="Sai manikanta reddy"/>
        <s v="Karthik Reddy"/>
        <s v="Pendyala teja arun kumar"/>
        <s v="N. Goutham kumar"/>
        <s v="Deepak"/>
        <s v="Soheb"/>
        <s v="Kannavarapu Narendra babu"/>
        <s v="Raju gari sruthi"/>
        <s v="Satya vara prasad"/>
        <s v="Methri mallesh"/>
        <s v="Rambala sanjay"/>
        <s v="Mayabrahma nikhil"/>
        <s v="Nikhil"/>
        <s v="Anil kumar"/>
        <s v="Madhuri chand"/>
        <s v="Prem raju"/>
        <s v="not mentionrd"/>
        <s v="Veeranjaneyulu"/>
        <s v="Sekhar"/>
        <s v="Shiva karthik"/>
        <s v="Suresh Reddy"/>
        <s v="Manideep"/>
        <s v="P. Mastan Rao"/>
        <s v="Chithari sai bhuvan"/>
        <s v="P.Satya sai"/>
        <s v="P SATYA SAI,"/>
        <s v="Chandan"/>
        <s v="Mihir Khanna"/>
        <s v="Sivaji prasad vasireddy"/>
        <s v="G. Naveen kumar"/>
        <s v="Ajay Kumar"/>
        <s v="Modi venkata kishore Babu"/>
        <s v="M. Ramesh"/>
        <s v="Syed Hajiali"/>
        <s v="Srinivas"/>
        <s v="Hamdan Bin Masood"/>
        <s v="Sneha"/>
        <s v="Divya"/>
        <s v="Ravi kumar"/>
        <s v="Bishwash"/>
        <s v="Pradeep"/>
        <s v="Mekala Shasidar reddy"/>
        <s v="Nagalla Tejasai"/>
        <s v="A. Naveen"/>
        <s v="V. Rama Devi"/>
        <s v="K.Navanitha"/>
        <s v="Konda lokeswari"/>
        <s v="Khairuddin"/>
        <s v="Annappa shetty"/>
        <s v="Suresh"/>
        <s v="Birader usha"/>
        <s v="Vikram talasila"/>
        <s v="Amorz"/>
        <s v="Shiva Kumar"/>
        <s v="Shabbir"/>
        <s v="Alkehya"/>
        <s v="Tatavarthi somnath"/>
        <s v="M.Sai kiran"/>
        <s v="Santosh"/>
        <s v="Sri vengamamba delux mess"/>
        <s v="Kancharla Anand"/>
        <s v="Manjela Hanumantudu"/>
        <s v="Bhanu Prakash"/>
        <s v="Skindar"/>
        <s v="Golla Venkateshwara Rao"/>
        <s v="Sai Nagaraju Kumar"/>
        <s v="Balaram Khuntia"/>
        <s v="Madduri Ravindhar Reddy"/>
        <s v="Wasim Akram"/>
        <s v="Sunil Gowtham"/>
        <s v="Vinod"/>
        <s v="not mentioned "/>
        <s v="Naga Lakshmi"/>
        <s v="Shivananda"/>
        <s v="M.V Prabhavathi"/>
        <s v="Menday Vamshi"/>
        <s v="Arjun"/>
        <s v="Lalu Sekhar Gudavalli"/>
        <s v="Dr.Ravi Kumar"/>
        <s v="Seshu"/>
        <s v="Swarup Jana"/>
        <s v="Vasanthi Polu"/>
        <s v="M.Satya Durga"/>
        <s v="Kale Shravan Kumar"/>
        <s v="Fahad Mon Kalathingal"/>
        <s v="Phani Kumar"/>
        <s v="B.Ram Singh"/>
        <s v="Sambhashivarao"/>
        <s v="Pavithra"/>
        <s v="Ashok Kumar"/>
        <s v="Irfaan"/>
        <s v="G.Bhanu Prasad"/>
        <s v="Raja Chandra Sekhar Chevula"/>
        <s v="Kalidini Swathi"/>
        <s v="HemKumar"/>
      </sharedItems>
    </cacheField>
    <cacheField name="Pincode">
      <sharedItems containsBlank="1" containsMixedTypes="1" containsNumber="1" containsInteger="1">
        <n v="500057.0"/>
        <n v="500028.0"/>
        <n v="500006.0"/>
        <n v="500086.0"/>
        <n v="500048.0"/>
        <n v="500091.0"/>
        <n v="500008.0"/>
        <n v="500085.0"/>
        <n v="500082.0"/>
        <n v="500016.0"/>
        <n v="500081.0"/>
        <n v="500003.0"/>
        <n v="500038.0"/>
        <m/>
        <n v="500075.0"/>
        <n v="500047.0"/>
        <n v="500084.0"/>
        <n v="500019.0"/>
        <n v="500004.0"/>
        <s v="not mentioned"/>
        <n v="500072.0"/>
        <n v="500026.0"/>
        <n v="500050.0"/>
        <n v="500032.0"/>
        <n v="500033.0"/>
        <n v="500045.0"/>
        <n v="500073.0"/>
        <n v="500089.0"/>
        <n v="500049.0"/>
        <n v="500030.0"/>
        <n v="500034.0"/>
        <n v="502032.0"/>
        <n v="500104.0"/>
        <n v="500029.0"/>
        <n v="500090.0"/>
        <n v="500018.0"/>
        <n v="500046.0"/>
        <n v="500001.0"/>
        <n v="502286.0"/>
        <s v="not mentionrd"/>
        <n v="500043.0"/>
        <n v="501301.0"/>
      </sharedItems>
    </cacheField>
    <cacheField name="Locality" numFmtId="0">
      <sharedItems containsBlank="1">
        <s v="Masab Tank"/>
        <s v="Mehdipatnam"/>
        <s v="Kismathpur"/>
        <s v="Attapur"/>
        <s v="Bandlaguda"/>
        <s v="Gandipet"/>
        <s v="Tolichowki"/>
        <s v="Madhapur"/>
        <s v="Begumpet"/>
        <s v="Langer houz"/>
        <s v="Ameerpet"/>
        <s v="S.R Nagar"/>
        <m/>
        <s v="Manikonda"/>
        <s v="Gandamguda"/>
        <s v="Gudimalkapur"/>
        <s v="Kondapur"/>
        <s v="Khairathabad"/>
        <s v="Asif nagar"/>
        <s v="SR Nagar"/>
        <s v="Chandanagar"/>
        <s v="not mentioned"/>
        <s v="secunderabad"/>
        <s v="Kukatpally"/>
        <s v="Serilingampally"/>
        <s v="KBHP"/>
        <s v="Miyapur"/>
        <s v="Somajiguda"/>
        <s v="Nanakramguda"/>
        <s v="shaikpet"/>
        <s v="Madhura nagar"/>
        <s v="Yellareddy guda"/>
        <s v="SRINAGAR COLONY"/>
        <s v="Ali Nagar"/>
        <s v="yousufguda"/>
        <s v="Gachibowli"/>
        <s v="Banglaguda"/>
        <s v="Dwauaka Nagar"/>
        <s v="Hafeezpet"/>
        <s v="Banjara Hills"/>
        <s v="serlingampally"/>
        <s v="Panjagutta"/>
        <s v="Narsingi"/>
        <s v="Mandinaguda"/>
        <s v="Himayahnagar"/>
        <s v="Lakdikapool"/>
        <s v="Nizampet"/>
        <s v="KPHP"/>
        <s v="Hitech city"/>
        <s v="Ameenapur"/>
        <s v="Kismatpur"/>
        <s v="Kothaguda"/>
        <s v="not mentionrd"/>
        <s v="Jubliee hills"/>
        <s v="KPHB"/>
        <s v="Hyderabad"/>
        <s v="Raidurg"/>
        <s v="Borabanda"/>
        <s v="sri nagar colony"/>
        <s v="RC puram"/>
        <s v="Jubilee hills"/>
        <s v="Medchal "/>
      </sharedItems>
    </cacheField>
    <cacheField name="Region" numFmtId="0">
      <sharedItems containsBlank="1">
        <s v="masab tank"/>
        <s v="mehdipatnam"/>
        <s v="Langar Houz"/>
        <s v="tolichowki"/>
        <s v="madhapur"/>
        <s v="ameerpet"/>
        <s v="panjagutta"/>
        <e v="#N/A"/>
        <s v="manikonda"/>
        <s v="Kondapur"/>
        <s v="Khairathabad"/>
        <s v="miyapur"/>
        <s v="not mentioned"/>
        <s v="begumpet"/>
        <s v="kukatpally"/>
        <s v="Sherilingampally"/>
        <s v="KPHP"/>
        <s v="nanakramguda"/>
        <s v="shaikpet"/>
        <s v="yousufguda"/>
        <s v="gachibowli"/>
        <s v="banjara hills"/>
        <s v="hafeezpet"/>
        <s v="Hitech-City"/>
        <s v="not mentionrd"/>
        <s v="Jubliee hills"/>
        <s v="Hyderabad"/>
        <s v="Raidurg"/>
        <s v="Borabanda"/>
        <m/>
      </sharedItems>
    </cacheField>
    <cacheField name="Zone" numFmtId="0">
      <sharedItems containsBlank="1">
        <s v="Zone 1 Mehdipatnam"/>
        <s v="Zone 2 Jubliee hils"/>
        <s v="Zone 4 Hi-tech City"/>
        <s v="Zone 6 Ameerpet"/>
        <m/>
        <s v="Zone 3 Raidurg"/>
        <s v="Zone 5 Kukatpally"/>
        <s v="not mentioned"/>
        <s v="not mentionrd"/>
        <s v="jubliee hills zone 2"/>
      </sharedItems>
    </cacheField>
    <cacheField name="Service fees">
      <sharedItems containsBlank="1" containsMixedTypes="1" containsNumber="1">
        <n v="0.22"/>
        <n v="0.24"/>
        <n v="0.2"/>
        <n v="0.19"/>
        <n v="0.15"/>
        <n v="0.17"/>
        <n v="0.18"/>
        <m/>
        <n v="0.21"/>
        <s v="paper missing"/>
        <n v="0.185"/>
        <s v="not mentioned"/>
        <n v="0.16"/>
        <n v="0.12"/>
        <s v="25% including GST"/>
        <n v="0.23"/>
        <n v="0.26"/>
        <n v="0.13"/>
        <n v="0.25"/>
        <n v="0.14"/>
      </sharedItems>
    </cacheField>
    <cacheField name="Service Fees Bucket" numFmtId="10">
      <sharedItems containsBlank="1">
        <s v="20%+"/>
        <s v="&lt;20%"/>
        <s v="&lt;17%"/>
        <s v="0"/>
        <s v="&lt;15%"/>
        <s v="not mentioned"/>
        <m/>
      </sharedItems>
    </cacheField>
    <cacheField name="Payment Gateway Charges">
      <sharedItems containsBlank="1" containsMixedTypes="1" containsNumber="1">
        <n v="0.018"/>
        <m/>
        <s v="not mentioned"/>
      </sharedItems>
    </cacheField>
    <cacheField name="Long Distance Charges %">
      <sharedItems containsBlank="1" containsMixedTypes="1" containsNumber="1">
        <m/>
        <s v="papper missing"/>
        <s v="not mentioned"/>
        <n v="0.018"/>
        <n v="0.0"/>
        <n v="0.02"/>
        <s v="0%%"/>
        <s v="2%%"/>
        <s v="paper missing"/>
      </sharedItems>
    </cacheField>
    <cacheField name="Legal Entity Name" numFmtId="0">
      <sharedItems containsBlank="1">
        <s v="Mohammed minhaj uddin"/>
        <s v="R and B hospitality"/>
        <s v="Rahat Restaurant"/>
        <s v="alkemy"/>
        <s v="Tahaan foods private limited"/>
        <s v="Jusvous"/>
        <s v="New farmaish Restaurant"/>
        <s v="Waffle station"/>
        <s v="Al rawaf home made dishes"/>
        <s v="M/s. invences foods Bhojanams and biryani"/>
        <s v="Bhuvan's kitchen"/>
        <s v="Biryani N biryani"/>
        <s v="Bob's biryani"/>
        <s v="Eastin hotels"/>
        <s v="Ns bakers,Gardas saritha"/>
        <s v="Om Vaishnav Enterprise"/>
        <s v="Yelgani sai kumar goud"/>
        <s v="Sunrise"/>
        <s v="not mentioned"/>
        <s v="Natva Santosh kumar"/>
        <s v="chatne akash"/>
        <m/>
        <s v="Ankapur village hotels llp"/>
        <s v="A unit of Ankapur village hotels llp"/>
        <s v="Govindas cafe"/>
        <s v="Lassi corner"/>
        <s v="Ankapur village-A military hotel"/>
        <s v="V6 ventures LLP"/>
        <s v="Pokuri prathyusha"/>
        <s v="Rolo one Bakers"/>
        <s v="Shree balaji tiffin center"/>
        <s v="Shri balaji family dhaba"/>
        <s v="Sri Udupi grand pure veg"/>
        <s v="Vidhusekhara pizzeria private limited"/>
        <s v="Vrindaas kitchen"/>
        <s v="Ahladha kitchen"/>
        <s v="Mangalarapu sai teja"/>
        <s v="Mohd Arshad"/>
        <s v="Hunan Chinese Cuisine"/>
        <s v="Krishna teeram"/>
        <s v="lucky Multicusine Restaurant"/>
        <s v="Tahari house "/>
        <s v="Juturi Rama seshagiri"/>
        <s v="Challa Triveni"/>
        <s v="Meraj's Restaurant"/>
        <s v="Naseeb cafe"/>
        <s v="Sri balaji family Dhaba"/>
        <s v="Smash city"/>
        <s v="V J food partners "/>
        <s v="Bakeway Bakers"/>
        <s v="Juhi sanjay sajnani"/>
        <s v="Gupshup Bistro"/>
        <s v="Kshatriya Grand"/>
        <s v="MOKSHI KITCHEN // KETHINENI RAJESH"/>
        <s v="North indian hub"/>
        <s v="Rivora"/>
        <s v="Sri sai ram food zone"/>
        <s v="Good sparrow millets private limited"/>
        <s v="Times green enugy india limited"/>
        <s v="Veera Di chaap "/>
        <s v="Veeramma gari vantillu"/>
        <s v="Sri sai and co."/>
        <s v="Anu archana kitchen"/>
        <s v="Brew and bloom heaven coffee shop"/>
        <s v="Laxmi addikecharla"/>
        <s v="Manasa kitchen and swagrha sweets"/>
        <s v="MM cake factory and bakers"/>
        <s v="Pooja Karthik"/>
        <s v="subham grand multicusine family Restaurant"/>
        <s v="Al saba Restaurant"/>
        <s v="Amma chethi ruchulu"/>
        <s v="Andhra kitchens"/>
        <s v="Arm coffee place"/>
        <s v="Arukha flavours"/>
        <s v="Bunty biryani"/>
        <s v="Eden Ice Treats"/>
        <s v="Hitech bawarchi food court"/>
        <s v="Hotel farzaan "/>
        <s v="Konaseema biryani"/>
        <s v="Krishna magic kitchen"/>
        <s v="Padmavathi food court "/>
        <s v="SNS bakehouse bakery and cafe"/>
        <s v="suryakantham military hotel"/>
        <s v="Trinetra cafe and Restaurant"/>
        <s v="sonagiri samrajua lakshmi c/o mrtthym jaya"/>
        <s v="Al shawrma bites"/>
        <s v="Amogha cafe and Restaurant"/>
        <s v="Naveen"/>
        <s v="Bulliabbai kodi palau"/>
        <s v="Delhi Muradaladi Biryani"/>
        <s v="Hanuman Juice and salad"/>
        <s v="Hitech Bawarchi food zone"/>
        <s v="Mohammed Ishaq"/>
        <s v="Kaaram the Authntic telangana spice kitchnen"/>
        <s v="Mother's kitchen"/>
        <s v="New Udupi sri krishna grand"/>
        <s v="P.Chandra shekar Rao"/>
        <s v="Jamgam Rambabu"/>
        <s v="Sri Aadhya Delicious"/>
        <s v="Sri Bhimanaram Thali/Tangella Ravali"/>
        <s v="SS.Bawarchi"/>
        <s v="Vindhu maharaj"/>
        <s v="Vinnin Cabin Cafe"/>
        <s v="Zeeshan Restaurant"/>
        <s v="Ahara kitchen"/>
        <s v="Sada me Brands of Bhimavarman (BOB)"/>
        <s v="Sri sai rama tiffins"/>
        <s v="Sri varahi sampradaya vindhu"/>
        <s v="Dilip Deva"/>
        <s v="Al-Aadaab Arabian mandi Restaurant"/>
        <s v="Aroma biryanis and pulao's"/>
        <s v="Flavours of andhra (authentic andra cuisine)"/>
        <s v="IQ shawarma"/>
        <s v="Kings Kohinoor hotel"/>
        <s v="Mom's recipe"/>
        <s v="Mysore bakery"/>
        <s v="Oak Bistro"/>
        <s v="Palapiltta Ruchulu"/>
        <s v="Megha vath venkatesh"/>
        <s v="Dodda krupakar"/>
        <s v="Samastha tiffins"/>
        <s v="santhakam Ruchulu"/>
        <s v="Hari food"/>
        <s v="Spice theory"/>
        <s v="Sri ramana maharshi food court"/>
        <s v="Tealogy cafe"/>
        <s v="Telugu patnam ruchulu"/>
        <s v="The royal plate Restaurant"/>
        <s v="yousufain kalyani biryani"/>
        <s v="Zamana shawarma and fast food"/>
        <s v="Bhimavaram vari unlimited ruchulu"/>
        <s v="Blend and roast cafe"/>
        <s v="chicken shawarma hut"/>
        <s v="Deerga ayushman bhava"/>
        <s v="Fusion@49"/>
        <s v="Kamaskshi tiffins and snacks"/>
        <s v="LASSI STORY"/>
        <s v="Mahreen's kitchen"/>
        <s v="Nellore Padmavathi Ruchulu"/>
        <s v="RR food court"/>
        <s v="SS live kitchen"/>
        <s v="Syed mohammed yasar"/>
        <s v="Times food court"/>
        <s v="Tulija bhavani hotel"/>
        <s v="360 Degree Biryani's"/>
        <s v="Aahara food court"/>
        <s v="Biryani's &amp; co"/>
        <s v="Cherrys restaurant"/>
        <s v="Chalavadi Pavan Kalyan"/>
        <s v="Dragan kitchen"/>
        <s v="Jai Bhavani AK food court"/>
        <s v="M/S Bhavani Mess"/>
        <s v="Made in Andhra"/>
        <s v="Mayabazar"/>
        <s v="MCS TWILIGHT"/>
        <s v="Pasidipuri Kitchen"/>
        <s v="Pizza Mania"/>
        <s v="Rooster kitchen"/>
        <s v="Sangam dhaba"/>
        <s v="Shawarma house"/>
        <s v="Sindhu tiffins and meals"/>
        <s v="SKG Nawab biryanis"/>
        <s v="Spicy Xpress"/>
        <s v="The Fusion Street "/>
        <s v="Times Tiffins and Meals"/>
        <s v="Rayalaseema Ruchulu"/>
        <s v="Aahara Aahvanam"/>
        <s v="Annam Parabrahma"/>
        <s v="Asian Pan House and Restaurent"/>
        <s v="Ayaansh Food Corner"/>
        <s v="chinese express"/>
        <s v="BBQ Bites And Kitchen"/>
        <s v="East and west kitchen"/>
        <s v="Ichirakau ramen house"/>
        <s v="Kamakshi tiffins and sancks"/>
        <s v="kings M Biryani Adda"/>
        <s v="madhura restraunt and bar "/>
        <s v="Mohammed yaser(Tiffin Xpress)"/>
        <s v="Naidu Food Court"/>
        <s v="Punjabi Chaska"/>
        <s v="Rao gari military hotel"/>
        <s v="Red bucket biryani"/>
        <s v="Royal odisha daba"/>
        <s v="Sarasam the legacy of food"/>
        <s v="Sip and Chill Juice Bar"/>
        <s v="Slice and Bytes"/>
        <s v="Spicy Food Court"/>
        <s v="Squid Kitchen"/>
        <s v="Thualsi villas"/>
        <s v="Tuga the taste of india"/>
        <s v="Bab - Al - Mandi"/>
        <s v="Five Star Chicken"/>
        <s v="Annapurna"/>
        <s v="Mickey's Tiffin "/>
        <s v="Oye punjabi"/>
        <s v="Raju gari bhimavaram biryani"/>
        <s v="Rowdy Momo expresses"/>
        <s v="Sai Mumbai famous"/>
        <s v="sravanti food court"/>
        <s v="not mentionrd"/>
        <s v="Sri Sattibabu Biryani"/>
        <s v="Samika Agarwal"/>
        <s v="Zafaron shawarma nd Chinese fast food"/>
        <s v="Amerendra Naidu"/>
        <s v="The Sipping adda"/>
        <s v="Sri Venkareswara food court"/>
        <s v="Fresh fruit Juices 'n' bowles"/>
        <s v="Supreet Grand"/>
        <s v="Snaking Cafe Private Limited"/>
        <s v="Sravanam 4am biryani"/>
        <s v="Gunji chandra shekar"/>
        <s v="Jai sri ram Tasty flavours"/>
        <s v="Nadeem Hotel"/>
        <s v="Sri Vigneshwara Aaha biryani"/>
        <s v="Aahar vilas"/>
        <s v="Burra rakesh gound"/>
        <s v="The Bakely "/>
        <s v="Cafe 74"/>
        <s v="Club 10 chicken"/>
        <s v="Bashetty vennala"/>
        <s v="Hydes Diner"/>
        <s v="Naseer khan"/>
        <s v="MD kaleem Blsmillah hotel kalyani and chicken biryani"/>
        <s v="SNACKBITE (MADARAM SHAILAJA)"/>
        <s v="Madaram Shailaja"/>
        <s v="Snap fooda and beverages"/>
        <s v="Sri nakshatra chinese hub"/>
        <s v="Nagothu rajesh kumar"/>
        <s v="The hungry spot"/>
        <s v="Akshaya patra"/>
        <s v="Venkatesh vessam"/>
        <s v="Yakkanti Jahnavi "/>
        <s v="Bhavani food court"/>
        <s v="Famous arabian shawarma"/>
        <s v="Hayansh Kitchen"/>
        <s v="Kolipaka Srikanth"/>
        <s v="Nawabi cafeteria"/>
        <s v="Mamatha budhani"/>
        <s v="Preeti tiffins"/>
        <s v="sekh raphik"/>
        <s v="Shaik sartaz alli"/>
        <s v="Bhimalla Shiva Shankar"/>
        <s v="Hema Addanki"/>
        <s v="5ves Diner"/>
        <s v="Amulya Abhiruchi Biryani"/>
        <s v="Amulya Abhiruchi fast food"/>
        <s v="Appis natural fresh juice"/>
        <s v="Beyond kimchi-The taste of korea"/>
        <s v="caffeine hub"/>
        <s v="Toufeeq shaik"/>
        <s v="Chai kaburlu"/>
        <s v="classic crown restaurant"/>
        <s v="Crispy crunch dinner"/>
        <s v="D and D caterers"/>
        <s v="Dum biryani adda"/>
        <s v="Epic bawarchi "/>
        <s v="Epic bawarchi chat bhandar"/>
        <s v="Epic bawarchi tiffin centre"/>
        <s v="Healthy food promised"/>
        <s v="Healthy juice promised"/>
        <s v="Saba fathima"/>
        <s v="Kondapalli vijay kumar"/>
        <s v="Mana Vizag ruchulu"/>
        <s v="Military reddy tiffins"/>
        <s v="Sammidi Ranjith reddy"/>
        <s v="Nellore Vantakallu"/>
        <s v="Raghuram dosa "/>
        <s v="Sip of health"/>
        <s v="Slice and Bytes Biryani"/>
        <s v="Slice and Bytes food court"/>
        <s v="Sri Aadhya food court"/>
        <s v="Sri Raghavendra Bhavan Pure Veg"/>
        <s v="Sri Tejas kitchen"/>
        <s v="N. Goutham kumar"/>
        <s v="Telangana cuisine(Indian and chinese)"/>
        <s v="The brazilian juice bar"/>
        <s v="The chinese zhag family"/>
        <s v="The english kitchen"/>
        <s v="The nice juice junction"/>
        <s v="Vizag beach street food"/>
        <s v="Mohammed soheb"/>
        <s v="Telugu Ruchulu"/>
        <s v="SK foods"/>
        <s v="Amritsari Dhaba"/>
        <s v="Amritsari Khana"/>
        <s v="City chefs kitchen"/>
        <s v="Hot wings shawarma and fried chicken"/>
        <s v="Dosa mart"/>
        <s v="Godavari vari vindhu maryada"/>
        <s v="Darapuneni stores and Bakery"/>
        <s v="Mallesh mama fast food"/>
        <s v="Mankikanta's Eat hotsopt"/>
        <s v="Mexician fried chicken"/>
        <s v="Mummy ki rassoi"/>
        <s v="Nikhil's feast"/>
        <s v="Nostic Natural fruit ice cream"/>
        <s v="Rayalaseema meals and curries"/>
        <s v="Second wife C/O Gunthur"/>
        <s v="Shri Balaji chennai spices Restaurant"/>
        <s v="SRG Restro inn"/>
        <s v="The kebab kingdom(K24)"/>
        <s v="WOK 33"/>
        <s v="Sainadh fast food &amp; Tiffins &amp; snacks &amp; Tea "/>
        <s v="sainadh fast food &amp; Tiffins"/>
        <s v="KARRI VENKATA SAI KUMAR C/O AAHAR AAHVANAM"/>
        <s v="Aahara Aahvanam Tiffins"/>
        <s v="Anji Tiffins"/>
        <s v="Best biryani:s and curries "/>
        <s v="Meenakshi cafe"/>
        <s v="Good moring cafe"/>
        <s v="Gottipati military hotel"/>
        <s v="Hammayya kadupu nindindi"/>
        <s v="Hotel Hanvika Grand"/>
        <s v="P. Mastan Rao"/>
        <s v="Koodu-the taste of telangana"/>
        <s v="Monkey's cafe"/>
        <s v="Sherya fast food and momo"/>
        <s v="Snamk Hospitality"/>
        <s v="Sivaji prasad vasireddy"/>
        <s v="Sweeis dude signature pvt ltd"/>
        <s v="Ajay Kumar"/>
        <s v="The Tasty Chapter"/>
        <s v="Thopuri Lakshmikanth"/>
        <s v="Dosarani Chethivanta"/>
        <s v="Kshithis kitchen"/>
        <s v="New Chanti mess"/>
        <s v="P.K Food court"/>
        <s v="Sri saravana food and Beverages"/>
        <s v="SYVM hospitality"/>
        <s v="Ahmed Restaurant"/>
        <s v="Avani Restaurant"/>
        <s v="Bhawaanee Rest"/>
        <s v="Hamdan Bin Masood"/>
        <s v="Chinese Adda"/>
        <s v="Darbar Street"/>
        <s v="Inikaa foods"/>
        <s v="Jaya laxmi food center"/>
        <s v="Kathmandu Momos"/>
        <s v="Lotus Biryani &amp; Fast Food Center"/>
        <s v="Mekala's Kitechen"/>
        <s v="Nagalla's shaawarma and kababs"/>
        <s v="Taaza Tiffins"/>
        <s v="Udupi park pure veg"/>
        <s v="Chopsticks"/>
        <s v="Md.Khairuddin"/>
        <s v="Arya bhavan"/>
        <s v="Dostea"/>
        <s v="Genz flavoria"/>
        <s v="Pipaari Shin kumar"/>
        <s v="Mini cafe"/>
        <s v="Open heart restaurant"/>
        <s v="Rk Biryani"/>
        <s v="Sri sai Raghavendra tiffins and meals"/>
        <s v="Udipis ahaara arogya"/>
        <s v="Zucifera"/>
        <s v="Sri Vegamamba Deluxe mess"/>
        <s v="Muchies"/>
        <s v="Babai hotel"/>
        <s v="Manjela shiva kumar"/>
        <s v="Shiva kumar"/>
        <s v="Exotica slice and sauce private limited"/>
        <s v="Mohd Sikandar"/>
        <s v="Hotel the nawabi zaiqa"/>
        <s v="Hotel the nawabi zaiqa(Parata)"/>
        <s v="Hotel the nawabi zaiqa(Pulka)"/>
        <s v="Hotel the nawabi zaiqa(Rices)"/>
        <s v="Hotel the nawabi zaiqa(shawarama)"/>
        <s v="IDV kitchen muntha masala"/>
        <s v="Karthikeya Chitti Nethi idly"/>
        <s v="Karthikkeya Jain dosas"/>
        <s v="Balaram Khuntia"/>
        <s v="Munchies (Shawarma)"/>
        <s v="Madduri Ravindhar Reddy"/>
        <s v="Wasim Akram"/>
        <s v="Ruchi chupistha"/>
        <s v="Munchies"/>
        <s v="The Sandwiches"/>
        <s v="Aroma Authentic kitchen"/>
        <s v="Aroma Cafe"/>
        <s v="balaji kitchen "/>
        <s v="Sirf Chinese"/>
        <s v="Ampa Nagalakshmi"/>
        <s v="Hotel valentine"/>
        <s v="KBR Crispy chicken"/>
        <s v="KBR Popcorn chicken"/>
        <s v="Mammu's chinese kitchen"/>
        <s v="Mammu's kitchen"/>
        <s v="OM SRI HAMNUMAN"/>
        <s v="Menday Vamshi"/>
        <s v="Dosari swapna priya"/>
        <s v="VHR'S Tea @ Coffee"/>
        <s v="Gurvik entirprises"/>
        <s v="Edumakants vasu"/>
        <s v="Kolkata food plaza"/>
        <s v="Vasanthi Polu"/>
        <s v="Celebs"/>
        <s v="Mohd Wajid Ali khan"/>
        <s v="M.Satya Durga"/>
        <s v="Kale Shravan Kumar"/>
        <s v="Candella heights LLP"/>
        <s v="Muisyle Elite Hospitality Management LLP"/>
        <s v="Sri Venkateshwara Hospitality"/>
        <s v="Shriman Hotels LLP"/>
        <s v="Zufra Mandi "/>
        <s v="Phani Kumar Jallipalli"/>
        <s v="Banothy Ram Singh"/>
        <s v="Garuda Cafe"/>
        <s v="Gonguras by Garuda"/>
        <s v="Nanavath Ashok Kumar"/>
        <s v="Grand Lucky Restaurant"/>
        <s v="Gorijala Bhanu Prasad"/>
        <s v="CH.Raja Anvesh"/>
        <s v="Kaldini Swathi"/>
        <s v="Aaha Kitchen "/>
        <s v="Anandobrahma"/>
      </sharedItems>
    </cacheField>
    <cacheField name="Legal Entity Address" numFmtId="0">
      <sharedItems containsBlank="1">
        <s v="Rs complex vijayanagar colony near anjuman deendar back gate,masab tank,hyd 500057"/>
        <s v="12-2-825/2, Mehdipatnam"/>
        <s v="12-2-486,4/7,Tappa Chabutra rd, asif nagar"/>
        <s v="survey 132,alkemy, 1/2 near prestige royal woods, abhyudaya nagar,dargah khaleejkhan"/>
        <s v="syno:32,plot no 7,pillar no 242,suleman nagar,attapur 500031"/>
        <s v="syno:32,plot no 7,pillar no 242,suleman nagar,attapur 500030"/>
        <s v="Banglaguda plot no 13/a banglaguda,rahendranagar,500091"/>
        <s v="survey no.37,himayath sagar village bondlaguda jagir muncipal corporation gandipet mandal-500091"/>
        <s v="Hakeem shah colony,tolichowki,hyderabad"/>
        <s v="plot no.87,swamy ayyappa society,madhapur,hyd,500085"/>
        <s v="H.no:6-331192/1/g/3 block-1 ground floor white house,kundanbagh,begumpet,500082"/>
        <s v="13-6-798/1/1,bapughat langa howz circle,13 hyd"/>
        <s v="1-8-370and372 abhishek scan center,2nd floor near huda office,begumpet,500016"/>
        <s v="1-65-f,survey no.6,madhpur,gutlala begumpet,hyderabad,500081"/>
        <s v="H.no:7-1-455/23/12,Ameerpet gurudwara road"/>
        <s v="bus shelter stall,bus bay premises on sp road,opp anand theater and piller non1292, sindhi colony,begumpet ,500003"/>
        <s v="D.no: b41/f5 shop no.3 ps nagar,500057"/>
        <s v="H.no:325/2rt,sanjeev reddy nagar,umeshchandra statue road,s.r nagar hyd 500038"/>
        <s v="plot no.111,60ft road swamy ayyappa society,megha hills,khanamet,madhapur,hyd"/>
        <s v="plot no.03-805,shop no.2 ground floor M and M elite home,sri swamy ayyappa co-op Hs madhapur,hyd,500081"/>
        <s v="plot no-1206,madhapur,kondukur,rangareddy,telangana,500081"/>
        <s v="plot no.1206,madhapur,kandukur,rangareddy, telangana-500081"/>
        <m/>
        <s v="H.no:1-89/2/1/21,plot no-10,21,21/a,21/a, sy no.37,38,39,40,46,47 to 49,inorbit mall road, madhapur"/>
        <s v="s.v no.167/1,madhuri sadan osman nagar road,opp ocean park kokapet hyd"/>
        <s v="plot no.220,mushak mahal residential complex huda,attapur,hyd"/>
        <s v="not mentioned"/>
        <s v="plot no 7 ground floor,gandamguda 500045"/>
        <s v="h.no:1-98/6a/14,plot no 42 road no.3, patrikanagar hitech city,madhapur, hitech city"/>
        <s v="Bulding no/Flat no, sy no.64, mindspace road, madhapur"/>
        <s v="plot no.1208,g1andg2,ground floor,ayyappa society,madhapur,hyd,telangan,500081"/>
        <s v="p.no.4(a),1-89/8/4, madhapur ,hyd,telangana,500081"/>
        <s v="4-17-12,hitech city santosh residency,hyd"/>
        <s v="12-2-417/46/9,sharada nagar colony gudimalk,500028"/>
        <s v="13-6-460/112, mahesh nagar gudimalkapur"/>
        <s v="plot no.o1,first floor survey no,12 kondapur village serlingampally circle,500019"/>
        <s v="shopon plot no.2a in sy no 2a in sy no.12, situated at 500084"/>
        <s v="plot no-68 shop no-5 ayyappa socity circle-20 hyd,500081"/>
        <s v="6-1-964,shop no 2, khairthabad circel, no.17,hyderabad telangana500004"/>
        <s v="12-1-486/b/4 krishan nagar, 500006"/>
        <s v="Jai Hind Gandhi Rd, near Ayyappa Society, VIP Hills, Silicon Valley, Madhapur, Hyderabad, Telangana 500081, Chandanagar circle No 21, Hyderabad, Telangana - 500081"/>
        <s v="Plot no-84,sy no 11 swamy ayyappa housing society khanamet, hyd 500081"/>
        <s v="sy no. 54,58,59 plot no 1,part gb guttala begumpet madhapur road"/>
        <s v="12-1-486/b/4/1,kishan nagar, tappachabutra road,hyd 500006"/>
        <s v="12-1-486/b/2/5 krishan nagar"/>
        <s v="H.no:1-90/7/b/173,plot no.5,madhapur,selingampally circle no.20,hyd, telangana,500081"/>
        <s v="H.no:1-98/9/3/74/2,R L raidurg,jai hind enclave,seasons pool, madhapur,hyd,500081"/>
        <s v="first floor,plot no 2-56/11/53/a survey no 11/6,100ft road, near by meridian school,telangana"/>
        <s v="D.no:2-46/1,plot no 33/a megha hills cahndanagar circle,hyd,Telangana,500081"/>
        <s v="x road, royal colony,mehidpatnam,500028"/>
        <s v="13-1-1234,salum nasseb complex,500006"/>
        <s v="12-2-417/46/9,sharada nagarn colony gudimalkpur 500028"/>
        <s v="plot no 51 khanamet,attapur,chandanagar,circle no2 hyd,500084"/>
        <s v="H.no:27-3/26, shiva sai nagar-11-bairaguda,hyd,500091"/>
        <s v="7-1-455/12 opposite Bata showroom, Balkampet road,Ameerpet Hyd"/>
        <s v="138/1,flat no 45 shama apt sindi colony pg road 500005"/>
        <s v="Building no/flat no.1-98/90c,beside durgamma temple,ayyappa society road,madhapur"/>
        <s v="138/1,flat no 45 shama apt sindi colony pg road 500007"/>
        <s v="138/1,flat no 45 shama apt sindi colony pg road"/>
        <s v="138/1,flat no 45 shama apt sindi colony pg road 500003"/>
        <s v="H.NO: 1-8-125/1/G-2, SHOP NO. 2, AMAN ARCADE, P.G ROAD, SECUNDERABAD,Secunderabad Circle No.29, Hyderabad,Telangana - 500003"/>
        <s v="138/1,flat no 45 shama apt sindi colony pg road 500004"/>
        <s v="H.no: 4/1 Mig, ground floor , kphb colony, kukatpally,hyd-5000072"/>
        <s v="138/1,flat no 45,secunderabad 500003"/>
        <s v="plot no.2/a,whitefeilds,kondapur,serlingampally circle no 20,hyd,500084"/>
        <s v="sutter no.3, plot no .2a sy no.12,kondapur serlingampally circle no.20 hyd,500084"/>
        <s v="Gokul plots no.397and 492,VR Colony,beside vijetha super market,kphb,500085"/>
        <s v="Mig-64 dharmareddy colony phase-1 kphb colony kukatpally"/>
        <s v="138/1,flat no 45 shama apt sindi colony pg road 500006"/>
        <s v="2nd floor, 2-12-66 using B,kalyanamandapam west maredpally "/>
        <s v="2nd floor,2-12-66,using kalyanamadapam, west marredpally"/>
        <s v="2nd floor,2-12-66,west maredpally"/>
        <s v="no 7, H.no 6-3-650, 500082"/>
        <s v="H.no: 1-8-153/2, shop no-1 ground floor pg road, paradise, secunderbad,500003"/>
        <s v="Kukatpally"/>
        <s v="sai gayathri towers finacial district Nanakramguda,Telangana 500033"/>
        <s v="sai gayathri towers finacial district Nanakramguda,Telangana 500032"/>
        <s v="h.no:8-1-284/ou/152,ou colony,shaikpet,jubliee hills"/>
        <s v="sri sai arcade,beside prince biryani point,khairatabad circle no.17 hyd,500016"/>
        <s v="flat no.5 1st floor block no-6 municipal no;15-31-21-6/5,kphb colony,hyd,500072"/>
        <s v="Door no.6-3-1089/f/3/3 somajiguda,hyd,telangana,500082"/>
        <s v="kukatpally,hyd,500072"/>
        <s v="opposite metro pillar no 833 beside vikings cricket, sangeet nagar,kukatpally,hyd,500072"/>
        <s v="H.no:1-8-155/A 1st floor, pg road, secunderabad,begumpet circle no.30 Hyd, telangana,500016"/>
        <s v="H.no:6-3-902/2and3,first floor,raj bhavan road,somajiguda,hyd,telangana,500082"/>
        <s v="h.no:8-3-222/c/1/12,ground floor,madhura nagar,voulanfguda circle no.19"/>
        <s v="Yellareddy guda"/>
        <s v="ali nagar,khairthabad circle no.17"/>
        <s v="plot no:11and12,sai nath enclave,gokul plots venkata ramana colony kphb,kukatpally 500085"/>
        <s v="Ali nagar,yellareddy,madhura nagar"/>
        <s v="Madhura nagar"/>
        <s v="shop no.5, Manjira plaza,opposite Aadithya trade centre,near maithrivanam road,srinivas nagar,ameerpet,hyd,telangana,500038"/>
        <s v="h.no:12,17,opp indian oil petrol pump,madhapur"/>
        <s v="gate no.4 toulichowki"/>
        <s v="kharitabad circle no.17,yella reddy"/>
        <s v="two shutters no.1and 2,yousufguda circle no.19,hyd"/>
        <s v="H.no:33-a,aphb colony,indira nagar,gachibowli,serlingampally,circle no-20,hyd,telangana,500032"/>
        <s v="h.no:8/1,in sector-2 of hudo techno enclave,madhapur,seringampally,rangareddy,500081"/>
        <s v="no.2-22-311/53 A and 82a/31/a,p.no-53-a and 82-A, addagutta co-op society,bhagya nagar colony,kukatpally"/>
        <s v="ground floor, H.no:7-14/32/2b/g-01,alkapur township"/>
        <s v="plot no.1 road no.27,alkapur twp,manikonda"/>
        <s v="H.no:7-18-25/27/101, plot no.25,26,27,alkapur"/>
        <s v="shop no.8-3-22/16A and 16/B,madhura nagar"/>
        <s v="plot no.242,bayuth colony,pippalaguda,manikonda`"/>
        <s v="H.no:B/22,23,24,vengal rao nagar,khairtabad circle no.17,hyd.telangana,500038"/>
        <s v="MIG-154,gachibowli,selingampally circle-20,hyderabad,telangana,500081"/>
        <s v="plot no.64,opp HP petrol pump,peeramchervu,Gandhamguda,Bandlaguda jagir,hyd,500086"/>
        <s v="H.no:1-59/8/2, nandi co-operative society,miyapur,serlingampally ranga reddy district hyd 500049"/>
        <s v="H.no:4-28 plot no.28,dwauak nagar colony,banglaguda jagir,rajendra nagar,500086"/>
        <s v="Yousufguda"/>
        <s v="51/b  vengal rao nagar,hyd,yousufguda circel no.19,hyd,telangana,500045"/>
        <s v="plot no.75,76,77,dwauaka nagar "/>
        <s v="1-59/8/2, nandi co-operative society,miyapur,serlingampally ranga reddy district hyd 500049"/>
        <s v="H.no:2-27/7,vinayak nagar,gachibowlli,hyd,telagana,500032"/>
        <s v="Hyderabad"/>
        <s v="h.no:2-92/32,shop no.4,telangana,500084"/>
        <s v="CCPQ+HH8,circle no.17,madhura nagar,500073"/>
        <s v="yousufguda circle no.19,hyd,telangana,500038"/>
        <s v="-3-228/1280/46,circle no.19,hyd,500045"/>
        <s v="9-1-364/G/1, Bapu ghat,langarlouz,hyd,500008,karwan circle no.13,hyd,telangana,500008"/>
        <s v="SHOP NO:10, Abhuyudaya Nagar-Anandh nagar colony-Himayathsagar village),Gandipet, Rangareddy, Telangana -500075"/>
        <s v="5-69 and 70/2 opposite,ratanadee[,delect market westend colony,bangladuga jagir,hyd,500091"/>
        <s v="Sri ram nagar,yousufguda,hyd,500045"/>
        <s v="Hafeezpet"/>
        <s v="plot no.2A,sy no.12,opposite divya shree,hyd,500084"/>
        <s v="shop no.5 and 6 suitated opposite pochama galli dusakot village,gandipet,500091"/>
        <s v="plot no.1,darga khaliz khan,LV prasad eye instituation,h.no:14,200003,kismatpur,500086"/>
        <s v="1-90/2/E/A,sri sai nilayam,vinyaka nagar colony,madhapur,hyd,500081"/>
        <s v="6-58,dargha khalj khan,kismatpur,rajendranagar,rangareddy"/>
        <s v="plot no.21A,sy no.12,kondapur,500084"/>
        <s v="D.no:6-3-1192/1/G/8,white house G4,hyd,500016"/>
        <s v="sy no.20/AA western colony,gandhmguda,banglaguda,telangana,500086-gandipet"/>
        <s v="survey no.37,himayath sagar village,gandipet mandal,rangareddy district,telangana-500091"/>
        <s v="h.no:5-68,shantinagar,hydershakote"/>
        <s v="shop no.101 plot no.36 st.mincheals colony,banglaguda,gandipet,500086"/>
        <s v="shutter no-1,first floor,h.no:2/17,satya towers,opposite,hanuman,kothguda,hyd,500084"/>
        <s v="sy no.88, near old hafeezpet,sai nagar,opposite genpact company,serilingampally, hyd,500049"/>
        <s v="syedna omer masjid,yousufguda circle no.19,500045"/>
        <s v="5-12A,darga khaliz,khaan guda"/>
        <s v="Banjara hills,500034"/>
        <s v="LIG 153,KPHB phase 7,kukatpally,moosapet circle no.23,hyd,500085"/>
        <s v="8-3-235,Yousufguda,500045"/>
        <s v="Srinagar colony"/>
        <s v="6-3-598/5 ground floor,venkataramana colony,khairatabad circle  no.17,hyd,telangana,500004"/>
        <s v="Ishaq ahemed,h.no:2-499,sai nagar,old hafeezpet,selingampally circle no.20,hyd"/>
        <s v="plot no.212,prashanth nagar,kothaguda kondapur,500084"/>
        <s v="H NO 1-31/A SRI RAMNA ARCADE KONDAPUR, Serlingampally Circle No 20, Hyderabad, Telangana - 500084"/>
        <s v="Yousufguda,hyderabad,500045"/>
        <s v="Road no.30,alkapoori township,manikonda,rangareddy district,hyd,500089,gandipet,500089"/>
        <s v="Seeramnagar colony,puppalguda village"/>
        <s v="survey no.82,raidurg,panmaktha,500081"/>
        <s v="Botanical garden road,hyd,kondapur,telangana,500084"/>
        <s v="Madhura Nagar, Hyderabad"/>
        <s v="6-1-9,shop no.47,savinagar,pottisree Ramulu maig,khairtabad circle no.17,hyd,telangana"/>
        <s v="p.no 30 and 31,sy no 16,17 ,Villa 05, Wonder cherish villas, masjid banda, hyd, telangana, 500084"/>
        <s v="8-1-284/472,ou colony,shaikpet,hyderabad,jubliee hills circle shop no.18"/>
        <s v="Villa 05, Wonder Cherish Villas, Masjid Banda,, Serlingampally Circle No 20,Hyderabad, Telangana - 500084"/>
        <s v="suryarao gonthireddy,h.no:5-3-37/B,madinaguda,500049"/>
        <s v="H.no:6-3-347/9/4/c, dwarakapuri colony,panjagutta,khairatabad circle, hyderabad,telangana - 500082"/>
        <s v="H.No. 5-3/14/15, plot No.14, eg. No 222"/>
        <s v="p.no 30 &amp;31, s y no 167, villa no 5, wonder cherish villas, masjid banda, kondapur, HYD,Telangana, 500084"/>
        <s v="Twilight, Road number 1, Neknampur Rd,Puppalguda, Rajendranagar, Rangareddy,Telangana - 500089"/>
        <s v="sy no-192, Camelot layout, kondapur, sangareddy, Telangana, 500084"/>
        <s v="Miyapur"/>
        <s v="shop no.1-2,D.no:8-1-28/ou/448,Dream vally rd,ou colony,shaikpet,hyd,500104"/>
        <s v="mandinaguda"/>
        <s v="Innu ringroad ground floor 3-4-104/1/,hyderguda 404 road attapur,hyd,500048"/>
        <s v="plot no.16,madinaguda"/>
        <s v="6-1-82 and 83/gf/1,ground floor ssr chambers,lakdikapool,hyderabad,khairthabad circle no.17,500004"/>
        <s v="Cfrp+M7h pg road sappu bagh apartement sindi colony,begumpet hyd,500003"/>
        <s v="shop no.07,block 01,RBR complex,miyapur,chandanagar circle no 21,hyderabad,500049"/>
        <s v="1-27-356,Bapuji nagar,content munt aua except csds cantonment secunderabad,tealngana"/>
        <s v="Puppalguda Alkapur township, 500089"/>
        <s v="Shop No-1, Block No:1 RBR  complex, Miyapur chandanagar circle NO 21, Hyderabad - 500049"/>
        <s v="circle no.20,Q city road,near US consultancy,serlingampally,hyd,telangana "/>
        <s v="13-6-815/13/1 ambedkar nagar langri house mehdipatnam circle no 12, hyderabad, 500008"/>
        <s v="kothaguda,hyderabad"/>
        <s v="momi gupta, plot no 111, sunrise colony, sajjan singh layout, narsingi, gandipet, mandar, r.r  dist"/>
        <s v="portion no.4,first floor,sp's saroja complex,plot no.20/9,sy no.1009,situated at 6th phase kphb colony,kukatpally,500072"/>
        <s v="kondapur,circle no.20"/>
        <s v="plot no.212,prashanth nagar,kondapur,500084"/>
        <s v="7-4-413/11 ASR nagar east ameerpet, amberpet circle no. 16, hyderabad, telangana, 500016"/>
        <s v="5-5-69 &amp; 70 Opp Jain Apartment, Gandipet,  &#10;Rangareddi, Telangana-500086"/>
        <s v="6-73/241,bayuth colony,alkapur road"/>
        <s v="c/o h no 20-151 , surabhi colony, lingampally, lingampally, kv ranga reddy, serlingampally - 500019"/>
        <s v="h.no 1-90/c/8, inside sri krishna food court, hudo techno enclave, opp LP tower, vittalrao nagar, hitech city 500081"/>
        <s v="Ameenapur,selingampally,500050"/>
        <s v="kondapur,hyderabad"/>
        <s v="h.no:2-41/1,kothaguda,prashant nagar"/>
        <s v="tngo'S colony,phase 2,gachibowli"/>
        <s v="H.NO. 16-31-20/1/S2 Shop NO 2 SVS elegant phase-6, KPHB colony, Kukatpally - 500072, Hyderabad."/>
        <s v="h.no 1-57, serlingampally, circle no 20, hyd, telangana - 500084"/>
        <s v="TNGO's colony, phase-2 , gachibowli, hyderabad"/>
        <s v="23-83, BESIDE CMR SHOPPING MALL, BHEL, CHANDA NAGAR, HYDERABAD -500050, Chandanagar circle No 21, Hyderabad, Telangana-500050"/>
        <s v="beside hyderabad golf club, near banjara darwaza, golconda, fort road,tolichowki,hyderabad"/>
        <s v="plot no - 149, kismatpur road, near velly view enclave bandlaguda, hyderabad - 500086"/>
        <s v="7-1-28 2/C/69, sriram nagar BK guda Balkampet, hyd 500018"/>
        <s v="Hitech City, Hyderabad - 500081"/>
        <s v="h.no:1-72/3, p no.7,sy no.18,gachibowli village,serlingampally mandal,rangareddy"/>
        <s v="plot no 149, kistmatpur road, near velley view enclave banglaguda jagir, hyderabad - 500086"/>
        <s v="kothaguda kondapur"/>
        <s v="kothaguda HYD"/>
        <s v="not mentionrd"/>
        <s v="plot no 749, sy no 61, sri ramnagar colony, gandipet, rangareddy, telangana - 500089"/>
        <s v="bilwa 36,5th floor,plot no.1101,road no.36,next to IDBI bank,cbi colony,jubliee hills,hyd"/>
        <s v="plot no.1031,matrusri nagar colony,miyapur,hyd"/>
        <s v="flat no.G2,mythri bhavan,veshweshwara nagar,madinaguda,serlingampally circle no.20,hyd,500049"/>
        <s v="shop no.3,h.no:6-94/17/1,MIG-101,Noorjahan complex,huda colony,chandanagar,hyd,500050"/>
        <s v="plot no- 199 TNGO's colony, financial district"/>
        <s v="RHS-Rb-UE, Near . NIFI College Hyd - 500081"/>
        <s v="Hitech City, Hyderabad "/>
        <s v="Hitech city,telangana"/>
        <s v="Kondapur, Telangana - 500084"/>
        <s v="h.no:8-3-228/678/140,sri ram nagar,moti nagar,yousufguda circle no.19,hyd,telangana,500045"/>
        <s v="financilal district,hyd,500046"/>
        <s v="plot no:1449,sy no.78,gokul plots"/>
        <s v="plot no-1, amrutha enclave, bandlaguda, bandlaguda jagir, rajendranagar, rangareddy, telangana- 500086."/>
        <s v="Kondapur,Telangana"/>
        <s v="financilal district,hyd"/>
        <s v="madhapur,hyd,500081"/>
        <s v="H.no:8-2-248,shop no.G4,lumbini amrutha chambers,road no.3,banjara hills,jubilee hills circle no.18,hyd,telangana,500034"/>
        <s v="8-1-398/PM/paramont colony, gate no:-3, tolichowki, jubliee hills circle no:-18, Hyderabad, telangana - 500008"/>
        <s v="Plot no.22,part 1, amartahanda nagar"/>
        <s v="Plot No. 7, Near Crayon Hospital, Prasanth Nagar Colony, Bandlaguda (Jagir),Rajendranagar, Rangareddy, Telangana -500091"/>
        <s v="Plot No- 7, Near Gayon hospital, prasanth nagar colony, bandlaguda jagir, Rajendranagar, Rangareddy, Telangana 500091"/>
        <s v="plot no.84/1,miyapur,chandanagar circle no.21"/>
        <s v="plot no.12,sai tulsai enclave,vattinagulapally,gandipet(19),ranga reddy"/>
        <s v="5-3/12,plot no 12, phase-I, sai tulasi enclave, vattinagulapally, rajendranagar"/>
        <s v="369,swathi avenu,ameerpet,khairtabad circle no.17,hyd,telangana"/>
        <s v="Moosapet,hyd,500018"/>
        <s v="Hitech city,hyderabad"/>
        <s v="7-1-403,balkampet road,ameerpet,khairtabad circle no.17,hyd,telangana,500016"/>
        <s v="plot no 122 venkateshwara colony opp hospital bandlaguda   , jagir, bandlaguda, 500086"/>
        <s v="plot no 43,44 and 45 jv colony park gachibowli hyderabad jubilee hills"/>
        <s v="1-121,dargah khaliz,kismatpur,gandipet,rangareddy,telangana,5000861-121,dargah khaliz,kismatpur,gandipet,rangareddy,telangana,500086"/>
        <s v="1-121,dargah khaliz,kismatpur,gandipet,rangareddy,telangana,500086"/>
        <s v="sy no.104,105,106,Bandlaguda,Bandlaguda jagir,rajendranagar,rangareddy,telangana,500030"/>
        <s v="Sy.No.104,105,106, Bandlaguda, Bandlaguda (Jagir), Rajendranagar,Rangareddi, , Telangana, 500030"/>
        <s v="L135/3 3rd phase,bsnl road,temple,bus stand"/>
        <s v="plot no.156,part 1,narsingini,manikonda"/>
        <s v="plot no 202, beside kamadhenu jewellers, TNGO's colony, gachibowli, hyderabad,telangana"/>
        <s v="no. 4/5/6, shop no.2, kismatpur,shivasai colony, kismatpur, rajendranagar, rangareddy, telangana, 500030"/>
        <s v="H.no:1-72/3/316/27,plot no.27 and 37,gachibowli,serlingampally circle no.20,500032"/>
        <s v="shop no.1,JSR classic,vijetha super market,pragathi nagar,nizampet"/>
        <s v="plot no.51,serimallegardens attapur,mehadipatnam circle no.12,hyd,500004"/>
        <s v="Yousufguda,hyderabad "/>
        <s v="KPHB,hyderabad"/>
        <s v="11-1-12751B,new bhoiguda,afzal sagar,goshamahal circle no.14,hyd,telangana"/>
        <s v="1-19,narayankhed,abenda,narayankhed"/>
        <s v="6-1-69/1,plot no.68,street no.7,bhagyalaxmi colony,manikonda"/>
        <s v="plot no.13,bandlaguda jagir,rajendra nagar circle no.11,hyd,telangana,500086"/>
        <s v="Ragiv gandhi nagar,langarhouz,hyderabad,telangana,500048"/>
        <s v="Ragiv gandhi nagar,langarhouz,hyderabad,telangan,500048"/>
        <s v="plot no.691,692,OU colony main road,near dream valley villas, tanasha nagar"/>
        <s v="3-3-114/51,serimallegardens,phase-2,hyderguda,rajendra nagar circle no.11,hyderabad,500048"/>
        <s v="plot no.2,ganesh nagar,kismatpur,gandiper,rangareddy,telangana,500086"/>
        <s v="shop no.6,badam sohana apartment,3-1085,Raj bhavan rd,somajiguda,hyd,telangana"/>
        <s v="Anuhav Art of Irumy road no.25,alkaprui township,manikonda,rajendra nagar,500089"/>
        <s v="Plot no.1,Bandlaguda jagir,rajendra nagar,rangareddy,telangana,500091"/>
        <s v="Vasavi co-operative housing society hyd,pragathi nagar,500090"/>
        <s v="sy no.13 and 16,Bandlaguda jagir,gandipet mandal,rangareddy district,telangana,500091"/>
        <s v="shop no.3,996V+nf5,kismatpur road,banglaguda jagir,telangana"/>
        <s v="8-1-293/4,situated at dwaraka nagar colony,shaikpet,jubliee hills circle no.18"/>
        <s v="kondapur,telangana,500084"/>
        <s v="Raidurg, panmaktha near Tcs building "/>
        <s v="plot no.822,100 feet road,ayyappa society,madhapur,hyd,telangana,500081"/>
        <s v="plot no.13,sipa paradise,pragathi nagar,500090"/>
        <s v="h.no:1-26,survey no.61,ground floor and first floor road no.36 old road guttala begumpet,madhapur,500081"/>
        <s v="hitech city"/>
        <s v="khanamet,madhapur,chandanagar circle no.21,hyd,telangana,500081"/>
        <s v="plot no.9,ground floor,shiva bhagh,Ameerpet,hyd,500016"/>
        <s v="plot no.897,SS Drive in,S.A society,khanamet,madhapur,serlingampally circle no.20,hyd ,telangana,500081"/>
        <s v="kondapur,kothaguda"/>
        <s v="h.no:7-1-621/269,S R nagar,khairtabad circle no.17,hyderabad,Telangana,500038"/>
        <s v="H.no:7-1-304/2/64,BK guda,SR nagar,khairthabad circle no.17,hyd,telangana"/>
        <s v="Kokkiligadda prema raju,plot no.897,S.S driven In,ayyappa  society,madhapur,chandanagar circle no 21,hyd,telangan,500081"/>
        <s v="Kondapur,sri ram nagar"/>
        <s v="h.no 1-110/mn/18/1 RER, chandanagar- 500049"/>
        <s v="h No .4-188 premnagar , hafeezpet , chandanagar-21 "/>
        <s v="SY NO-78, KOLAN RAGHAVAREDDY FUNCTION HALL COMPLEX, HYDER NAGAR , NIZAMPET, Kukatpally Circle No 24, Hyderabad, Telangana - 500090"/>
        <s v="Nizampet"/>
        <s v="Kondapur"/>
        <s v="Ground gloor,9thphase,KPHB colony,kukatpally,hyd,500072"/>
        <s v="h.no:8-2-293/82/A/35,road number 5,jubliee hills,hyd,telangana,500033"/>
        <s v="Pragathi nagar"/>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P SATYA SAI, MIGH-574, H.No.15-25-574, Ground Floor, Road No.1, KPHB Colony, Kukatpally, Hyderabad, Moosapet Circle No 23, Hyderabad, Telangana - 500072"/>
        <s v="Kismatpur road adjustent to vidyapeet school ,bhavani colony,velly viewen clave,Bandlaguda jagir,"/>
        <s v="plot no.299,h.no:8-2-309/7/3,sy no.129/81,ward no,10,block no.3,road no.14,Banjara hills,hyd"/>
        <s v="Tanisha nagar huda layout manikonda,rajendra nagar,ranga reddy,telangana,"/>
        <s v="Sy no.177/P,Anjamma residency,alkapur,township road,pupaalaguda,gandipet mandal,500089"/>
        <s v="Door no.B-43,Journallist colony,Jubliee hills circle no.18,Hyd,telangana"/>
        <s v="Plot no.149,opposite shivalaram main road ou, shaikpet,jubliee hills circle no.18"/>
        <s v="plot no 25, 263 A, Ayyappa socoety main rd sarojini naidu nagar, madhapur, HYD, Telangana"/>
        <s v="H.NO.:1-110/MN/18/RER. Marthand nagar, new hafeezpet, chandanagar circle No 21, Hyderabad Telangana 500049"/>
        <s v="plot no. 14, HIG 15, sy no. 4, tanasha nagar"/>
        <s v="h.no: 6-13/ MIG, bhagya lakshmi colony"/>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
        <s v="shop no.S-8,block-A,pagadala pride"/>
        <s v="h.no:5-6,beside veterinary hospital,narsinginii"/>
        <s v="6-1-61/1,G6,Razzak estate ground floor,beside kamat hotel,saifabad,hyd,500004,khairatabad circle no.17,hyd,telangana,500004"/>
        <s v="hno - 3 1090/a/2, raj bhawan road, somajiguda, khairathabad circle no 17, hyderabad , 500082"/>
        <s v="hno- 6-2-967/b/a/6, fatch manzil, khairathabad circle no - 17, hyderabad, telangana"/>
        <s v="kukatpally,allwyn colony,kukatpally circle no.24,hyd,telangana,500072"/>
        <s v="plot no 19, kismatpur road behind HP petrol bunk, sri venkateswara colony, banglaguda jagir"/>
        <s v="Gandipet"/>
        <s v="h 6-3-1247/237, rajbhavan road, rajnagar somajiguda, hyderabad"/>
        <s v="H.NO:2-35,neknampur village,manikonda,gandipet mandal, R.R district ,500089"/>
        <s v="h.no:- 6-2-967/b/a/6, fateh man zil, khairatabad circle no - 17, hyderabad, telangana - 500004"/>
        <s v="H.NO:2-35,neknampur village,manikonda,gandipet mandal, R.R district,500089"/>
        <s v="#16-31-245, KPHB, 6th Phase Opp Bluedart, hyderabad- 500072"/>
        <s v="sy no.106/P,107/1,Gulmohar park colony,tara nagar serlingampally telangana,hyd"/>
        <s v="B007,riddhis grand eur,neknampur road,manikonda,gandipet,rangareddy,telangana,500089"/>
        <s v="HNo- 8-46/p. 1st floor, swaran arcade sai ram nagar colony, bandlaguda jagir, rangareddy, telangana- 500086"/>
        <s v="D.no:7-1-419/9/MS/1-C,opposite prime hospital,manjeera square,ameerpet"/>
        <s v="Sri nagar Colony"/>
        <s v="Amma mess road beside canara bank,prashant nagar,kukatpally"/>
        <s v="Erragada"/>
        <s v="sri laxmi industruies,prashanth nagar kukatpally,hyd,kukatpally circle no.24,500072"/>
        <s v="plot no.41/A,Ameetpet road,opposite trends showroon,chandangar circle no.21,hyd,telangana"/>
        <s v="plot no.38,padmaja colony,chandanagar,hyderabad,telangana"/>
        <s v="Moosepet Tanjayab nagar,mossapet,hyd,pillar no.891"/>
        <s v="C9XR+F87,Ayyappa society main road,megha hills,sri sai nagar.madhapur,hyd"/>
        <s v="plot no.41,opposite rajendra reddy nagar colony,chandnagar"/>
        <s v="H.NO:13-6-815/A/2,ground floor,langarhouz,hyderabad karwan circle no.13,hyd"/>
        <s v="Padmaja colony,chandanagar,500049"/>
        <s v="sy no.259,263,264,plot no.199,198,chandanagar,reddy colony,sangareddy"/>
        <s v="Ameerpet"/>
        <s v="Plot no: 1271, opp bharath petrol bunk road no:63, checkpost, Jubilee hills , hyderabad - 500033, jubilee hills, circle no: 18, hyd"/>
        <s v="KSR, Enclave beside ayyappa swamy temple,chandanagar"/>
        <s v="KPHB,hyderabad,500072"/>
        <s v="plot no.103 KSR, Enclave beside ayyappa swamy temple,chandanagar"/>
        <s v="H.no:106/9/1,krisat colony,phase-4,gangaram chandanagar,500050"/>
        <s v="plot no.31 and 32, KSR layout,PJR colony,serlingampally,chandanagar circle no.21,hyd,telangana"/>
        <s v="Nallagandla, Tellapur,setlingampally circle no.20,hyd,telangana"/>
        <s v="D&gt;NO:1-11/A/81,Plot no.81,gopal reddy nagar,opposite RTA office,kondapur,hyd,500084"/>
        <s v="plot no.491,near monkey center,madhapur nagar,pragathi nagar,hyd,telangana"/>
        <s v="plot no.105/LIG phase-XV,KPHB colony"/>
        <s v="Plot no.103,KSR, Enclave beside ayyappa swamy temple,chandanagar"/>
        <s v="phase-9,Kphb colony-500072"/>
        <s v="Kukatapally"/>
        <s v="kphb ,hyderabad "/>
        <s v="KSR Enclave beside ayappa swamy temple,chandanagar,shop no.3,hyd,telangana,500049"/>
        <s v="H.no: plot no.12,Anjanaya nagar,moosapet circle no.23,Hyderabad,telangana,500018"/>
        <s v="1-59/8/A,miyapur PS,Old Miyapur ps"/>
        <s v="Rayankathishravankumar,survey no.957,ICRISAT colony,Beeramguda 100feet road,502032"/>
        <s v="P.no.14/part,sy no.2,PJR enclave road,opposite gonguras restaurant,chandanagar circle no.21,hyd,500050"/>
        <s v="H.NO:HIG 65 3rd phase near manjeera water tank kayaka parameshwari temple road,Kphb"/>
        <s v="kphb "/>
        <s v="plot no.8-2/19/2,beside SBI Bank,Rampally village,keesara,medchal,malkajgiri,telangana"/>
        <s v="MIG-42/1-6,kukatpally hosing board colony,phase3 hyd,500072"/>
        <s v="KSR Enclave beside ayappa swamy temple,chandanagar,shop no.6,hyd,telangana"/>
        <s v="Gokul plots, venkata ramana - 500084"/>
        <s v="gokul plots Hafeezpeet, telangana - 500049"/>
        <s v="KPHB colony,temple bus stop,opposite mammus kitchen"/>
        <s v="Raidurg"/>
        <s v="survey 176,plot no c,addagutta housing society,circle no.24,kukatpally,hyderabad"/>
        <s v="plot no.22,MIG,KPHB phase 15"/>
        <s v="H.NO:2-3-406/12/part,plot no.7,road no.2,Tulasinagar,near M2m jeans,kukatpally circle no.24,hyd,500085"/>
        <s v="H.no:1-2-33/VP/76,Hydernagar,Balaji hills road,Ram naresh colony,Chandanagar circle no.24,hyd,telangana,500085"/>
        <s v="PT.NO.52 and 53,sy no.103 and Jayabhaeri enclave"/>
        <s v="madhapur,hyderabad"/>
        <s v="Hitech city,kkondapur,hyderabad"/>
        <s v="2-91/14/8,whitefeilds,kondapur"/>
        <s v="p.no:897,ss drive in,S.A society,khanamet,madhapur,serlingampally circle no.20,hyderabad,500081"/>
        <s v="shop no.4,plot no.897,ss drive in,ayappa society,madhapur,chandanagar,circle no.2,hyd,telangana,500081"/>
        <s v="12-19-46/2,kukatpally circle no.24,hyderabad,telangana,500018"/>
        <s v="H.NO:8-3-214/54/1/B-3,Madhaura nagar,Ameerpet,hyderbad,telangana,500038"/>
        <s v="R/O plot no B3,Kundacottage,madhura nagar,Ameerpet,hyderabad,telangana,500038"/>
        <s v="H.NO:7-1-632/17,Bapu nagar,sanjeeva reddy nagar,Khairthabad circle no.17,hyderabad,500038"/>
        <s v="7-1-621/289/5/A,Bapu Nagar,SR Nagar,hyderabad,telangana,500038"/>
        <s v="Flat no.909,block-A,Raghavendra's Mirra Pan chajan,Miyapur,AS Raj Miyapur,serlingampally circle no.20,500049"/>
        <s v="32B,Opposite,Community Hall,SR Nagar,Hyderabad,Khairthabad circle no.17,Hyd,Telangana,500038"/>
        <s v="H.NO:7-1-209,Sy No.153,Sanjeeva Reddy Nagar,Ameerpet,Hyderabad,Telanagana,500038"/>
      </sharedItems>
    </cacheField>
    <cacheField name="Contact Person" numFmtId="0">
      <sharedItems containsBlank="1">
        <s v="Mohammed minhaj uddin"/>
        <s v="M.A aqeel"/>
        <s v="Mohammed Arshad"/>
        <s v="Naika Amena"/>
        <s v="Syed Ameer Hussain"/>
        <s v="Shabana Begum"/>
        <s v="Mohd Shoieb"/>
        <s v="Mohammed rizwan qureshi"/>
        <s v="Katragadda Shesha sai"/>
        <s v="K.Rama Rao"/>
        <s v="Raguveer"/>
        <s v="Paul kumar"/>
        <s v="vamsi"/>
        <s v="Gardas saritha"/>
        <s v="Kuna Vaishnav"/>
        <s v="Yelgani sai kumar"/>
        <s v="veeram reddy seetharam reddy"/>
        <s v="Prashanth"/>
        <s v="Natva Santosh kumar"/>
        <s v="chatne akash"/>
        <m/>
        <s v="Venudhar reddy malakapalli"/>
        <s v="Venudhar reddy"/>
        <s v="Sachinandan hari das"/>
        <s v="Siva Rama Krishna"/>
        <s v="Ashok thapa"/>
        <s v="Raghav"/>
        <s v="Narupu reddy"/>
        <s v="Ragavendra Gm"/>
        <s v="B.Raja yashwanth kumar"/>
        <s v="Rihaan"/>
        <s v="Manjunath"/>
        <s v="Grandi sravan kumar"/>
        <s v="Abhilash Thota"/>
        <s v="naveen"/>
        <s v="Mangalarapu sai teja"/>
        <s v="Mohd Arshad"/>
        <s v="ravi"/>
        <s v="suresh"/>
        <s v="Md mansoor"/>
        <s v="mohammed feroz"/>
        <s v="Mohanmed feroz"/>
        <s v="karempudi vijava durga"/>
        <s v="not mentioned"/>
        <s v="V. Shankar"/>
        <s v="Triveni"/>
        <s v="Madapuram anil kumar"/>
        <s v="mohd umar khan"/>
        <s v="Quddus hussain"/>
        <s v="Pranay kumar"/>
        <s v="vidya sagar kadali"/>
        <s v="K. Naga Bhushan Rao"/>
        <s v="Juhi sanjay sajnani"/>
        <s v="Naveen reddy"/>
        <s v="Sonal mohit mehta"/>
        <s v="Karthik"/>
        <s v="Kethineni Rajesh"/>
        <s v="Ashish kumar"/>
        <s v="Vamshi krishna"/>
        <s v="Dinesh"/>
        <s v="Ramchandra rao"/>
        <s v="G.Yashwanth meher"/>
        <s v="suryam"/>
        <s v="Medikonda kondaiah"/>
        <s v="Deepak kumar"/>
        <s v="omkar.A"/>
        <s v="Khasim"/>
        <s v="Sudheer kumar"/>
        <s v="Musthakin"/>
        <s v="Pooja Karthik"/>
        <s v="sudarsan nayak"/>
        <s v="shivam"/>
        <s v="arun"/>
        <s v="M.Sanjeev reddy"/>
        <s v="Enoch Chowdary"/>
        <s v="Mohammed ilyas"/>
        <s v="mohammed masurd"/>
        <s v="Kataru padmavathi"/>
        <s v="Subhash"/>
        <s v="sri latha kakarla"/>
        <s v="Manikenteswara reddy.E"/>
        <s v="santhosh"/>
        <s v="Syed ali"/>
        <s v="Prasad"/>
        <s v="Venkata reddy"/>
        <s v="Alam"/>
        <s v="Venkata ramana"/>
        <s v="Mohammed Ishaq"/>
        <s v="Srikanth"/>
        <s v="Ravi Kumar"/>
        <s v="Nallari Ravi"/>
        <s v="P.Chandra shekar Rao"/>
        <s v="Rambabu"/>
        <s v="Manikanta Reddy"/>
        <s v="Satish"/>
        <s v="Prashanth Singh"/>
        <s v="V.Ravi Kumar"/>
        <s v="Aripelli VInesh"/>
        <s v="Mahendra reddy"/>
        <s v="venu"/>
        <s v="E.Balaji"/>
        <s v="Vijay kumar"/>
        <s v="sujeeth karnala"/>
        <s v="Dilip Deva"/>
        <s v="Sai lakshmi"/>
        <s v="Ravi Teja"/>
        <s v="Abhishek"/>
        <s v="MD.Ghouse"/>
        <s v="Mohammed Khaleel"/>
        <s v="Monica"/>
        <s v="Dinesh kumar"/>
        <s v="Sheik faehaan"/>
        <s v="Manne Hanumanth"/>
        <s v="Dodda krupakar"/>
        <s v="Harsha vardhan raju"/>
        <s v="Yeshwanth undragunta"/>
        <s v="Sri hari"/>
        <s v="Naveeed khan ahsan mohammed khan"/>
        <s v="kassa  venkata padmavathi"/>
        <s v="Ashok "/>
        <s v="Nithish"/>
        <s v="Imran khan"/>
        <s v="syed shahed"/>
        <s v="Megha vath venkatesh"/>
        <s v="Lakshman kumar yadav"/>
        <s v="Bhimavaram vari unlimited ruchulu"/>
        <s v="Mohammed"/>
        <s v="mohammed Ameen Uddin"/>
        <s v="Gudelli srinivas"/>
        <s v="Ishaq ahmed"/>
        <s v="P.SRINIVASHULU"/>
        <s v="Sita ram"/>
        <s v=" sk janbee"/>
        <s v="Shailaja reddy"/>
        <s v="Sudarshan reddy"/>
        <s v="Rakesh"/>
        <s v="Hemanta kumar jena"/>
        <s v="Syed mohammed yasar"/>
        <s v="Ramakrishna reddy gaddampally"/>
        <s v="Kailash"/>
        <s v="Mujeeb"/>
        <s v="Ajay"/>
        <s v="ABRAR"/>
        <s v="Chalavadi Pavan Kalyan"/>
        <s v="Umamaheshwari devi"/>
        <s v="Venkata Triven Kumar Akula"/>
        <s v="Nagendra"/>
        <s v="Praveen Kumar"/>
        <s v="laxman"/>
        <s v="Sunil"/>
        <s v="Triven Kumar"/>
        <s v="Narsimha"/>
        <s v="Roopchand"/>
        <s v="Subrata chaki"/>
        <s v="Rajendra reddy"/>
        <s v="Regu srinivas"/>
        <s v="Y.Niraj"/>
        <s v="Yanugunti Akhil"/>
        <s v="Amarnadh Reddy"/>
        <s v="Sai Kumar"/>
        <s v="Surya Manohar"/>
        <s v="Narasimha Murthy"/>
        <s v="Anjaneyareddy"/>
        <s v="keethi kumar"/>
        <s v="Raj"/>
        <s v="Sai teja"/>
        <s v="Purna chandhar rao"/>
        <s v="A.Mahesh"/>
        <s v="makkala narsing roa "/>
        <s v="Mohammed yasar"/>
        <s v="Diyi Tatayya Naidu"/>
        <s v="Angad Singh"/>
        <s v="mahesh.D"/>
        <s v="Anjaneya reddy"/>
        <s v="sk .Jani bakeas"/>
        <s v="Nayan Mitra"/>
        <s v="Sravan Kumar"/>
        <s v="Sandeep"/>
        <s v="Syed Hisam Uddin"/>
        <s v="karani nagendra varma "/>
        <s v="Nihar"/>
        <s v="chinna rao"/>
        <s v="Fathima"/>
        <s v="A. Anil Kumar"/>
        <s v="Annapurna"/>
        <s v="Kamlesh Dayal"/>
        <s v="Sunny kumar arora"/>
        <s v="Ajay kumar"/>
        <s v="sonali avinash jadhav"/>
        <s v="Manoj"/>
        <s v="not mentionrd"/>
        <s v="Abhishek aggarwal"/>
        <s v="Mohammed Rasheed"/>
        <s v="Amerendra Naidu"/>
        <s v="Thirumala Reddy Balashow reddy"/>
        <s v="manda Tirupathi"/>
        <s v="Ajay Reddy"/>
        <s v="Jagadeesh"/>
        <s v="Chandu"/>
        <s v="Chandu "/>
        <s v="Santosh"/>
        <s v="Junaid"/>
        <s v="keerthana"/>
        <s v="Burra Rakesh Gound"/>
        <s v="Sumanth"/>
        <s v="Nanda kishore"/>
        <s v="Priyanka"/>
        <s v="Anil kumar"/>
        <s v="Rahul Gupta"/>
        <s v="Naseer Khan"/>
        <s v="shaik khizar ahmed"/>
        <s v="Madaram Shailaja "/>
        <s v="Sharath"/>
        <s v="Rajesh kumar"/>
        <s v="Ibrahim"/>
        <s v="uday Bhaskar"/>
        <s v="Pidathala bharathi"/>
        <s v="Padmavathi"/>
        <s v="sri charen"/>
        <s v="Biradar Pradeep"/>
        <s v="Jahnavi"/>
        <s v="Shajit sha"/>
        <s v="Shravan"/>
        <s v="Mohammed Osman"/>
        <s v="Nithin Dev"/>
        <s v="Meghana"/>
        <s v="sekh raphik"/>
        <s v="shaik sartaz ali"/>
        <s v="Bhimalla Shiva Shankar"/>
        <s v="Hema Addanki"/>
        <s v="Mohammed Afroz"/>
        <s v="abdul rasheed and Iliyas"/>
        <s v="satya prasad"/>
        <s v="Auti Eknath"/>
        <s v="Krishna roa reddy"/>
        <s v="Usha rani"/>
        <s v="saleem shaik"/>
        <s v="Sai kiran"/>
        <s v="Korman sai krishna"/>
        <s v="Shankar reddy"/>
        <s v="Dasari kiran (Gani)"/>
        <s v="Nehad Siddiqui"/>
        <s v="Sammidi Ranjith reddy"/>
        <s v="Raghavendra"/>
        <s v="Sravani"/>
        <s v="Sai manikanta reddy"/>
        <s v="Pandu Ranga Reddy"/>
        <s v="Pendyala teja arun kumar"/>
        <s v="N. Goutham kumar"/>
        <s v="Deepak"/>
        <s v="Mohammed soheb"/>
        <s v="Rama krishna"/>
        <s v="M. Gopinath"/>
        <s v="Ravi "/>
        <s v="Kannavarapu Narendra babu"/>
        <s v="Raju gari sruthi"/>
        <s v="Satya vara prasad"/>
        <s v="venkat"/>
        <s v="Methri mallesh"/>
        <s v="Rambala sanjay"/>
        <s v="Nikhil"/>
        <s v="Madhuri chand"/>
        <s v="Prem raju"/>
        <s v="Ajay "/>
        <s v="veeranjaneyulu"/>
        <s v="shyam"/>
        <s v="Sekhar"/>
        <s v="Shiva karthik"/>
        <s v="Suresh Reddy"/>
        <s v="Manideep"/>
        <s v="P. Mastan Rao"/>
        <s v="Chithari sai bhuvan"/>
        <s v="Ganesh"/>
        <s v="P SATYA SAI"/>
        <s v="Chandan"/>
        <s v="Mihir Khanna"/>
        <s v="Naveen kumar"/>
        <s v="B.V.D Phani Kumar"/>
        <s v="Thopuri Lakshmikanth"/>
        <s v="Zubair"/>
        <s v="M. Ramesh"/>
        <s v="Banupriya Saravanan"/>
        <s v="Veluei sunil kumar"/>
        <s v="Syed Haji ali"/>
        <s v="Charan"/>
        <s v="Srinivas"/>
        <s v="Hamdan Bin Masood"/>
        <s v="Sneha"/>
        <s v="Anil  "/>
        <s v="Pradeep"/>
        <s v="Mekala's shasidar reddy"/>
        <s v="Nagalla Teja sai"/>
        <s v="A. Naveen"/>
        <s v="A . Naveen Kumar"/>
        <s v="V. Rama Devi"/>
        <s v="K.Navanitha"/>
        <s v="Nagaraju/ Padma"/>
        <s v="Md.Khairuddin"/>
        <s v="Annapa shetty"/>
        <s v="Birader usha"/>
        <s v="Vikram "/>
        <s v="not  mentioned"/>
        <s v="Shiva Kumar"/>
        <s v="Shabbir"/>
        <s v="Dr.Ravi Kumar"/>
        <s v="Tatavarthi somnath"/>
        <s v="M.Sai kiran"/>
        <s v="Dyanshwar"/>
        <s v="Kancharla Anand"/>
        <s v="Siva "/>
        <s v="Bhanu Prakash"/>
        <s v="Skindar"/>
        <s v="Golla Venkateshwara Rao"/>
        <s v="Sai Nagaraju Kumar"/>
        <s v="Balaram Khuntia"/>
        <s v="Madduri Ravindhar Reddy"/>
        <s v="Wasim Akram"/>
        <s v="Sunil Gowtham"/>
        <s v="Deepu"/>
        <s v="Vinod"/>
        <s v="srinivasulu "/>
        <s v="Naga Lakshmi"/>
        <s v="Shivananda"/>
        <s v="prabhavathi"/>
        <s v="Menday Vamshi"/>
        <s v="Arjun"/>
        <s v="Lalu Sekhar Gudavalli"/>
        <s v="Anil reddy "/>
        <s v="Anil"/>
        <s v="Seshu"/>
        <s v="Swarup Jana"/>
        <s v="Arbaaz"/>
        <s v="Darshan"/>
        <s v="Wajid"/>
        <s v="M.K.V.Swamy"/>
        <s v="Kale Shravan Kumar"/>
        <s v="Akhil"/>
        <s v="Fahad Mon Kalathingal"/>
        <s v="Phani Kumar"/>
        <s v="B.Ram Singh"/>
        <s v="Sambhashivarao"/>
        <s v="Pavithra"/>
        <s v="Ashok kumar"/>
        <s v="Irfaan"/>
        <s v="G.Bhanu Prasad"/>
        <s v="Avensh"/>
        <s v="Kaldini Swathi"/>
        <s v="HemKumar"/>
      </sharedItems>
    </cacheField>
    <cacheField name="Phone no." numFmtId="49">
      <sharedItems containsBlank="1">
        <s v="9949583785"/>
        <s v="9618659036"/>
        <s v="8686561072"/>
        <s v="8977918331"/>
        <s v="8121007155"/>
        <s v="9701168269"/>
        <s v="9398554461"/>
        <s v="8121586490"/>
        <s v="9052592437"/>
        <s v="9030611616"/>
        <s v="9963122625"/>
        <s v="9100777133"/>
        <s v="9177285333"/>
        <s v="9985000567"/>
        <s v="9014176534"/>
        <s v="9030518803"/>
        <s v="8989873636"/>
        <s v="8555825704"/>
        <s v="6302181276"/>
        <s v="8341514984"/>
        <m/>
        <s v="9642883377"/>
        <s v="8121040277"/>
        <s v="9392038004"/>
        <s v="9391167117"/>
        <s v="7995109409"/>
        <s v="7995854986"/>
        <s v="9972901941"/>
        <s v="6301782448"/>
        <s v="9963968917"/>
        <s v="9705812524"/>
        <s v="04023536061"/>
        <s v="9032944860"/>
        <s v="7347337323"/>
        <s v="7416814310"/>
        <s v="9849975158"/>
        <s v="9642897117"/>
        <s v="7396735758"/>
        <s v="9985609966"/>
        <s v="9676213874"/>
        <s v="7097949648"/>
        <s v="6303274660"/>
        <s v="not mentioned"/>
        <s v="7093762666"/>
        <s v="8333833299"/>
        <s v="7893713995"/>
        <s v="9885199151"/>
        <s v="9182466676"/>
        <s v="4023536061"/>
        <s v="9963967706"/>
        <s v="709504025"/>
        <s v="8501024577"/>
        <s v="9133847766"/>
        <s v="9676945646"/>
        <s v="9603939777"/>
        <s v="9642431013"/>
        <s v="7306445599"/>
        <s v="9398556461"/>
        <s v="9959357179"/>
        <s v="6281821329"/>
        <s v="8977709421"/>
        <s v="7702632033"/>
        <s v="7842804422"/>
        <s v="9849995653"/>
        <s v="9100112336"/>
        <s v="9989071021"/>
        <s v="9966591281"/>
        <s v="7032735002"/>
        <s v="9849108337"/>
        <s v="8185802329"/>
        <s v="9963317579"/>
        <s v="9160602527"/>
        <s v="8008623545"/>
        <s v="9392458574"/>
        <s v="9652222583"/>
        <s v="8125125635"/>
        <s v="9550930115"/>
        <s v="9618291465"/>
        <s v="7416826069"/>
        <s v="8121749748"/>
        <s v="9494399656"/>
        <s v="9959223649"/>
        <s v="910001662"/>
        <s v="8466082222"/>
        <s v="7995150934"/>
        <s v="8317636360"/>
        <s v="9885215007"/>
        <s v="9493989362"/>
        <s v="9911911949"/>
        <s v="9885552731"/>
        <s v="8247569561"/>
        <s v="9912699903"/>
        <s v="9177960195"/>
        <s v="9490840633"/>
        <s v="9391007154"/>
        <s v="9000002378"/>
        <s v="83339336696"/>
        <s v="7066346634"/>
        <s v="9032000555"/>
        <s v="8374628209"/>
        <s v="9490701464"/>
        <s v="9493106693"/>
        <s v="9700553599"/>
        <s v="7799208404"/>
        <s v="8328378624"/>
        <s v="9666650269"/>
        <s v="8801656811"/>
        <s v="9505154858"/>
        <s v="9000162702"/>
        <s v="8801925991"/>
        <s v="8897351867"/>
        <s v="9393132929"/>
        <s v="8897928087"/>
        <s v="9885238434"/>
        <s v="6281817630"/>
        <s v="7331139799"/>
        <s v="8328568920"/>
        <s v="6301302857"/>
        <s v="9704204592"/>
        <s v="9515758788"/>
        <s v="9502157868"/>
        <s v="8623075235"/>
        <s v="8008049249"/>
        <s v="9980102334"/>
        <s v="9000464440"/>
        <s v="8247527217"/>
        <s v="8367007137"/>
        <s v="8102839784"/>
        <s v="7336446648"/>
        <s v="9912340407"/>
        <s v="9618096343"/>
        <s v="9618084946"/>
        <s v="6300993721"/>
        <s v="8096234311"/>
        <s v="9491064999"/>
        <s v="9573462351"/>
        <s v="8801297760"/>
        <s v="9502547468"/>
        <s v="8374675950"/>
        <s v="6281737216"/>
        <s v="9985396392"/>
        <s v="8977945506"/>
        <s v="9000027744"/>
        <s v="9032099121"/>
        <s v="9247109555"/>
        <s v="9542781785"/>
        <s v="7330991470"/>
        <s v="9010089099"/>
        <s v="8639337298"/>
        <s v="8096631022"/>
        <s v="9346075821"/>
        <s v="7702090120"/>
        <s v="6300546345"/>
        <s v="9391389840"/>
        <s v="8125526123"/>
        <s v="9502236565"/>
        <s v="9010772255"/>
        <s v="7002940025"/>
        <s v="9640134565"/>
        <s v="9908670223"/>
        <s v="9957470763"/>
        <s v="8885260445"/>
        <s v="9949212817"/>
        <s v="9989151245"/>
        <s v="9700119173"/>
        <s v="7702484488"/>
        <s v="7730072371"/>
        <s v="8143603999"/>
        <s v="8978795897"/>
        <s v="9059457021"/>
        <s v="7981516906"/>
        <s v="9390077903"/>
        <s v="6281528028"/>
        <s v="9640166669"/>
        <s v="7981933914"/>
        <s v="6300840049"/>
        <s v="7406466642"/>
        <s v="8790689367"/>
        <s v="8918098855"/>
        <s v="8184836524"/>
        <s v="9885869143"/>
        <s v="8341901102"/>
        <s v="7718423292"/>
        <s v="897729979"/>
        <s v="8007452222"/>
        <s v="9000160480"/>
        <s v="9676509251"/>
        <s v="7337309794"/>
        <s v="7386013565"/>
        <s v="8555936674"/>
        <s v="8121340883"/>
        <s v="9676509250"/>
        <s v="70202266949"/>
        <s v="949473281"/>
        <s v="not mentionrd"/>
        <s v="9347727393"/>
        <s v="9866650027"/>
        <s v="9700481723"/>
        <s v="9642498490"/>
        <s v="9666674299"/>
        <s v="9866983997"/>
        <s v="7780460241"/>
        <s v="9573144658"/>
        <s v="9908866994"/>
        <s v="9908866993"/>
        <s v="9989981294"/>
        <s v="6303702150"/>
        <s v="9703166696"/>
        <s v="9390463901"/>
        <s v="7893053090"/>
        <s v="9494968626"/>
        <s v="9553442334"/>
        <s v="9394141282"/>
        <s v="6301730136"/>
        <s v="9133944255"/>
        <s v="7032209668"/>
        <s v="9985700007"/>
        <s v="9704141884"/>
        <s v="9700226988"/>
        <s v="9100267638"/>
        <s v="8886633304"/>
        <s v="9293245150"/>
        <s v="9866305968"/>
        <s v="9849117567"/>
        <s v="7989456218"/>
        <s v="7396680184"/>
        <s v="8247837141"/>
        <s v="7989953036"/>
        <s v="9900942019"/>
        <s v="9398294016"/>
        <s v="9000550143"/>
        <s v="6300227403"/>
        <s v="8919193385"/>
        <s v="9028234693"/>
        <s v="8897622869"/>
        <s v="8979949479"/>
        <s v="8686092883"/>
        <s v="7893194466"/>
        <s v="9030058654"/>
        <s v="7981177252"/>
        <s v="8074708028"/>
        <s v="7013883666"/>
        <s v="9398293706"/>
        <s v="9986881566"/>
        <s v="9059524358"/>
        <s v="8978565854"/>
        <s v="7036356575"/>
        <s v="8074527844"/>
        <s v="8790436037"/>
        <s v="7842712111"/>
        <s v="9100031572"/>
        <s v="9957456056"/>
        <s v="8328177189"/>
        <s v="9032306096"/>
        <s v="9032428282"/>
        <s v="8333936696"/>
        <s v="6301645687"/>
        <s v="812171982"/>
        <s v="9052736666"/>
        <s v="7816087272"/>
        <s v="9347207020"/>
        <s v="800783939"/>
        <s v="8019112034"/>
        <s v="8885578925"/>
        <s v="7411228981"/>
        <s v="6305683109"/>
        <s v="9553119997"/>
        <s v="9133991020"/>
        <s v="9908312934"/>
        <s v="6303439490"/>
        <s v="7337595099"/>
        <s v="9505032225"/>
        <s v="9652750853"/>
        <s v="9094642222"/>
        <s v="9849869084"/>
        <s v="9880212337"/>
        <s v="6300093627"/>
        <s v="6304772130"/>
        <s v="9848067277"/>
        <s v="9581948484"/>
        <s v="9989907230"/>
        <s v="8008908443"/>
        <s v="9704003230"/>
        <s v="970114700"/>
        <s v="8712828752"/>
        <s v="9182042737"/>
        <s v="99019904554"/>
        <s v="9955856460"/>
        <s v="9780978979"/>
        <s v="7416022022/ 7337445858"/>
        <s v="9000037654"/>
        <s v="8886044412"/>
        <s v="9391713197"/>
        <s v="9110302879"/>
        <s v="9000608773"/>
        <s v="953952885"/>
        <s v="9959610369"/>
        <s v="7207206239"/>
        <s v="9848232687"/>
        <s v="8801417049"/>
        <s v="9030525248"/>
        <s v="7997107107"/>
        <s v="7794965800"/>
        <s v="9949538044"/>
        <s v="8801858900"/>
        <s v="7095822597"/>
        <s v="9666267966"/>
        <s v="603972122"/>
        <s v="9908393938"/>
        <s v="8341395562"/>
        <s v="9980505056"/>
        <s v="7013902284"/>
        <s v="7416626655"/>
        <s v="8886555111"/>
        <s v="9849794341"/>
        <s v="9441855617"/>
        <s v="7981958799"/>
        <s v="96760993300"/>
        <s v="8019530803"/>
        <s v="8885303345"/>
        <s v="8125401252"/>
        <s v="9396420235"/>
        <s v="9951698337"/>
        <s v="8328047934"/>
        <s v="9177781711"/>
        <s v="9000200207"/>
        <s v="9542250303"/>
        <s v="6304551271"/>
        <s v="6309781483"/>
        <s v="9615550066"/>
        <s v="9030785244"/>
        <s v="9550045222"/>
        <s v="6281337544"/>
        <s v="9618242571"/>
        <s v="9714582975"/>
        <s v="7008264218"/>
        <s v="9392580216"/>
        <s v="9966887205"/>
        <s v="9059977899"/>
        <s v="9304529259"/>
        <s v="9177015185"/>
        <s v="9739368004"/>
        <s v="9948310080"/>
        <s v="9572638886"/>
        <s v="9381245681"/>
        <s v="7093010756"/>
        <s v="8919308595"/>
        <s v="9866687976"/>
        <s v="8688704595"/>
        <s v="8143586417"/>
        <s v="7601018276"/>
        <s v="8125638358"/>
        <s v="6281762639"/>
        <s v="9494433673"/>
        <s v="9392583121"/>
        <s v="7989383201"/>
        <s v="9000314794"/>
        <s v="9030501996"/>
        <s v="8113961718"/>
        <s v="8686886219"/>
        <s v="8688077052"/>
        <s v="9370093800"/>
        <s v="8688562257"/>
        <s v="9885835714"/>
        <s v="7386840498"/>
        <s v="9010667686"/>
        <s v="8790664378"/>
      </sharedItems>
    </cacheField>
    <cacheField name="Email ID" numFmtId="0">
      <sharedItems containsBlank="1">
        <s v="minhajsmarty@gmail.com"/>
        <s v="theoriginalgrill03@gmail.com"/>
        <s v="prinzzarshad@gamil.com"/>
        <s v="alkemy.ind@gmail.com"/>
        <s v="ameersyed131@gmail.com"/>
        <s v="shabanaameer131@gmail.com"/>
        <s v="mmshoieb786@gmail.com"/>
        <s v="anasriyanmohammed@gmail.com"/>
        <s v="sheshasai.katragadda@gmail.com"/>
        <s v="bhuvanskitchen25@gmail.com"/>
        <s v="munnoorraghuveer@gmail.com"/>
        <s v="bobsbiriyani07@gmail.com"/>
        <s v="info@easrinhotels.in"/>
        <s v="gardasnagesh34@gmail.com"/>
        <s v="kunavyshnav@gmail.com"/>
        <s v="rebalsaikumargoud@gmail.com"/>
        <s v="bowlrise.srnagaar@gmail.com"/>
        <s v="not mentioned"/>
        <s v="nsantosh086@gmail.com"/>
        <s v="cakash121@gmail.com"/>
        <m/>
        <s v="venudharr@gmail.com"/>
        <s v="admin.govindasatiskconattapur.com"/>
        <s v="shivakandavelli@gmail.com"/>
        <s v="vishnuthapaa@gmail.com"/>
        <s v="V6 venturesllp@gmail.com"/>
        <s v="rayalaseemaspicefamilyvetaura@gmail.com"/>
        <s v="raghavs2606@yahoo.com"/>
        <s v="yeshwanth.bugude@gmail.com"/>
        <s v="bighaniyasony@gmail.com"/>
        <s v="bmanjunathkotteri@gmail.com"/>
        <s v="vidhusekharapizzeria@gmail.com"/>
        <s v="abhigupta143@gmail.com"/>
        <s v="ahladha2025@gmail.com"/>
        <s v="flavourbiryanicafe@gmail.com"/>
        <s v="thehunanspice@gamil.com"/>
        <s v="krishnateeram2025@gmail.com"/>
        <s v="y96822534@gamil.com"/>
        <s v="ak.8977.ak@gmail.com"/>
        <s v="vijayvijju8096@gmail.com"/>
        <s v="anandbhavanmess@gmail.com"/>
        <s v="brewcommunecafe@gmail.com"/>
        <s v="danil madapuram@gmail.com"/>
        <s v="amer786khan@gmil.com"/>
        <s v="khuddushussain7@gmail.com"/>
        <s v="bidhaniyasony@gmail.com"/>
        <s v="smashcity.bk2025@gmail.com"/>
        <s v="vjfoodprenures@gmail.com"/>
        <s v="bhushankotta valasa@gmail.com"/>
        <s v="frostbakery@gmail.com"/>
        <s v="frostbakeryindia@gmail.com"/>
        <s v="gupshupbistro@gmail.com"/>
        <s v="tkartheek.516@gmail.com"/>
        <s v="vasmshikrishnamarch20@gmail.com"/>
        <s v="dinesg.pedamallu@gmail.com"/>
        <s v="info@thegoodsparrow.com"/>
        <s v="info@thegoodsparrow.in"/>
        <s v="yashwanthmeher@gmail.com"/>
        <s v="veeradichaap1@gmail.com"/>
        <s v="veerammagarivantillu@gmail.com"/>
        <s v="dhanyasideepakvarma@gmail.com"/>
        <s v="addomkar@gmail.com"/>
        <s v="sudheer2409@gmail.com"/>
        <s v="mmbakers8052@gmail.com"/>
        <s v="poojasdinein@gmail.com"/>
        <s v="hsgsubhamgrand@gmail.com"/>
        <s v="not mentioned "/>
        <s v="arukhaflavours@gmail.com"/>
        <s v="jaimaanukanda7@gmail.com"/>
        <s v="contact.edenindustries@gmail.com"/>
        <s v="mohdilyas13@gmail.com"/>
        <s v="faheen88977@gmail.com"/>
        <s v="bakehousesns@gmail.com"/>
        <s v="srichandrakakarla@gmail.com"/>
        <s v="emkreddy.19@gmail.com"/>
        <s v="punjabijunctionyf@gmail.com"/>
        <s v="alshawrmabites@gamil.com"/>
        <s v="amoghcafe1@gmail.com"/>
        <s v="naveenaryanchowdary@gmail.com"/>
        <s v="bulliabbhai@gmail.com"/>
        <s v="royalgaming51945@gmail.com"/>
        <s v="hjjuicesalad@gmail.com"/>
        <s v="ishaq.1963@yahoo.com"/>
        <s v="kaaramthspicekitchen@gmail.com"/>
        <s v="velagapudi6@gmail.com"/>
        <s v="ravikanthnalari@gmail.com"/>
        <s v="saimanikantareddy8172@gmail.com"/>
        <s v="sribhimavaramthali@gmail.com"/>
        <s v="prashanthhaakur6@gmail.com"/>
        <s v="avinesh363@gmail.com"/>
        <s v="humaenterprises1982@gmail.com"/>
        <s v="gundavenuprakash74@gmail.com"/>
        <s v="balu.evana396@gmail.com"/>
        <s v="vijjuvo52@gmail.com"/>
        <s v="sujith.atrity@gmail.com"/>
        <s v="dilipdevda2004@gmail.com"/>
        <s v="lakshmisai349@gmail.com"/>
        <s v="aromabiryanisandpulao@gmail.com"/>
        <s v="foabanglaguda@gmail.com and hsreddy81@gmail.com"/>
        <s v="saudimd28@gmail.com"/>
        <s v="khaleelmohameed232@gmail.com"/>
        <s v="msuranaktm@gmail.com"/>
        <s v="dineshdiyya@gmail.com"/>
        <s v="oakbistro@gmail.com"/>
        <s v="hanumudiraj@gmail.com"/>
        <s v="rathodvenkat62@gmail.com"/>
        <s v="rajaasab@03@gmail.com"/>
        <s v="vardhan2563@gmail.com"/>
        <s v="santhakamruchulu@gmail.com"/>
        <s v="pedhdhoda97@gmail.com"/>
        <s v="aakham302@gmail.com"/>
        <s v="padmakasa76@gmail.com"/>
        <s v="kothaashok25@gmail.com"/>
        <s v="patnamruchulu@gmail.com"/>
        <s v="mohammedjabri599@gmail.com"/>
        <s v="syedshahed509@gmail.com"/>
        <s v="alisahil66636@gmail.com"/>
        <s v="shiv.patil006@gmail.com"/>
        <s v="kadiyalmohd7@gmail.com"/>
        <s v="Alameen1srinagar@gmail.com"/>
        <s v="srinivas.gudelli@gmail.com"/>
        <s v="fusion49.theRestaurant@gmail.com"/>
        <s v="sk.janbee28@gmail.com"/>
        <s v="sudarshanreddy2676@gmail.com"/>
        <s v="sapankumar6281737216@gmail.com"/>
        <s v="fawwazenterprises3@gmail.com"/>
        <s v="aaharaajjus@gmail.com"/>
        <s v="mayabazaar24@gmail.com"/>
        <s v="roosterkitchen2025@gmail.com"/>
        <s v="kgajielapraveen@gmail.com"/>
        <s v="madeinandhra777@gmail.com"/>
        <s v="pasidipurikitchen@gmail.com"/>
        <s v="rjenterpriser1103@gmail.com"/>
        <s v="roopchand7545@gmail.com"/>
        <s v="subratachaki390@gmail.com"/>
        <s v="rajendhrag1982@gmail.com"/>
        <s v="srinivasyadav798@gmail.com"/>
        <s v="neerupinky.neeraja172gmail.com"/>
        <s v="akhilvinay@gmail.com"/>
        <s v="timestiffinsandmeals@gmail.com"/>
        <s v="akshayabhojanam@gmail.com"/>
        <s v="hangouthospilatities@gmail.com"/>
        <s v="annamparabrahmapb@gmail.com"/>
        <s v="murthysamo7@gmail.com"/>
        <s v="anjireddygali@gmail.com"/>
        <s v="priyamoff05@gmail.com"/>
        <s v="eastandwestkitchen.kphb@gmail.com"/>
        <s v="maheshanthati34@gmail.com"/>
        <s v="madhurarestrauntbar444@gmail.com"/>
        <s v="foodcourtnaidu@gmail.com"/>
        <s v="fatch.singh091996@gmail.com"/>
        <s v="maheshdontam@gmail.com"/>
        <s v="skjani19892@gmail.com"/>
        <s v="nayanmitra2111@gmail.com"/>
        <s v="devilsravan5@gmail.com"/>
        <s v="sandeep.zombie123@gmail.com"/>
        <s v="syedhissamuddin2580@gmail.com"/>
        <s v="feedback@byaa.in"/>
        <s v="nagendravarma1419@gmail.com"/>
        <s v="feedback@tuyaa.in"/>
        <s v="niharkommulanaidu99@gmail.com"/>
        <s v="eshalfatima152008@gmail.com"/>
        <s v="aakumar4280@gmail.com"/>
        <s v="kamleshdayal53@gmail.com"/>
        <s v="oyepunjabi65@gmail.com"/>
        <s v="avinashjadhav@gmail.com"/>
        <s v="not mentionrd"/>
        <s v="vunnamprashanth955@gmail.com"/>
        <s v="info@bilwa36.com"/>
        <s v="king9966859723@gmail.com"/>
        <s v="amarendranaidu@hotmail.com"/>
        <s v="bala.thirumalareddy111@gmail.com"/>
        <s v="ravichinna198@gmail.com"/>
        <s v="ajay201.eee@gmail.com"/>
        <s v="snakingcafe@gmail.com"/>
        <s v="gunjichandrashekar0924@gmail.com"/>
        <s v="jagadeshnagothu88@gmail.com"/>
        <s v="aaharvilas@gmail.com"/>
        <s v="anukitchen2026@gmail.com"/>
        <s v="thebakely@gmail.com"/>
        <s v="cafe74tangos@gmail.com"/>
        <s v="kurellasai@gmail.com"/>
        <s v="shaikqhizar@gmail.com"/>
        <s v="madaramshailajak@gmail.com"/>
        <s v="chennuricharat@gmail.com"/>
        <s v="nrrajesh2@gmail.com"/>
        <s v="tealogy.hyd2@gmail.com"/>
        <s v="teology.hyd2@gmail.com"/>
        <s v="pidathalabharathi@gmail.com"/>
        <s v="charcoalsbbqhyd@gmail.co,"/>
        <s v="pradipbiradar1433@gmail.com"/>
        <s v="shravanmaya@gmail.com"/>
        <s v="srikanthrock6300@gmail.com"/>
        <s v="mohammedirfaan5131@gmail.com"/>
        <s v="sgbhutada@gmail.com"/>
        <s v="shaikmustak960@gmail.com"/>
        <s v="mdtaj8994@gmail.com"/>
        <s v="snackbite.gachibowli@gmail.com"/>
        <s v="tulasinandan654@gmail.com"/>
        <s v="5vesrestaurent@gmail.com"/>
        <s v="kvvsatyaprasad1974@gmail.com"/>
        <s v="epicbawarchirestraunt@gmail.com"/>
        <s v="ksai5908@gmail.com"/>
        <s v="shankarreddy.vogala@gmail.com"/>
        <s v="saudasari051997@gmail.com"/>
        <s v="nehadsiddiqui7@gmail.com"/>
        <s v="freevfn@gmail.com"/>
        <s v="ranjithreddy.s1983@gmail.com"/>
        <s v="raghavbillam019@gmail.com"/>
        <s v="merampallysravani@gmail.com"/>
        <s v="karthik46@yahoo.com"/>
        <s v="tejaarunkumar147@gmail.com"/>
        <s v="taazatiffinsbandlagudajagir@gmail.com"/>
        <s v="deepak2002114@gmail.com"/>
        <s v="sohemdya@gmail.com"/>
        <s v="sunnycool.mech9@gmail.com"/>
        <s v="citychefskitchen@gmail.com"/>
        <s v="hotwings.business1@gmail.com"/>
        <s v="kurnoolsurekhalaw@gmail.com"/>
        <s v="godavari9997@gmail.com"/>
        <s v="raviskonaseemapeddirajuruchulu@gmail.com"/>
        <s v="yadavmallesh17101@gmail.com"/>
        <s v="sanjayrambala99@gmail.com"/>
        <s v="dk15200215@gmail.com"/>
        <s v="nikhilsfeast@fgmail.com"/>
        <s v="k24.thekebabkingdom@yahoo,com"/>
        <s v="bestbiryani'sandcurries@gmail.com"/>
        <s v="meenakshicafe.9@gmail.com"/>
        <s v="durgaprasadbanswada@gmil.com"/>
        <s v="srisaitraders45@gmail.com"/>
        <s v="gottipatimilitaryhotel@gmail.com"/>
        <s v="sp096482@gmail.com"/>
        <s v="massrajmassthan@gmail.com"/>
        <s v="bhuvanpatel173@gmail.com"/>
        <s v="kallepalliganesh0454@gmail.com"/>
        <s v="chandanbharti9831@gmail.com"/>
        <s v="mihirk10@icloud.com"/>
        <s v="vasireddysivakumar@gmail.com"/>
        <s v="naveen@sweetdude"/>
        <s v="biryanimandirr@gmail.com"/>
        <s v="rameshmuchakota94@gmail.com"/>
        <s v="bhanupriya@gmail.com"/>
        <s v="syvm.hospitality@gmail.com"/>
        <s v="syedhajiali028@gmail.com"/>
        <s v="charankumar2202@gmail.com"/>
        <s v="ksrinavas1234@gmail.com"/>
        <s v="hamdanalguthmi1234@gmail.com"/>
        <s v="srikanthpeddi54@gmail.com"/>
        <s v="sneharvinds@gmail.com"/>
        <s v="inikaafoods@gmail.com"/>
        <s v="pulipradeepgoud1436@gmail.com"/>
        <s v="mekalaskitchenette@gmail.com"/>
        <s v="ntsai143@gmail.com"/>
        <s v="naveengoodchap120@gmail.com"/>
        <s v="urs.neethasai1612@gmail.com"/>
        <s v="dudyaladineshkumar@gmail.com"/>
        <s v="dineshbolla10@gmail.com"/>
        <s v="khairuddinkhazi@gmail.com"/>
        <s v="genzflavoria@gmail.com"/>
        <s v="mdameerimaroz@gmail.com"/>
        <s v="b4ushiva@gmail.com"/>
        <s v="openheartrestaurant@gmail.com"/>
        <s v="alekhyakotla23@gmail.com"/>
        <s v="ksai96376@gmail.com"/>
        <s v="zucifera@gmail.com"/>
        <s v="srivegamamadeluxmess@gmail.com"/>
        <s v="kancharalaanand18@gmail.com"/>
        <s v="babihotellest942@gmail.com"/>
        <s v="manjelashivakumar33@gmail.com"/>
        <s v="bhanuprakash.adabala@gmail.com"/>
        <s v="sikandermohd376@gmail.com"/>
        <s v="gollavenkat889@gmail.com"/>
        <s v="sainagarajukumar183@gmail.com"/>
        <s v="bkhuntia91@gmail.com"/>
        <s v="racireddym111@gmail.com"/>
        <s v="wasimakram60652001@gmail.com"/>
        <s v="info@ruchichupistha.com"/>
        <s v="vinod1991rocks@gmail.com"/>
        <s v="ampanagalakshmi5555@gmail.com"/>
        <s v="kbrsravan999@gmail.com"/>
        <s v="abhishek.kumar728856@gmail.com"/>
        <s v="n.prabhavathi555@gmail.com"/>
        <s v="srinuvasulureddy1985@gmail.com"/>
        <s v="mendayvamshi28074@gmail.com"/>
        <s v="sifoods1505@gmail.com"/>
        <s v="lalugudavalli@gamil.com"/>
        <s v="N/A"/>
        <s v="seshuachanta003@gmail.com"/>
        <s v="swarupjana@yahoo.com"/>
        <s v="qubzjntu@gmail.com"/>
        <s v="celebs.reloaded@gmail.com"/>
        <s v="rainbowfood591@gmail.com"/>
        <s v="maskachaskaon@gmail.com"/>
        <s v="acc.gachibowli@mondayhotels.com"/>
        <s v="acc.llm@muslie.com"/>
        <s v="acc.hite@mondayhotels.com"/>
        <s v="acc.madhapur&quot;mondayhotels.com"/>
        <s v="fahadkalathingal007@gmail.com"/>
        <s v="enterprisesnaivedya@gmail.com"/>
        <s v="ramsinghbanoth000@gmail.com"/>
        <s v="garudacafeonline@gmail.com"/>
        <s v="gongurasbygaruda@gmail.com"/>
        <s v="nanavathashok8@gmail.com"/>
        <s v="irfan021085jassery@gmail.com"/>
        <s v="lassistorymayurinagark@gmail.com"/>
        <s v="ulavapudubiryanispulaos@gmail.com"/>
        <s v="anandobrahma2022@gmail.com"/>
      </sharedItems>
    </cacheField>
    <cacheField name="Benficiary name" numFmtId="0">
      <sharedItems containsBlank="1">
        <s v="Mohammed minhaj uddin"/>
        <s v="not mentioned"/>
        <s v="Mohammed Arshad"/>
        <s v="alkemy"/>
        <s v="Shabana Begum"/>
        <s v="Tahaan foods private limited"/>
        <s v="Mohd Shoieb"/>
        <s v="Asfiya sulthana"/>
        <s v="Invences foods"/>
        <s v="Ravindra babu tadiboyina"/>
        <s v="Paul kumar rapaka"/>
        <s v="Eastin hotels and resorts"/>
        <s v="Gardas saritha"/>
        <s v="Om Vaishnav Enterprise"/>
        <s v="Yelgani sai kumar goud"/>
        <s v="For aarav sunrise hospitalitfes"/>
        <s v="Zyras Biryani house"/>
        <s v="Alankrutha multi cuisine Restaurant"/>
        <s v="Alnkarutha multicusine Restaurant"/>
        <m/>
        <s v="Avhllp sambal"/>
        <s v="Avhllp kokapet"/>
        <s v="iskcon-Govindas"/>
        <s v="Kandavelli Siva Rama Krishna"/>
        <s v="Avhllp military hotel"/>
        <s v="V6 ventures LLP"/>
        <s v="Rayalaseema spice Restaurant"/>
        <s v="Muni Ragavendra gandavadi"/>
        <s v="B.Raja yashwanth kumar"/>
        <s v="B.soni"/>
        <s v="Bailu Manjunath"/>
        <s v="Vidhusekhara pizzeria private limited"/>
        <s v="Thota abhilash"/>
        <s v="Ahladha kitchen"/>
        <s v="M. sai teja"/>
        <s v="Hunan chinese cuisine"/>
        <s v="Lucky multi cuisine Restaurant"/>
        <s v="mohammed froz"/>
        <s v="Mohanmed feroz"/>
        <s v="kolli tirunala ravindra"/>
        <s v="Anand Bhavan mess"/>
        <s v="Brew commune cafe and bistro"/>
        <s v="Meraj's Restaurant"/>
        <s v="Mohammed Quddus hussain"/>
        <s v="Pranay kumar"/>
        <s v="VJ food prenures"/>
        <s v="K. Naga Bhushan Rao"/>
        <s v="frost bakery"/>
        <s v="Juhi sanjay sajnani"/>
        <s v="Gupshup Bistro"/>
        <s v="Therala kartheek"/>
        <s v="sambasiva rao kethineni"/>
        <s v="Ashish kumar"/>
        <s v="Pedamallu dinesh sai"/>
        <s v="Good sparrow foods private limited"/>
        <s v="Times green enugy india limited"/>
        <s v="Veeramma gari vantillu"/>
        <s v="Sri sai and co."/>
        <s v="Anu archana kitchen"/>
        <s v="Brew and bloom heaven coffee shop"/>
        <s v="chinthamani pulaous"/>
        <s v="Gogineni v j sudheer kumar"/>
        <s v="MM cake factory and bakers"/>
        <s v="For Poojas dine IN"/>
        <s v="Al saba Restaurant"/>
        <s v="arukha flavours"/>
        <s v="Arm coffee place"/>
        <s v="Eden industries"/>
        <s v="G Hitech Bawarchi food court"/>
        <s v="Mohammed masoor"/>
        <s v="padmavathi food court"/>
        <s v="SNS bakehouse bakery and cafe"/>
        <s v="castal kitchen "/>
        <s v="Evuri manikanteswara reddy"/>
        <s v="Yummy foods"/>
        <s v="Syed ali"/>
        <s v="Sindhu sha"/>
        <s v="Bulliabbai kodi palau"/>
        <s v="Imtiaz alam"/>
        <s v="Hanuman Juice and salad"/>
        <s v="Mohammed ishaq"/>
        <s v="Kaaram the Authntic telangana spice kitchnen"/>
        <s v="V.Meghana"/>
        <s v="Nallari Ravikanth rao"/>
        <s v="Paruchuri foods"/>
        <s v="Rambabu"/>
        <s v="Peram sai manikanta reddy"/>
        <s v="Sri Bhimanaram Thali/Tangella Ravali"/>
        <s v="Thakur Prasanth singh"/>
        <s v="V.Ravi Kumar"/>
        <s v="Aripelli VInesh"/>
        <s v="Huma Enterprises"/>
        <s v="Venu prakash gunda"/>
        <s v="Padavala Rama lakshmi"/>
        <s v="Sri sai rama tiffins"/>
        <s v="kanchu musthyam "/>
        <s v="A Balaji family dhaba"/>
        <s v="Al-Aadaab Arabian mandi Restaurant"/>
        <s v="Polanati Mowlikasri"/>
        <s v="Arya and srinika's kitchen"/>
        <s v="MD.Ghouse"/>
        <s v="Mohammed Khaleel"/>
        <s v="Monica surana"/>
        <s v="Dinesh kumar"/>
        <s v="Roast and krunch cafe"/>
        <s v="Palapiltta Ruchulu"/>
        <s v="Megha vath venkatesh"/>
        <s v="Dodda krupakar"/>
        <s v="Gold kumar"/>
        <s v="santhakam Ruchulu"/>
        <s v="Goundla srihari goud"/>
        <s v="Spice theory"/>
        <s v="kassa  venkata padmavathi"/>
        <s v="kotha ashok"/>
        <s v="Telugu patnam ruchulu"/>
        <s v="Mohammed Bin Mansoor Al Jabri"/>
        <s v="syed shahed"/>
        <s v="zamin ali"/>
        <s v="shiv kumar patil"/>
        <s v="Mohammed Zahera Begum"/>
        <s v="Al Ameen Shawarma"/>
        <s v="paka niharika"/>
        <s v="Fusion@49"/>
        <s v="P.SRINIVASHULU"/>
        <s v="Shaik janbee"/>
        <s v="Shailaja reddy"/>
        <s v="Sudarshan reddy"/>
        <s v="Sapan kumar jena"/>
        <s v="Fawwwaz Enterprises"/>
        <s v="K.Kailash"/>
        <s v="Gunda Ajay kumar"/>
        <s v="Chalavadi pavan Kalyan"/>
        <s v="Bhavani Mess"/>
        <s v="Made in Andhra"/>
        <s v="Mayabazaar"/>
        <s v="Umadevi Alampally"/>
        <s v="shru santhosh family dhaba"/>
        <s v="Rukima"/>
        <s v="santosh family dhaba"/>
        <s v="Gopal chaki"/>
        <s v="Sindhu tiffins and meals"/>
        <s v="Regu srinivas"/>
        <s v="Niraj"/>
        <s v="Yanugunti Akhil"/>
        <s v="Times tiffins and Meals"/>
        <s v="Akshaya Bhojanam"/>
        <s v="Hangout Hospilatities@gmail.com"/>
        <s v="Annam Parabrahma "/>
        <s v="Gali Anjaneya Reddy"/>
        <s v="laxmi shailaja sutrave"/>
        <s v="Momi Gupta"/>
        <s v="East and west kitchen"/>
        <s v="Ichirakau ramen house"/>
        <s v="Kings M Biryani Adda"/>
        <s v="madhura restraunt and bar "/>
        <s v="Mohammed yasar"/>
        <s v="Naidu Food Court"/>
        <s v="Gangan Preet Monga"/>
        <s v="Dontham mahesh"/>
        <s v="sekh jani bakes"/>
        <s v="Nayan mitra"/>
        <s v="Veedulakanty Sravan Kumar"/>
        <s v="Sandeep"/>
        <s v="Syed Hissam Uddin"/>
        <s v="Saraswati Biswas"/>
        <s v="karani nagendra varama "/>
        <s v="Kommula Krishna Nihar"/>
        <s v="A. Anil Kumar"/>
        <s v="Chemmala Rajender "/>
        <s v="J Manikanth"/>
        <s v="Oye punjabi"/>
        <s v="sonali avinash jadhav"/>
        <s v="Mandala Rama krishna reddy"/>
        <s v="Prashanth"/>
        <s v="S P Enterprises"/>
        <s v="Zafaron food court"/>
        <s v="Gondi Amerendra Naidu"/>
        <s v="Thirumala Reddy Balashow reddy"/>
        <s v="S.Ravi"/>
        <s v="Sugathi Homestays"/>
        <s v="SNAKING CAFE PVT.LTD"/>
        <s v="Gunji Shekar"/>
        <s v="Gunji chndra shekhar"/>
        <s v="Kottu Adiwarayana"/>
        <s v="Sri Vigneshwara Aaha biryani"/>
        <s v="Aahar vilas"/>
        <s v="Burra Rakesh Gound"/>
        <s v="The Bakely"/>
        <s v="Nandha kishore"/>
        <s v="D Indra"/>
        <s v="Hydes Diner"/>
        <s v="Mrs. Madaram Shailaja"/>
        <s v="Madaram Shailaja"/>
        <s v="sharat chandra chennuri"/>
        <s v="N.Rajesh kumar"/>
        <s v="Mohammed Ibrahim"/>
        <s v="Uday Bhaskar"/>
        <s v="Akshaya patra"/>
        <s v="Padmavathi vessam"/>
        <s v="srikanth charan"/>
        <s v="Biradar Pradeep"/>
        <s v="Yakkanti Jahnavi"/>
        <s v="Janapally Shravan Kumar"/>
        <s v="Srikanth Kolipaka"/>
        <s v="Mohammed Irfaan"/>
        <s v="Mamatha budhani"/>
        <s v="Preeti tiffins"/>
        <s v="sekh raphik"/>
        <s v="shaik sartaz ali"/>
        <s v="Snack Bite"/>
        <s v="The Boat House"/>
        <s v="5ves restaurant"/>
        <s v="Amulya Abhiruchi "/>
        <s v="Epic Bawarchi"/>
        <s v="caffine hub"/>
        <s v="cake corner bakers confectioners"/>
        <s v="Chai kaburlu"/>
        <s v="classic crown restaurant"/>
        <s v="Dasari kiran (Gani)"/>
        <s v="Kondapalli vijay kumar"/>
        <s v="Sammidi Ranjith reddy"/>
        <s v="Billam Raghavendra"/>
        <s v="Sri Raghavendra Bhavan Pure Veg"/>
        <s v="Pendyala teja arun kumar"/>
        <s v="Sri lakshmi Enterprises"/>
        <s v="Deepak"/>
        <s v="Mutta Gopal Ramakrishna"/>
        <s v="M.gopinath"/>
        <s v="Ravi kumar"/>
        <s v="Raju gari sruthi"/>
        <s v="Godavari vari vindhu maryada"/>
        <s v="Darapuneni stores and Bakery"/>
        <s v="methri mallesh"/>
        <s v="Rambala sanjay"/>
        <s v="Shyammala sai prasad"/>
        <s v="Second wife C/O Gunthur"/>
        <s v="Kokkilihada lankamma"/>
        <s v="Ravi kiran "/>
        <s v="Ajay Kumar"/>
        <s v="Anji Tiffins and meals"/>
        <s v="Prabhakar"/>
        <s v="Shiva karthik"/>
        <s v="Gottipati military hotel"/>
        <s v="Magram madhuri "/>
        <s v="Nandini Talluru"/>
        <s v="KURUKUTI RAM PRASAD"/>
        <s v="Gaddam vishal"/>
        <s v="P Satya sai"/>
        <s v="Snamk Hospitality"/>
        <s v="Sreejas Home foods"/>
        <s v="sweet dude signature PVT . LTD"/>
        <s v="The Tasty Chapter"/>
        <s v="Biryani Mandirr"/>
        <s v="Mucch kota Ramesh"/>
        <s v="Sri saravana food and Beverages"/>
        <s v="SYVM hospitality"/>
        <s v="SYED Haji Ali"/>
        <s v="Avani Restaurant"/>
        <s v="Bhawanee Multicuisine restaurent"/>
        <s v="Peddi naveen"/>
        <s v="Shena Yashwant randive"/>
        <s v="Divya"/>
        <s v="Kathmandu Momos"/>
        <s v="Puli Pradeep"/>
        <s v="Mr.N Gopichand and Mr.Mekala shesidhar reddy"/>
        <s v="Hamdan Bin Masood"/>
        <s v="N.Gopichand"/>
        <s v="Taaza Tiffins"/>
        <s v="Ch Ramesh kumar"/>
        <s v="Chopsticks"/>
        <s v="Md.Khairuddin"/>
        <s v="Arua bhavan udipi veg"/>
        <s v="Vikram talasila"/>
        <s v="Madhapur Bawarchi"/>
        <s v="SK Shabbir"/>
        <s v="open heart restaurant"/>
        <s v="Kotla Alkhya"/>
        <s v="Bejam Harika"/>
        <s v="Sri Vengamamba Deluxe mess"/>
        <s v="Kancharla Anand"/>
        <s v="Krilaba gana sathvikam"/>
        <s v="Manjela shiva kumar"/>
        <s v="Exotica slice and sauce private limited"/>
        <s v="Skindar Mohammed"/>
        <s v="Venkateshwara Rao"/>
        <s v="Sai Nagaraju Kumar"/>
        <s v="Balaram Khuntia"/>
        <s v="Madduri Ravindhar Reddy"/>
        <s v="Wasim Akram"/>
        <s v="Sunil Gowtham"/>
        <s v="Vinayanka Dileep varma kosuri"/>
        <s v="Vinod Kumar"/>
        <s v="srinivasulu "/>
        <s v="Dwarakamayee Tiffins Centre"/>
        <s v="Shivananda"/>
        <s v="KBR Crispy chicken"/>
        <s v="Mammu's kitchen"/>
        <s v="srinuvasulu reddy vada "/>
        <s v="Menday Vamshi"/>
        <s v="Lalu Sekhar Gudavalli"/>
        <s v="Tea time"/>
        <s v="Adbutaha Tiffins"/>
        <s v="Kolkata food plaza"/>
        <s v="Polu Vasanthi"/>
        <s v="Rajkiran Darshan"/>
        <s v="Mr. Mohd wajid ali khan"/>
        <s v="Mattaparthi Durga"/>
        <s v="Shravan Kumar Kale"/>
        <s v="Candella heights LLP"/>
        <s v="Muisyle Elite Hospitality"/>
        <s v="Sri Venkateshwara Hospitality"/>
        <s v="Shriman Hotels LLP"/>
        <s v="Fahad Mon Kalathingal"/>
        <s v="Naviedya enterprises"/>
        <s v="Zamindar's Cafe"/>
        <s v="Garuda Cafe"/>
        <s v="Gonguras by Garuda"/>
        <s v="Syed Irfaan Hussain Jaffery"/>
        <s v="Bhanu Food Hub"/>
        <s v="Ulavapudu Biryani and Pulaos"/>
        <s v="Oldendays Tiffins"/>
        <s v="Anandobrahma"/>
      </sharedItems>
    </cacheField>
    <cacheField name="Bank Name" numFmtId="0">
      <sharedItems containsBlank="1">
        <s v="Bank of Borada"/>
        <s v="not mentioned"/>
        <s v="Airtel Bank"/>
        <s v="Hdfc bank "/>
        <s v="Kotak mahindra bank"/>
        <s v="Axis Bank"/>
        <s v="State Bank of India"/>
        <s v="IDFC Bank"/>
        <s v="Telangana state cooperative apex bank ltd"/>
        <s v="ICICI BANK"/>
        <s v="Yes Bank"/>
        <s v="Centeal bank of india"/>
        <m/>
        <s v="Unioun bank of india"/>
        <s v="Bandhan Bank"/>
        <s v="Central Bank Of India"/>
        <s v="DCB bank "/>
        <s v="City union bank ltd"/>
        <s v="RBL Bank"/>
        <s v="Induslnd Bank"/>
        <s v="Indian bank"/>
        <s v="Canara bank"/>
        <s v="IDBI Bank"/>
        <s v="IDFC first bank"/>
        <s v="South Indian bank"/>
        <s v="The Gayatri Co-operative urban bank ltd"/>
        <s v="Indian Overseas Bank"/>
        <s v="Hdfc Bank"/>
        <s v="Axis bank "/>
        <s v="Federal bank"/>
        <s v="ICICI Bank "/>
        <s v="Equitas small business bank"/>
        <s v="UCO bank"/>
        <s v="SBI South Indian"/>
        <s v="IBBI bank"/>
        <s v="Industrial bank"/>
        <s v="Telangana Grameena Bank"/>
        <s v="Federal bank ,khairatabad"/>
        <s v="SBI "/>
        <s v="Karur vysya bank"/>
        <s v="Bank of India"/>
        <s v="Kotak Mahindra"/>
        <s v="YES Properity"/>
        <s v="Adarsh Bank"/>
        <s v="SBI Bank"/>
        <s v="Kotak"/>
        <s v="Punjab national bank"/>
        <s v="Indusland Bank"/>
        <s v="Kotak Mahendra Bank"/>
        <s v="Andhra bank"/>
        <s v="UNION Bank"/>
        <s v="not mentionrd"/>
        <s v="Axix bank"/>
        <s v="HDFC"/>
        <s v="IDFC . First bank"/>
        <s v="Indualand bank"/>
        <s v="Kotak Bank"/>
        <s v="Bank of maharashtra"/>
        <s v="kotak mahindra bank bank"/>
        <s v="Andhra pradesh mahesh cooperative urban bank limited"/>
        <s v="Bhandhan bank"/>
        <s v="telangana co-operative bank"/>
        <s v="Bank of Baroda"/>
        <s v="The adarsh CO-OP Urban Bank"/>
        <s v="IDFC First"/>
        <s v="SBI"/>
        <s v="Yes properity business"/>
        <s v="The Eenadu corperative urban bank"/>
      </sharedItems>
    </cacheField>
    <cacheField name="Account Number">
      <sharedItems containsBlank="1" containsMixedTypes="1" containsNumber="1" containsInteger="1">
        <n v="7.5540100010283E13"/>
        <s v="not mentioned"/>
        <n v="8.686561072E9"/>
        <n v="5.0200096500839E13"/>
        <n v="6.049069572E9"/>
        <n v="9.21002005488252E15"/>
        <n v="2.0308200989E10"/>
        <n v="4.254554867E10"/>
        <n v="1.0192341683E10"/>
        <n v="5.0200102000231E13"/>
        <n v="9.91111800000003E14"/>
        <n v="1.12005003328E11"/>
        <n v="2.0297710024E10"/>
        <n v="1.00126900000171E14"/>
        <n v="3.269632568E9"/>
        <n v="8.03705000004E11"/>
        <n v="6.450935473E9"/>
        <n v="6.5980200001283E13"/>
        <m/>
        <n v="5.0200029920971E13"/>
        <n v="5.020009320867E13"/>
        <n v="9.24010053814296E14"/>
        <n v="1.35610011001804E14"/>
        <n v="5.020002991824E13"/>
        <n v="4.005030744E9"/>
        <n v="2.0100061259823E13"/>
        <n v="5.684056323E9"/>
        <n v="8.0980100003622E13"/>
        <s v=";02711500006880"/>
        <n v="5.00101013048225E14"/>
        <n v="2.26711010000044E14"/>
        <n v="3.09005434613E11"/>
        <n v="2.59849975158E11"/>
        <n v="6.414081002E9"/>
        <n v="1.548257253E9"/>
        <s v="not mentioned "/>
        <n v="5.0200064899781E13"/>
        <n v="1.57097949648E11"/>
        <n v="3.049366762E9"/>
        <n v="1.836190000605E13"/>
        <n v="4.4866997013E10"/>
        <n v="1.20038671615E11"/>
        <n v="3.79474434E10"/>
        <n v="2.71150000688E12"/>
        <n v="3.3311501023101E13"/>
        <n v="5.0200069149286E13"/>
        <n v="5.0200047092427E13"/>
        <n v="9.23020067557565E14"/>
        <n v="9.448450312E9"/>
        <n v="3.212110291E9"/>
        <n v="2.0264573793E10"/>
        <n v="5.0200018292136E13"/>
        <n v="1.51010400003791E15"/>
        <n v="1.11605002567E11"/>
        <n v="6.2364741647E10"/>
        <n v="1.0085657065E10"/>
        <n v="4.4573150739E10"/>
        <n v="9.748601141E9"/>
        <n v="5.0200037904604E13"/>
        <s v=";0597073000000451"/>
        <n v="4.4662846419E10"/>
        <n v="1.04110021001175E14"/>
        <n v="5.0200037070986E13"/>
        <s v=";000101558510"/>
        <n v="4.650956984E9"/>
        <n v="2.0002000002527E13"/>
        <n v="9.24020006428812E14"/>
        <n v="5.0200116850493E13"/>
        <n v="1.47601900001351E14"/>
        <n v="1.47661900001351E14"/>
        <n v="1.04110021001527E14"/>
        <n v="5.0200117226947E13"/>
        <n v="9.17020033027897E14"/>
        <n v="3.0542010072789E13"/>
        <n v="1.4730200007249E13"/>
        <n v="8.9494399655E10"/>
        <n v="3.8920550013E11"/>
        <s v=";067901002598"/>
        <n v="5.871063531E9"/>
        <s v=";047761900002984"/>
        <n v="5.0100003745E10"/>
        <n v="8.150356795E9"/>
        <n v="1.5710100039717E13"/>
        <n v="1.69602000000386E14"/>
        <s v=";0798101023882"/>
        <n v="5.020010653571E13"/>
        <n v="5.010001507165E13"/>
        <n v="6.2092826288E10"/>
        <n v="5.0200031660125E13"/>
        <n v="2.0202523526E10"/>
        <n v="5.0100504584589E13"/>
        <n v="2.0003005621E10"/>
        <n v="3.9310150087E11"/>
        <n v="4.3288896643E10"/>
        <n v="2.1100110041208E13"/>
        <n v="1.57002000000978E14"/>
        <n v="5.0100406937092E13"/>
        <n v="4.2032773051E10"/>
        <n v="9.21020008513078E14"/>
        <n v="4.723780934E9"/>
        <n v="5.0200100349334E13"/>
        <n v="2.59866678342E11"/>
        <n v="8.0980200001473E13"/>
        <n v="5.2401202575E10"/>
        <n v="5.0100663398498E13"/>
        <n v="5.0200061840429E13"/>
        <s v="1282120100003325"/>
        <n v="5.2208382919E10"/>
        <n v="5.0200093317863E13"/>
        <s v=";0726073000000346"/>
        <n v="3.11269783E9"/>
        <n v="1.30810100038453E14"/>
        <s v=";0446104000204927"/>
        <n v="2.59515758788E11"/>
        <s v=";044910100104136"/>
        <s v=";047761900001031"/>
        <n v="6.2175906581E10"/>
        <n v="5.010046528124E12"/>
        <n v="5.0200116731631E13"/>
        <n v="4.914600005753E12"/>
        <n v="9.8145001154E10"/>
        <n v="5.2010106319482E13"/>
        <n v="5.0100379968456E13"/>
        <n v="1.11101518283E11"/>
        <n v="5.0200034722082E13"/>
        <n v="6.2430657001E10"/>
        <n v="4.4709877876E10"/>
        <n v="2.00523555986E11"/>
        <n v="3.99760777E9"/>
        <n v="7.9101285995E10"/>
        <n v="5.0100765124138E13"/>
        <n v="1.00284832813E11"/>
        <n v="5.556666661E9"/>
        <n v="5.0100325406784E13"/>
        <n v="9.9980112182519E13"/>
        <n v="7.62005500049E11"/>
        <n v="1.4730200007074E13"/>
        <n v="5.0200098074982E13"/>
        <n v="3.1254870928E10"/>
        <s v="not metioned"/>
        <n v="5.0200071249951E13"/>
        <n v="5.0200114180997E13"/>
        <n v="5.0200021425659E13"/>
        <n v="4.0322031139E10"/>
        <n v="1.48413500000779E15"/>
        <n v="5.1100974312E10"/>
        <n v="5.2210389705E10"/>
        <n v="8.62810110011789E14"/>
        <n v="5.0200083790791E13"/>
        <n v="5.0200112298727E13"/>
        <n v="5.97073000000553E14"/>
        <n v="5.14073000000595E14"/>
        <n v="6.30501549672E11"/>
        <n v="8.945296083E9"/>
        <n v="6.450147555E9"/>
        <s v=";0514073000000572"/>
        <n v="4.3352764998E10"/>
        <n v="9.15018156E9"/>
        <n v="5.0200082449899E13"/>
        <n v="1.52661900000512E14"/>
        <n v="1.0225700253E10"/>
        <n v="1.01220051002355E14"/>
        <n v="2.0025035345E10"/>
        <n v="5.020010164945E13"/>
        <n v="1.2511040000335E15"/>
        <n v="4.3968656032E10"/>
        <n v="5.0200020614888E13"/>
        <n v="2.049401213E9"/>
        <n v="1.03020010002391E15"/>
        <s v=";090310100076569"/>
        <n v="4.2302071794E10"/>
        <n v="1.05000415666E11"/>
        <n v="3.5180100000723E14"/>
        <n v="8.146469729E9"/>
        <n v="1.0082960313E10"/>
        <n v="1.11210100048593E14"/>
        <n v="4.0710100033245E13"/>
        <s v="not mentionrd"/>
        <n v="1.613912506E9"/>
        <n v="5.0200098504039E13"/>
        <n v="9.24020055483053E14"/>
        <n v="2.0050083625E10"/>
        <s v=";0548053000006314"/>
        <n v="5.0100782714211E13"/>
        <n v="5.712286063E9"/>
        <n v="8.9989981258E10"/>
        <n v="1.8630370215E11"/>
        <n v="6.450790386E9"/>
        <n v="1.45361900001302E14"/>
        <n v="2.59494969626E11"/>
        <n v="5.449926959E9"/>
        <n v="6.0561936317E10"/>
        <n v="1.10031112647E11"/>
        <n v="5.0100788335152E13"/>
        <n v="5.0200104900798E13"/>
        <n v="5.7201000019505E13"/>
        <n v="1.51212201000258E15"/>
        <n v="1.19650700001669E14"/>
        <n v="5.936315853E9"/>
        <n v="5.69305500026E11"/>
        <n v="5.0200100066906E13"/>
        <n v="3.499010005873E12"/>
        <n v="6.2229638385E10"/>
        <n v="5.08302010003947E14"/>
        <n v="5.020011269819E12"/>
        <n v="5.0100133454017E13"/>
        <n v="9.761900006867E12"/>
        <n v="1.945624313E9"/>
        <s v=";025301617423"/>
        <n v="2.9001200000945E13"/>
        <n v="1.6211110000434E14"/>
        <n v="3.498426213E9"/>
        <n v="1.10124467306E11"/>
        <n v="2.3780200001972E13"/>
        <n v="1.97405500141E11"/>
        <n v="5.0200112176575E13"/>
        <n v="8.447212963E9"/>
        <n v="9.986881566E9"/>
        <n v="9.20020055993691E14"/>
        <n v="5.02007950961E12"/>
        <n v="2.0100077076521E13"/>
        <n v="1.50120010005307E14"/>
        <n v="5.0100542315761E13"/>
        <n v="5.0100842782844E13"/>
        <n v="9.25010020128231E14"/>
        <n v="3.5307290341E10"/>
        <n v="5.020002814888E12"/>
        <n v="4.2533069588E10"/>
        <n v="9.1801002464014E14"/>
        <n v="1.97405001433E11"/>
        <n v="3.549801169E9"/>
        <n v="4.80117200007565E14"/>
        <n v="2.0271087187E10"/>
        <n v="9.13010031284567E14"/>
        <n v="6.2325087074E10"/>
        <n v="5.0200115430462E13"/>
        <s v="9210200049729747"/>
        <n v="4.312229258E9"/>
        <n v="1.7412010000258E13"/>
        <n v="2.0453364748E10"/>
        <s v="4565000100039825"/>
        <n v="5.0200088449082E13"/>
        <n v="2.2490100008769E13"/>
        <n v="4.89110110016961E14"/>
        <n v="2.0100035270802E13"/>
        <n v="4.10325695021E11"/>
        <n v="8.167740968E9"/>
        <n v="5.0200080613101E13"/>
        <n v="2.610100020394E12"/>
        <n v="2.80104000308816E14"/>
        <n v="3.4990200000312E13"/>
        <n v="5.0100683644109E13"/>
        <n v="1.00420051095667E14"/>
        <n v="7.77705271271E11"/>
        <n v="5.0200013147993E13"/>
        <n v="7.9848807672E10"/>
        <n v="1.42961900001026E14"/>
        <n v="8.1120500000714E13"/>
        <s v=";054312010001541"/>
        <n v="9.24020005914439E14"/>
        <n v="2.79905002841E11"/>
        <n v="3.0212200061585E13"/>
        <n v="1.20038051424E11"/>
        <n v="9.763300006949E12"/>
        <n v="9.21010003523141E14"/>
        <n v="5.0100532565376E13"/>
        <n v="6.052362851E9"/>
        <n v="5.0200113957548E13"/>
        <n v="3.6202620655E10"/>
        <n v="9.93111800000007E14"/>
        <n v="2.0357949431E10"/>
        <n v="5.70205000053E11"/>
        <n v="9.11020038082062E14"/>
        <n v="9.18020062545006E14"/>
        <n v="1.20037263891E11"/>
        <n v="1.89002000000422E14"/>
        <n v="8.246382942E9"/>
        <n v="1.512423141E9"/>
        <n v="1.0036566072E10"/>
        <n v="7.412212953E9"/>
        <n v="9.25020040226064E14"/>
        <n v="1.56710100065031E14"/>
        <n v="5.0200087578646E13"/>
        <n v="4.4167291537E10"/>
        <n v="7.148915104E9"/>
        <n v="9.22020018758873E14"/>
        <n v="3.9978485949E10"/>
        <n v="8.32871618E9"/>
        <n v="9.20020032884901E14"/>
        <n v="2.0269211075E10"/>
        <n v="7.549267543E9"/>
        <s v="1951102000000231"/>
        <n v="5.0200102359455E13"/>
        <n v="3.8883463457E10"/>
        <n v="1.001633000014E14"/>
        <n v="9.20010059932943E14"/>
        <n v="3.9665554375E10"/>
        <n v="3.3401005425E11"/>
        <n v="1.011014000017E12"/>
        <n v="5.0100144715322E13"/>
        <n v="5.0200095844955E13"/>
        <s v=";0514073000000598"/>
        <n v="1.83410100007985E14"/>
        <n v="9.21010002961119E14"/>
        <n v="9.2502003302611E14"/>
        <n v="3.5332027368E10"/>
        <n v="4.005026932E9"/>
        <n v="1.548349217E9"/>
        <n v="5.0200081127915E13"/>
        <n v="4.45935568366E11"/>
        <n v="7.777010930035E12"/>
        <n v="2.0287776633E10"/>
        <n v="1.45361900002201E15"/>
        <n v="3.9592316374E10"/>
        <n v="1.0163060481E10"/>
        <n v="1.01264647215E11"/>
        <n v="1.0070902944E10"/>
        <n v="1.0222082568E10"/>
        <n v="5.0200098129376E13"/>
        <s v=";048820700000592"/>
        <n v="2.0100077168248E13"/>
        <n v="1.11105003263E11"/>
        <n v="8.3700938001E10"/>
        <n v="7.76295069E8"/>
        <n v="5.020011632699E13"/>
        <n v="1.11905003129E11"/>
        <n v="4.4991583406E10"/>
        <n v="2.36305001676E11"/>
      </sharedItems>
    </cacheField>
    <cacheField name="IFSC Code" numFmtId="0">
      <sharedItems containsBlank="1">
        <s v="BARBOVJVCHY"/>
        <s v="not mentioned"/>
        <s v="AIRP0000001"/>
        <s v="HDFC0005853"/>
        <s v="KKBK0007487"/>
        <s v="UTIB0004826"/>
        <s v="SBIN0008026"/>
        <s v="SBIN0005095"/>
        <s v="IDFB0080231"/>
        <s v="HDFC0010090"/>
        <s v="TSAB0000111"/>
        <s v="ICIC0001120"/>
        <s v="SBIN0010676"/>
        <s v="YESB0001001"/>
        <s v="CBIN0283883"/>
        <s v="ICIC0008037"/>
        <s v="KKBK0000561"/>
        <s v="BARBODBMDHP"/>
        <m/>
        <s v="HDFC0003739"/>
        <s v="HDFC0000021"/>
        <s v="UBIN0813567"/>
        <s v="ICIC0000040"/>
        <s v="BDBL0002722"/>
        <s v="CBIN0280814"/>
        <s v="BARBOVJBUND"/>
        <s v="DCBL0000027"/>
        <s v="CIUB0000386"/>
        <s v="UBIN0822671"/>
        <s v="RATN000208"/>
        <s v="INDB0001805"/>
        <s v="IDIB000k284"/>
        <s v="KKBK0007466"/>
        <s v="HDFC0004277"/>
        <s v="INDB0001052"/>
        <s v="YESB0000183"/>
        <s v="SBIN0014676"/>
        <s v="CNRB0013007"/>
        <s v="SBIN0005322"/>
        <s v="NFSC000033"/>
        <s v="HDFC0003949"/>
        <s v="HDFC0001627"/>
        <s v="UTIB0003484"/>
        <s v="KKBK0007515"/>
        <s v="KKBK0000560"/>
        <s v="SBIN0014170"/>
        <s v="BDBL0001160"/>
        <s v="IBKL0001510"/>
        <s v="ICIC0001116"/>
        <s v="SBIN0020684"/>
        <s v="IDFB0080205"/>
        <s v="SBIN0032241"/>
        <s v="SBIN0018047"/>
        <s v="HDFC0004299"/>
        <s v="SIBL0000591"/>
        <s v="SBI003257"/>
        <s v="HDFCOCTGCUB"/>
        <s v="HDFC000512"/>
        <s v="ICIC0000001"/>
        <s v="KKBK0007535"/>
        <s v="IOBA0000200"/>
        <s v="UTIB0003305"/>
        <s v="HDFC0000642"/>
        <s v="YESB0001476"/>
        <s v="UTIN0001628"/>
        <s v="CBRB0013054"/>
        <s v="FDRL0001473"/>
        <s v="UICIC0003892"/>
        <s v="ICIC0000679"/>
        <s v="CBIN0285206"/>
        <s v="YES80000477"/>
        <s v="BARBOBJMAKO"/>
        <s v="IDIB000H601"/>
        <s v="BARBOSUARXX"/>
        <s v="IOBA0001696"/>
        <s v="CNRB0013051"/>
        <s v="HDFC0006456"/>
        <s v="HDFC0001021"/>
        <s v="SBIN0020121"/>
        <s v="HDFC0004348"/>
        <s v="ICIC0000069"/>
        <s v="HDFC0001624"/>
        <s v="ESFB0005004"/>
        <s v="SBIN0017744"/>
        <s v="UCBA0002110"/>
        <s v="IOBA0001571"/>
        <s v="HDFC0004216"/>
        <s v="SBIN0020530"/>
        <s v="UTIB0004719"/>
        <s v="SBIN0020593"/>
        <s v="HDFC0006995"/>
        <s v="INDB0001507"/>
        <s v="BARB0VJBUND"/>
        <s v="IDFB0080218"/>
        <s v="HDFC000626"/>
        <s v="UBIN0812820"/>
        <s v="SBIN0021357"/>
        <s v="HDFC0005790"/>
        <s v="SIBL0000726"/>
        <s v="KKBK0007472"/>
        <s v="UBIN0813397"/>
        <s v="IBKL0000446"/>
        <s v="INDB0000004"/>
        <s v="UBIN0804495"/>
        <s v="YESB0000477"/>
        <s v="SBIN0000788"/>
        <s v="HDFC0001031"/>
        <s v="HDFC0011675"/>
        <s v="DCBL0000049"/>
        <s v="KKBK0007488"/>
        <s v="UBIN0905909"/>
        <s v="HDFC0002243"/>
        <s v="ICIC000111 "/>
        <s v="HDFC0002391"/>
        <s v="SBIN0021404"/>
        <s v="SBIN0022063"/>
        <s v="SBIN0011081"/>
        <s v="SBIN0040479"/>
        <s v="TGRB0000292"/>
        <s v="HDFC0000813"/>
        <s v="INDB0000417"/>
        <s v="FDRL0001332"/>
        <s v="ICIC0007620"/>
        <s v="HDFC0066398"/>
        <s v="SBIN0062234"/>
        <s v="SBIN0060427"/>
        <s v="KKVBLooo1481"/>
        <s v="SBIN0013138"/>
        <s v="SBIN0021646"/>
        <s v="BKID0008628"/>
        <s v="HDFC0006575"/>
        <s v="SIBL0000597"/>
        <s v="SIBL0000514"/>
        <s v="ICIC0006305"/>
        <s v="KKBK0007489"/>
        <s v="KKBK0000555"/>
        <s v="SBIN0012741"/>
        <s v="KKBK0007453"/>
        <s v="YESB0001526"/>
        <s v="ICIC00ADRSH"/>
        <s v="SBIN0001441"/>
        <s v="HDFC0001821"/>
        <s v="IBKL0001251"/>
        <s v="SBIN0061790"/>
        <s v="HDFC0000700"/>
        <s v="KKBK0007469"/>
        <s v="PUNB0103020"/>
        <s v="UBIN0809039"/>
        <s v="SBIN0014571"/>
        <s v="INDB0001910"/>
        <s v="IOBA0003518"/>
        <s v="KKBK0007452"/>
        <s v="IDFC0080228"/>
        <s v="INDB0001909"/>
        <s v="ANDB0001112"/>
        <s v="UBIN0804070"/>
        <s v="not mentionrd"/>
        <s v="HDFC0000081"/>
        <s v="UTIB0000733"/>
        <s v="SBIN0000905"/>
        <s v="SBIL0000548"/>
        <s v="HDFC0009182"/>
        <s v="KKBK000561"/>
        <s v="IDFB0080222"/>
        <s v="KKBK0008398"/>
        <s v="YESB0001432"/>
        <s v="INDB0001418"/>
        <s v="KKBK0008397"/>
        <s v="MAHB001361"/>
        <s v="CNRB0013313"/>
        <s v="HDFC0006765"/>
        <s v="HDFC0000621"/>
        <s v="IOBA0000572"/>
        <s v="UBIN0815128"/>
        <s v="YESB0001196"/>
        <s v="CBIN0283836"/>
        <s v="ICIC0005693"/>
        <s v="BARBOSRIHYD"/>
        <s v="SBIN0021830"/>
        <s v="UBIN0550833"/>
        <s v="HDFC0000545"/>
        <s v="YESB0000097"/>
        <s v="KKBK0007478"/>
        <s v="ICIC0000253"/>
        <s v="APMC0000029"/>
        <s v="UBIN0816213"/>
        <s v="CBIN0284086"/>
        <s v="CNRB0013434"/>
        <s v="FDRL0002378"/>
        <s v="ICIC0001974"/>
        <s v="HDFC0009095"/>
        <s v="KKBK0007475"/>
        <s v="KKBK0007509"/>
        <s v="UTIB0003386"/>
        <s v="HDFC0001626"/>
        <s v="BDBL0001608"/>
        <s v="TSAB0015001"/>
        <s v="HDFC0009395"/>
        <s v="HDFC0008929"/>
        <s v="UTIB0005921"/>
        <s v="SBIN0005893"/>
        <s v="SBIN0017236"/>
        <s v="UTIB0002908"/>
        <s v="KKBK0007451"/>
        <s v="KUBI0004801"/>
        <s v="UTIB0000404"/>
        <s v="SBIN0021399"/>
        <s v="HDFC0002083"/>
        <s v="UTIB000030"/>
        <s v="UBIN0817147"/>
        <s v="KKBK0007876"/>
        <s v="PUNB0456500"/>
        <s v="FDRL0002249"/>
        <s v="BIKD0004891"/>
        <s v="BDBL0002716"/>
        <s v="SBIN0005650"/>
        <s v="IDIB000p171"/>
        <s v="HDFC0009607"/>
        <s v="BARBOPBBHYD"/>
        <s v="IBKL0000280"/>
        <s v="BARB0SRIHYD"/>
        <s v="HDFC0001993"/>
        <s v="ADBK0001004"/>
        <s v="ICIC0000382"/>
        <s v="HDFC0003611"/>
        <s v="IDFC 0080231"/>
        <s v="YESB0001429"/>
        <s v="BARBOVJRUPE"/>
        <s v="UBIN0805432"/>
        <s v="UTIB0003365"/>
        <s v="ICIC0002799"/>
        <s v="CNRB0013021"/>
        <s v="CNRB0013015"/>
        <s v="UTIB0000881"/>
        <s v="HDFC0003777"/>
        <s v="HDFC0008420"/>
        <s v="SBIN0014240"/>
        <s v="TSAB0000131"/>
        <s v="ICIC0005702"/>
        <s v="UBIN0805050"/>
        <s v="UTIB000425"/>
        <s v="CNRB0002427"/>
        <s v="IOBA0001890"/>
        <s v="IDFB0080201"/>
        <s v="UTIB0006160"/>
        <s v="UBIN0815675"/>
        <s v="HDFC0000045"/>
        <s v="SBIN0011745"/>
        <s v="UTIB0003385"/>
        <s v="SBIN0030488"/>
        <s v="IDFB0080226"/>
        <s v="UTIB0000538"/>
        <s v="SBIN0000996"/>
        <s v="KKBK0007492"/>
        <s v="IBKL0001951"/>
        <s v="HDFC0004854"/>
        <s v="SBIN0002109"/>
        <s v="YESB00001400"/>
        <s v="UTIB0000193"/>
        <s v="SBIN0013272"/>
        <s v="HDFCOCEENAD"/>
        <s v="HDFC0000969"/>
        <s v="UBIN0818348"/>
        <s v="UTIB0004508"/>
        <s v="SBIN0004808"/>
        <s v="ICIC000040"/>
        <s v="SBIN0020949"/>
        <s v="FDRL000777"/>
        <s v="SBIN0004904"/>
        <s v="YESB0001453"/>
        <s v="SBIN0021393"/>
        <s v="IDFCB0080222"/>
        <s v="IDFB008022"/>
        <s v="HDFC0007469"/>
        <s v="YESB0000488"/>
        <s v="BDBL0001635"/>
        <s v="ICIC0001111"/>
        <s v="IDFB00B0225"/>
        <s v="IDIB000D102"/>
        <s v="ICIC0001119"/>
        <s v="SBIN0020072"/>
        <s v="ICIC0002363"/>
      </sharedItems>
    </cacheField>
    <cacheField name="Account Type" numFmtId="0">
      <sharedItems containsBlank="1">
        <s v="Savings Account"/>
        <s v="No"/>
        <s v="Current Account"/>
        <s v="coperate account"/>
        <s v="not mentioned"/>
        <m/>
        <s v="Salary account"/>
        <s v="Savaings Account"/>
        <s v="not mentionrd"/>
      </sharedItems>
    </cacheField>
    <cacheField name="FSSAI" numFmtId="0">
      <sharedItems containsBlank="1">
        <s v="Yes"/>
        <s v="No"/>
        <m/>
      </sharedItems>
    </cacheField>
    <cacheField name="GST" numFmtId="0">
      <sharedItems containsBlank="1">
        <s v="No"/>
        <s v="Yes"/>
        <s v="NA"/>
        <m/>
        <s v="No, Yes"/>
        <s v="No, NA"/>
      </sharedItems>
    </cacheField>
    <cacheField name="PAN" numFmtId="0">
      <sharedItems containsBlank="1">
        <s v="Yes"/>
        <s v="No"/>
        <m/>
        <s v="NA"/>
      </sharedItems>
    </cacheField>
    <cacheField name="CHEQUE" numFmtId="0">
      <sharedItems containsBlank="1">
        <s v="No"/>
        <s v="Yes"/>
        <m/>
        <s v="NA"/>
        <s v="NA, Yes"/>
      </sharedItems>
    </cacheField>
    <cacheField name="MENU" numFmtId="0">
      <sharedItems containsBlank="1">
        <s v="No"/>
        <s v="Yes"/>
        <m/>
        <s v="NA"/>
        <s v="Yes, No"/>
      </sharedItems>
    </cacheField>
    <cacheField name="LABOUR LINCENSE" numFmtId="0">
      <sharedItems containsBlank="1">
        <s v="No"/>
        <s v="NA"/>
        <m/>
        <s v="Yes"/>
      </sharedItems>
    </cacheField>
    <cacheField name="Drive Link">
      <sharedItems containsBlank="1" containsMixedTypes="1" containsNumber="1" containsInteger="1">
        <m/>
        <s v="https://drive.google.com/drive/folders/1LEmpLQPhgga4iNmw8DK8oKC7Z9adVo_Z"/>
        <s v="https://drive.google.com/drive/folders/1hu60tEHn9OQubLStFBH50kklrc1mSCAQ"/>
        <s v="https://drive.google.com/drive/folders/10dJbKX5ksSDh27Q6F7Vv--1oAZHBxtZz?usp=drive_link"/>
        <s v="https://drive.google.com/drive/folders/1HsJMgJiTpKMJBeM_QGp1o0L2blqry1_p?usp=drive_link"/>
        <s v="https://drive.google.com/drive/folders/1fCUi5DR9A9LINTfSuXKP6MhAbwgu-JhO?usp=drive_link"/>
        <s v="https://drive.google.com/drive/folders/1ulPwAwYgA1k4f0sUZ1XbFUA0_rXx2Rcr"/>
        <s v="https://drive.google.com/drive/folders/1smCsR9G_YgZE_fKEqCXQq0ImYMzTeQTL"/>
        <s v="https://drive.google.com/drive/folders/1KNPeVcsMJ0WDp5KH6nSS-MfsJEjo5gEl"/>
        <s v="https://drive.google.com/drive/folders/1YsOVORTRLFpXHAUJiIrmFhshAi8DDIee?usp=drive_link"/>
        <s v="https://drive.google.com/drive/folders/16PzSygeOLaXCa7wt2mKHTfEYFJ3Y9ChJ"/>
        <s v="Eastin Hotel"/>
        <s v="https://drive.google.com/drive/folders/1Bcpf2nTkRm8vyXXW6mpna2LwmGTtAnVJ"/>
        <s v="https://drive.google.com/drive/folders/16Pqgac9j1zbGysD70GA0bsI2nEml5nxG?usp=drive_link"/>
        <s v="Sunrise Hotel"/>
        <s v="https://drive.google.com/drive/folders/1UCJPJOZGe8jeYMBocwtl6TwiAGnpIlby?usp=sharing"/>
        <s v="https://drive.google.com/drive/folders/1vjzFqzXaDbk0UgQjX9vk9TtWw7QA1ZRo?usp=drive_link"/>
        <s v="https://drive.google.com/drive/folders/1dSwEyifkPxUG9QNgXPEPSPe9Wz37Yjpx"/>
        <s v=" "/>
        <s v="https://drive.google.com/drive/folders/1O9zT56Qjx_Fn-1HXs44MbW70lNaEY6eu?usp=sharing"/>
        <s v="https://drive.google.com/drive/folders/1fMxi-4kuAYVRCumBpHT0cJ0OQJGZKWP9?usp=sharing"/>
        <s v="https://drive.google.com/drive/folders/1feNNzyCdx3sxbzFyqJhVyFJNTvoq8k2G"/>
        <s v="https://drive.google.com/drive/folders/1XNX_PCNBMLG34jK7wyR_ALjgQ6bEz51m"/>
        <s v="https://drive.google.com/drive/folders/1WEpYZjSzuc3cu3dsjnK0dhwMDIyFdwMG"/>
        <s v="https://drive.google.com/drive/folders/1s9cQYCodLGci_eu5hOKUMbv1xL8syNuT?usp=sharing"/>
        <s v="https://drive.google.com/drive/folders/103H3SyeCFb1aeW4_nmJsLx1A-k8jd-yJ?usp=sharing"/>
        <s v="https://drive.google.com/drive/folders/1jLPstIiQGwHXYF9SbDs4WLQgUwAvIFMx"/>
        <s v="https://drive.google.com/drive/folders/1tbQKo0BRhM1KMeFlCGTLyg8pB7WVsxpT?usp=sharing"/>
        <s v="https://drive.google.com/drive/folders/1UWFy24j0VbJy49ZBFd7Md1mSffwvmJFM?usp=sharing"/>
        <s v="https://drive.google.com/drive/folders/1ZhgTUeICe7C_yN0M6r9sIqQsX2RirxEj"/>
        <s v="https://drive.google.com/drive/folders/1r91rV1Plcx98BlVs7U95ATjl8nVQIxPT"/>
        <s v="https://drive.google.com/drive/folders/13RR--Sp7G4RzGdjYpim1KYichrJ67D1q?usp=drive_link"/>
        <s v="Lakshmi's United Kitchen"/>
        <s v="https://drive.google.com/drive/folders/12SN4-iTB989RjZFQ6mgf4CcnuRI5Bjgs"/>
        <s v="https://drive.google.com/drive/folders/1qqDAuHRUNSZORJNHvCtEG8P1NW_AwUL7"/>
        <s v="https://drive.google.com/drive/folders/1qqDAuHRUNSZORJNHvCtEG8P1NW_AwUL10"/>
        <s v="https://drive.google.com/drive/folders/1K6pBmqU93pqRUCSJpntmoI1L3BMw5xgl"/>
        <s v="https://drive.google.com/drive/folders/15_T7Ws4Hj0dUpZmHv1fPfcXjqwgZ3bqF?usp=drive_link"/>
        <s v="Mokshi Kitchen"/>
        <s v="North Indian Hub"/>
        <s v="https://drive.google.com/drive/folders/1kjGHv9fx_gvyji9Qe3xnW2P5yjNLNsOr"/>
        <s v="https://drive.google.com/drive/folders/1qqDAuHRUNSZORJNHvCtEG8P1NW_AwUL9"/>
        <s v="https://drive.google.com/drive/folders/16gfbzzZAYHYsCWvtHbZJvY-ryyLeZfvh"/>
        <s v="https://drive.google.com/drive/folders/1qqDAuHRUNSZORJNHvCtEG8P1NW_AwUL8"/>
        <s v="The Good Sparrow 1"/>
        <s v="The Good Sparrow 2"/>
        <s v="The Good Sparrow 3"/>
        <s v="https://drive.google.com/drive/folders/1E4Ykj6WozePtfLrLIk_S1m_2LpR40ZCm"/>
        <s v="https://drive.google.com/drive/folders/1xZcfj_aVWNi54pSCdPOTDkp-TusuAqYC"/>
        <s v="https://drive.google.com/drive/folders/1VOBUtu-z39SH2yaFZY4oZPcdzzygkse8?usp=drive_link"/>
        <s v="https://drive.google.com/drive/folders/1Pxy8lK7igSsskr30ZhKGFIpPz7wV_jBt"/>
        <s v="https://drive.google.com/drive/folders/1tqp8TfFW2_AiRzRoXvlt4cRRsEyGUaRx"/>
        <s v="Anu Archana kitchen"/>
        <s v="https://drive.google.com/drive/folders/1E9-9yixpt3TDMvd6hro7csptgS61njEI"/>
        <s v="https://drive.google.com/drive/folders/17e5ZoJ64peB0BjuARtUdrR5R8zWWHQuI"/>
        <s v="https://drive.google.com/drive/folders/1f4awwnmjkQ5VpEsLZr8FHC4T73B6cs-e?usp=sharing"/>
        <s v="https://drive.google.com/drive/folders/1z0sETsfH5F3Pi2AvC3G2RfzWuQW8x-4d?usp=drive_link"/>
        <s v="https://drive.google.com/drive/folders/1KkZU6RKi0QkgkyOtEjtz_QuS0voG0ou5"/>
        <s v="https://drive.google.com/drive/folders/1lwnoJfXa3KkWswaN1pg1EuD4LTJyD5En?usp=sharing"/>
        <s v="Al-saba Restaurant "/>
        <s v="Amma Chethi Ruchulu"/>
        <s v="Andhra Kitchens"/>
        <s v="https://drive.google.com/drive/folders/1qqGSu3p0OVLxVrQcgpXnUrmht0w0OURK"/>
        <s v="Arukha Flavours"/>
        <s v="Bunty Biryani's"/>
        <s v="https://drive.google.com/drive/folders/1KuOUXuC2qGOX8IivMWfrHVjxheMyFa1a"/>
        <s v="https://drive.google.com/drive/folders/14dWR2loYkBJGSKHxp4kTMqsqOOtdr2sa?usp=sharing"/>
        <s v="Konaseema Biryani"/>
        <s v="Krishna's Magic Kitchen"/>
        <s v="Padmavati Food Court"/>
        <s v="https://drive.google.com/drive/folders/1145tVUDZf_FIW0FsugIqK0IjD23RxzfY?usp=sharing"/>
        <s v="https://drive.google.com/drive/folders/1rmhQ_lZDAnRsbd2gdGPdwddiXsEBnkxe?usp=drive_link"/>
        <s v="https://drive.google.com/drive/folders/1eP2mhLyzu7U0Ldw8ueLsjOCBg_MBeYyr"/>
        <s v="https://drive.google.com/drive/folders/1KcwZz915JQlYso88EWcAtaDyCS3hyNy7"/>
        <s v="Buli Abbai Kodi Palau"/>
        <s v="https://drive.google.com/drive/folders/1wj1STRyWLksx3sLrcUKwC3FpyEaJB7LV"/>
        <s v="https://drive.google.com/drive/folders/1iGkq5x63L9MzLTFtbpSSdoRb2Z16w-QN"/>
        <s v="https://drive.google.com/drive/folders/1jbV98BQzIy5aax4E6TPt3kY2XFBwzOGp?usp=drive_link"/>
        <s v="https://drive.google.com/drive/folders/1O255hMRb9Bs_e18IkE82rtizAXPSGzhn"/>
        <s v="https://drive.google.com/drive/folders/1P3phSrvfEDSf9PhVaBz-jexhTOJBQMS1"/>
        <s v="https://drive.google.com/drive/folders/1q5m_oIPtx_q6EBqzQVHbpbGSahH2dFcx"/>
        <s v="Parchuri Foods"/>
        <s v="Sahi Nawabi's Kitchen"/>
        <s v="https://drive.google.com/drive/folders/1ywQmsXc-ZPzeIVEY4qw95oG5GpkRx0tz?usp=drive_link"/>
        <s v="https://drive.google.com/drive/folders/14gLod5g9ejIgDgoScB7Vcn_7rb662Fqr"/>
        <s v="https://drive.google.com/drive/folders/1GqMoz5620uZSNOJ3mml6RyVQEDJmVWHm"/>
        <s v="https://drive.google.com/drive/folders/1On2GNKh6wS0zpO3GoBDYsrEBYzgEtpWb"/>
        <s v="https://drive.google.com/drive/folders/1seQsw5LSW2e0tDBx-adbu1pr_Zk1JZLw?usp=sharing"/>
        <s v="https://drive.google.com/drive/folders/1U13VSi8AdHY1-kfcRQSIsNhtOFIIlglH"/>
        <s v="https://drive.google.com/drive/folders/1aHf2ExbPPUc59fLkesjNJN2JBnS0Uy1Q?usp=sharing"/>
        <s v="Sada Me Brands Of bhimavaram"/>
        <s v="Sri Sai rama Tiffins"/>
        <s v="sri vaarahi Sampradaya Vindhu"/>
        <s v="https://drive.google.com/drive/folders/1ry4NkINKPYXMKd9jVxYbWCN5YjjETQTV"/>
        <s v="https://drive.google.com/drive/folders/13QD9S9A9XKyaIsHMElIz8XGXsJMcHthf?usp=drive_link"/>
        <s v="https://drive.google.com/drive/folders/1Y4XVfH0he62lVDBe_LdMTnd90sOu6-5o"/>
        <s v="https://drive.google.com/drive/folders/1NoK9RFWRs9eBAc-uc5OGV2U5hx2zF9V8"/>
        <s v="IQ Shawarma"/>
        <s v="https://drive.google.com/drive/folders/10Ix6Ggp0NqgRJ1pLNoj-UiHZkJBg6jrC?usp=drive_link"/>
        <s v="Mom's Recipe"/>
        <s v="https://drive.google.com/drive/folders/1o3BavNI9DdCbKnrrrpHuc6X6BoVb7JRn?usp=sharing"/>
        <s v="https://drive.google.com/drive/folders/1dTS0kUR8NALwTE7yBbHIzAtGkyg2sqOI"/>
        <s v="https://drive.google.com/drive/folders/1F80kBNoOK3wMGQkHgnSRHBgjnZpsBHC8?usp=drive_link"/>
        <s v="https://drive.google.com/drive/folders/1m4N2PJVDiX8H3NdIUa4jjRzLaTv7ySG_?usp=sharing"/>
        <s v="samastha Tiffins"/>
        <s v="Santhakam Ruchulu"/>
        <s v="https://drive.google.com/drive/folders/1Zin3G8LACrq7KQRRTaP3Q2EBWYsJhoev"/>
        <s v="https://drive.google.com/drive/folders/19aGVt24O-BsWXrVVsZEgQU1WzvieiPwy"/>
        <s v="https://drive.google.com/drive/folders/1DTAi45bEtiO_tl1QsFPsc9Pqc9bGx17X"/>
        <s v="https://drive.google.com/drive/folders/188nldy4XpU1zhZAGouXDMVLnD3YlSe6e?usp=drive_link"/>
        <s v="https://drive.google.com/drive/folders/1ltWiHDaVWZ5EReOj8YuPp7qCJEvtdxgr"/>
        <s v="Yousfian Restaurent"/>
        <s v="Zamana Shawarma"/>
        <s v="https://drive.google.com/drive/folders/1Xv6LjNqBmzeoppDB0jf4_Eca-MR_jGWC"/>
        <s v="Blend and roast"/>
        <s v="Chicken Shawarma Hut"/>
        <s v="https://drive.google.com/drive/folders/1F5chHSsOpX-3cp_PH91MHBtPBoJQDuth"/>
        <s v="https://drive.google.com/drive/folders/1weI-DZjKo4mNFEQqfcqluiEMbhxtdD1t"/>
        <s v="Kamakshi curries,snacks and meals"/>
        <s v="https://drive.google.com/drive/folders/18YrIVLCVPITeKdR7kOJEh-1SCF6Tcx-s?usp=sharing"/>
        <s v="mehreens kitchen"/>
        <s v="https://drive.google.com/drive/folders/148iESv4zc3tFe4YmYrnGG51eXgJ9kTRM"/>
        <s v="https://drive.google.com/drive/folders/1Wkavl_hgYXeUYK_rzCr0prN85ZK_L2g5?usp=drive_link"/>
        <s v="https://drive.google.com/drive/folders/1glngCKOO93-NehocMIKTPeJ4gi3eZFjZ?usp=drive_link"/>
        <s v="https://drive.google.com/drive/folders/1diN7skbrMSWYjP7Rvn4Zc4emPAaut_T0?usp=drive_link"/>
        <s v="https://drive.google.com/drive/folders/1vCpm3qMxifko_SQQeMj_t2zOwBoe6lNE?usp=sharing"/>
        <s v="https://drive.google.com/drive/folders/1L3_cpB25gbYgd5XGSgEX7_lz_gBBsjkK?usp=drive_link"/>
        <s v="https://drive.google.com/drive/folders/1iCC4LdpKxTdf4mXURVvoLUoPo9L617vd?usp=drive_link"/>
        <s v="https://drive.google.com/drive/folders/1GR-UG90j7C2quoVQcTZszanRIJM9YpI6"/>
        <s v="https://drive.google.com/drive/folders/1kXpRrgaHWEjNLxQ_bb9FjgVz6OExoqIg"/>
        <s v="https://drive.google.com/drive/folders/1LbSlZUSrAgRjiWIjCiQxlblX1saAyVF9?usp=drive_link"/>
        <s v="https://drive.google.com/drive/folders/10e-FD2lMTrMhkl-PMJbSeP6PhkO2TD2Z?usp=drive_link"/>
        <s v="https://drive.google.com/drive/folders/1zGiFryCv814QmdTCuiyeggpt5Z9ErX6W?usp=drive_link"/>
        <s v="https://drive.google.com/drive/folders/1gohRLrQvHzM3fYz34d2k8CZNZLlB7vqN"/>
        <s v="https://drive.google.com/drive/folders/1hi7PMSsUqFKeMP_LU-JgY6G-cpf5a1t8"/>
        <s v="https://drive.google.com/drive/folders/1HBMP98c20eM8AnyU4HvOCH1ugHw4Bz3h"/>
        <s v="https://drive.google.com/drive/folders/1frBF37bh59l809SqnrUSJtFHHjGhWlbf"/>
        <s v="https://drive.google.com/drive/folders/1bVbYDnHXAF5z2Gh1G42X8KDeZWe8iPnR"/>
        <s v="https://drive.google.com/drive/folders/1Unu3wU1bORkMQXtFIeU6fCA3Em_1n92N"/>
        <s v="https://drive.google.com/drive/folders/1FqUin4hqvIZl72PCfBw98PGsEjh-yBdJ?usp=drive_link"/>
        <s v="https://drive.google.com/drive/folders/1P7G5VhQMdQOr-nZ8QMRUk6ZeRelNh1sm"/>
        <s v="https://drive.google.com/drive/folders/15UHO6kmicCW9vnN6myvd_upidjd7Lw-7"/>
        <s v="https://drive.google.com/drive/folders/1ERLRlQH5cBVNKhL_y0J-cilFrPuYDboF?usp=drive_link"/>
        <s v="https://drive.google.com/drive/folders/1llIbrhchyJeTK44W6Ej52Gq9r2ytLAHW?usp=drive_link"/>
        <s v="https://drive.google.com/drive/folders/1YleF3SKypXSBkLYs9XDsJCYPpuvL46-G?usp=drive_link"/>
        <s v="Chinese Express"/>
        <s v="https://drive.google.com/drive/folders/1SaTfyf3skIpsD9YuzOx08isGUMGbDEvQ"/>
        <s v="Ichirakau ramen house"/>
        <s v="Kamakshi Tiffins "/>
        <s v="https://drive.google.com/drive/folders/1y_AghwAl9LKZhbvQ-Izkv6n-beuJrDpW"/>
        <s v="https://drive.google.com/drive/folders/1hutovAp34wwO07iA5UeOPeiXF3D-Esg_"/>
        <s v="https://drive.google.com/drive/folders/1crbLWLnQPIV462vFtmDAYe_RXSAiTLZU?usp=sharing"/>
        <s v="https://drive.google.com/drive/folders/1gcfnSr_9IHoQAQwn81hq4PKIDQOJA1E-?usp=sharing"/>
        <s v="Rao gari military hotel 1"/>
        <s v="Rao Gari military hotel 2"/>
        <s v="royal odisha Daba"/>
        <s v="https://drive.google.com/drive/folders/15BwYHjSnPvzYdnyirWqjdTil-X4rzucn"/>
        <s v="https://drive.google.com/drive/folders/11Vdd0BmSFEeNQRIvOy_xaGxTvAEfZ526?usp=drive_link"/>
        <s v="https://drive.google.com/drive/folders/146P5cb0Y1pjxIgqP-KQS09YsNPioI6pV?usp=sharing"/>
        <s v="https://drive.google.com/drive/folders/1o5zjTbzfGpp-9jwka6gfbQnF1TC3vXsH"/>
        <n v="9.121858951E9"/>
        <s v="https://drive.google.com/drive/folders/1oEICQpTpdFDN7oTZN0hyjmhHclqCLvLi?usp=sharing"/>
        <s v="Mickey's Tiffin"/>
        <s v="https://drive.google.com/drive/folders/1awDT6H5xNM7SRMxXKGzlfQrHhu-RiZqH?usp=drive_link"/>
        <s v="https://drive.google.com/drive/folders/1-Bg57ELrElx4xZdC1S8HDu-uXWcOR2Ig"/>
        <s v="https://drive.google.com/drive/folders/1xWjqdV_lCsQYYb3NTy3F4IubdxFg7Zm-?usp=drive_link"/>
        <s v="Sravanthi Biryani"/>
        <s v="Sravanti Fastfood"/>
        <s v="Sravanthi Mess"/>
        <s v="Sravanthi Tiffins"/>
        <s v="https://drive.google.com/drive/folders/1FwtPr1DGQ2TayamqzucX6EiHKyoIIatV?usp=sharing"/>
        <s v="https://drive.google.com/drive/folders/19uVt0fQevfxr-B1IKMVVumtg7_nUqoxP?usp=drive_link"/>
        <s v="https://drive.google.com/drive/folders/1g1blutVC6IM_k2KynZjyUnvO3LXTEpB6?usp=sharing"/>
        <s v="https://drive.google.com/drive/folders/1jiDmiF4YUcXOyUTOvY3NlMJnOdRXZ6g_?usp=sharing"/>
        <s v="Srinivasa Mixture hub"/>
        <s v="Sravanam 4Am Biryani"/>
        <s v="https://drive.google.com/drive/folders/1hzVDTdS8M0l-ry7H5ZN3yyJve-VveP-p"/>
        <s v="Sri Vigneshwara Aaha Bhojanam"/>
        <s v="https://drive.google.com/drive/folders/1HuYxw4VAjfY00qs4hwHt-P_34_9m9z6Q"/>
        <s v="https://drive.google.com/drive/folders/1D6ABY-wJcIGqRhaWsbxv8e-Gp35t-zin?usp=drive_link"/>
        <s v="The Bakely Bakers"/>
        <s v="The Bakely Cafe"/>
        <s v="Cafe 74"/>
        <s v="https://drive.google.com/drive/folders/1wGKQl8bK8Rrz8H23b5SRyYeFBMPv9DIL?usp=drive_link"/>
        <s v="Dostan Biryani"/>
        <s v="Dostan Fast Food"/>
        <s v="Dostan Meals And Snacks"/>
        <s v="Dostan Shawarma"/>
        <s v="Dostan Tiffins"/>
        <s v="https://drive.google.com/drive/folders/15s6wZSxk9l_GyCQRrweygRiPAO5LbhIH?usp=sharing"/>
        <s v="https://drive.google.com/drive/folders/1VZj4TVwdlk6PvQtXFIOGTE1VFpy-qDEF?usp=sharing"/>
        <s v="https://drive.google.com/drive/folders/1ptGqmobNv-AF9wklOrwpiATBWB2I1d-i"/>
        <s v="https://drive.google.com/drive/folders/1TDGTkjgN8AV4VWnj9BFSNZ1yd8sKs4Tz?usp=drive_link"/>
        <s v="Sri Vigneshwara Nellore Chepala Pulusu"/>
        <s v="the Hungry Spot"/>
        <s v="https://drive.google.com/drive/folders/1H2L0OLXryJitPqdT3cUvQ03DeZU7C5wX?usp=sharing"/>
        <s v="Anagha Kitchen"/>
        <s v="Avacado On Wheels"/>
        <s v="https://drive.google.com/drive/folders/1ISrBU0FLBTh_Xu1e1kDHoKE886k9J9uF?usp=drive_link"/>
        <s v="Charcoal Shawarma"/>
        <s v="https://drive.google.com/drive/folders/1TpUo-klquf21FsZynXsRQJkFKvbRwakN"/>
        <s v="https://drive.google.com/drive/folders/14Gp6EZt8td6kqLeuFRK9bWHdkqJEncnj"/>
        <s v="https://drive.google.com/drive/folders/18p6doDdKQm-sXq4NKmJgqZNVB8YeaJ3M?usp=sharing"/>
        <s v="https://drive.google.com/drive/folders/1G_ky93niBmaL40jVSzHRR0MVNCTo-gnU"/>
        <s v="Oh My Momo's"/>
        <s v="https://drive.google.com/drive/folders/19y8lAY0XDQMK9FbVoJXfmatv8ozU2C7U"/>
        <s v="https://drive.google.com/drive/folders/1NCZe63ZgVZfOwmax02-xtsw36zzp3ZiC?usp=sharing"/>
        <s v="https://drive.google.com/drive/folders/1xUSMmrAXAuVsBbV5E7GFJhdECj8W_Xbd"/>
        <s v="https://drive.google.com/drive/folders/1CYVvWZYBbQk2ThPlpELGy8j4CArNdBrw"/>
        <s v="https://drive.google.com/drive/folders/11I8R1DR_Jn8VRg8y-vZyv_Zm_70sqneU?usp=drive_link"/>
        <s v="https://drive.google.com/drive/folders/1SiRVQA2LbArGXGV8EORPi4nOZloYVdsk?usp=sharing"/>
        <s v="5ves Diner"/>
        <s v="https://drive.google.com/drive/folders/1rgE6TiCyfdq4tV32zeWB_ZnfAjpWfoBY?usp=drive_link"/>
        <s v="https://drive.google.com/drive/folders/1HwRsI1zSxQFLedtpqh3GoMVCb5vzc1dy"/>
        <s v="caffine hub Biryani's"/>
        <s v="caffine hub fast food"/>
        <s v="caffine hub milkshaes and juice"/>
        <s v="caffine hub Meals"/>
        <s v="caffine hub snacks"/>
        <s v="Cake Corner Bakery"/>
        <s v="Chai Kaburlu Hitech city "/>
        <s v="Chai Kaburlu Kphb"/>
        <s v="https://drive.google.com/drive/folders/1RQ1pnFVLBRz27A_mF2Ec5PhMM6F9WJND?usp=sharing"/>
        <s v="corner fast food"/>
        <s v="corner foods"/>
        <s v="corner Juice and MilkShake"/>
        <s v="https://drive.google.com/drive/folders/1D7vvwcDNPi26kQgLMzJAd0UaIJ4RF6on?usp=sharing"/>
        <s v="https://drive.google.com/drive/folders/1MP29qumV0dDkQUnwm9NXBk0hTcUvLMGx"/>
        <s v="https://drive.google.com/drive/folders/1o9WkuGsuyo3pqZjmQ9WwPhG1Q7hZFAWo"/>
        <s v="https://drive.google.com/drive/folders/1pypXriyPoaCuTefIgFu6okYD9GpZ4cK9"/>
        <s v="https://drive.google.com/drive/folders/1vR-h7mk1tgx-5c0LK4VB1GazhrKLwpyk"/>
        <s v="https://drive.google.com/drive/folders/1JYNwylgLMuIt7gJI3LCAIUnmOly6KUWf"/>
        <s v="https://drive.google.com/drive/folders/1tDiCtk7CUbRaGRm1jguQte10gmLWwcu8"/>
        <s v="https://drive.google.com/drive/folders/1BHdcDDkcCJv7dgCKmBXXUyFUnbSHifFo?usp=sharing"/>
        <s v="https://drive.google.com/drive/folders/1_7YFtbk37Ihid-uHltIsZO1pLxGKCghg"/>
        <s v="https://drive.google.com/drive/folders/1mQ70ZCt5MHLiv1QjKhiC8b_Ia7Lw48P7"/>
        <s v="https://drive.google.com/drive/folders/1DcVdLDNik8t3h4nrqUoGYEkbgvlh-sGj"/>
        <s v="https://drive.google.com/drive/folders/1Znvvb3ha4nr4KtUkvajlNfpK3UQU2hYE"/>
        <s v="https://drive.google.com/drive/folders/1wXg_2Mwz9SuhQbgwmk5UncbAIJ-8z_2Q?usp=sharing"/>
        <s v="https://drive.google.com/drive/folders/1OyoNoWyyjL1UVLZ4O_B4BQAIwOXQtxNy?usp=sharing"/>
        <s v="https://drive.google.com/drive/folders/1-QkiG04iDyX3SQI6wvy7t-s5XLjDzHdE"/>
        <s v="https://drive.google.com/drive/folders/1dl735FRgk9S5yYlgpzJe9x0Tqj_LaJLg"/>
        <s v="https://drive.google.com/drive/folders/1WHdhu8E5KLUFUJEP-4Qux5rC4mYpqvl_"/>
        <s v="https://drive.google.com/drive/folders/1QKRLIeiaLBqT7fAC1kUJjOLLy_kyItmP"/>
        <s v="https://drive.google.com/drive/folders/1Xr3ORWnbqT-bcymgvf0XzBqPDmW6R7iN"/>
        <s v="https://drive.google.com/drive/folders/17iZlXjrl-a78j7bzmVn_qEdESs1kQ1fk"/>
        <s v="Amritsari Dhaba"/>
        <s v="Amritsari Khana"/>
        <s v="https://drive.google.com/drive/folders/10qR_JemDKbdInAVrBoMflJbViaHxfmk6?usp=sharing"/>
        <s v="https://drive.google.com/drive/folders/1KNk4vNX0ZABsIZWLiv1omzYre8jK0xS3?usp=sharing"/>
        <s v="https://drive.google.com/drive/folders/1RZHZgNYOYvHOpDJ0PPGejPemPE0ZpKUA"/>
        <s v="Lasya Fast Food Centre"/>
        <s v="https://drive.google.com/drive/folders/1XdPT9XqQwqU_bmkQ6YgTiv-7QOY_uSy_?usp=drive_link"/>
        <s v="https://drive.google.com/drive/folders/1-KSmOTbX2Vt3MR7WouOkO7yh4rBY1-Zl?usp=sharing"/>
        <s v="https://drive.google.com/drive/folders/19ma5o56uR2rOP3Xstkh04kZCutwT955P?usp=drive_link"/>
        <s v="Mummy ki Khana"/>
        <s v="Mummy Ki Rassoi"/>
        <s v="https://drive.google.com/drive/folders/1rkDNGF-Erc2YOHJiq5qMY1bUxf0R9Mha?usp=drive_link"/>
        <s v="https://drive.google.com/drive/folders/1ljeb_TY4E9Ja4YNOa2fi7TVbxpEJrpGe"/>
        <s v="SeocndWife Biryani"/>
        <s v="Second Wife Fast Food"/>
        <s v="Second Wife Melas"/>
        <s v="Second Wife Rolls And Snacks"/>
        <s v="Second wife tiffins"/>
        <s v="https://drive.google.com/drive/folders/1e-m6A_mbsgZDnRcx5fuor5vkPnr4mkCB?usp=sharing"/>
        <s v="https://drive.google.com/drive/folders/193aEDwzsy_aMRJyjG_y-u9sXzoevxyUB?usp=sharing"/>
        <s v="https://drive.google.com/drive/folders/1pogsK5-PXtHNeT9p1A_GFM_hqvyuV5r4"/>
        <s v="Venkateshwara Bakery"/>
        <s v="Venkateshwara Biryani"/>
        <s v="Venkaeshwara Meals"/>
        <s v="Wok 33"/>
        <s v="Wok 33 Foods"/>
        <s v="Sai Nadh Snacks"/>
        <s v="Sai Nadh Fast Food"/>
        <s v="Sai Nadh Tiffins"/>
        <s v="Sai Nadh Fastfood 2"/>
        <s v="https://drive.google.com/drive/folders/1mtrcV4enefSXdg5VSo2irVr94_6WAY2y?usp=drive_link"/>
        <s v="https://drive.google.com/drive/folders/1Oj6rwRmvtkuhLa9tOWy-6mn4w2vFhveQ?usp=sharing"/>
        <s v="https://drive.google.com/drive/folders/1ZuunOytbIbyIKC37IPWjg60vPcckmc-E"/>
        <s v="https://drive.google.com/drive/folders/141oWtHDKlk3EkxWEulFpluYYu2cqKw2u?usp=drive_link"/>
        <s v="https://drive.google.com/drive/folders/1ohLkhEx6qYHs68na4EDFzBJu56_HPfvj"/>
        <s v="https://drive.google.com/drive/folders/1XPPbdyalpAXLoz1I8G6PrkZH-KGKI2y8"/>
        <s v="https://drive.google.com/drive/folders/1F3FVRh68kWdVVMs0p7m-W2zohZOBrWTg?usp=drive_link"/>
        <s v="https://drive.google.com/drive/folders/1xIxu-rPgK-3j5bcK-s2o4c-Bn2AM1aoU?usp=sharing"/>
        <s v="https://drive.google.com/drive/folders/1WyFaaBFzYOjYLTTJey9n9Henn1IRme_m"/>
        <s v="https://drive.google.com/drive/folders/1X7EDuUfMZA3kObZCWl1HvMISM7j2Ia6x?usp=sharing"/>
        <s v="https://drive.google.com/drive/folders/19ZljDLPARdNd98qqzsfjOfba81pRvlqH"/>
        <s v="https://drive.google.com/drive/folders/1E8JRaYu66cn7CFhIHFgD-0nOgW7OJyXp?usp=drive_link"/>
        <s v="https://drive.google.com/drive/folders/1EcFNC4da5qA_gfnZpxvqJRxhlMRdu87q"/>
        <s v="https://drive.google.com/drive/folders/1I_tSOVQjsdczAnDiiPw7-vKjO8wZsdHL"/>
        <s v="dropped"/>
        <s v="https://drive.google.com/drive/folders/1bUnygrdN92KDvA2L1wFjTXVDPjc7_bKs"/>
        <s v="https://drive.google.com/drive/folders/1rSNAn8wbMG3gxG3yP3cMM2Nn5mQrU-tP"/>
        <s v="https://drive.google.com/drive/folders/1aUqj7MSkXbTaBwCOz5adschNXFIhpCuY"/>
        <s v="https://drive.google.com/drive/folders/1ZuDwkIGBI9qAL6sVOKdsFKBguhHROKkW"/>
        <s v="https://drive.google.com/drive/folders/1ypn3AV0U8JSXUHqKMWOVCcx-wZckVuBH"/>
        <s v="https://drive.google.com/drive/folders/1Yv_jzvYn8P0cowoQjEiffaLl9IAH9cuN?usp=sharing"/>
        <s v="https://drive.google.com/drive/folders/11gcG6fYUbVG55MFfUbxmOOFESBK9F7QY"/>
        <s v="https://drive.google.com/drive/folders/1Tu24kKTKiAXgbPwv0_kqy7DFYNBCYUVW"/>
        <s v="https://drive.google.com/drive/folders/1IdblWCIs_-c8q_oYuoyNrzXsyWyPF6Kg?usp=sharing"/>
        <s v="https://drive.google.com/drive/folders/1P4F01iWyp-_yyPql3ubZ7AldsMEJYbmO"/>
        <s v="https://drive.google.com/drive/folders/138S7kTUrJvuZPvFcl8fIgiNKngF3vzwj"/>
        <s v="https://drive.google.com/drive/folders/1_bYBHkhs3EZjkz4-6qfMtRRJb0GpzPrW"/>
        <s v="https://drive.google.com/drive/folders/1flpE45zjQEEX1xFYQIVx73ifd2jwpOHO?usp=sharing"/>
        <s v="https://drive.google.com/drive/folders/1nbJM9hIGI25SGmNzV4Xm1OXaz5EpihRR?usp=drive_link"/>
        <s v="https://drive.google.com/drive/folders/1gPUeYv_CBOdqQXjWbcgxyku9dlUuCwMq?usp=sharing"/>
        <s v="https://drive.google.com/drive/folders/14oX5qzGPY-Fh2ar8zSRaXg8k583apCoi?usp=sharing"/>
        <s v="https://drive.google.com/drive/folders/114UP2-3PTfk4i9-rw04RTToa_xTdCq6k?usp=sharing"/>
        <s v="https://drive.google.com/drive/folders/1oVGNLk0-cTm_FjM80H1KcMoS7Ev-YqYc?usp=drive_link"/>
        <s v="https://drive.google.com/drive/folders/1aw7_v78KzDJNL_ONPaGdj-BaelJ6hyrS"/>
        <s v="https://drive.google.com/drive/folders/1YsLka-4z-1FissFHsf9t7H-BwEWLGyLq"/>
        <s v="https://drive.google.com/drive/folders/1ecARZ7Loel2T5Yx-LAw6sj8BzufpTGBG?usp=sharing"/>
        <s v="https://drive.google.com/drive/folders/1-9_XV3zbx6PJUEA-kTFMyHPpJs-qbnEZ?usp=sharing"/>
        <s v="Chopsticks"/>
        <s v="https://drive.google.com/drive/folders/1XBNX_TDaQH1rYVPDv1yG1J0endNZiFO_?usp=drive_link"/>
        <s v="https://drive.google.com/drive/folders/1JPP61XTZhMtO0hhxR7R3y25F5LqOSd2j?usp=sharing"/>
        <s v="https://drive.google.com/drive/folders/1EL0lKlZTCIr1OH3aoYgxcLVoZHlTbEgR?usp=sharing"/>
        <s v="https://drive.google.com/drive/folders/1f85Ck-sDA3v26z1kzz8pC-yyZzqT6888?usp=sharing"/>
        <s v="https://drive.google.com/drive/folders/1mnk7kGXBo_V5L12OUDfiRjsZqJ8DuHxG?usp=drive_link"/>
        <s v="https://drive.google.com/drive/folders/1hVcz0cxaHIgC5rkk7ErVuicPVUuxb9rc?usp=sharing"/>
        <s v="https://drive.google.com/drive/folders/1ttBxcCBo1M1E-pQhRwfkQu9h4S6-sosg"/>
        <s v="https://drive.google.com/drive/folders/10q2tzUQREXDA0tttRxtjlcDTCsRqedR4?usp=sharing"/>
        <s v="https://drive.google.com/drive/folders/1PI4dgBlt2xoJcBBWPJhld9zZTHuDlQeB?usp=sharing"/>
        <s v="https://drive.google.com/drive/folders/1gsRP_llDBdgVHHQuAncpIEnMDxUMQ7Po?usp=sharing"/>
        <s v="https://drive.google.com/drive/folders/1-HJ1jL1YM28Ts6V0Axg18KyglAMIcgxf?usp=drive_link"/>
        <s v="https://drive.google.com/drive/folders/1OM8WzyC_xGTQr4IkWQuMWzlxnSo6tw-S?usp=drive_link"/>
        <s v="https://drive.google.com/drive/folders/1OjaURdVDXqH2PqZXgQhYKPYM2PHdaVgV"/>
        <s v="Babai Hotel Kphb"/>
        <s v="https://drive.google.com/drive/folders/12KJHOtBmlR_YMQVp613rrKs8D_1VKaUT"/>
        <s v="https://drive.google.com/drive/folders/16r9w-bHtOPEb56oIJBQk8XocLk_zp_ne?usp=drive_link"/>
        <s v="https://drive.google.com/drive/folders/1mUcGNB-msh0RrzzlAHfiyS-869YyUEA9"/>
        <s v="https://drive.google.com/drive/folders/1uTnWgbeLboqYJjrt4utbp1etKGVawHn2?usp=sharing"/>
        <s v="https://drive.google.com/drive/folders/1fj5yHNmi22FHFA4_lBC5P90AtU_7btJD?usp=sharing"/>
        <s v="https://drive.google.com/drive/folders/1aNS7_BLACWrD06CqafINzO9yQILI4Gd7?usp=sharing"/>
        <s v="https://drive.google.com/drive/folders/1_z4vloq2JCkb2QxaF4T2U_UGS36IOAS6"/>
        <s v="https://drive.google.com/drive/folders/1NNXMR6wV62PNzSlWdsyW7KkZH_49Ufko?usp=sharing"/>
        <s v="https://drive.google.com/drive/folders/1Zd901LhdFDxOryUxC7oSebWz-GcEeJlk?usp=sharing"/>
        <s v="https://drive.google.com/drive/folders/1TDoFMFmzD24wTE35QejlYTl1U4JgL7p7?usp=sharing"/>
        <s v="https://drive.google.com/drive/folders/16uIYj4QrQu5CTOeDfqmlaS1Kihgd9-hL?usp=sharing"/>
        <s v="https://drive.google.com/drive/folders/153jJPBBAc5J6R6QgL5wAeohQcCs2-h1y?usp=drive_link"/>
        <s v="https://drive.google.com/drive/folders/19R0DVL_OX8d9L9DzsD09wE4gW4XKX7xo"/>
        <s v="Aroma Biryani's and Pulauo's"/>
        <s v="https://drive.google.com/drive/folders/1fQHHxSlxho0OTDvdGwB-GlmOPJN4_2QO?usp=drive_link"/>
        <s v="Aroma meals and chinese"/>
        <s v="balaji Kitchen"/>
        <s v="Balaji Muntha Masala"/>
        <s v="https://drive.google.com/drive/folders/1ym7dtu4I7Ex8aqa82MAyU2jPomQe9IP9?usp=sharing"/>
        <s v="https://drive.google.com/drive/folders/15puFhg_dMbumboYY7eEty2LjQwUqgs3Q"/>
        <s v="https://drive.google.com/drive/folders/1OS2eq5ztA22Y0eoKiIJQiIbde5gOC7l7"/>
        <s v="https://drive.google.com/drive/folders/1xAL_mU4tChIozpHADi-67nK0k_6kLD92?usp=sharing"/>
        <s v="https://drive.google.com/drive/folders/1Ccf9zoq3j3CMZ2gtFexZekXr-nwQXzkB?usp=sharing"/>
        <s v="Om Shree Hanuman"/>
        <s v="https://drive.google.com/drive/folders/1k9-zjiVXVWIzMjkxjX0L9CnUeFZYZIIb?usp=sharing"/>
        <s v="https://drive.google.com/drive/folders/1FS215BYHgZheiOilYgt2S-KGS6jYT2Jb?usp=sharing"/>
        <s v="https://drive.google.com/drive/folders/1vnW_s1NoUdHVwyVKe2Kjtcv4FBbNjxfe?usp=sharing"/>
        <s v="https://drive.google.com/drive/folders/1rJ3AqHsRWgZGUFMJHxs7B-OJJRUz2voh?usp=sharing"/>
        <s v="https://drive.google.com/drive/folders/1zfywuGVp3JnYdQ2_fX4coasmzkdzM4Vp"/>
        <s v="Tea Time KPHB"/>
        <s v="Adbutaha Tiffins"/>
        <s v="https://drive.google.com/drive/folders/1CwYRsFbLxC01wP1H0WwPdjPAObGzdyip?usp=sharing"/>
        <s v="https://drive.google.com/drive/folders/1cPlVj7Ug6j6sJxzTV94u50omK-xjjdxJ?usp=drive_link"/>
        <s v="https://drive.google.com/drive/folders/1RZPi-oKUaQwWCSPz9y_-sTGuZRe54rj0?usp=drive_link"/>
        <s v="Celebs"/>
        <s v="Mathani Juice Hub"/>
        <s v="https://drive.google.com/drive/folders/1J4xwanAmEh-myQuZqJLBwlE3kNlZHogt?usp=drive_link"/>
        <s v="https://drive.google.com/drive/folders/1celxmQz1C2smYZDKCQ8kVd4xCzzODd-W?usp=drive_link"/>
        <s v="Monday Hotel (Gachibowli)"/>
        <s v="Elsyuim (Restaurent)"/>
        <s v="Monday Hotel (Hi-tech City)"/>
        <s v="Kunafa Cravings"/>
        <s v="Monday Hotel (Madhapur)"/>
        <s v="https://drive.google.com/drive/folders/1o6hYRIHqj8mwR90M6Mn0yWWaja0SjwlL?usp=sharing"/>
        <s v="https://drive.google.com/drive/folders/1pKLJme-tVhwtkJCFs6PPmYMT6UBHFANe"/>
        <s v="https://drive.google.com/drive/folders/1f9-zDVyxhcKYsd9eaYMjbK6_FUq9zxFC?usp=drive_link"/>
      </sharedItems>
    </cacheField>
    <cacheField name="Map Co-ordinates" numFmtId="0">
      <sharedItems containsBlank="1">
        <m/>
        <s v="https://www.google.com/maps/place/Bhojanams+%26+Biryanis/@17.4468252,78.3895983,17z/data=!3m1!4b1!4m6!3m5!1s0x3bcb91687dc6785f:0x9d238a8fc18acf44!8m2!3d17.4468201!4d78.3921732!16s%2Fg%2F11fgjxmc9s?entry=ttu&amp;g_ep=EgoyMDI2MDIxMS4wIKXMDSoASAFQAw%3D%3D"/>
        <s v="https://maps.app.goo.gl/7kDCtkQs6d4Hwruc8?g_st=iw"/>
        <s v="Sunrise Business Hotel"/>
        <s v="https://maps.app.goo.gl/MJ7UedzFq2PJ6SB88"/>
        <s v="17.447125553953608, 78.38804061226678"/>
        <s v="Lakshmi's United Kitchen"/>
        <s v="17°26'12.6&quot;N 78°26'53.5&quot;E"/>
        <s v="https://maps.app.goo.gl/Sq2bCzb7zN1sfzjj8"/>
        <s v="The Good Sparrow (Millet Tiffins)"/>
        <s v="https://www.google.com/maps/place/Anu+Archana+Kitchen/@17.4083423,78.3904879,17z/data=!3m1!4b1!4m6!3m5!1s0x3bcb97000c2a71c3:0xf15817e8716a38db!8m2!3d17.4083372!4d78.3930628!16s%2Fg%2F11xr_gtynz?entry=ttu&amp;g_ep=EgoyMDI2MDIxMS4wIKXMDSoASAFQAw%3D%3D"/>
        <s v="17.437127,78.447463"/>
        <s v="Al Saba Cafe"/>
        <s v="ARUKHAFLAVORS"/>
        <s v="17.437412,78.446691"/>
        <s v="Padmavathi Food Court"/>
        <s v="Bulli Abbai Kodi Pulav7"/>
        <s v="17.440225,78.439709"/>
        <s v="Paruchuri Foods"/>
        <s v="SHAHI NAWABS KITCHEN"/>
        <s v="17.441117,78.439259"/>
        <s v="1m, Yousufguda Main Rd"/>
        <s v="Om Sai Ram Tiffins"/>
        <s v="Sri Varahi Sampradaya Vindhu"/>
        <s v="IQ Shawarma"/>
        <s v="Mom's Recipe"/>
        <s v="SAMASTHA TIFFIN'S"/>
        <s v="White House Block B"/>
        <s v="Moulana Kalyani Biryani Hotel"/>
        <s v="G.S Plaza"/>
        <s v="Blend &amp; Roast Cafe6"/>
        <s v="Chicken Shawarma Hut"/>
        <s v="17.413410,78.453940"/>
        <s v="Sri Kamakshi Tiffin Centre And Curry Point"/>
        <s v="https://maps.app.goo.gl/jLsyvQaRHEvnUupz9"/>
        <s v="https://maps.app.goo.gl/XmKzaEksajZUJrq79"/>
        <s v="Ichiraku Ramen House"/>
        <s v="KAMAKSHI TIFFINS AND SNACKS"/>
        <s v="Rao Gari Military Hotel"/>
        <s v="https://maps.app.goo.gl/DMWV52m7TT1eoeza9"/>
        <s v="Royal Odisha Dhaba"/>
        <s v="https://maps.app.goo.gl/ov9jTkpC6RafJUgCA"/>
        <s v="17° 26' 54.9636&quot; N 78° 22' 51.9726&quot; E"/>
        <s v="SRAVANAM 4AM KUSHKA BIRYANI"/>
        <s v="Sri Vigneshwara Aaha Bhojanam"/>
        <s v="Bakely"/>
        <s v="CAFE 74"/>
        <s v="https://maps.app.goo.gl/E5xhqBiRDxNfMXBD8"/>
        <s v="https://maps.app.goo.gl/E5xhqBiRDxNfMXBD9"/>
        <s v="https://maps.app.goo.gl/E5xhqBiRDxNfMXBD10"/>
        <s v="https://maps.app.goo.gl/E5xhqBiRDxNfMXBD11"/>
        <s v="https://maps.app.goo.gl/E5xhqBiRDxNfMXBD12"/>
        <s v="17.4030848,78.4269312"/>
        <s v="https://maps.app.goo.gl/Poy4P6VsexDRpvWv5"/>
        <s v="56/135"/>
        <s v="N/A"/>
        <s v="Charcoals Shawarma &amp; Kebabs"/>
        <s v="17.4302523,78.1125558"/>
        <s v="17.346937,78.391701"/>
        <s v="5ves Restaurant"/>
        <s v="Caffeine Hub - Awaken your senses &amp; Rejuvenate your mind...."/>
        <s v="CAKE'S CORNER"/>
        <s v="Chai Kaburlu"/>
        <s v="Chai Kaburlu KPHB"/>
        <s v="17.334330,78.390114"/>
        <s v="17.36293,78.39071"/>
        <s v="17.40954470540178, 78.39901650838479"/>
        <s v="Mummy Ki Rassoi"/>
        <s v="https://maps.app.goo.gl/yWw2wQT97SkCbQMK8"/>
        <s v="SECOND WIFE C/O GUNTUR"/>
        <s v="17.42617867388426, 78.3294032883618"/>
        <s v="https://maps.app.goo.gl/yWw2wQT97SkCbQMK9"/>
        <s v="https://maps.app.goo.gl/yWw2wQT97SkCbQMK10"/>
        <s v="F9G7+638"/>
        <s v="17.4235064,78.4595902"/>
        <s v="17.4069137,78.4579542"/>
        <s v="Chopsticks"/>
        <s v="17.42662185713705, 78.41425202429257"/>
        <s v="Babai Hotel"/>
        <s v="17.47286,78.3616576"/>
        <s v="https://maps.app.goo.gl/ZtYwokMh4bckUTTK7"/>
        <s v="https://maps.app.goo.gl/4TDTFE6tGGCzyzv48"/>
        <s v="https://maps.app.goo.gl/4TDTFE6tGGCzyzv49"/>
        <s v="TEA TIME"/>
        <s v="Adbhutaha Tea, tiffins &amp; Chinese"/>
        <s v="17.499254,78.396355"/>
        <s v="Celebs"/>
        <s v="https://maps.app.goo.gl/d5iSsQWpfK3si4t47"/>
        <s v="17.5124885098837, 78.39672735005787"/>
        <s v="Destino by Monday Hotels Gachibowli"/>
        <s v="Elysium studio suites Madhapur"/>
        <s v="Monday Hotels Hitec City"/>
        <s v="Monday Premium Madhapur"/>
      </sharedItems>
    </cacheField>
    <cacheField name="LOCALITY AREA" numFmtId="0">
      <sharedItems containsBlank="1">
        <e v="#REF!"/>
        <s v="KONDAPUR"/>
        <m/>
        <s v="TOWLICHOWKI"/>
        <s v="not mentioned"/>
        <s v="Narsingi "/>
        <s v="kukatpally "/>
        <s v="Langar Houz"/>
        <s v="Gachibowli"/>
        <s v="Banjara Hills"/>
        <s v="Khairatabad"/>
        <s v="Jubilee Hills"/>
        <s v="Hafeezpet"/>
        <s v="Kukatpally"/>
        <s v="Medchal"/>
      </sharedItems>
    </cacheField>
    <cacheField name="Remarks" numFmtId="0">
      <sharedItems containsBlank="1">
        <m/>
        <s v="switch off "/>
        <s v="Checked "/>
        <s v="number does not exist "/>
        <s v="checked"/>
        <s v="Today by EOD"/>
        <s v="Merchant asked to visit directly &amp; explain the details."/>
        <s v="Today bt eod"/>
        <s v="Anexure Missing"/>
        <s v="not answering calls "/>
        <s v="just menu pending  will receive today"/>
        <s v="All done"/>
        <s v="menu pending"/>
        <s v="Bank details and menu pending"/>
        <s v="Its under renovation,need 4 days of time"/>
        <s v="did not lift the call"/>
        <s v="will share it with parthive "/>
        <s v="No Contact Info"/>
        <s v="menu from zomato nd swiggy"/>
        <s v="not answering thw call"/>
        <s v="menu from zomato"/>
        <s v="2 days time"/>
        <s v="asked to call in some time he will send the menu"/>
        <s v="did not answer the call"/>
        <s v="asked to call tommrow"/>
        <s v="menu needs to increase"/>
        <s v="Unresponsive."/>
        <s v="weneed to change the price on offline menu"/>
        <s v="Fssai &amp; Menu Pending."/>
        <s v="he is out of station,didnt got the exact date when he will return,menu from swiggy and zomato"/>
        <s v="Again onboarded by chankaya"/>
        <s v="need to increase price"/>
        <s v="Have been reaching to mx on call since 3 days, he is unresponsive.Will make sure to collect as earliest convenience."/>
        <s v="Follow up required, Merchant is busy right now."/>
        <s v="Duplicate entry created - Pls delete"/>
        <s v="15 days to send documents"/>
        <s v="will send the document by tommrow"/>
        <s v="One week"/>
        <s v="Not Mentioned in Whatsapp"/>
        <s v="NO ACCESS"/>
        <s v="need to increase price ans still we have more menu"/>
        <s v="Had a word with mx, he will be sharing by tomorrow."/>
        <s v="Wrong Entry"/>
        <s v="Menu price hike has been done - GTG"/>
        <s v="will  send documents by tommrow"/>
        <s v=" will  send documents by tommrow"/>
        <s v="All docs collected."/>
        <s v="SWITCH OFF"/>
        <s v="DROPED"/>
        <s v="filled the document,soft copies im following up"/>
        <s v="ASKED TO CALL TMMROW"/>
        <s v="They need time to share menu"/>
        <s v="need to inrease price"/>
        <s v="need to increase price "/>
        <s v="NEED TO INCREASE PRICE ON MENU"/>
        <s v="Had a word with mx, he will be sharing by tomorrow. not answering"/>
        <s v=" Labour license pending, had a word with mx on call, he will be sharing shortly."/>
        <s v="will share on wednesday "/>
        <s v=" will get the documents within 2 day"/>
        <s v="All docs in"/>
        <s v="All docs in -price hike has to be done"/>
      </sharedItems>
    </cacheField>
    <cacheField name="remarks2" numFmtId="0">
      <sharedItems containsBlank="1">
        <m/>
        <s v="Not Uploaded"/>
        <s v="different"/>
        <s v="not answering calls"/>
        <s v="not answering calls "/>
        <s v="collect menu from support@petpooja.com"/>
        <s v="will share documents in half an hour "/>
        <s v="No Access"/>
      </sharedItems>
    </cacheField>
    <cacheField name="Column 35" numFmtId="0">
      <sharedItems containsString="0" containsBlank="1">
        <m/>
      </sharedItems>
    </cacheField>
    <cacheField name="Column 36" numFmtId="0">
      <sharedItems containsString="0" containsBlank="1">
        <m/>
      </sharedItems>
    </cacheField>
    <cacheField name="Column 37" numFmtId="0">
      <sharedItems containsString="0" containsBlank="1">
        <m/>
      </sharedItems>
    </cacheField>
    <cacheField name="Column 38" numFmtId="0">
      <sharedItems containsString="0" containsBlank="1">
        <m/>
      </sharedItems>
    </cacheField>
    <cacheField name="Column 39" numFmtId="0">
      <sharedItems containsString="0" containsBlank="1">
        <m/>
      </sharedItems>
    </cacheField>
    <cacheField name="Column 40" numFmtId="0">
      <sharedItems containsString="0" containsBlank="1">
        <m/>
      </sharedItems>
    </cacheField>
    <cacheField name="Column 41" numFmtId="0">
      <sharedItems containsString="0" containsBlank="1">
        <m/>
      </sharedItems>
    </cacheField>
    <cacheField name="Column 42" numFmtId="0">
      <sharedItems containsString="0" containsBlank="1">
        <m/>
      </sharedItems>
    </cacheField>
    <cacheField name="Column 43" numFmtId="0">
      <sharedItems containsString="0" containsBlank="1">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3020" sheet="whatsapp"/>
  </cacheSource>
  <cacheFields>
    <cacheField name="Restaurant name" numFmtId="0">
      <sharedItems containsBlank="1">
        <s v="Beyniaz shawarm"/>
        <s v="Pachakattu dosa"/>
        <s v="cake factory "/>
        <s v="SSR FOOD zone "/>
        <s v="1000 Biryani"/>
        <s v="Pondy parottas"/>
        <s v="Roti Ruchulu"/>
        <s v="Bojam taiyaru"/>
        <s v="Vela bites"/>
        <s v="Bowls and Bites "/>
        <s v="Hari Balaji Dhaba "/>
        <s v="Pappanam"/>
        <s v="Grand Spicy Bawarchi"/>
        <s v="The Good Sparrow Millests food "/>
        <s v="Babai Hotel"/>
        <s v="Abhiruchi Biryani"/>
        <s v="Kshatriya Grand"/>
        <s v="Mehfil Restaurant"/>
        <s v="Bakeway Bakers"/>
        <s v="mandi@36 arabian kitchen"/>
        <s v="Darbar Family"/>
        <s v="The Bougainvillea"/>
        <s v="Toppa"/>
        <s v="The Hole In The Wall Cafe"/>
        <s v="Concu"/>
        <s v="Brown Bear"/>
        <s v="99 Pancake"/>
        <s v="Rivora the cafe"/>
        <s v="Nasir"/>
        <s v="Coffee Place"/>
        <s v="Veeramagearu vantillu"/>
        <s v="Bhadrakali hotel"/>
        <s v="Mokshi kitchen"/>
        <s v="North indian hub only veg"/>
        <s v="Kavya Tiffins"/>
        <s v="Heart cup coffee"/>
        <s v="Deccan chillis"/>
        <s v="Lassi Store"/>
        <s v="Aanandobrahma"/>
        <s v="kush mandi"/>
        <s v="kadak house"/>
        <s v="Frost Bakery"/>
        <s v="Frsot Bake Studio"/>
        <s v="Just So wow cakes "/>
        <s v="Donut O'clock"/>
        <s v="C'est la vie bakes and cakes "/>
        <s v="Tempt Chocolates"/>
        <s v="Say Cheese Patisserie"/>
        <s v="La Boulangerie"/>
        <s v="Veera di chaap"/>
        <s v="Gupshup bistro"/>
        <s v="Pakwan Grand"/>
        <s v="Cafe reels"/>
        <s v="I love Godavari"/>
        <s v="Lucky Restaurant"/>
        <s v="Sandarshini udipi pure veg"/>
        <s v="Cafe nandhini veg deluxe "/>
        <s v="Good Flipping Burgers"/>
        <s v="Cream Stone "/>
        <s v="Scoops"/>
        <s v="Froops"/>
        <s v="Sarvi Restaurant"/>
        <s v="500Foodies club"/>
        <s v="Habibi Mandi "/>
        <s v="Krimmy Thickshakes"/>
        <s v="Tipsy Topsy Bakers"/>
        <s v="New aritaku bhojanam"/>
        <s v="Brundavan pure veg"/>
        <s v="Mozo pizza "/>
        <s v="Chubby cho"/>
        <s v="Maraheb mandi"/>
        <s v="Arabian nights mandi"/>
        <s v="Punhabi affair"/>
        <s v="yum yum tree"/>
        <s v="mandi king"/>
        <s v="mekong"/>
        <s v="Sithara"/>
        <s v="Aqeeq Restaurant"/>
        <s v="vasireddy swagruha foods"/>
        <s v="Belgian waffle "/>
        <s v="Reddy Brothers"/>
        <s v="Hiyya the chronic mandi"/>
        <s v="Vellanki foods"/>
        <s v="Pragathi sweets and savouries"/>
        <s v="Tinnu mawa"/>
        <s v="Biryanis and more "/>
        <s v="Toscano"/>
        <s v="Navarasa"/>
        <s v="Frozen Bottles"/>
        <s v="Brurma Restaurant"/>
        <s v="Hard rock cafe"/>
        <s v="Itlu Bobbatlu"/>
        <s v="Gabru Di chaap"/>
        <s v="Wow momo"/>
        <s v="wow chicken"/>
        <s v="Monday premium "/>
        <s v="Shahi Rasoi family Restaurant"/>
        <s v="Donne biryani house "/>
        <s v="The emperor"/>
        <s v="Satyanarayan mithai bhandar"/>
        <s v="sm group, food network, by the bottle , president dhaba, krishnapatnam"/>
        <s v="California Burrito"/>
        <s v="mandi 36"/>
        <s v="parampara"/>
        <s v="maryada ramanna"/>
        <s v="4 season"/>
        <s v="balaji family dhaba"/>
        <s v="Barbeque nation "/>
        <s v="Onesta pizzeria "/>
        <s v="kake di hatti"/>
        <s v="rayalaseema ruchulu"/>
        <s v="rayalaseema spice"/>
        <s v="4 season "/>
        <s v="cafe cilantro"/>
        <s v="vaikuntapuram"/>
        <s v="simply parottas "/>
        <s v="soy N sesame New york slice pizza"/>
        <s v="Bombay juice"/>
        <s v="mama thinu"/>
        <s v="Habibo"/>
        <s v="Ice and spice"/>
        <s v="Arman hotel"/>
        <s v="Palle vindu"/>
        <s v="manasa.chigurupati@capsdelivery.com kitchen and Swagruha Sweets"/>
        <s v="suryakantham"/>
        <s v="D and D caters"/>
        <s v="Chantabbai"/>
        <s v="Santosh dhaba"/>
        <s v="samjam's pizza "/>
        <s v="Anu archana kitchen"/>
        <s v="TOC-The Original Chef"/>
        <s v="kanch cafe"/>
        <s v="Raju gari pulav"/>
        <s v="china town"/>
        <s v="Gabbar dhaba"/>
        <s v="Dosthugallu mandi"/>
        <s v="Namesthe"/>
        <s v="abu layed bait"/>
        <s v="spicy express "/>
        <s v="The indian wok"/>
        <s v="sangam veg affair "/>
        <s v="pappanmam"/>
        <s v="Chintamani Pulaos"/>
        <s v="7 spices "/>
        <s v="Royal arabian mandi"/>
        <s v="brew and blow heaven coffee shop"/>
        <s v="Eden ice treats"/>
        <s v="Arabian vibes "/>
        <s v="Aromas "/>
        <s v="Hari dosa "/>
        <s v="Biryani and co"/>
        <s v="Royal tiffin centre "/>
        <s v="Ali seasons xprs"/>
        <s v="shohrat"/>
        <s v="Deccan biryani house and restaurant "/>
        <s v="The thick shake factory "/>
        <s v="Tasty fried chicken "/>
        <s v="The shawarma kingdom"/>
        <s v="Raw bakers"/>
        <s v="South n spice "/>
        <s v="Mr faddy"/>
        <s v="vibe check"/>
        <s v="crispy days"/>
        <s v="gyros doner by nice juice centre "/>
        <s v="Qubz the shawarma revolution "/>
        <s v="kabul darbar"/>
        <s v="karam dosa"/>
        <s v="Ramu Villas"/>
        <s v="viyyalavari sweets"/>
        <s v="Aha"/>
        <s v="cafe morning raaga"/>
        <s v="military rajaana hotel"/>
        <s v="sree vakula kitchen"/>
        <s v="Dragon restaurant "/>
        <s v="Tadipatri briyani "/>
        <s v="MM cake factory and bakers "/>
        <s v="kings briyani adda "/>
        <s v="Ma pottam ma Istam"/>
        <s v="kohinoor restaurant "/>
        <s v="Sthali"/>
        <s v="Ice and Spice "/>
        <s v="Pooja dins inn"/>
        <s v="Shubham grand family restaurant "/>
        <s v="the  turban taste "/>
        <s v="cake exotica bakers"/>
        <s v="Arabian food corner"/>
        <s v="Al rahman bakery "/>
        <s v="Mayudri foods"/>
        <s v="Garuda cafe and new gongura"/>
        <s v="Honey foods"/>
        <s v="Al baik cakes and Restaurant"/>
        <s v="kalingapatnam"/>
        <s v="palleturi dosa"/>
        <s v="kochinspices"/>
        <s v="Al saba cafe "/>
        <s v="smoky docky"/>
        <s v="SNS bake"/>
        <s v="Gatox cafe"/>
        <s v="Al rikaab arabian"/>
        <s v="gourmet shawarma, 100N,the homly bowls"/>
        <s v="missamma Restaurant"/>
        <s v="the wine dine kitchen and bar "/>
        <s v="coffee place "/>
        <s v="MMD kitchens"/>
        <s v="poruginti chepala pulusu"/>
        <s v="united cafe"/>
        <s v="Hitech Bawarchi"/>
        <s v="Zamindars cafe"/>
        <s v="Sri vindha"/>
        <s v="hulchal desserts and bakers"/>
        <s v="Arukha flavours cloud kitchen and takeaway"/>
        <s v="Udipi Uphar "/>
        <s v="Farzan"/>
        <s v="Rainbow mandi and Restaurant"/>
        <s v="Royal darbar"/>
        <s v="sabiib Restaurant"/>
        <s v="Padmavathi food court"/>
        <s v="Italian sahke cafe"/>
        <s v="Punjabi junction"/>
        <s v="Agra sweets"/>
        <s v="Gyros doner "/>
        <s v="Bulli abbai gari kodi palau"/>
        <s v="cozmo cafe"/>
        <s v="Morine bakery"/>
        <s v="kakati deluxe mess"/>
        <s v="Paruchuri foods"/>
        <s v="Balaji pavan mithai bhandar"/>
        <s v="Alkapuri Bawarchi"/>
        <s v="juice bar"/>
        <s v="Balaji santhosh family dhaba"/>
        <s v="Biryani and biryani"/>
        <s v="fire and ice bakers"/>
        <s v="Mahindra mithaiwala"/>
        <s v="Amrutham"/>
        <s v="chopsticks"/>
        <s v="Bamma tiffins"/>
        <s v="surabhi hotel udupi veg "/>
        <s v="new cafe bakers "/>
        <s v="Urban franky"/>
        <s v="Trinetra cafe and Restaurant"/>
        <s v="Imperial multicuisine Restaurant"/>
        <s v="Hut-k bucket biryani"/>
        <s v="palle vindu dosa"/>
        <s v="raja rani ruchulu"/>
        <s v="suryakantham military hotel"/>
        <s v="A1 shawarma bites"/>
        <s v="ghuma ghumalu"/>
        <s v="yummy feast "/>
        <s v="The great britian waffle"/>
        <s v="lakshmi narasimha vilas "/>
        <s v="Aqeeq"/>
        <s v="andhra meals"/>
        <s v="Rithvikaa's kitchen"/>
        <s v="An te ra kitchen and bar"/>
        <s v="the street stories"/>
        <s v="qubz"/>
        <s v="old A1 "/>
        <s v="Naidu gari kunda biryani"/>
        <s v="kakatiya tiffins"/>
        <s v="pothuraju"/>
        <s v="andhra kitchens"/>
        <s v="krishna magic kitchen"/>
        <s v="konaseema biryani"/>
        <s v="amma chethi ruchulu"/>
        <s v="bunty biryani"/>
        <s v="Hotel Udupi house "/>
        <s v="Amogha"/>
        <s v="I love RRR mandi"/>
        <s v="Badrachalam cafe"/>
        <s v="Ganesh virat food court"/>
        <s v="Shanghai chef"/>
        <s v="Meghana non veg parcel"/>
        <s v="chai nagri"/>
        <s v="Trigunas kitchen"/>
        <s v="Mayur sweers and dry fruits"/>
        <s v="waraka Restaurant (Tiffins and Meals)"/>
        <s v="Nakshatra tiffins "/>
        <s v="Gal Punjab di "/>
        <s v="Bakers town"/>
        <s v="Lassi and shakes"/>
        <s v="Hanuman juice and salad"/>
        <s v="Laibas cafe"/>
        <s v="Polar bear,The ice cream,sundae zone"/>
        <s v=" Nellore Padmavati Ruchulu "/>
        <s v="Cheesiano pizza"/>
        <s v="Cake Walkers "/>
        <s v="satyam foods"/>
        <s v="Emerald food house "/>
        <s v="Patiiala plate "/>
        <s v="Sri Krishna "/>
        <s v="chaayos"/>
        <s v="Raagam food court"/>
        <s v="Oye punjabi"/>
        <s v="Delhi Muradabadi Biryani"/>
        <s v="Bhimavaram thali"/>
        <s v="Ruchi curries"/>
        <s v="Amogha cafe and restaurant"/>
        <s v="Vinni cabin cafe"/>
        <s v="Bab al mandi"/>
        <s v="dadas tiffin and fast food"/>
        <s v="Tiffin express "/>
        <s v="Sri Aadhya Delicious"/>
        <s v="Paruchuri foods onboarded"/>
        <s v="Wow! Vadapav"/>
        <s v="Mandava Ruchulu"/>
        <s v="Universal Al matam Mandi "/>
        <s v="Hotel shurbhi udpi"/>
        <s v="Kadali kitchen"/>
        <s v="Arabian Affair"/>
        <s v="Creative home baker's "/>
        <s v="Mother's kitchen "/>
        <s v="Vindhu Maharaj "/>
        <s v="Rayalaseema peddaraju Ruchulu"/>
        <s v="Sri Sai Rama Tiffins"/>
        <s v="Sreendidhi Fast food"/>
        <s v="Sahi nawabis kitchen (new restaurant)"/>
        <s v="Wrappy"/>
        <s v="Hi Tech Bawarchi Food zone"/>
        <s v="Hi Tech biryani house"/>
        <s v="Oven Fresh Bakery"/>
        <s v="Imperial "/>
        <s v="Santhosh Dhaba "/>
        <s v="Brew Gato"/>
        <s v="Bawarchi Express Restaurant "/>
        <s v="Madhura Restaurant and Bar"/>
        <s v="Flavour of Andhra"/>
        <s v="Gismat jail mandi"/>
        <s v="Sarvi Restaurant "/>
        <s v="Hanuman juice and salad "/>
        <s v="Kaaram The authentic Telangana spice kitchen"/>
        <s v="Udupi Shree krishna grand hotel "/>
        <s v="Ahara kitchen "/>
        <s v="Sri varahi sampradaya vindhu"/>
        <s v="Brands Of Bhimavaram"/>
        <s v="Samastha tiffins"/>
        <s v="Moms recipe"/>
        <s v="Sweet Basket"/>
        <s v="Keshava reddy sweets"/>
        <s v="Sri vijaya Laxmi food court "/>
        <s v="Iguru"/>
        <s v="big byte "/>
        <s v="Mandi zone An indo-Arabian restaurant"/>
        <s v="Vaarahi Kitchen "/>
        <s v="Tiffin Tales"/>
        <s v="Agra sweet"/>
        <s v="Village Vanta"/>
        <s v="Saharsh udupi "/>
        <s v="Swad of Grandma"/>
        <s v="santhakam ruchulu"/>
        <s v="Machili Patnam"/>
        <s v="Chaitanya’s modern kitchen "/>
        <s v="Venkee's kitchen"/>
        <s v="Patnam Ruchulu "/>
        <s v="The Spicy Express "/>
        <s v="Delhi Mithai wala "/>
        <s v="Amy’s cafe "/>
        <s v=" Aha Dakshin"/>
        <s v=" Tosh e daan"/>
        <s v="Midway bakers"/>
        <s v="Special 9"/>
        <s v="surabhi hotel "/>
        <s v="Bangaru Babu Biriyani"/>
        <s v="Indira Darshini tiffins"/>
        <s v="Burger King"/>
        <s v="Pandaga "/>
        <s v="SORSHE "/>
        <s v="Narthanashala "/>
        <s v="Fire Water"/>
        <s v="svs bakers  and fast food "/>
        <s v="Kings afganghan "/>
        <s v="WOW China"/>
        <s v=" N circle restaurant "/>
        <s v="Tadipatri biryani "/>
        <s v="My bowl "/>
        <s v="The Thickshake Factory "/>
        <s v=" Biryani Bahar"/>
        <s v="Barbeque nation"/>
        <s v="Frankie"/>
        <s v="Fuel Box"/>
        <s v="Cafe delhi hights"/>
        <s v="Deerga Ayushman bhava"/>
        <s v="SS Bawarchi"/>
        <s v="mana inti bojanam"/>
        <s v="Kings kohinoor hotel"/>
        <s v="Durga bhavani food zone"/>
        <s v="FOO"/>
        <s v="Khaan Saab"/>
        <s v="BEJAWADA Junction"/>
        <s v="Tteok bokki "/>
        <s v="DiD LI Arabian kitchen"/>
        <s v="The Royal Plate"/>
        <s v="IKIGAI CAFE"/>
        <s v="Chai point "/>
        <s v="Good vibes only "/>
        <s v="Sri Ramana Maharshi food court"/>
        <s v="Hillstar restaurant "/>
        <s v="Red Bucket"/>
        <s v="mysore bakery"/>
        <s v="New Tasty King Bakers"/>
        <s v="tealogy cafe"/>
        <s v="Pala pitta ruchulu"/>
        <s v="Zamana shawarma "/>
        <s v="Chanti mess "/>
        <s v="Rajasaab Royal Kitchen"/>
        <s v="Chicken shawarma hunt"/>
        <s v="Oak bistro"/>
        <s v=" Bakers harvest"/>
        <s v="Amma mess"/>
        <s v="Onesta "/>
        <s v="priyansh fast food "/>
        <s v="Labonel"/>
        <s v="Yum Yard"/>
        <s v="Desi kitchen"/>
        <s v="Telugu patnam Ruchulu "/>
        <s v="Mandi House"/>
        <s v="minerva  sweet "/>
        <s v="Dwarak multicuisine Restaurant "/>
        <s v="Fire and ice"/>
        <s v="Chutneys"/>
        <s v="Sri Raghavendra Bhavan"/>
        <s v="Red oven"/>
        <s v="Kings Kohinoor hotel "/>
        <s v="Iq shawarma "/>
        <s v="fire and ice cream"/>
        <s v="Hyde's Diner"/>
        <s v="Bakers harvest "/>
        <s v="Sha sha shandhar shawarma"/>
        <s v="7th Heaven &amp; white hart"/>
        <s v="Burfi ghar "/>
        <s v="chopsticks noodles"/>
        <s v="Akshaya bhojanam"/>
        <s v="Kingston Restaurant "/>
        <s v="Deccan Dhaba"/>
        <s v="Kajol kitchen"/>
        <s v="sardarji kitchen"/>
        <s v="Spice Theroy "/>
        <s v="Daily rituals"/>
        <s v="Tiffins and more"/>
        <s v="Aroma biryani  and pulaos"/>
        <s v="flavours of andhra "/>
        <s v="Al Aadaab Arabian Mandi "/>
        <s v="Mr Chopsticks"/>
        <s v="Burfigha"/>
        <s v="Haldirams"/>
        <s v="Arya tiffins "/>
        <s v="Murugan’s Cofee"/>
        <s v="Almond House"/>
        <s v="House of taste"/>
        <s v="kolkata food plaza"/>
        <s v="Amogha "/>
        <s v="Mezbaan"/>
        <s v="VR tiffins"/>
        <s v="Sri Ragavendra Bhavan"/>
        <s v="Maheswari balaji family dhabha "/>
        <s v="Sai Ram tiffins"/>
        <s v="Kings Restaurant and bar "/>
        <s v="Ks bakers "/>
        <s v="Bayyas Food hub"/>
        <s v="La chai de "/>
        <s v="Peshawar"/>
        <s v="Blend and roast cafe"/>
        <s v="Cashew House "/>
        <s v="Fb bakers "/>
        <s v="SK foods "/>
        <s v="Sri subham food court "/>
        <s v="Slice and sauce"/>
        <s v="Organic creamery"/>
        <s v="Peni icecandy"/>
        <s v="Lakshmi durha andhra flavours"/>
        <s v="Aamantran"/>
        <s v="Shanghai flavours of china"/>
        <s v="Baskin Robin's "/>
        <s v="RR Food Court"/>
        <s v="Karachi Bakery"/>
        <s v="Just bake "/>
        <s v="Contico "/>
        <s v="Grand bawarchi hotel"/>
        <s v="Sandwichsquare "/>
        <s v="shahi kalyani biryani"/>
        <s v="Bhimavaram Vari Unlimited Ruchulu"/>
        <s v="Momo pizza "/>
        <s v="Arya bhavan"/>
        <s v="chandini hotel  "/>
        <s v=" A1 bawarchi "/>
        <s v="Chicken shawarma Hut"/>
        <s v="The nosh bistro"/>
        <s v="Lickees "/>
        <s v="Tulja Bhavani Hotel"/>
        <s v="Dreamland bakers"/>
        <s v=" Desi Chinese "/>
        <s v=" Mahadev sweets "/>
        <s v="Theme cafe"/>
        <s v="Mandi vibes"/>
        <s v="Mahreens kitchen "/>
        <s v="Times food court "/>
        <s v="Authentic Kunda biryani"/>
        <s v="Ss live kitchen "/>
        <s v=" yum crumb waffle "/>
        <s v="Friends corner cafeteria "/>
        <s v="Fresh bakers"/>
        <s v="Street darbar "/>
        <s v="Virndhvan kitchen"/>
        <s v="Lakshmi Narasimha swgruha foods "/>
        <s v="Maya bazar "/>
        <s v="Swiss castle "/>
        <s v="Kulcha Kulture"/>
        <s v="the red box"/>
        <s v="Claysutra pottery"/>
        <s v="Eats corner restaurant "/>
        <s v="Fusion @49 "/>
        <s v="The bake factory "/>
        <s v="Nellore Padmavathi Ruchulu "/>
        <s v="My Biryani "/>
        <s v="Livora cafe and kitchen "/>
        <s v="Kings"/>
        <s v="Cherrys Restaurant "/>
        <s v="IFC Indian fav chef "/>
        <s v="Southern fusion "/>
        <s v="Pizza mania"/>
        <s v="Andhra Housz"/>
        <s v="Maska Chaska"/>
        <s v="bhamavaram"/>
        <s v="food invitation"/>
        <s v="Bites and delights"/>
        <s v="Bawarchi cafe biryani "/>
        <s v="Punjabi paratha House"/>
        <s v="Indian Mandi Restaurant "/>
        <s v="Lassi shop "/>
        <s v="Grill on fire"/>
        <s v="Lemonridge hotels "/>
        <s v="Rs biryani"/>
        <s v="Spicy Xpress"/>
        <s v="Dheeraj kheswani"/>
        <s v="Pizza zone "/>
        <s v="Eruvaaka"/>
        <s v="Bonalu kitchen "/>
        <s v="Ravoli"/>
        <s v="Maa Amrutham"/>
        <s v="Rushiba "/>
        <s v="RR Orissa dhaba"/>
        <s v="pepper Green"/>
        <s v="Hazelnut Bakers "/>
        <s v="Mayabazaar"/>
        <s v="svs bakers  and fast food"/>
        <s v="Elipayakaram "/>
        <s v="Made in Andhra "/>
        <s v="Bezawada Biryani "/>
        <s v="Aazebo"/>
        <s v="The Nawabs "/>
        <s v=" ustaads hyderabadi zaiqa "/>
        <s v="scoop icecream"/>
        <s v=" grand sons bademiyan kababs and restaurants "/>
        <s v="Spicy hut "/>
        <s v="Pasidipuri kitchen "/>
        <s v="Aahara food court "/>
        <s v="Ram ki bandi "/>
        <s v="Pepper Green "/>
        <s v="Sri poorna hotel"/>
        <s v="Elaichi fine dining"/>
        <s v="Kafika "/>
        <s v=" Hunger station "/>
        <s v="Avani Restaurant"/>
        <s v=" kitchens of masalas"/>
        <s v="The chocolate room "/>
        <s v="Rooster Kitchen "/>
        <s v="Dragon Kitchen "/>
        <s v="Rya Restaurant"/>
        <s v="Wisphot "/>
        <s v="Keventeers"/>
        <s v="Woodfire pizza"/>
        <s v="Bhattad ki idly "/>
        <s v="Akshaya bhojanam "/>
        <s v="gulf bakers"/>
        <s v="Flavours"/>
        <s v="Sindhu Tiffins &amp; Meals "/>
        <s v="Times Tiffins &amp; Meals "/>
        <s v="Cake Cafe"/>
        <s v="Kamakshi tiffins "/>
        <s v="Kamakshi snacks curries and meals - 23++"/>
        <s v="Royal odisha daba"/>
        <s v=" sk munna  restaurant "/>
        <s v="Spice kitchen "/>
        <s v="Rayalaseema spice "/>
        <s v="BTO "/>
        <s v="dwaraka multi cuisine restaurant "/>
        <s v="Midhunam "/>
        <s v="SSS shawarma"/>
        <s v="Sri Bakers "/>
        <s v="Tass spice hut "/>
        <s v="Sri sai food court"/>
        <s v="prakash meals and tiffins"/>
        <s v="Victoria tiffins and fast food "/>
        <s v="Jai murthi banglore"/>
        <s v="Southern kitchen "/>
        <s v="Spicy food court"/>
        <s v="Swach"/>
        <s v="Abhiruchi"/>
        <s v="Rao gari military hotel "/>
        <s v="Slice and Bytes"/>
        <s v="Babai ruchi mess nd biryani "/>
        <s v="Irachaku rameen house"/>
        <s v="Vellankifood"/>
        <s v="Sankla bakery "/>
        <s v="Thrivesome cafe"/>
        <s v="Chai kings"/>
        <s v="Cafe cocktail music"/>
        <s v="chinese biryani"/>
        <s v="waffle house"/>
        <s v="East and west kitchen"/>
        <s v="Chinese express "/>
        <s v="Zara hi-fi restaurant "/>
        <s v="Maddys cloud kitchen "/>
        <s v="Sip &amp; Chill onboarded "/>
        <s v="Abhiruchi "/>
        <s v="Ayansh food Court"/>
        <s v="tulsi velas"/>
        <s v="Dakshin haveli"/>
        <s v="Malabaris "/>
        <s v="hyderabad shahi restaurant "/>
        <s v="The food planet"/>
        <s v="Sarasam - cafe and restaurant "/>
        <s v="Squid kitchen - cloud kitchen "/>
        <s v="Tuyaa - cloud kitchen "/>
        <s v="Shree Raghavendra "/>
        <s v="Palle vindhu "/>
        <s v="Tazza tiffins"/>
        <s v="Malabar kitchen "/>
        <s v="Annam Parabrahma"/>
        <s v="Punjabi chasak "/>
        <s v="Nadeem hotel"/>
        <s v="Red Bucket Biryani "/>
        <s v="naidus  food court"/>
        <s v="Kings M biryani adda"/>
        <s v="hitex bawarchi restaurant"/>
        <s v=" BBQ Bites"/>
        <s v="Waffle &amp; Sip "/>
        <s v="Madura bar and restraunt "/>
        <s v="shiridi sai tiffins "/>
        <s v="tiffin xpress"/>
        <s v="preeti tiffins "/>
        <s v="Aahara Aahvanam"/>
        <s v="Preeti tiffens "/>
        <s v="Asian pan house and restraunt "/>
        <s v="Annapoorna kitchen "/>
        <s v="Thunderbolts"/>
        <s v="Ganesh tiffins"/>
        <s v="Abhiruchi tiffins and meals"/>
        <s v="Bakers corner"/>
        <s v="Heavenly Restaurant"/>
        <s v="President dhaba"/>
        <s v="Raju Gari Bhimavaram Biryani"/>
        <s v="Myfroyoland"/>
        <s v="Falak bakers and cakes"/>
        <s v="Sai Mumbai Famous "/>
        <s v="AR fast food and restaurant"/>
        <s v="Natu kitchen "/>
        <s v="Palamguru grill"/>
        <s v="shsh gouse"/>
        <s v="spices "/>
        <s v="Blue star"/>
        <s v="Hassan Diary "/>
        <s v="Sulomon kings of flavours"/>
        <s v="hotel Anand Bhavan"/>
        <s v="zumaria restaurant "/>
        <s v="Tatva Modern dining"/>
        <s v="CHAI Chasaka"/>
        <s v="Orugallu Ruchulu"/>
        <s v="Dosa hut"/>
        <s v="whisk it"/>
        <s v="Upasana's"/>
        <s v="kabul restaurant "/>
        <s v="Bhai ki chai"/>
        <s v="Hotel swaruchi"/>
        <s v="Bhimavaram Raju gari Ruchulu"/>
        <s v="Shirisha fast food "/>
        <s v="Sankar villas tiffins "/>
        <s v="Venkateswara foods  "/>
        <s v="Bobby's friend chicken "/>
        <s v="Zaiqa-11 "/>
        <s v="Al saba Restaurant "/>
        <s v="Pakka local food "/>
        <s v="lakshmi food and meals"/>
        <s v="Highway Restaurant "/>
        <s v="Madhuram Kitchen "/>
        <s v="Satti babu biryani "/>
        <s v="Arabian Mandi"/>
        <s v="Kafka house "/>
        <s v="Bezawada bhojanams and Biryanis "/>
        <s v="Ulavacharu"/>
        <s v="Dune bar and kitchen "/>
        <s v="Moms kitchen"/>
        <s v="Naughty kudi"/>
        <s v="Aadhya hotel"/>
        <s v="Kakatiya home foods"/>
        <s v="Insomnia"/>
        <s v="Dwaraka swagracha food"/>
        <s v="Sri Raghavendra vihar"/>
        <s v="Zaiqa 11"/>
        <s v="Zafaron shawarma nd Chinese fast food"/>
        <s v="Crave and corners kitchen"/>
        <s v="the spicy unions"/>
        <s v="Bhulakshmi Mess"/>
        <s v="Brost nation "/>
        <s v="oye punjabi "/>
        <s v="bab al mandi "/>
        <s v="L.K Brudavan Food court"/>
        <s v="Sandu's bakes and brews"/>
        <s v="Tiny Town cafe "/>
        <s v="Granny’s Kitchen "/>
        <s v="The exotic shawarma "/>
        <s v="Bhimavaram raju gari kodi palau"/>
        <s v="sri satti babu biryani "/>
        <s v="Sravanthi food court "/>
        <s v="Mickeys tiffin"/>
        <s v="Taaza tiffins"/>
        <s v="FIVE STAR CHICKEN "/>
        <s v="saba-e-kitchen and cafe"/>
        <s v="Anu kitchen "/>
        <s v="rowdy momo express "/>
        <s v="Sri annapoorna kitchen"/>
        <s v="Tiffin kottu "/>
        <s v="Annamaya"/>
        <s v="chicken donne biryani house "/>
        <s v="Tealogy care"/>
        <s v="padma vilas"/>
        <s v="olive garden "/>
        <s v="Sri akshaya tiffins and meals"/>
        <s v="Balaji vilas"/>
        <s v="Sri Gowras kitchen "/>
        <s v="Morine bakers "/>
        <s v="Midland bakers"/>
        <s v="ABC foods  Abiruchi biryani cafe "/>
        <s v="Blue star restaurant "/>
        <s v="Hasis pulav"/>
        <s v="Hasis kitchen "/>
        <s v="my friend circle and kitchen"/>
        <s v="Rayudu's kitchen "/>
        <s v="Tasty flavours (tiffins, meals, biryanis)"/>
        <s v="Dhabha food court"/>
        <s v="Hotel Amrutha sai "/>
        <s v="Agra sweets "/>
        <s v="Sai nadh tiffins "/>
        <s v="Sri Sai home foods and tiffins "/>
        <s v="Olive mithai"/>
        <s v="habitat cafe"/>
        <s v="Andhra bhavan"/>
        <s v="Kinnus kitchen "/>
        <s v="Saiko "/>
        <s v="Raddison blu"/>
        <s v="VVK fast food"/>
        <s v="Giri food court "/>
        <s v="Snaking cafe private limited "/>
        <s v="Mubarak cafe"/>
        <s v="season Xprs"/>
        <s v="spice soiree"/>
        <s v="Parnasala kitchen"/>
        <s v="Dine Hill "/>
        <s v="Rayudu hotels"/>
        <s v="Indru spice kitchen"/>
        <s v="Subbayamma foods"/>
        <s v="Supreeth Grand "/>
        <s v="Supreeth Curries and meals "/>
        <s v="Ma oori vanta"/>
        <s v="Exotica Z mantra of taste"/>
        <s v="Rama tiffins"/>
        <s v="Third wave coffee"/>
        <s v=" Bommarillu"/>
        <s v="Big byte"/>
        <s v="Snack bite "/>
        <s v="Chaitanya food court "/>
        <s v=" Manam Chocolate "/>
        <s v="Sravanam 4am biryani "/>
        <s v="4am kushka biryani"/>
        <s v="Zaiqa bawarchi restaurant "/>
        <s v="Hummus house"/>
        <s v="Dostan Food court (5 outlets)"/>
        <s v="A1 Chinese and fast food "/>
        <s v="Cherry restaurant "/>
        <s v="Mandi bistro"/>
        <s v="Fresh fruit juices and bowls "/>
        <s v="A1 bawarchi"/>
        <s v="Aditya kitchen"/>
        <s v="cafe coffe day"/>
        <s v="Cranelle"/>
        <s v="the gallery cafe"/>
        <s v="the chocolate room"/>
        <s v="The organic creamery "/>
        <s v="the kapoor cafe"/>
        <s v="the irawat kitchen"/>
        <s v="sri venkateswara food court"/>
        <s v="sai ristha fast food center"/>
        <s v="the shipping adda"/>
        <s v="Sree teja food court "/>
        <s v="Perch 24 cafe"/>
        <s v="hotel bheemas grand "/>
        <s v="New farasha cafe "/>
        <s v="Sri Nakshatra Chinese Hub"/>
        <s v="Club 10 Chicken "/>
        <s v="Savera hills hotel"/>
        <s v="Imperial restaurant"/>
        <s v="Hyderabad Bakehouse"/>
        <s v="King darbar hotel"/>
        <s v="Shalimar sweets"/>
        <s v="TOC Bakers and Confectioners"/>
        <s v="Varnam"/>
        <s v=" A1 hotel"/>
        <s v="Royal Bawarchi"/>
        <s v="mataam "/>
        <s v="Royal food courth "/>
        <s v="al bawadi "/>
        <s v=" SRK food court "/>
        <s v="RS hotel"/>
        <s v="ouvra"/>
        <s v="Firdous hotel"/>
        <s v="ilyaas "/>
        <s v="Rk grand restaurant "/>
        <s v="City chefs kitchen "/>
        <s v="Jai tulja bhavani curries"/>
        <s v=" khans arabian shawarma "/>
        <s v="Bagara and biryani"/>
        <s v="Rokali"/>
        <s v=" Ministry of coffee affairs "/>
        <s v="fresh and hot "/>
        <s v="makhayad al arabi "/>
        <s v="The bake box "/>
        <s v="Bejing Bistro"/>
        <s v="Sri raghavendra hotel "/>
        <s v="Sri Sai tiffin centre and curry point "/>
        <s v="shurfa  mandi "/>
        <s v="Ruchi plaza "/>
        <s v="Bait al Mandi "/>
        <s v="Limra Arabian mandi house"/>
        <s v="Sv food court "/>
        <s v="Al-Baik "/>
        <s v="Honeyman"/>
        <s v="felfelah "/>
        <s v="Klinkaara kitchen "/>
        <s v="Crispy corner "/>
        <s v="Mahabaala food Court "/>
        <s v="Aahar villas "/>
        <s v="Shakambari restraunt "/>
        <s v="Telugu aroma "/>
        <s v=" hotel city diamond "/>
        <s v="Vaibhavam restaurant "/>
        <s v="Namaste Hyderabad "/>
        <s v="Sri mamas kitchen "/>
        <s v="Bombay juice "/>
        <s v="Sabiib Restaurant Haven "/>
        <s v="Al furqan hotel"/>
        <s v="Hyderabad bake house "/>
        <s v="Royal Bawarchi "/>
        <s v="Annapurna hotel"/>
        <s v="Arabian zaiqa mandi restaurant "/>
        <s v="The Bakely cafe"/>
        <s v="Alfa madr eat "/>
        <s v="Bismillah Hotel "/>
        <s v="Shah restaurant "/>
        <s v="The Bakely bakers"/>
        <s v="The nawaabs restaurant "/>
        <s v="Hotel M S pride"/>
        <s v=" Bhai chai "/>
        <s v="The hungry spot"/>
        <s v="Dostan Biryani"/>
        <s v="Hotel chal mohana ranga biryanis"/>
        <s v="Sarvani Biryanis"/>
        <s v="Dostan Shawarma"/>
        <s v="coal spark"/>
        <s v="Dostan Meals and snacks"/>
        <s v="Dostan Fast Food"/>
        <s v="RK delux mess"/>
        <s v="Dostan Tiffin"/>
        <s v="poorna food court "/>
        <s v="Leon’s burger and wings "/>
        <s v="ALBAIK "/>
        <s v="Sri vigneshwaranellore chepala pulusu"/>
        <s v="kebabwala "/>
        <s v="Churrolto "/>
        <s v="Raasa cafe"/>
        <s v=" Aha Bhojanam"/>
        <s v=" mana ruchulu "/>
        <s v="Kkm bakers "/>
        <s v="Kittys kitchen "/>
        <s v="Punjabi Affair daba"/>
        <s v="Bingsu ice cafe"/>
        <s v="Cafe 74 "/>
        <s v="Anu kitcen"/>
        <s v="Snack bite"/>
        <s v="Zam zam fast food"/>
        <s v="Hyde’s Diner"/>
        <s v="Perch cafe "/>
        <s v="Anandha brahma"/>
        <s v="Tawakaal biryani hotel "/>
        <s v="Rk Grand "/>
        <s v="Anagha Kitchen (new cloud kitchen)"/>
        <s v="New Nisar cafe and restaurant "/>
        <s v="Saudi arabian restaurant "/>
        <s v="New pentaiah hotel"/>
        <s v="Balaji fast food "/>
        <s v=" AR Raghavendra tiffins and meals"/>
        <s v="Cake factory"/>
        <s v="Desi zayqa "/>
        <s v="Chickpet donne biryani house "/>
        <s v="Madhurams restaurant "/>
        <s v="Bahar biryani nd cafe "/>
        <s v="Manikantas eat spot "/>
        <s v="Hotel CVR"/>
        <s v="Yuman crazy fast food center"/>
        <s v="Beyniaz shawarma nd grill"/>
        <s v="7 stars Restaurant "/>
        <s v="New tasty kind bakers "/>
        <s v="srk food court "/>
        <s v="RK deluxe mess"/>
        <s v="andra ruchulu"/>
        <s v="kritunga restaurant"/>
        <s v="Errababu palaav"/>
        <s v="Athidhis kitchen"/>
        <s v="Shake it up "/>
        <s v="#just shake it "/>
        <s v="Konaseema pedi Ruchulu "/>
        <s v=" biryani adda"/>
        <s v="Charcoal shawarma "/>
        <s v="Avacado on wheels"/>
        <s v="Oh my momos "/>
        <s v="Hayansh kitchen "/>
        <s v="Nine waves Restaurant"/>
        <s v="The Boat House "/>
        <s v="Casa Hotels and Restaurants"/>
        <s v="Tealogy"/>
        <s v="Hotel athidi "/>
        <s v="Food corner"/>
        <s v="Rithvikaas kitchen"/>
        <s v="A1 hotel "/>
        <s v="City wrap and Broast"/>
        <s v=" shurfa  mandi "/>
        <s v="Ulavapadu biryani and pulaos"/>
        <s v="Araah cafe "/>
        <s v="Meridian Restaurant "/>
        <s v="Raghavendra tiffens "/>
        <s v="Shadab"/>
        <s v="Desi zayqa"/>
        <s v="Tazz biryani point"/>
        <s v=" Andhra bhavan"/>
        <s v="Universal Restaurant "/>
        <s v="Akshaya pathra"/>
        <s v="Bhavani food court"/>
        <s v="Famous arabian shawarma"/>
        <s v="Wrapes and more"/>
        <s v="The Boat House"/>
        <s v="nawabi cafeteria "/>
        <s v="Nawabi waffles and beverages "/>
        <s v="5ves Dines restaurant"/>
        <s v="Sri Raghavendra Bhavan "/>
        <s v=" Golden Pavilion "/>
        <s v=" shreya food court "/>
        <s v="Srija home foods and curry point "/>
        <s v="D and D caterers "/>
        <s v="Biryani Adda "/>
        <s v="Balle balle punjabi "/>
        <s v="Arunachala cafe "/>
        <s v="Swathi tiffens "/>
        <s v="gayatri bhavan "/>
        <s v="Kritunga Restaurant "/>
        <s v=" harika mess"/>
        <s v="The food court "/>
        <s v="Bandhan mithai vatika "/>
        <s v="Raghuram dosa "/>
        <s v="amans food court "/>
        <s v="Amulya Abhiruchi"/>
        <s v="Corner centrer Bakery, fast food, juice and milk shake, Meals and biryani "/>
        <s v="corner center fast food"/>
        <s v="corner center juice  and milk shake"/>
        <s v=" corner center Meals and biryani "/>
        <s v="Caffeine hub "/>
        <s v="Amulya Abhiruchi Biryani"/>
        <s v="Amulya Abhiruchi Fast Food"/>
        <s v="Aadhya Food Court"/>
        <s v="Slice and bytes Food Court"/>
        <s v="Slice and Bytes Biryani"/>
        <s v="Relax cafe "/>
        <s v="Reddy Brothers Tiffins "/>
        <s v="A1 bawarchi "/>
        <s v="Chai kaburlu "/>
        <s v="Brownies bakery "/>
        <s v="Svs special village  spices"/>
        <s v="Telugu ruchulu"/>
        <s v="T vannam "/>
        <s v="DSD Cafe "/>
        <s v="Maruthi tiffins "/>
        <s v="Midhunam tiffins and snacks "/>
        <s v=" telugu cuisine "/>
        <s v="Mini udipis"/>
        <s v="Crispy crunch dinner "/>
        <s v="Appi natural "/>
        <s v="Sri Teja’s kitchen "/>
        <s v="Classic crown "/>
        <s v="Klassic Baker's and shawarma cafe"/>
        <s v="biryani ustad "/>
        <s v="Aaha Amrutulya"/>
        <s v="Shwarma kingdom"/>
        <s v="Epic Bawarchi"/>
        <s v="Epic Bawarchi Tiffin Centre"/>
        <s v="Bantu gadi food court"/>
        <s v="The Chinese Zhang Family Kitchen"/>
        <s v="Nellore Vantakalu"/>
        <s v="Healthy Juices Promised"/>
        <s v="Beyond Kimchi – The Taste of Korea"/>
        <s v="The English Kitchen"/>
        <s v="Vizag Beach Street Food"/>
        <s v="Mana Vizag Ruchulu"/>
        <s v="Healthy Food Promised"/>
        <s v="Military Reddy Tiffins"/>
        <s v="Sip of Health"/>
        <s v="The Brazilian Juice Bar"/>
        <s v="The Nice Juice Junction"/>
        <s v="Andhra Ruchlu"/>
        <s v="Millet marvels"/>
        <s v="Dum biryani Adda"/>
        <s v=" Audio Cup"/>
        <s v="All seasons express "/>
        <s v="B.V.S pradeep varma"/>
        <s v="Baskin Robbins "/>
        <s v="biryani wala and co"/>
        <s v="Bismillah restaurant "/>
        <s v="Cafe Chaiminar "/>
        <s v="Chamkila "/>
        <s v="Chatoros"/>
        <s v="Crispy hot wings"/>
        <s v="Deccan Bawarchi "/>
        <s v="Dosa mart"/>
        <s v="Eat hot 1 "/>
        <s v="Godavari vari vindhu maryada "/>
        <s v="Green bawarchi"/>
        <s v="haji ali fresh"/>
        <s v="Hot moms"/>
        <s v="Hot shawarma nd wings"/>
        <s v="Hot wings"/>
        <s v="joharfa"/>
        <s v="Kelvin scale absolute icecream "/>
        <s v="Konaseema peddiraja Ruchulu "/>
        <s v="Konaseema peddiraju Ruchulu"/>
        <s v="Konseema pedi raju ruchulu "/>
        <s v="lasya faast food"/>
        <s v="Maharaja chat and food "/>
        <s v="Mallesh mama fast food"/>
        <s v="Manikantas eat hot spot "/>
        <s v="Maruthi Tiffins"/>
        <s v="Meenakshi Cafe "/>
        <s v="Mexician Fried Chicken"/>
        <s v="Mummy ki rassoi/amritsar dhaba/wok33"/>
        <s v="N hot chinese"/>
        <s v="Nikhil feast"/>
        <s v="Nostic natural fruit ice cream "/>
        <s v="Olive Mithai Shop"/>
        <s v="Om Sri Balaji food court "/>
        <s v="Pulaos and bagara"/>
        <s v="Puppalguda, golden temple branches"/>
        <s v="Ram’s Dosa House "/>
        <s v="Rayalaseema Biryani "/>
        <s v="Rayudu hotels "/>
        <s v="Res is under partnership."/>
        <s v="Saabi arabian mandi "/>
        <s v="Sai nagarjuna tiffins "/>
        <s v="Sainadh food court "/>
        <s v="Second wife "/>
        <s v="Shri Balaji chennai spice restaurant "/>
        <s v="Shri balaji chennai spices"/>
        <s v="SK kitchen"/>
        <s v="Southern Mirchi "/>
        <s v="Sozo cakery &amp; Cafe "/>
        <s v="SRG Restro inn"/>
        <s v="Sri Govinda udipi veg"/>
        <s v="street view express "/>
        <s v="Teaology "/>
        <s v="The kebab house"/>
        <s v="Venkateshwara food court 3 outlets and "/>
        <s v="Wanderlust "/>
        <s v="captains kunafa"/>
        <s v="Annapurna Hotel and tiffins "/>
        <s v="Dine O china"/>
        <s v="The Tasty chapter "/>
        <s v="Biryani Mandirr "/>
        <s v=" House of dosas "/>
        <s v="Meenakshi Cafe"/>
        <s v="Koodu - the taste of Telangana "/>
        <s v="Vasistas Biryanis non veg curries"/>
        <s v="Hammayya kadupu nindindi "/>
        <s v="Gottipati Military Hotel"/>
        <s v="Raam ka Adda, Narsingi - Puppalaguda Main Rd, Anupama Homes, Manikonda, Hyderabad, Telangana 500089"/>
        <s v="Butter bunnie "/>
        <s v="Mandi bistro "/>
        <s v="Harisha tiffens "/>
        <s v="Monkeys cafe"/>
        <s v="Best biryanis "/>
        <s v="SweetsDude"/>
        <s v="Kanakadurga Tiffins"/>
        <s v="Chamkila asked to share proposal on mail"/>
        <s v="Machili Patnam "/>
        <s v="Chaitanyas modern kitchen "/>
        <s v="Smoke shack "/>
        <s v=" shreya fast food and momo "/>
        <s v="zaiqa bawarchi "/>
        <s v="Delight kitchen"/>
        <s v="Annapurna mess "/>
        <s v="pakka non veg "/>
        <s v="Srijas food and currys"/>
        <s v="Kavyam"/>
        <s v="Sri vengamamba deluxe mess "/>
        <s v="Hanvika Grand Fast Food"/>
        <s v="Hanvika Grand Biryani"/>
        <s v="Good morning cafe fast food"/>
        <s v="Good morning cafe"/>
        <s v="My 3 kitchen biryani"/>
        <s v="My 3 kitchen Chinese"/>
        <s v="My3 kitchen tiffins"/>
        <s v="My3 kitchen meals and curries"/>
        <s v="Aahara Aahvanam juices and icecreams"/>
        <s v="Aahara Aahvanam Chinese"/>
        <s v="Aahara Aahvanam meals and curries"/>
        <s v="Aahara Aahvanam tiffins"/>
        <s v="The hungry kitchen"/>
        <s v="Anji meals"/>
        <s v="Anji tiffins"/>
        <s v=" millet marvels "/>
        <s v="Spicy Restaurant "/>
        <s v="New Chanti Mess"/>
        <s v="Big guys wings and burgers"/>
        <s v="Resto GOLDEN BARREL"/>
        <s v="Vepuris Biryani "/>
        <s v="Arya Bhavan "/>
        <s v="Prathista food court"/>
        <s v="PK FOOD Court"/>
        <s v="Dorasani Chethivanta"/>
        <s v="Taaza tiffens "/>
        <s v="RUCHI CURRY POINTS "/>
        <s v=" Konaseema Ghumaghumalu "/>
        <s v="Butter bunnies "/>
        <s v=" THE BOAT HOUSE"/>
        <s v="Sri Shakambhari Restaurant "/>
        <s v="Darbar street "/>
        <s v="Dumont Creamery "/>
        <s v="Baburao gari Biriyani"/>
        <s v="Bawarchi mandi and biryani"/>
        <s v="Mandi specials and Biryani"/>
        <s v="Balaji Dhaba"/>
        <s v="Prince House Family Restaurant "/>
        <s v="Delicia "/>
        <s v="ATHITHI BIRIYANI RUCHULU "/>
        <s v="Mini cafe "/>
        <s v="Rishitha curries and biryani"/>
        <s v="Arambam "/>
        <s v="Cafe Hyd"/>
        <s v="anmol continental "/>
        <s v="Avani restaurant "/>
        <s v="swadist super sweets &amp; restaurant  Cuisine:- South Indian &amp; desserts "/>
        <s v="Kamat hotel "/>
        <s v="Chinese Adda &amp;"/>
        <s v="Sri sai bakers"/>
        <s v=" hare krishna family dhaba  "/>
        <s v="Friends N Cafe "/>
        <s v="krishna tiffins and mess "/>
        <s v="hillstar"/>
        <s v="harika mess "/>
        <s v=" sri sai food court "/>
        <s v="Lotus Biryani and Fast Food"/>
        <s v="Ellipaya karam express"/>
        <s v="Chittibabu Biriyani "/>
        <s v="The eatery hub "/>
        <s v="Bengali food plaza"/>
        <s v="Burgers and pizzas "/>
        <s v="cheese and mix kitchen "/>
        <s v="Mohammedia shawarma "/>
        <s v="Sai Darshini Tiffins"/>
        <s v="Almas Restaurant"/>
        <s v="by the bay"/>
        <s v="Pakka Telangana "/>
        <s v="Ahmed restaurant "/>
        <s v="Swamy’s Kitchen"/>
        <s v="Chopsticks "/>
        <s v=" 7 sauces"/>
        <s v="Scoops "/>
        <s v="Sd food Court "/>
        <s v="Lebanese grill "/>
        <s v="chichas"/>
        <s v="Karam dosa "/>
        <s v="Aroma Cafe"/>
        <s v="Bhawaanee multi cusine restraunt "/>
        <s v="Kathmandu momos "/>
        <s v=" hillstar "/>
        <s v="Lucky restaurant "/>
        <s v="Bhadrachalam cafe "/>
        <s v="Idv kitchen "/>
        <s v="Poruginti chepala pulsu"/>
        <s v="marjaan hotel "/>
        <s v="Hotel the Nawabi zaiqa "/>
        <s v="Ideal Kitchen"/>
        <s v="Taiba bakery and cafe "/>
        <s v="Shringeri kitchen "/>
        <s v="90s Biryani "/>
        <s v="Prathiyaka the kitchen "/>
        <s v="Dum maaro dum "/>
        <s v="Rushibha kitchen"/>
        <s v="Ammamma Gari illu "/>
        <s v="makers of milkshake "/>
        <s v="Udipis ahaara arogya"/>
        <s v="makhayad al arabi restaurant"/>
        <s v="Gummadi foods"/>
        <s v="Sree Sai foods"/>
        <s v="felfelah"/>
        <s v="Pulao Kitchen.com"/>
        <s v="Al Baik "/>
        <s v="Babu gari ruchulu "/>
        <s v="Dostea "/>
        <s v="Udupi uphar "/>
        <s v="Ustaad "/>
        <s v="azebo "/>
        <s v="Sri Sai Raghavendra tiffins and meals "/>
        <s v="Sri bakers"/>
        <s v=" ice station"/>
        <s v="Bikanerwala "/>
        <s v="Mc cafe "/>
        <s v=" go fresh "/>
        <s v="Seoul soul "/>
        <s v="Mr . Jimmy "/>
        <s v="Pizza Hut"/>
        <s v="KFC "/>
        <s v="The Mamindla Restaurant "/>
        <s v="MFC"/>
        <s v="shawarma zone "/>
        <s v="Momo street and waffles and more "/>
        <s v="Pista house"/>
        <s v=" Cafe coffee day "/>
        <s v="Hotel Sree Ram"/>
        <s v="Open heart restaurant "/>
        <s v=" Rajamundry vaari real rose milk "/>
        <s v=" Gen z flavoria "/>
        <s v=" Iyengar bakery "/>
        <s v="Royal Kitchen "/>
        <s v="The Ramaram cafe"/>
        <s v="Mini cafe"/>
        <s v="Persis cafe"/>
        <s v="K.G.N"/>
        <s v=" Al saba Restaurant"/>
        <s v="Sri vengamamaba Deluxe mess "/>
        <s v=" Red pepper"/>
        <s v="Toops"/>
        <s v="The hotel in the wall"/>
        <s v="Victoria Restaurant "/>
        <s v="Abhiruchi Food court"/>
        <s v="Hyderabad host "/>
        <s v="Sharma foods"/>
        <s v="Zucifera "/>
        <s v="Cafe Melli And Bakery"/>
        <s v="RK biryani"/>
        <s v="shake it up"/>
        <s v="Sumeet Foods"/>
        <s v="Scandy"/>
        <s v="Madhapur Bawarchi "/>
        <s v="shangai fast foods"/>
        <s v="Kokko Roko"/>
        <s v="hill star"/>
        <s v="Red bucket biryani"/>
        <s v="Rayalaseema spicy pot biryani"/>
        <s v=" prime deccan restaurant "/>
        <s v="Imperial Restaurant "/>
        <s v="A1Hotel "/>
        <s v="royal family dhaba"/>
        <s v="Souskis foodies club "/>
        <s v="Verendar "/>
        <s v="Udipis uphar"/>
        <s v="Sri vijaya laxmi  food court"/>
        <s v="Palumuru Grill"/>
        <s v="Brown bear bakers "/>
        <s v=" B.Bichareddy Pure ghee sweets &amp; cookies "/>
        <s v="sai martha food court "/>
        <s v="Kolkata Food plaza "/>
        <s v="Bakers corner "/>
        <s v="almas restaurant "/>
        <s v="Al faizan arabian mandi "/>
        <s v="Captain cook "/>
        <s v="santosh dhaba "/>
        <s v="Roti Stori"/>
        <s v="Amogha Cafe"/>
        <s v="The Cevirma"/>
        <s v="Tibb’s frankie"/>
        <s v="krishna udipi Park"/>
        <s v="Sri Nandhini Food and beverages"/>
        <s v="Madhu Restaurant "/>
        <s v="Ahaa kitchen "/>
        <s v=" Anandobhrahma"/>
        <s v="Exotica Slice and Sauce Private Limited"/>
        <s v="Sri Lakshmi's Kitchen"/>
        <s v="CVS sripada food court "/>
        <s v="Ruchi chupistha"/>
        <s v="Biryani Patnam"/>
        <s v="RK foods "/>
        <s v="Karthikeya Jain dosas "/>
        <s v="Hotel Nawabi veg curries "/>
        <s v="The shawarma"/>
        <s v="Hyderabadi chicken dum biryani adda "/>
        <s v="The parothas"/>
        <s v="The hotel Nawabi zaiqa beverages "/>
        <s v="Ugadhi Cafe "/>
        <s v=" IDV Kitchen Muntha masala"/>
        <s v="Karthikeya chitti nethi idly "/>
        <s v="Nawabi Chinese zaiqa"/>
        <s v="The Nawabi pulkas"/>
        <s v="Zaiqa Non veg curries "/>
        <s v="The rice bowls "/>
        <s v="Royal family dhaba kabab"/>
        <s v="The shawarma "/>
        <s v="The munchies momo"/>
        <s v="Bamboo chicken"/>
        <s v="Biryani and more"/>
        <s v="Burger munchies"/>
        <s v="The sandwiches"/>
        <s v="Pot biryani"/>
        <s v="Pragatee kitchen "/>
        <s v="Sha Sha Shawarma "/>
        <s v="The hazel nut co"/>
        <s v="shadruchulu"/>
        <s v="The one and only tasty "/>
        <s v="Kings bakers "/>
        <s v="dwaraka mai tiffins "/>
        <s v="Alhamduillah hotel "/>
        <s v="Royal hotel "/>
        <s v="Lucky multicusine "/>
        <s v="Sip N Scoop "/>
        <s v="Dakshina desapu ruchulu "/>
        <s v="Mr Fast food"/>
        <s v="Ag food court"/>
        <s v="Poriginti chapala pulsu"/>
        <s v="The manager of minyu "/>
        <s v="rajamahendravaram pulav centre "/>
        <s v="Mr cook "/>
        <s v="Hamara adda"/>
        <s v="Mandilicious"/>
        <s v="Hotel valentine "/>
        <s v=" Naidu Gari Kunda Biryani "/>
        <s v="Rk brundavan food court"/>
        <s v="Sr food court"/>
        <s v="Sri tiffins meals"/>
        <s v="Pondy parrottas "/>
        <s v="Sangamesh fast food "/>
        <s v="raheem pulav"/>
        <s v="Lakshmi Prasanna Andhra  mess"/>
        <s v="Cream town"/>
        <s v="No name of the restarunt"/>
        <s v="mamus kitchen "/>
        <s v="Godavari Food court"/>
        <s v=" varahi foods "/>
        <s v="Maa Bhojanam "/>
        <s v="Sri Balaji bakers"/>
        <s v="Vaikunta Foods "/>
        <s v="Sri Harsha deluxe mess "/>
        <s v="Madrasi military hotel "/>
        <s v=" Bhagavathi fast foods"/>
        <s v="Suvi’s Bistro"/>
        <s v="one stop cafe "/>
        <s v="Pulavs by one kitchen "/>
        <s v="Mad over Maggies "/>
        <s v="Om Sri Hanuman Foods"/>
        <s v="Balaji Muntha Masala"/>
        <s v="Balaji Kitchens"/>
        <s v="Adbuthaha tiffins"/>
        <s v="Tea time"/>
        <s v="Aroma Authentic kitchens Aroma Biryanis and palauos "/>
        <s v="Aroma Meals and Chinese"/>
        <s v="Ayan foods"/>
        <s v="Sirf Chinese"/>
        <s v="Sens detox delight"/>
        <s v="VHR’s tea and coffee"/>
        <s v="Kbr pop corn chicken"/>
        <s v="Rk Chinese"/>
        <s v="Mr cook"/>
        <s v="Vinayaka tiffens"/>
        <s v="Dfc (dodla fired chicken )-"/>
        <s v="Kbr cripsy chicken"/>
        <s v="Sens detox fit fuel break fast "/>
        <s v="Souskis food club "/>
        <s v="Babu Gari Biryani"/>
        <s v="Ala konaseemalo Biryani"/>
        <s v="Mammus chinese kitchen"/>
        <s v="Babu garu ruchulu and curry point"/>
        <s v="mammu's kitchen"/>
        <s v="Ala konaseemaloo"/>
        <s v="prime deccan restaurant "/>
        <s v="Hotel Yousufain Kalyani "/>
        <s v="Chowman"/>
        <s v="Celebs Reloaded "/>
        <s v=" godavari food court "/>
        <s v="Qubz "/>
        <s v="Ganesh foods"/>
        <s v="Mathani juice Hub"/>
        <s v=" vasireddy swagraha foods "/>
        <s v="slv banglore iyengar bakery"/>
        <s v="Moksh food corner"/>
        <s v=" Lickees "/>
        <s v="apsara badam milk"/>
        <s v="Chutneys "/>
        <s v=" Eruvaka Tiffins "/>
        <s v="Go rang kitchen "/>
        <s v="Vada Pav station"/>
        <s v="Ram ki Bandi"/>
        <s v="Mohammedia Shawarma"/>
        <s v="Sri Sai famous Udipi &amp; tiffins "/>
        <s v="Baburao gari biryani"/>
        <s v="Sri Venkateshwara hospitalites (Kondapur) Monday Restaurant "/>
        <s v="Sri Venkateshwara hospitalites (Kondapur) Kunafa Cravings"/>
        <s v="Candella heights llp ( Gachibowli) Monday Restaurant "/>
        <s v="Shriman Hotels llp (Madhapur) Monday Restaurant "/>
        <s v="Muisyle elite hospitality management llp (Madhapur)"/>
        <s v="The red box "/>
        <s v="Wine dine Restaurant"/>
        <s v="Eerabau pulav "/>
        <s v=" Godavari chepala Pulusu "/>
        <s v="Butter Bunnie"/>
        <s v="Srinidhi food zone "/>
        <s v="konaseema vantillu "/>
        <s v="Delizia Cafe "/>
        <s v="Rainbow foods "/>
        <s v="Maska Chaska the fast food company"/>
        <s v="Mista Eats"/>
        <s v="Panchabhakshya"/>
        <s v="Masala Restaurant ( Bombay canteen )"/>
        <s v="Naivedya (taste of prasadam)"/>
        <s v="sri thirumal bakers"/>
        <s v="Sri Gokul tiffin center "/>
        <s v="Zufra mandi "/>
        <s v="Vijwal grand restaurant "/>
        <s v="Vaibhav restaurant "/>
        <s v="Sri ankapur bhojanam"/>
        <s v="Ravulapalem Vantillu"/>
        <s v="lassi story "/>
        <s v="Sri vasista foods"/>
        <s v="Mr .Shawarma and ms.Shawarma "/>
        <s v="Pulnadu ruchulu"/>
        <s v="Spicy table"/>
        <s v="Zamindar's cafe"/>
        <s v="shah gouse "/>
        <s v="Guntur Gongoore"/>
        <s v="Anandhobhrama "/>
        <s v="Hari dosa"/>
        <s v="Amogha pure veg"/>
        <s v="Madhu restraunt"/>
        <s v="Harsha delux mess "/>
        <s v="Amaravati tiffens"/>
        <s v="Burma Burma "/>
        <s v="The Telugu Medium"/>
        <s v="Garuda cafe "/>
        <s v="Gonguras by Garuda (new outlet) "/>
        <s v="Punjabi Affair"/>
        <s v="Suto cafe "/>
        <s v=" smoky docky "/>
        <s v="Chinese wok "/>
        <s v="Grand lucky restaurant"/>
        <s v="Prathika fast food and biryani centre"/>
        <s v=" Lassi story "/>
        <s v="Bahar cafe"/>
        <s v=" Cake factory "/>
        <s v="Kadak house "/>
        <s v="Bhojanam thayaru "/>
        <s v="Bakelore"/>
        <s v="minsitry of coffee affairs"/>
        <s v="the big cup theory "/>
        <s v="BURN "/>
        <s v=" BURN"/>
        <s v="Anandobrahma "/>
        <s v="aaha kitchen "/>
        <s v=" hyderabad hosts"/>
        <s v="circars burgars "/>
        <s v="kebabs of Kumbhakk "/>
        <s v="varahi foods "/>
        <s v="zamindar restaurant "/>
        <s v="ULAVAPADU BIRYANI AND PULAO'S"/>
        <s v="Olden days Tiffens "/>
        <s v="Vasista Sri laxmi "/>
        <s v="nannayya"/>
        <s v="Suvi’S Bistro "/>
        <s v="Togo"/>
        <s v="Kochin spice,southern spice and kafika"/>
        <s v="Kochin spice "/>
        <s v="Bojanam thalli "/>
        <s v="Golkanda chef "/>
        <s v="Curry man "/>
        <s v="Hulchal desserts and bakers "/>
        <s v=" sree   harsha delux mess"/>
        <s v="Tadipathri biryani "/>
        <s v="Sorche "/>
        <s v="Pandga "/>
        <s v="Dine in china "/>
        <s v="Rajamahendravaram Palavu Center"/>
        <s v="hotel vishnu sree"/>
        <s v="angaara restaurant "/>
        <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1006" sheet="Sheet1"/>
  </cacheSource>
  <cacheFields>
    <cacheField name="Date" numFmtId="164">
      <sharedItems containsDate="1" containsString="0" containsBlank="1">
        <d v="2026-02-01T00:00:00Z"/>
        <d v="2026-02-02T00:00:00Z"/>
        <d v="2026-02-03T00:00:00Z"/>
        <d v="2026-02-04T00:00:00Z"/>
        <d v="2026-02-05T00:00:00Z"/>
        <d v="2026-02-06T00:00:00Z"/>
        <d v="2026-02-07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2T00:00:00Z"/>
        <d v="2026-03-03T00:00:00Z"/>
        <d v="2026-03-05T00:00:00Z"/>
        <d v="2026-03-06T00:00:00Z"/>
        <d v="2026-03-09T00:00:00Z"/>
        <d v="2026-03-10T00:00:00Z"/>
        <d v="2026-03-11T00:00:00Z"/>
        <d v="2026-03-16T00:00:00Z"/>
        <d v="2026-03-17T00:00:00Z"/>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I1:J1006" sheet="Sheet1"/>
  </cacheSource>
  <cacheFields>
    <cacheField name="Region" numFmtId="0">
      <sharedItems containsBlank="1">
        <s v="masab tank"/>
        <s v="mehdipatnam"/>
        <s v="Langar Houz"/>
        <s v="tolichowki"/>
        <s v="madhapur"/>
        <s v="ameerpet"/>
        <s v="panjagutta"/>
        <e v="#N/A"/>
        <s v="manikonda"/>
        <s v="Kondapur"/>
        <s v="Khairathabad"/>
        <s v="miyapur"/>
        <s v="not mentioned"/>
        <s v="begumpet"/>
        <s v="kukatpally"/>
        <s v="Sherilingampally"/>
        <s v="KPHP"/>
        <s v="nanakramguda"/>
        <s v="shaikpet"/>
        <s v="yousufguda"/>
        <s v="gachibowli"/>
        <s v="banjara hills"/>
        <s v="hafeezpet"/>
        <s v="Hitech-City"/>
        <s v="not mentionrd"/>
        <s v="Jubliee hills"/>
        <s v="Hyderabad"/>
        <s v="Raidurg"/>
        <s v="Borabanda"/>
        <m/>
      </sharedItems>
    </cacheField>
    <cacheField name="Zone" numFmtId="0">
      <sharedItems containsBlank="1">
        <s v="Zone 1 Mehdipatnam"/>
        <s v="Zone 2 Jubliee hils"/>
        <s v="Zone 4 Hi-tech City"/>
        <s v="Zone 6 Ameerpet"/>
        <m/>
        <s v="Zone 3 Raidurg"/>
        <s v="Zone 5 Kukatpally"/>
        <s v="not mentioned"/>
        <s v="not mentionrd"/>
        <s v="jubliee hills zone 2"/>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6" sheet="Sheet1"/>
  </cacheSource>
  <cacheFields>
    <cacheField name="Date" numFmtId="164">
      <sharedItems containsDate="1" containsString="0" containsBlank="1">
        <d v="2026-02-01T00:00:00Z"/>
        <d v="2026-02-02T00:00:00Z"/>
        <d v="2026-02-03T00:00:00Z"/>
        <d v="2026-02-04T00:00:00Z"/>
        <d v="2026-02-05T00:00:00Z"/>
        <d v="2026-02-06T00:00:00Z"/>
        <d v="2026-02-07T00:00:00Z"/>
        <d v="2026-02-09T00:00:00Z"/>
        <d v="2026-02-10T00:00:00Z"/>
        <d v="2026-02-11T00:00:00Z"/>
        <d v="2026-02-12T00:00:00Z"/>
        <d v="2026-02-13T00:00:00Z"/>
        <d v="2026-02-14T00:00:00Z"/>
        <d v="2026-02-16T00:00:00Z"/>
        <d v="2026-02-17T00:00:00Z"/>
        <d v="2026-02-18T00:00:00Z"/>
        <d v="2026-02-19T00:00:00Z"/>
        <d v="2026-02-20T00:00:00Z"/>
        <d v="2026-02-21T00:00:00Z"/>
        <d v="2026-02-22T00:00:00Z"/>
        <d v="2026-02-23T00:00:00Z"/>
        <d v="2026-02-24T00:00:00Z"/>
        <d v="2026-02-25T00:00:00Z"/>
        <d v="2026-02-26T00:00:00Z"/>
        <d v="2026-02-27T00:00:00Z"/>
        <d v="2026-02-28T00:00:00Z"/>
        <d v="2026-03-02T00:00:00Z"/>
        <d v="2026-03-03T00:00:00Z"/>
        <d v="2026-03-05T00:00:00Z"/>
        <d v="2026-03-06T00:00:00Z"/>
        <d v="2026-03-09T00:00:00Z"/>
        <d v="2026-03-10T00:00:00Z"/>
        <d v="2026-03-11T00:00:00Z"/>
        <d v="2026-03-16T00:00:00Z"/>
        <d v="2026-03-17T00:00:00Z"/>
        <m/>
      </sharedItems>
    </cacheField>
    <cacheField name="Restaurant Name" numFmtId="0">
      <sharedItems containsBlank="1">
        <s v="Mohammed minhaj uddin(Fancy Ice Cream)"/>
        <s v="R and B hospitality (Lebanese Grill)"/>
        <s v="Rahat Restaurant"/>
        <s v="Alkemy"/>
        <s v="Begum ki briyani"/>
        <s v="Jusvous "/>
        <s v="New farmaish Restaurant"/>
        <s v="Waffle station "/>
        <s v="Al rawaf home made dishes"/>
        <s v="Bhojanams and biryani"/>
        <s v="Bhuvan's kitchen"/>
        <s v="Biryani N biryani"/>
        <s v="Bob's biryani"/>
        <s v="Eastin hotels"/>
        <s v="Ns bakers"/>
        <s v="Om Vaishnav Enterprise"/>
        <s v="Pandu fast food center"/>
        <s v="Sunrise "/>
        <s v="Vaarahi fast food and tiffins"/>
        <s v="Zyras Biryani house"/>
        <s v="Alankrutha multi cuisine Restaurant"/>
        <s v="Alnkarutha multicusine Restaurant"/>
        <s v="Ankapur Military Hotel Madhapur"/>
        <s v="Ankapur village a military hotel"/>
        <s v="Ankapur village-a military hotel (kokapet) "/>
        <s v="Govindas cafe"/>
        <s v="Guntur Mess"/>
        <s v="Lassi corner"/>
        <s v="Namaste the Indian kitchen"/>
        <s v="Rayalaseema spice Restaurant"/>
        <s v="Rolo one Bakers "/>
        <s v="Shree balaji tiffin center"/>
        <s v="Shri balaji family dhaba"/>
        <s v="Sri Udupi grand pure veg"/>
        <s v="Vidhusekhara pizzeria"/>
        <s v="Vrindaas kitchen"/>
        <s v="Ahladha kitchen"/>
        <s v="Flavours of biryani cafe "/>
        <s v="Food 4 U (Rahath)"/>
        <s v="Hunan chinese cuisine"/>
        <s v="krishna teeram"/>
        <s v="lucky Multicusine Restaurant  madhapur"/>
        <s v="Tahari house (rahaat fast food)"/>
        <s v="vijay durga pre veg tiffin and meals"/>
        <s v="Almas multi cusine Restaurant"/>
        <s v="Anand Bhavan mess "/>
        <s v="Brew commune cafe and bistro"/>
        <s v="Kissme mandi"/>
        <s v="Madapuram Restaurant"/>
        <s v="Meraj's Restaurant "/>
        <s v="Naseeb cafe"/>
        <s v="Sri balaji family Dhaba"/>
        <s v="The burger kitchen"/>
        <s v="Babu Gari Ruchulu and curry point"/>
        <s v="Lakshmi's United kitchen"/>
        <s v="Bakeway Bakers"/>
        <s v="C'est la vie bakes and cakes (pure veg)"/>
        <s v="Cafe Reels"/>
        <s v="Donut O' clock (pure veg)"/>
        <s v="Frost Bake Studio (pure veg)"/>
        <s v="Frost Bakery (pure veg)"/>
        <s v="Gupshup Bistro"/>
        <s v="Just so wow cakes"/>
        <s v="Kshatriya Grand"/>
        <s v="La boulangerie (pure veg)"/>
        <s v="Mokshi kitchen"/>
        <s v="North indian hub"/>
        <s v="Rivora"/>
        <s v="Say cheese patisserie (pure veg)"/>
        <s v="Sri sai ram food zone "/>
        <s v="Tempt Chocolates"/>
        <s v="The good sparrow"/>
        <s v="Times Green Energy India Limited"/>
        <s v="Veera Di chaap "/>
        <s v="Veeramma gari vantillu"/>
        <s v="New York Slice pizza"/>
        <s v="Soy &amp; Sesame "/>
        <s v="The Emperor"/>
        <s v="Thinnu mama"/>
        <s v="Anu archana kitchen"/>
        <s v="Brew and bloom heaven coffee shop"/>
        <s v="Laxmi addikecharla"/>
        <s v="lucky Multicusine Restaurant "/>
        <s v="Manasa kitchen swagrha sweets"/>
        <s v="MM cake factory and bakers"/>
        <s v="Pooja Dine Inn"/>
        <s v="subham grand multicusine family Restaurant"/>
        <s v="Al saba Restaurant"/>
        <s v="Amma chethi ruchulu"/>
        <s v="Andhra kitchens"/>
        <s v="Arm coffee place"/>
        <s v="Arukha flavours"/>
        <s v="Bunty biryanis"/>
        <s v="Eden Ice Treats "/>
        <s v="G Hitech Bawarchi food court"/>
        <s v="Hotel farzaan"/>
        <s v="Konaseema biryani"/>
        <s v="Krishna magic kitchen"/>
        <s v="Padmavathi food court"/>
        <s v="Punjabi Dhaba"/>
        <s v="SNS bake house bakery and cafe "/>
        <s v="Suryakantham military hotel"/>
        <s v="Trinetra cafe and Restaurant"/>
        <s v="Yummy foods"/>
        <s v="Al shawrma bites"/>
        <s v="Amogha cafe and Restaurant"/>
        <s v="Bamma Tiffins"/>
        <s v="Bulli Abbai Kodi Palau"/>
        <s v="Delhi Muradabadi Biryani"/>
        <s v="Hanuman Juice and salad"/>
        <s v="Hitech Bawarchi food zone"/>
        <s v="Hitech Biryani house"/>
        <s v="Kaaram the Authntic telangana spice kitchnen"/>
        <s v="Mother's kitchen"/>
        <s v="New Udupi sri krishna grand"/>
        <s v="Oye punjabi"/>
        <s v="Paruchuri foods"/>
        <s v="Sahi Nawab's Kitchen"/>
        <s v="Sri Aadhya Delicious"/>
        <s v="Sri Bhimanaram Thali/ Tangella Ravali"/>
        <s v="SS. Bawarchi"/>
        <s v="Vindhu maharaj"/>
        <s v="Vinni Cabin Cafe"/>
        <s v="Zeeshan Restaurant"/>
        <s v="Ahara kitchen"/>
        <s v="Sada me Brands of Bhimavarman (BOB)"/>
        <s v="Sri sai rama tiffins"/>
        <s v="Sri varahi sampradaya vindhu"/>
        <s v="A Balaji family dhaba"/>
        <s v="Al-Aadaab Arabian mandi Restaurant"/>
        <s v="Aroma biryanis and pulao's"/>
        <s v="Flavours of andhra (authentic andra cuisine)"/>
        <s v="IQ shawarma"/>
        <s v="Kings Kohinoor hotel"/>
        <s v="Mana inti bojanam"/>
        <s v="Mom's recipe"/>
        <s v="Mysore bakery/dinesh kumar"/>
        <s v="Oak Bistro"/>
        <s v="Palapiltta Ruchulu"/>
        <s v="Priyansh Fast Food"/>
        <s v="Rajasaab Royal kitchen"/>
        <s v="Samsatha tiffins"/>
        <s v="santhakam Ruchulu"/>
        <s v="Shasha shandaar shawarma"/>
        <s v="Spice theory"/>
        <s v="Sri ramana maharshi food court"/>
        <s v="Tealogy cafe"/>
        <s v="Telugu patnam ruchulu"/>
        <s v="The royal plate Restaurant"/>
        <s v="yousif shahed fain kalyani biryani"/>
        <s v="Yum yard"/>
        <s v="Zamana shawarma and fast food"/>
        <s v="Bhimavaram vari unlimited ruchulu"/>
        <s v="Blend and roast cafe"/>
        <s v="chicken shawarma hut"/>
        <s v="Deerga ayushman bhava"/>
        <s v="Fusion@49"/>
        <s v="Kamakshi curries,snacks and meals"/>
        <s v="Lassi store"/>
        <s v="Mahren's Kitchen"/>
        <s v="My Biryani"/>
        <s v="Nellore Padmavathi Ruchulu"/>
        <s v="RR Food court"/>
        <s v="SS live kitchen"/>
        <s v="Syed mohammed yasar (Grill on Fire)"/>
        <s v="Times food court "/>
        <s v="Tulija bhavani hotel"/>
        <s v="Mr.Chopsticks"/>
        <s v="Aahara food court"/>
        <s v="Astrio Restaurant"/>
        <s v="Biryani's &amp; co"/>
        <s v="Bites and Delights"/>
        <s v="Cherry's restaurant"/>
        <s v="Chinese from Mayabazaar"/>
        <s v="Dragon kitchen"/>
        <s v="Jai Bhavani food court"/>
        <s v="M/S Bhavani Mess"/>
        <s v="Made in Andhra"/>
        <s v="Mayabazar"/>
        <s v="Mcs twilight"/>
        <s v="Pasidipuri Kitchen"/>
        <s v="Pizza Mania"/>
        <s v="Qubz Restaurant"/>
        <s v="Rooster kitchen"/>
        <s v="Sangam Dhaba"/>
        <s v="Sangam family dhaba"/>
        <s v="Shawarma house"/>
        <s v="Sindhu tiffins and meals"/>
        <s v="SKG Nawab biryanis"/>
        <s v="Spicy Xpress"/>
        <s v="The Fusion Street"/>
        <s v="Times Tiffins And Meals"/>
        <s v="Rayalaseema Ruchulu"/>
        <s v="Akshaya Bhojanam"/>
        <s v="Aahara Aahvanam"/>
        <s v="Aham Parabrahma"/>
        <s v="Asian Pan House and Restaurant"/>
        <s v="Ayaansh Food Court"/>
        <s v="chinese express"/>
        <s v="BBQ Bites And Kitchen"/>
        <s v="East and west kitchen"/>
        <s v="Ichirakau ramen house"/>
        <s v="Kamakshi tiffins"/>
        <s v="Kings M Biryani Adda"/>
        <s v="madhura restraunt bar "/>
        <s v="Mohammed yaser (Tiffin Xpress)"/>
        <s v="Naidus food court"/>
        <s v="Punjabi Chaska"/>
        <s v="Rao gari military hotel "/>
        <s v="Rao gari military hotel"/>
        <s v="Red bucket biryani"/>
        <s v="Royal odisha dhaba"/>
        <s v="Sarasam the legacy of food"/>
        <s v="Sip and Chill Juice Bar"/>
        <s v="Slice and Bytes"/>
        <s v="Spicy Food Court"/>
        <s v="Squid Kitchen"/>
        <s v="Thulasi villas "/>
        <s v="Tuyaa the taste of india"/>
        <s v="Victoria Tiffins and Biryani's"/>
        <s v="Aadhya hotel"/>
        <s v="Bab Al Mandi"/>
        <s v="Five Star Chicken"/>
        <s v="ORUGALLU RUCHULU"/>
        <s v="Mickey's Tiffin"/>
        <s v="Raju gari bhimavaram biryani"/>
        <s v="Rowdy Momo expresses"/>
        <s v="Sai Mumbai famous"/>
        <s v="Sravanti Biryani"/>
        <s v="Sravanti Fast Food "/>
        <s v="Sravanti Mess"/>
        <s v="Sravanti Tiffins"/>
        <s v="Sri annapurna kitchen"/>
        <s v="Sri Sattibabu Biryani"/>
        <s v="Thunderbolts"/>
        <s v="Zafaron shawarma nd Chinese fast food"/>
        <s v="Zaiqa-11"/>
        <s v="Lassi shop"/>
        <s v="Hasi's kitchen"/>
        <s v="Hasi's pulavs"/>
        <s v="Spice Soiree"/>
        <s v="Sai Rishitha food centre"/>
        <s v="Sri Venkareswara food court"/>
        <s v="The Irawat Kitchen"/>
        <s v="The Sipping adda"/>
        <s v="Fresh Fruit Juices 'n' Bowls"/>
        <s v="Supreeth Currries and Meals"/>
        <s v="Supreeth Grand"/>
        <s v="Snacking Cafe Private limited"/>
        <s v="Sravanam 4am Biryani"/>
        <s v="Sravanam 4am kuska"/>
        <s v="Tasty flavours"/>
        <s v="Nadeem hotel"/>
        <s v="Aaha Bhojanam"/>
        <s v="Aahar vilas"/>
        <s v="Anu Kitchen "/>
        <s v="Bakely Bakers"/>
        <s v="Bakely cafe "/>
        <s v="Cafe 74"/>
        <s v="Club 10 chicken"/>
        <s v="Dostan biryani"/>
        <s v="Dostan fast foods"/>
        <s v="Dostan meals and snacks"/>
        <s v="Dosthan shawarma"/>
        <s v="Dosthan Tiffins"/>
        <s v="Hydes Diner"/>
        <s v="Khans Shawarma house ( arabian )"/>
        <s v="Bismillah Hotel"/>
        <s v="Perch 24 Cafe"/>
        <s v="Snack Bite"/>
        <s v="SnackBite"/>
        <s v="Snap foods and beverages"/>
        <s v="Sri nakshatra chinese hub"/>
        <s v="Sri Vigneshwara Aaha Bhojnam"/>
        <s v="Sri vigneshwara nellore Ruchulu"/>
        <s v="The hungry spot"/>
        <s v="M/S QUBZ the shawarma revolution"/>
        <s v="Tealogy Cafe Private Limited"/>
        <s v="Akshaya patra"/>
        <s v="Anagha kitchen"/>
        <s v="Avacado on wheels"/>
        <s v="Bhavani food court"/>
        <s v="Charcoal sahwarma "/>
        <s v="Famous arabian shawarma"/>
        <s v="Hayansh Kitchen(Authentic Andra Cuisine)"/>
        <s v="Kolipaka Srikanth(Araah Cafe)"/>
        <s v="Nawabi cafeteria and restaurant"/>
        <s v="Nawabi cafeteria Waffles"/>
        <s v="Oh My Momo's "/>
        <s v="Preeti tiffins"/>
        <s v="sekh raphik"/>
        <s v="Shaik sartaz alli"/>
        <s v="The Boat House Express"/>
        <s v="Wraps N More"/>
        <s v="5ves Diner"/>
        <s v="Amulya Abhiruchi Biryani"/>
        <s v="Amulya Abhiruchi fast food"/>
        <s v="Appis natural fresh juice"/>
        <s v="Beyond kimchi-The taste of korea"/>
        <s v="Caffine Biryani"/>
        <s v="caffine hub fast food"/>
        <s v="Caffine juice and milk shake"/>
        <s v="Caffine meals and staters"/>
        <s v="Caffine snacks"/>
        <s v="Cake corner Bakery"/>
        <s v="Chai kaburlu"/>
        <s v="classic crown restaurant"/>
        <s v="Corner fast food"/>
        <s v="Corner foods"/>
        <s v="Corner juice and milk shake"/>
        <s v="Crispy crunch dinner"/>
        <s v="D and D caterers"/>
        <s v="Dum biryani adda"/>
        <s v="Epic bawarchi "/>
        <s v="Epic bawarchi chat bhandar"/>
        <s v="Epic bawarchi tiffin centre"/>
        <s v="Healthy food promised"/>
        <s v="Healthy juices promised"/>
        <s v="Klassic Bakers and shawarma cafe"/>
        <s v="Kondapalli vijay kumar"/>
        <s v="Mana Vizag ruchulu"/>
        <s v="Military reddy tiffins"/>
        <s v="Mini Udipi's "/>
        <s v="Nellore Vantakallu"/>
        <s v="Raghuram dosa "/>
        <s v="Relax cafe"/>
        <s v="Sip of health"/>
        <s v="Slice and Bytes Biryani"/>
        <s v="Slice and Bytes food court"/>
        <s v="Sri Aadhya food court"/>
        <s v="Sri Raghavendra tiffins"/>
        <s v="Sri Tejas kitchen"/>
        <s v="Taaza Tiffins"/>
        <s v="Telangana cuisine(Indian and chinese)"/>
        <s v="The brazilian juice bar"/>
        <s v="The chinese zhag family"/>
        <s v="The english kitchen"/>
        <s v="The nice juice junction"/>
        <s v="Vizag beach street food"/>
        <s v="Telugu Ruchulu's Biryani"/>
        <s v="Telugu Ruchulu's FastFood"/>
        <s v="Telugu Ruchulu's Tiffins"/>
        <s v="Telugu Ruchulu's Curries and snacks"/>
        <s v="Telugu Ruchulu's Meals"/>
        <s v="SK foods"/>
        <s v="Amritsari Dhaba"/>
        <s v="Amritsari Khana"/>
        <s v="Chaiminar cafe"/>
        <s v="City chefs kitchen"/>
        <s v="Crispy hot wings"/>
        <s v="Deccan's Bawarchi restaurant"/>
        <s v="Dosa mart"/>
        <s v="Godavari vari vindhu maryada"/>
        <s v="Hot momo's "/>
        <s v="Hot shawarma and Wings"/>
        <s v="Hot Wings"/>
        <s v="Konaseema peddi raju ruchulu"/>
        <s v="Konsaseema Peddiraju ruchulu"/>
        <s v="Lasya fast food"/>
        <s v="Ma oori vanta"/>
        <s v="Mallesh mama fast food"/>
        <s v="Mankikanta's Eat hotsopt"/>
        <s v="Mexician fried chicken"/>
        <s v="Mummy ki Partha"/>
        <s v="Mummy ki rassoi"/>
        <s v="N Hot Chinese"/>
        <s v="Nikhil's Feast (A feast to be rembered)"/>
        <s v="Nostic Natural fruit ice cream"/>
        <s v="Rayalaseema Biryani"/>
        <s v="Rayalaseema chinese"/>
        <s v="Rayalaseema meals and curries"/>
        <s v="Second wife Biriyani"/>
        <s v="Second wife fast food"/>
        <s v="Second wife Meals C/O Guntur"/>
        <s v="Second wife rolls and snacks"/>
        <s v="Second wife Tiffins C/O Guntur"/>
        <s v="Shri Balaji chennai spices Restaurant"/>
        <s v="SRG Restro inn"/>
        <s v="The kebab kingdom(K24)"/>
        <s v="Venkateshwara Bakery"/>
        <s v="Venkateshwara Biryani"/>
        <s v="Venkateshwara Meals and curries"/>
        <s v="WOK 33"/>
        <s v="WOK 33 foods"/>
        <s v="Sainadh Snacks (Sainadh food court)"/>
        <s v="Sainadh Fast Food( Sainadh Food Court)"/>
        <s v="Sainadh Tiffins(SainadhFood Court)"/>
        <s v="Sai nadh fast food "/>
        <s v="Sainadh tiffins "/>
        <s v="Aahara Aahvanam Chinese"/>
        <s v="Aahara Aahvanam Juice and Ice cream"/>
        <s v="Aahara Aahvanam Meals and curries"/>
        <s v="Aahara Aahvanam Tiffins"/>
        <s v="Anji meals"/>
        <s v="Anji tiffins"/>
        <s v="Best biryani's and curries "/>
        <s v="Chandrasekahar Gullakunta (Meenakshi cafe)"/>
        <s v="Good moring cafe"/>
        <s v="Good moring cafe(Fast food)"/>
        <s v="Gottipati military hotel"/>
        <s v="Hammayya kadupu nindindi"/>
        <s v="Hanvika grand Biriyani"/>
        <s v="Hanvika grand fast food"/>
        <s v="House Of Dosa's"/>
        <s v="Koodu-the taste of telangana"/>
        <s v="Monkey's cafe"/>
        <s v="My3 Kitchen Biryani"/>
        <s v="My3 Kitchen Chinese"/>
        <s v="My3 Kitchen meals and curries"/>
        <s v="My3 Kitchen tiffins"/>
        <s v="Sherya fast food and momo"/>
        <s v="Snamk Hospitality"/>
        <s v="Sreeja's home foods"/>
        <s v="Sweets dude signature PVT LTD"/>
        <s v="The Hungry Kitchen"/>
        <s v="The Tasty Chapter"/>
        <s v="Thopuri Lakshikanth(Biryani Mandirr)"/>
        <s v="Zaiqa Bawarchi Restaurant"/>
        <s v="Dosarani Chethivanta Biriyanis"/>
        <s v="Dosarani Chethivanta Meals"/>
        <s v="Dosarani Chethivanta Tiffins"/>
        <s v="Kshithis kitchen"/>
        <s v="New Chanti mess biriyanis"/>
        <s v="New Chanti mess meals"/>
        <s v="New Chanti mess tiffins"/>
        <s v="P.K Food court Biriyanis"/>
        <s v="P.K Food court meals"/>
        <s v="P.K Food court tiffins"/>
        <s v="Sri saravana food and Beverages"/>
        <s v="SYVM hospitality LLP"/>
        <s v="Ahmed Restaurant"/>
        <s v="Avani Restaurant"/>
        <s v="Bhawaanee Restaurant"/>
        <s v="Cheese and mix kitchen"/>
        <s v="Chinese Adda"/>
        <s v="Chinese Adda(Sri sai bakers)"/>
        <s v="Darbar Street"/>
        <s v="Ellipaya Karam Express"/>
        <s v="Jaya laxmi food court center"/>
        <s v="Kathmandu Momo's"/>
        <s v="Lotus Biryani &amp; Fast Food Center"/>
        <s v="Mekala's Kitechen"/>
        <s v="Mohammedia Shawarma"/>
        <s v="Nagalla's shaawarma and kababs"/>
        <s v="Sri shakambhari Restaurant"/>
        <s v="Swamy's kitchen"/>
        <s v="The boat house"/>
        <s v="Udupi park pure veg "/>
        <s v="Chopsticks"/>
        <s v="Royal kitchen"/>
        <s v="Arya bhavan"/>
        <s v="Mamindla agrifarms and feeds pvt ltd"/>
        <s v="Dostea"/>
        <s v="Genz flavoria"/>
        <s v="K.G.N Hotel"/>
        <s v="Madhapur Bawarchi"/>
        <s v="Mini cafe"/>
        <s v="Open heart restaurant"/>
        <s v="R.K Biryani"/>
        <s v="Rajahmundry vaari real rose milk"/>
        <s v="Sri sai Raghavendra tiffins and meals"/>
        <s v="Udipis ahaara arogya"/>
        <s v="Zucifera"/>
        <s v="Sri Vengamamba Tiffins"/>
        <s v="Sri vengamamba Deluxe mess"/>
        <s v="Sri vengamamba chinese food"/>
        <s v="(Burger) Munchies"/>
        <s v="Babai hotel est.1942"/>
        <s v="Bamboo chicken "/>
        <s v="Biryani and More"/>
        <s v="Biryani N Moree (Pot Biryani)"/>
        <s v="Exotica slice and sauce private limited"/>
        <s v="Hotel the nawabi zaiqa(Bevarages)"/>
        <s v="Hotel the nawabi zaiqa(Biryani)"/>
        <s v="Hotel the nawabi zaiqa(chinese)"/>
        <s v="Hotel the nawabi zaiqa(Non Veg Curries)"/>
        <s v="Hotel the nawabi zaiqa(Parata)"/>
        <s v="Hotel the nawabi zaiqa(Pulka)"/>
        <s v="Hotel the nawabi zaiqa(Rices)"/>
        <s v="Hotel the nawabi zaiqa(shawarama)"/>
        <s v="Hotel the nawabi zaiqa(Veg Curries)"/>
        <s v="IDV kitchen muntha masala"/>
        <s v="Karthikeya Chitti Nethi idly"/>
        <s v="Kolkata food plaza"/>
        <s v="Munchies (Shawarma)"/>
        <s v="Pragatee Kitchen"/>
        <s v="Royal Family Dhaba "/>
        <s v="Royal Family Dhaba KEBAB"/>
        <s v="Ruchi chupistha"/>
        <s v="The Munchies (MOMO) "/>
        <s v="The sandwiches"/>
        <s v="Aroma Biryani's and Pulauo's"/>
        <s v="Aroma Cafe (Biryani)"/>
        <s v="Aroma Cafe (chinese)"/>
        <s v="Aroma Cafe (snacks and juices)"/>
        <s v="Aroma Cafe (Tiffins)"/>
        <s v="Aroma meals and chinese"/>
        <s v="Balaji kitchens "/>
        <s v="Balaji muntha masala "/>
        <s v="DFC (Dodla Fire Chicken)"/>
        <s v="Dwaraka mai tiffins"/>
        <s v="Hotel valentine"/>
        <s v="Hotel valentine Tiffins and meals"/>
        <s v="KBR Crispy chicken"/>
        <s v="KBR Popcorn chicken"/>
        <s v="Mammu's chinese kitchen"/>
        <s v="Mammu's kitchen"/>
        <s v="Om sri Hanuman foods"/>
        <s v="R.K Chinese"/>
        <s v="Sirf Chinese"/>
        <s v="The Hazelnut Co"/>
        <s v="Ala konaseemaloo currys"/>
        <s v="Ala konaseemaloo "/>
        <s v="VHR'S Tea @ Coffee"/>
        <s v="Vinayaka Tiffins"/>
        <s v="Tea Time"/>
        <s v="Adbuthaha Tiffins "/>
        <s v="Pulavs By One Kitchen"/>
        <s v="Mad Over Maggies "/>
        <s v="Godavari food court"/>
        <s v="Qubz"/>
        <s v="Celebs"/>
        <s v="Mathani Juice Hub"/>
        <s v="Rainbow foods"/>
        <s v="Maska Chaska  The Fast Food Company"/>
        <s v="Candella heights LLP (Monday Hotels)"/>
        <s v="Muisyle Elite Hospitality (Monday Hotels)"/>
        <s v="Sri Venkateshwara Hospitality (Monday Hotels)"/>
        <s v="Shriman Hotels LLP (Monday Hotels)"/>
        <s v="Zufra Mandi "/>
        <s v="Naivedya(Taste of Prasadam)"/>
        <s v="Zamindar's Cafe"/>
        <s v="Garuda Cafe"/>
        <s v="Gonguras by Garuda"/>
        <s v="Prathika Fast Food and Biryani Center"/>
        <s v="Grand Lucky Restaurant"/>
        <s v="Lassi Story"/>
        <s v="Ch Raja Anvesh C/O Ulava Padu Biryani and Pulaos"/>
        <s v="Olden Days Tiffins"/>
        <s v="Aaha Kitchen"/>
        <s v="Anandobrabma"/>
        <m/>
      </sharedItems>
    </cacheField>
    <cacheField name="RM/KAM" numFmtId="0">
      <sharedItems containsBlank="1">
        <s v="nitya.akshara@capsdelivery.com"/>
        <s v="manasa.chigurupati@capsdelivery.com"/>
        <s v="ankitha.baske@capsdelivery.com"/>
        <s v="madhumitha.sonnakula@capsdelivery.com"/>
        <s v="chanakya.inugala@capsdelivery.com"/>
        <s v="parthive.maganti@capsdelivery.com"/>
        <s v="akhila.narra@capsdelivery.com"/>
        <s v="greeshma.vanneldas@capsdelivery.com"/>
        <s v="moin.khan@capsdelivery.com"/>
        <s v="sumadhur.mummadi@capsdelivery.com"/>
        <s v="Srivani.reddy@capsdelivery.com"/>
        <s v="anisha.poddar@capsdelivery.com"/>
        <m/>
        <s v=" "/>
      </sharedItems>
    </cacheField>
    <cacheField name="Type of Ownership" numFmtId="0">
      <sharedItems containsBlank="1">
        <s v="Proprietorship"/>
        <s v="Partnership"/>
        <m/>
        <s v="LLP"/>
        <s v="Trust(company)"/>
        <s v="Pvt ltd"/>
        <s v="not mentioned"/>
        <s v="patnership "/>
        <s v="Private limited company"/>
      </sharedItems>
    </cacheField>
    <cacheField name="Address" numFmtId="0">
      <sharedItems containsBlank="1">
        <s v="Rs complex vijayanagar colony near anjuman deendar back gate,masab tank,hyd "/>
        <s v="12-2-825/2, Mehdipatnam"/>
        <s v="12-2-486,4/7,Tappa Chabutra rd, asif nagar"/>
        <s v="kismatpur, survey 132,alkemy, 1/2 near prestige royal woods, abhyudaya nagar,dargah khaleejkhan"/>
        <s v="Attapur, Hyderabad"/>
        <s v="Banglaguda plot no 13/a bandlaguda,rahendranagar"/>
        <s v="survey no.37,himayath sagar village bandlaguda jagir muncipal corporation gandipet mandal"/>
        <s v="Hakeem shah colony,tolichowki,hyderabad"/>
        <s v="plot no.87,swamy ayyappa society,madhapur,hyd"/>
        <s v="H.no:6-331192/1/g/3 block-1 ground floor white house,kundanbagh,begumpet"/>
        <s v="13-6-798/1/1,bapughat langa howz circle,13 hyd"/>
        <s v="1-8-370and372 abhishek scan center,2nd floor near huda office,begumpet"/>
        <s v="2-52/1/3 hitech city rd,phase 2,kaveri hills madhapur,hyd"/>
        <s v="H.no:7-1-455/23/12,Ameerpet gurudwara road, telangana,"/>
        <s v="bus shelter stall,bus bay premises on sp road,opp anand theater and piller non1292, sindhi colony,begumpet "/>
        <s v="B41/f5 shop no.3 ps nagar,vijay nagar"/>
        <s v="H.no:325/2rt,sanjeev reddy nagar,umeshchandra statue"/>
        <s v="plot no.111,60ft road swamy ayyappa society,megha hills,khanamet,madhapur,hyd"/>
        <s v="plot no.03-805,shop no.2 ground floor M and M elite home,sri swamy ayyappa co-op Hs madhapur,hyd"/>
        <s v="plot no-1206,madhapur,kondukur,rangareddy,telangana"/>
        <s v="plot no.1206,madhapur,kandukur,rangareddy, telangana"/>
        <m/>
        <s v="1-98/2,durgam chervu,inorbit mall rd, hyd"/>
        <s v="osman sagar, kokapet gandipet, hyd,telangana"/>
        <s v="plot no.220,mushak mahal residential, attapur,hyd"/>
        <s v="manikonda, ayyappa society"/>
        <s v="plot no 7,syno 17 ground floor R.R district 500047"/>
        <s v="h.no:1-98/6a/14,plot no 42 road no.3, patrikanagar hitech city,madhapur, hitech city"/>
        <s v="plot no. 501,sy no.11/14.11/15,11/16,khanamet village ayyappa society,htd"/>
        <s v="plot no.1208,g1andg2,ground floor,ayyappa society,madhapur,hyd,telangan"/>
        <s v="p.no.4(a),1-89/8/4, madhapur ,hyd,telangana"/>
        <s v="4-17-12,hitech city santosh residency,beside farmaish Restaurant,gandamguda,hyd"/>
        <s v="Gudi malkapur,12-2-417/46/9,sharada nagar colony gudimalk"/>
        <s v="Gudimalkapur, hyderabad 13-6-460/112, mahesh nagar gudimalkapur"/>
        <s v="plot no.o1,first floor survey no,12 kondapur village serlingampally circle"/>
        <s v="shopon plot no.2a in sy no 2a in sy no.12, situated at 500084"/>
        <s v="plot no 68,shop no 5,Ayyappa society main road,madhapur,serlingampally circle no20 hyd "/>
        <s v="6-1-964,shop no 2, khairthabad circel, no.17"/>
        <s v="12-1-486/b/4 krishan nagar"/>
        <s v="jap  hind gandhi road near ayyappa society hyd telangana "/>
        <s v="Ground flooor, plot no 84 sy no.11 swamy apyyappa housing society khanamet,hyd"/>
        <s v="sy no. 54,58,59 plot no 1,part gb guttala begumpet madhapur road"/>
        <s v="12-1-486/b/4/1,kishan nagar, tappachabutra road,hyd "/>
        <s v="12-1-486/b/2/5 krishan nagar,Tappachabuta"/>
        <s v="H.no:1-90/7/b/173,plot no.5,madhapur,selingampally circle no.20,hyd, telangana"/>
        <s v="not mentioned"/>
        <s v="H.no:1-98/9/3/74/2,R L raidurg,jai hind enclave,seasons pool, madhapur,hyd"/>
        <s v="shop no 7 first floor,plot no 2-56/11/53/a survey no 11/6 telangana"/>
        <s v="DROPPED"/>
        <s v="D.no:2-46/1,plot no 33/a megha hills cahndanagar circle,hyd,Telangana"/>
        <s v="x road, royal colony,mehidpatnam"/>
        <s v="13-1-1234,salum nasseb complex a/1,tappa"/>
        <s v="12-2-417/46/9,sharada nagarn colony gudimalk "/>
        <s v="plot no 51 khanamet,attapur,chandanagar,circle no2 hyd"/>
        <s v="100feet road, madhapur"/>
        <s v="7-1-455/12 opposite Bata showroom, Balkampet road,Ameerpet Hyd"/>
        <s v="138/1,flat no 45 sham apt,secunderabad 138/1,flat no 45 shama apt sindi colony pg road "/>
        <s v="floor no:ground floor,building no.1,d.no:1-98/90c beside durgamma temple,ayyappa society road"/>
        <s v="secunderbad circle 138/1,flat no 45 sham apt,secunderabad"/>
        <s v="138/1,flat no 45 sham apt,secunderabad 138/1,flat no 45 shama apt sindi colony pg road 500003"/>
        <s v="H.no:1-8-125/1/ g-2, shop no.2 , shop no.3 Aman arcade pg road, secundarabad, no. 129, hyderabad telangana"/>
        <s v="H.no: 4/1 Mig, ground floor , kphb colony, kukatpally,hyd"/>
        <s v="138/1,flat no 45, sham apts, secunderabad,sindhi colony pg road"/>
        <s v="plot no.2/a,whitefeilds,kondapur,serlingampally circle no 20,hyd"/>
        <s v="sutter no.3, plot no .2a sy no.12,kondapur serlingampally circle no.20 hyd"/>
        <s v="Gokul plots no.397and 492,VR Colony,beside vijetha super market,kphb"/>
        <s v="Mig-64 dharmareddy colony phase-1 kphb colony kukatpally,moosapet circle no.23,"/>
        <s v="sy no.274(a) aparnahills park, commerical buildings behind gangaram lake, chanda nagar"/>
        <s v="Jsr mall,vidia colony,madeenaguda,near allywn x road,miyapur"/>
        <s v="1-55/196 and 199A botanical garden road,serilingampally circle co 20"/>
        <s v="somajiguda, jumaaldinne laxmi,shop no 7, H.no 6-3-650"/>
        <s v="H.no: 1-8-153/2, shop no-1 ground floor pg road, paradise, secunderbad"/>
        <s v="plot no.11-12,block-f2, sainnath enclave, venkatramana colony, gokul plots, kphb, kukatpally"/>
        <s v="sai gayathri towers finacial district Nanakramguda,Telangana"/>
        <s v="sai gayathri towers finacial district Nanakramguda,Telangana "/>
        <s v="10-4-3,afia plaxa,near NMDC-vijay nagar colony,masab tank,hyd,telangana"/>
        <s v="h.no:8-1-284/ou/152,ou colony,shaikpet,jubilee hills circle no.18,hyd,telangana"/>
        <s v="sri sai arcade,beside prince biryani point,khairatabad circle no.17 hyd"/>
        <s v="flat no.5 1st floor block no-6 municipal no;15-31-21-6/5,kphb colony,hyd"/>
        <s v="Door no.6-3-1089/f/3/3 somajiguda,hyd,telangana"/>
        <s v="H.no:15-31-2L-1-5/275/3,lig-5/2,phase-3,kphb colony,kukatpally,hyd"/>
        <s v="opposite metro pillar no 833 beside vikings cricket, sangeet nagar,kukatpally,hyd"/>
        <s v="H.no:1-8-155/A 1st floor, pg road, secunderabad,begumpet circle no.30 Hyd, telangana"/>
        <s v="H.no:6-3-902/2and3,first floor,raj bhavan road,somajiguda,hyd,telangana"/>
        <s v="h.no:8-3-222/c/1/12,ground floor,madhura nagar,yousufnagar,hyd,telangana"/>
        <s v="8-3-6333/82/1,ali nagar, tawwal nagar,yella reddy,hyd,telangana"/>
        <s v="8-3/633/82/1,ali nagar,tawak kal, vellareddy guda,khairthabad circle no.17 hyd"/>
        <s v="plot no:11and12,sai nath enclave,gokul plots venkata ramana colony kphb,kukatpally"/>
        <s v="shop no.5, Manjira plaza,opposite Aadithya trade centre,near maithrivanam road,srinivas nagar,ameerpet,hyd,telangana"/>
        <s v="1-21/1 Madhapur,hyd,circle no.20,serlingampally"/>
        <s v="gate no 4,toulichowki gate no4,paramount colony near toulichowki "/>
        <s v="8-3-6338/82/1,ali nagar,yella reddy,hyd,telangana"/>
        <s v="Two shutter no.1 and 2, in h.no:8-3-318/6/3/13/1/18,ali nagar,tella reddy guda,yousufguda circle no.19,hyd"/>
        <s v="h.no:33-a,aphb colony,indira nagar,gachibowli,serlingampally circle no-20,hyd"/>
        <s v="h.no:8/1,in sector-2 of hudo techno enclave,madhapur,seringampally,rangareddy"/>
        <s v="no.2-22-311/53 A and 82a/31/a,p.no-53-a and 82-A, addagutta co-op society,bhagya nagar colony,kukatpally"/>
        <s v="ground floor, H.no:7-14/32/2b/g-01,Rajendra nagar,R.R dist"/>
        <s v="Manikonda,nanakramguda,selingampally circle no.20,hyd,telangana"/>
        <s v="H.no:2-23-310/83C ground floor,Addagutta society,pragthi road kukatpally,hyd"/>
        <s v="7-18-25/27/101,plot no.25,26,27,Alkapur,Ranga Reddy,Telangana"/>
        <s v="kavya deluxe apartment,lata enclave,madhuranagar,hyderabad"/>
        <s v="plot no.242,bayuth colony,pippalaguda,manikonda,Rajendra nagar,rangareddy"/>
        <s v="H.no:B/22,23,24,vengal rao nagar,khairtabad circle no.17,hyd.telangana"/>
        <s v="MIG-154,gachibowli,selingampally circle-20,hyderabad,telangana"/>
        <s v="plot no.64,opp HP petrol pump,peeramchervu,Gandhamguda,Bandlaguda jagir,hyd"/>
        <s v="H.no:1-59/8/2, nandi co-operative society,miyapur,serlingampally ranga reddy district hyd"/>
        <s v="H.no:4-28 plot no.28,dwauak nagar colony,banglaguda jagir,rajendra nagar"/>
        <s v="shop no.8,kk towers,yousufguda main road,engineers colony,telangana"/>
        <s v="8-3-222/8/76/G2, Madhura nagar, Circle No/17 hyderabad  HYD"/>
        <s v="plot no.82/c road no.3,shutter no.1,Addaguta society,kukatpally,hyd"/>
        <s v="51/b  vengal rao nagar,hyd,yousufguda circel no.19,hyd,telangana"/>
        <s v="Gandipet no.75,76,77,dwauaka nagar main road"/>
        <s v="H.no:2-27/7,vinayak nagar,gachibowlli,hyd,telagana"/>
        <s v="Rajendra nagar,hyderabad,1-224,kistmathpur,rajendra nagar"/>
        <s v="h.no:2-92/32,shop no.4,kondapur whitefields,selingampally circle no.20,hyd,telangana"/>
        <s v="CCPQ+HH8,yousufguda main road,lata enclave,besides,rayalavari ruchulu,madhura nagar,hyd,telangana"/>
        <s v="8-3-222/8/72,G-4,madhuranagar,yousufguda,hyd circel no.19,hyd"/>
        <s v="8-3-228/1280/46,jawahar nagar,yousufguda,hyd"/>
        <s v="9-1-364/G/1, Bapu ghat,langarlouz,hyd,500008,karwan circle no.13,hyd,telangana"/>
        <s v="D.no:2-22-134/A/1,vijaya nagar colony,opposite,patel kunta huda park,kukatpally,hyd"/>
        <s v="SHOP NO:10, Abhuyudaya Nagar-Anandh nagar colony-Himayathsagar village),Gandipet, Rangareddy, Telangana -500075"/>
        <s v="5-69 and 70/2 opposite,ratanadeep,select market westend colony,bangladuga jagir,hyd"/>
        <s v="8-3-228/678/1395,sri ram nagar,yousufguda circle no.19,hyderabad"/>
        <s v="2-94-,youth colony,beside flyover,opposite genpact,old hafeezpet, hyd ,telangana"/>
        <s v="Langarhouz"/>
        <s v="plot no.2A,opposite,divya shree,kondapur,hyd,serlingampally circle no.20,hyd,telangana"/>
        <s v="shop no.5 and 6 suitated opposite pochama galli dusakot village,gandipet"/>
        <s v="plot no.1,dargakhaliz khan,LV prasad eye instituation,h.no:14,,kismatpur,"/>
        <s v="1-90/2/E/A,sri sai nilayam,vinyaka nagar colony,madhapur,hyd"/>
        <s v="h.no:3-3/55,tulja bhavani nilayam vinay aka nagar colony,banglaguda jagir,rajendra nagar"/>
        <s v="6-58,dargha khaliz khan,kismatpur,rajendranagar,rangareddy"/>
        <s v="plot no.21A,sy no.12,whitefeilds,opposite,divya shree omega,kondapur,hyderabad,selingampally circle no&gt;20,hyd"/>
        <s v="D.no:6-3-1192/1/G/8,white house,G4,kundanbagh,begumpet,hyd,telangana"/>
        <s v="sy no.20/AA western colony,gandhmguda,banglaguda,telangana,gandipet"/>
        <s v="survey no.37,himayath sagar village,gandipet mandal,rangareddy district,telangana"/>
        <s v="h.no:5-68,shantinagar,hydershakote,banglaguda(jagir),rajendranagar"/>
        <s v="shop no.101 plot no.36 st.mincheals colony,banglaguda,gandipet"/>
        <s v="shutter no-1,first floor,h.no:2/17,satya towers,opposite,hanuman mandir,kothguda,hyd"/>
        <s v="sy no.88, near old hafeezpet,sai nagar,opposite genpact company,serilingampally, hyd"/>
        <s v="8-3-228/678/1398,sri ram nagar,near syedna omar masjid,yousufguda circel no.19,telangana"/>
        <s v="5-12A,darga khaliz,khaan guda,telangana"/>
        <s v="h.no:8-228/b/b/b,rd no.3,banjara hills,jubliee hills circle no.18,hyderabad"/>
        <s v="LIG 153,KPHB phase 7,kukatpally,moosapet circle no.23,hyd"/>
        <s v="8-3-235,yousufguda,hyd,khairthabad,circle no.17,hyderabad"/>
        <s v="plot no.146,beside dry fruit shop srinagar colony,main road hyderabad circle no.17"/>
        <s v="6-3-598/5 ground floor,venkataramana colony,khairatabad circle  no.17,hyd,telangana"/>
        <s v="Ishaq ahemed,h.no:2-499,sai nagar,old hafeezpet,selingampally circle no.20,hyd"/>
        <s v="plot no.212,prashanth nagar,kothaguda kondapur"/>
        <s v="H NO 1-31/A SRI RAMNA ARCADE KONDAPUR, Serlingampally Circle No 20,Hyderabad, Telangana - 500084"/>
        <s v="Yadagiri nagar rd,Jawahar nagar,yousfguda,khairthabad circle no.17,hyd"/>
        <s v="Road no.30,alkapoori township,hyd,rangareddy district"/>
        <s v="Seeramnagar colony,puppalguda village and G.P,rajendranagar mandal,puppalguda"/>
        <s v="H.no:37/4,near malaysian township,kphb colony,kukatpally circle no.24,hyd"/>
        <s v="sy no.88/9,h.no:1-85/5/A,old hafeezpet,miyapur,hyd circle no.12,"/>
        <s v="survey no.82,raidurg,panmaktha,serllingampally circle no.20,Hyd,telangana"/>
        <s v="sr.botanical garden road,hyd,kondapur,telangana"/>
        <s v="LIG 222,7th phase,kukatpally circle no.24,hyd,telangana"/>
        <s v="CRQR+ PJ. hyderabad, near lotus community srinivas nagar, madhura nagar"/>
        <s v="6-1-9,shop no.47,savinagar,pottisree Ramulu maig,khairtabad circle no.17,hyd,telangana"/>
        <s v="Villa 05, Wonder cherish villas, masjid banda, hyd, telangana"/>
        <s v="G1 Anusha Enclave Golden Temple, Rd, Secretariat  colony, Sri ram nagar colony,"/>
        <s v="8-1-284/472,ou colony,shaikpet,hyderabad,jubliee hills circle shop no.18"/>
        <s v="Villa 05, Wonder Cherish Villas, Masjid Banda,, Serlingampally Circle No 20,Hyderabad, Telangana - 500084"/>
        <s v="suryarao gonthireddy,h.no:5-3-37/B,madinaguda,chandanagar circle no.21,hyd,telangana"/>
        <s v="H.no:6-3-347/9/4/c, dwarakapuri colony,panjagutta,khairatabad circle, hyderabad,telangana "/>
        <s v="H.No-3/14/15, plot No 141 eg. No. 222, sai Tulasi enclave -1, Vallinagulapath, village, Narsingi."/>
        <s v="p.no 30 &amp;31, s y no 167, villa no 5, wonder cherish villas, masjid banda, kondapur, HYD,Telangana"/>
        <s v="Twilight, Road number 1, Neknampur Rd,Puppalguda, Rajendranagar, Rangareddy,Telangana - 500089"/>
        <s v="sy no-192, Camelot layout, kondapur, sangareddy, Telangana"/>
        <s v="G2 beside,baskin robbins, smr vinay hiland,miyapur,hyderabad "/>
        <s v="shop no.1,D.no:8-1-28/ou/448,Dream vally rd,ou colony,shaikpet,hyd"/>
        <s v="5-3/37/6,SR enclave,manjeera pipeline road,opposite raycon residency,mandinaguda,hyd,telangana"/>
        <s v="himyathnagar"/>
        <s v="Innu ringroad ground floor 3-4-104/1/,hyderguda 404 road attapur,hyd"/>
        <s v="plot no.16,madinaguda main road,chandanagar,hyderabad,chandanagar circle no.21,hyd,madinaguda"/>
        <s v="6-1-82 and 83/gf/1,ground floor ssr chambers,lakdikapool,hyderabad,khairthabad circle no.17"/>
        <s v="Cfrp+M7h pg road sappu bagh apartement sindi colony,begumpet hyd"/>
        <s v="shop no.07,block 01,RBR complex,miyapur,chandanagar circle no 21,hyderabad"/>
        <s v="1-27-356,Bapuji nagar,content munt aua except csds cantonment secunderabad,tealngana"/>
        <s v="HIG 41/1,9th phase rd,kphb phase 6,kukatpally,hyderabad,telangana"/>
        <s v="Puppalguda, Alkarpur township, 500089 Alwal circle No.23, hyderabad"/>
        <s v="Shop No.1, Block No:1, RBR Complex, Miyapur Chandanagar circle No 21, Hyderabad "/>
        <s v="Serlingampally circle no.20,hyd,telangana"/>
        <s v="Q city road,near US consultancy,serlingampally circle no.20,hyd,telangana "/>
        <s v="SY NO-78, KOLAN Rangareddy Function Hall Complex, Hyder Nagar, Nizampet, Kukatpally "/>
        <s v="Plot No 20/9, SY NO 1009, 1st floor, 6th phase KPHB colony, Moosapet circle No 23, Hyderabad, Telangana "/>
        <s v="13-6-815/13/1 ambedkar nagar langr house mehdipatnam circle no 12, hyderabad"/>
        <s v="20/10,6 phase Kphb, Kukatpally Circle NO 24, Hyderabad, Telangana "/>
        <s v="f908+gjh,shop no.1,siddhiq kebab centre dhaba, kondapur lane,gachibowli"/>
        <s v="momi gupta, plot no 111, sunrise colony, sajjan singh layout, narsingi, gandipet, mandar, r.r  dist"/>
        <s v="portion no.4,first floor,sp's saroja complex,plot no.20/9,sy no.1009,situated at 6th phase kphb colony,kukatpally"/>
        <s v="sri ram nagar colony,serlingampally circle no.20,hyd"/>
        <s v="7-4-413/11 ASR nagar east ameerpet, amberpet circle no. 16, hyderabad, telangana,"/>
        <s v="5-5-69 &amp; 70 Opp Jain Apartment, Gandipet, Rangareddi, Telangana"/>
        <s v="6-73/241,Bayuth colony,alkapur road,hyd,khairtabad circle no.17"/>
        <s v="c/o diyi satanayan plot no 151 h no 20-151 , surabhi colony, lingampally, lingampally, kv reddy, serlingampally "/>
        <s v="h.no 1-90/c/8, inside sri krishna food court, hudo techno enclave, opp LP tower, vittalrao nagar, hitech city "/>
        <s v="sai raghava enclave,beside vijetha,super market,ameenapur,chandanagar,selingampally"/>
        <s v="h.no:2-41/5/A,3rd street,police colony,hanuman nagar,kondapur"/>
        <s v="hyderabad bucket and kunda biryani,2,bus stop,15-25-890/3,temple beside vijetha super market,kphb phase 1,kukatpally"/>
        <s v="H.no:2-41/1 kothaguda,prashanth nagar colony,kondapur,serlingampally circle no .20,hyd"/>
        <s v="tngo'S colony,phase 2,gachibowli"/>
        <s v="H.NO.: 16-31-20/1/S2, Shop No 2 SVS Elegant Phase-6 , KPHB colony, kukatpally"/>
        <s v="Road no.5 KPHB kukatpally opposite punjab national bank beside american tourister, Kukatpally "/>
        <s v="h.no 1-57, serlingampally, circle no 20, hyd, telangana "/>
        <s v="TNGO's colony, phase-2 , gachibowli, hyderabad"/>
        <s v="23-83, BESIDE CMR SHOPPING MALL, BHEL, CHANDA NAGAR, HYDERABAD -500050, Chandanagar circle No 21, Hyderabad, Telangana-"/>
        <s v="tngo'S colony,phase 2,gachibowli,Hyderabad"/>
        <s v="beside hyderabad golf club, near banjara darwaza, golconda, fort road,tolichowki,hyderabad"/>
        <s v="plot no - 149, kismatpur road, near velly view enclave bandlaguda, hyderabad "/>
        <s v="7-1-282/C sriram nagar colony, Balkampet , hyd 500018, Begumpet circle NO 30"/>
        <s v="Plot No. 279 27/a, khanamet village, Hi-tech city. Seringampally near SSR on the way drive in , Seringampally "/>
        <s v="h.no:1-72/3, p no.7,sy no.18,gachibowli village,serlingampally mandal,rangareddy"/>
        <s v="S.R ecclave,5-3/37/6,manjeera pipelane rd,oppsite,raycon residency,mvtri nagar,phase-3,miyapur"/>
        <s v="LIG:35/3,3rd phase,kphb colony,hyd,kukatpally circle no.24,hyd,telangana"/>
        <s v="HNO No. 2-41/11/10/11, G3, Sri sai shanti residency prashanth nagar, kothaguda circle "/>
        <s v="Door No, 2-41/11/10/, G3, Sri sai residancy prashanth nagar, kothaguda circle "/>
        <s v="Door No, 2-41/11/10/, G3, Sri sai residancy prashanth nagar, kothaguda "/>
        <s v="plot no 749, sy no 61, sri ramnagar colony, gandipet, rangareddy, telangana "/>
        <s v="bilwa 36,5th floor,plot no.1101,road no.36,next to IDBI bank,cbi colony,jubliee hills,hyd"/>
        <s v="plot no.145,babu khan line,PJR nagar,Gachibowli,serlingampally circle no.20,hyd"/>
        <s v="plot no.1031,matrusri nagar colony,miyapur,hyd"/>
        <s v="flat no.G2,mythri bhavan,veshweshwara nagar,madinaguda,serlingampally circle no.20,hyd"/>
        <s v="shop no.3,h.no:6-94/17/1,MIG-101,Noorjahan complex,huda colony,chandanagar,hyd"/>
        <s v="plot 5-327, sree ram nagar colony, puppalguda rajendra nagar mandal, rangareddy district "/>
        <s v="plot no  -199,TNGO's colony, financial district, rajendra nagar"/>
        <s v="plot no 419,  j-heights, TNGO's colony, financial district, gachibowli,manikonda, rajendra nagar"/>
        <s v="RHS-R6-UE, Near Nift college, Hitech city metro chanda nagar Circle No 21, HYD "/>
        <s v="Plot No. 35, khampet , Hitech city, Chandanagar circle No. 21, Hyderbad "/>
        <s v="plot no.35,khanmet,chandanagar circle no.21"/>
        <s v="Sy No. 183, maseed banda kondapur, serlingampally circle NO 20. Telangana - 500084"/>
        <s v="h.no:8-3-228/678/140,sri ram nagar,moti nagar,yousufguda circle no.19,hyd,telangana"/>
        <s v="sy no.203, to 210p1,Tngo colony,backside Q city,gachibowli,selingampally,circle no 20"/>
        <s v="plot no:1449,sy no.78,gokul plots,venkata ramana colony,hyderabad"/>
        <s v="Plot No 1, Amrutha Enclave, Gandipet, Bandlaguda Jagir Rajendranagar, rangareddy, Telangana - 500086"/>
        <s v="H.no:4-229 and 230,plot no.227,sy no.78-93,Raja rajeshwara nagar,kondapur,selingampally circle "/>
        <s v="Tngo's colony,plot no.243,phase 1,kv ranga rao circle no.20"/>
        <s v="Baditha priyanka,plot no.782,seven hills driven,gopal nagar,Hafeezper,hyd"/>
        <s v="sy no.38,39,40,khanmet village,serlingampally circle no.20,hyd"/>
        <s v="H.no:8-2-248,shop no.G4,lumbini amrutha chambers,road no.3,banjara hills,hyd,telangana"/>
        <s v="8-1-398/ PM/175, paramount colony telangana - 500008 gate no. - 3, jubliee hill circle no. 18, hyd."/>
        <s v="plot no.22,part 1,amartahanda nagar,new hafeezpet,miyapur,selingampally,hyd"/>
        <s v="Plot No. 7, Near Crayon Hospital, Prasanth Nagar Colony, Bandlaguda (Jagir),Rajendranagar, Rangareddy, Telangana -500091"/>
        <s v="Plot No:- 7, Near Crayon Hospital, Prasanth nagar colony Bandlaguda Jagir, Rajendranagar, Rangareddy, Telangana - 500091"/>
        <s v="plot no.84/1,miyapur,chandanagar circle no.21,hyd,telangana"/>
        <s v="syapu kiran babu,plot no.782,seven hills,driveinn,gopal nagar,hafeezpet"/>
        <s v="plot no.212,Tngo's colony,wipro circle,near appolo pharmacy,circle no.20,hyd"/>
        <s v="Raja rajeshwarangar,GF9C4+2x9,kondapur,gachibowli,telangana"/>
        <s v="shop no.3,H.no:5-3/12,plot no.12,sai tulsai enclave,rattinagulapally,gandipet(19),ranga reddy"/>
        <s v="h.no 5-3/12, plot no 12, phase-I, sai tulasi enclave, vattinagullapally,rajendranagar"/>
        <s v="369,swathi avenu,ameerpet,khairtabad circle no.17,hyd,telangana"/>
        <s v="11-05-167/2,bhavani nagar,near pochamma temple,moosapet,hyd"/>
        <s v="shop no.1,patrika nagar,SLR guest house,selingampally circle no.20,hyd"/>
        <s v="7-1-403,balkampet road,ameerpet,khairtabad circle no.17,hyd,telangana"/>
        <s v="8-4-548/s 116/1,sanathnagar,erragada,hyd"/>
        <s v="plot no 122, venkateshwara colony oppo hospital kistmapur, rangareddy telangana "/>
        <s v="plot no 34 &amp; 5 park KFC lane near jv colony jubilee hills circle no 18,hyderabad telangana"/>
        <s v="road opposite LV prasad eye institute abhyudaya nagar,dargha khaliz khan,kismatpur"/>
        <s v="sy no.104-106,beside vaishnavi oasis,bandlaguda jagir,kismatpur road"/>
        <s v="sy no.104,beside vaishnavi oasis,bandlaguda jagir,kismatpur road"/>
        <s v="L135/3 3rd phase,bsnl road,temple,bus stand,kphb colony,kukatpally circle"/>
        <s v="plot no.156,part 1,narsingini,manikonda,rajendra nagar,rangareddy"/>
        <s v="plot no 202, beside kamadhenu jewellers, TNGO's colony, gachibowli, hyderabad,telangana"/>
        <s v="no. 4/5/6, shop no.2, kismatpur,shivasai colony, kismatpur, rajendranagar, rangareddy, telangana, 500030"/>
        <s v="8-4-549/26,netaji nagar,erragada,yousuf guda circle no.19,hyd,"/>
        <s v="H.no:1-72/3/316/27,plot no.27 and 37,gachibowli,serlingampally circle no.20"/>
        <s v="kedarisetty veera venta satya,MIG-264,shop no.3,road no.4,near apollo,kphb,kukatpally"/>
        <s v="MIG-264,shop no.3,road no.4,near apollo,kphb,kukatpally"/>
        <s v="shop no.1,JSR classic,vijetha super market,pragathi nagar,nizampet"/>
        <s v="Ragiv gandhi nagar,langarhouz,hyderabad,telangana"/>
        <s v="h.no:8-3-229/D175,ventatagiri,yousufguda,hyd,telangana"/>
        <s v="8-3-228/A/12,RRV apartments,opposite srisalam yadav"/>
        <s v="shop no.6,partika nagar,madhapur,serlingampally circle"/>
        <s v="LIG 22/2,ramya grounds road,3rd phase KPHB,moosapet circle"/>
        <s v="11-1-12751B,new bhoiguda,afzal sagar,goshamahal circle no.14,hyd,telangana"/>
        <s v="1-19,narayankhed,abenda,narayankhed,pragathi nagar,kukatpally"/>
        <s v="6-1-69/1,plot no.68,street no.7,bhagyalaxmi colony,manikonda,telangana"/>
        <s v="plot no.13,bandlaguda jagir,rajendra nagar circle no.11,hyd,telangana"/>
        <s v="Building no/flat no.8-1-284/ou/307,OU colony,shaikpet,hyd"/>
        <s v="plot no.691,692,OU colony main road,near dream valley villas, tanasha nagar"/>
        <s v="plot no.2,ganesh nagar,kismatpur,gandiper,rangareddy,telangana"/>
        <s v="shop no.6,badam sohana apartment,3-1085,Raj bhavan rd,somajiguda,hyd,telangana"/>
        <s v="Anuhav Art of Irumy road no.25,alkaprui township,manikonda,rajendra nagar"/>
        <s v="Road no.5,KPHB opposite punjabi national bank,kukatpally,hyd"/>
        <s v="plot no.82/c,road no.3,shutter no.1,addaguta society,kukatpally"/>
        <s v="Plot no.1,Bandlaguda jagir,rajendra nagar,rangareddy,telangana,500091"/>
        <s v="Pendyala teja arun kumar,plot no-2,survey no.155,to 165(p),vasavi co-operative housing,pragathi nagar"/>
        <s v="sy no.13 and 16,Bandlaguda jagir,gandipet mandal,rangareddy district,telangana"/>
        <s v="shop no.3,996V+nf5,kismatpur road,banglaguda jagir,telangana"/>
        <s v="plot no.51,serimallegardens attapur,mehadipatnam circle no.12,hyd"/>
        <s v="8-1-293/4,situated at dwaraka nagar colony,shaikpet,jubliee hills circle no.18"/>
        <s v="High tension,line rd,raghavendra colony,kondapur,telangana"/>
        <s v="Raidurga panmaktha near TCS , building madhapur, serlingampally circle no-2 , hyderabad "/>
        <s v="will- Mallipaathi po -malipathi, 210-C Sri Ram Kondapur "/>
        <s v="plot no.50,sri laxmi nagar colony,manikonda,hyd,telangana"/>
        <s v="plot no.822,100 feet road,ayyappa society,madhapur,hyd,telangana"/>
        <s v="plot no.13,sipa paradise,pragathi nagar"/>
        <s v="shop no.2,stilt floor,puppalaguda,rangareddy"/>
        <s v="h.no:1-26,survey no.61,ground floor and first floor road no.36 old road guttala begumpet,madhapur"/>
        <s v="sri laxmi nagar colony,manikonda,hyd"/>
        <s v="H.NO:1-90/7/B/126,P.no:53A,street-1,patrika nagar,madhapur"/>
        <s v="plot no.91/part,sy.no.11/19,11/20 and 11/21,khanamet,madhapur,chandanagar circle no.21,hyd"/>
        <s v="plot no.9,ground floor,shiva bhagh,Ameerpet,hyd"/>
        <s v="plot no.16/B,Addagutta,beside arjun theatre,jKPHB,kukatpally circle no.24,hyd"/>
        <s v="plot no.897,SS Drive in,S.A society,khanamet,madhapur,serlingampally circle no.20,hyd ,telangana,500081"/>
        <s v="Addagutta ,hmt sathavahana nagar,kukatpally,hyd,telangana"/>
        <s v="plot no.410,raja reshwara nagar,kondapur,serlingampally"/>
        <s v="h.no:7-1-621/269,S R nagar,khairthabad circle no.17,hyderabad,Telangana"/>
        <s v="H.no:7-1-304/2/64,BK guda,SR nagar,khairthabad circle no.17,hyd,telangana"/>
        <s v="(pratap ward) d.no:1-140/3/7/h/p2,Huda techno enclave sector,madhapur,serlingampally circle no.20"/>
        <s v="kokkigaddam prema raju plot no.897,Ayyappa society,madhapur,chandanagar"/>
        <s v="mk plaza, marthanda nagar, new hafeezpet, telangana - 500049"/>
        <s v="H. No 4-188, premnagar, hafeezpet, chandanagar  hafeezpeyt, chandanagar, circle no 21, hyderabad - 500049"/>
        <s v="SY NO-78, KOLAN RAGHAVAREDDY FUNCTION HALL COMPLEX, HYDER NAGAR , NIZAMPET, Kukatpally Circle No 24, Hyderabad, Telangana - 500090"/>
        <s v="sy no.-78,kolan raghavareddy function hall complex,hyder nagar,nizampet,kukatpally"/>
        <s v="plot no.420,sy no.78-93,raja rajeswara nagar,kondapur,serlingampally circle no.20"/>
        <s v="KPHB colony,kukatpally circle no.24,hyd"/>
        <s v="h.no:8-2-293/82/A/35,road number 5,jubliee hills,hyd,telangana"/>
        <s v="plot no.1774/1784/1,Incoyis circle,pragathi nagar road,3rd layout,a leap Industrial,telangana"/>
        <s v="h.no:1-90,shop no.1,huda techno enclave,hitech city,madhapur,serlingampally circle no.20,hyd"/>
        <s v="plot no.899,sy no.11/4 to 11/18,ayyappa society,khanamet,chandanagar circle no.1 500081"/>
        <s v="plot no:- 17,8-2-350/1, road no:- 2, banjara hills, hyderabad, jubilee hills circle no - 18, hyderabad,telangana - 500034"/>
        <s v="chitari sai bhuvan p-no.879,ss drive in S.A society khan amet,madhapur,serlingampally"/>
        <s v="16-31-390/2/NR,shop no.2,ground gloor,pranita residency,phase-6,KPHB colony,moosepet circle "/>
        <s v="P SATYA SAI, MIGH-574, H.No.15-25-574, Ground Floor, Road No.1, KPHB Colony, Kukatpally, Hyderabad, Moosapet Circle No 23, Hyderabad, Telangana - 500072"/>
        <s v="Kismatpur road adjustent to vidyapeet school ,bhavani colony,velly viewen clave,Bandlaguda jagir,"/>
        <s v="plot no.299,h.no:8-2-309/7/3,sy no.129/81,ward no,10,block no.3,road no.14,Banjara hills,hyd"/>
        <s v="Door no.6-MIG-82,Tanisha nagar huda layout manikonda,rajendra nagar,ranga reddy,telangana,"/>
        <s v="Sy no.177/P,Anjamma residency,alkapur,township road,pupaalaguda,gandipet mandal"/>
        <s v="Door no.B-43,Journallist colony,Jubliee hills circle no.18,Hyd,telangana"/>
        <s v="Plot no.149,opposite shivalaram main road ou, shaikpet,jubliee hills circle no.18"/>
        <s v="plot no : 2s.263A, Ayyappa socity main Rd, sarojini naidu nagon, Madhapur, HYD, telangana 500081"/>
        <s v="H.NO.:1-110/MN/18/RER. Marthand nagar, new hafeezpet, chandanagar circle No 21, Hyderabad Telangana 500049"/>
        <s v="plot no. 14, HIG 15, sy no. 4, tanasha residental complex,pokalwada , village, manikonda"/>
        <s v="h.no: 6-13/MIG, bhagyalakshmi colony, tanasha nagar, manikonda, telangana, 500089"/>
        <s v="plot no 16, 13-5-162/11/nr ramarao nagar, moosapet,hyderabad,moosapet circle no 23 - 500018"/>
        <s v="no.4,F9RW+5M8,sridevi residency road,near HDFC bank,kukatpally housing colony,KPHB phase-1,kukatpally"/>
        <s v="D.no:8-3-229/D/77 and 79,hylan colony,venkatagiri,jubliee hills circle no.19,hyd"/>
        <s v="8-3-1060/B/1,srinagar colony beside post office khairthabad circle no.17,hyd"/>
        <s v="H.no:8-3-232/c/35/1,Venkatagiri,yousufguda,hyd"/>
        <s v="H.no:25-35/4,plot no land 2 KN complex,survey no.167,ramachandra reddy nagar"/>
        <s v="shop no.S-8,block-A,pagadala pride,house no.6-250024,survey no.60,Bachupally"/>
        <s v="h.no:5-6,beside veterinary hospital,narsinginii"/>
        <s v="ground flor, razzak mazil G6, ambedkar colony, khairatabad, hyderabad,telangana "/>
        <s v="mumtaz hno 6-3-1090/a/2 circle no 20 opp katarya hotel towers, e, rajbhavan road, somajiguda, 500082"/>
        <s v="hno- 6-2-967/b/a/6, fatch manzil, khairathabad circle no - 17, hyderabad, telangana"/>
        <s v="kukatpally,allwyn colony,kukatpally circle no.24,hyd,telangana,"/>
        <s v="plot no 19, kismatpur road behind HP petrol bunk, sri venkateswara colony, 500086"/>
        <s v="Gaulidoddi , Gachibowli, Plot no 18919 sai tulasi Enclave-1, gandipet, Rangareddy, Telangana -500075"/>
        <s v="h 6-3-1247/237, rajbhavan road, rajnagar somajiguda, hyderabad"/>
        <s v="House No. 5-1-119 Shop No. 4 Ground floor bus Stop Pillar No. A815 Kukatpally, Hyd - 500072"/>
        <s v="H.NO:2-35,neknampur village,manikonda,gandipet mandal, R.R district "/>
        <s v="h.no:- 6-2-967/b/a/6, fateh man zil, khairatabad circle no - 17, hyderabad, telangana - 500004"/>
        <s v="16-31-245, KPHB, 6th PHASE Opp Bluedart, HYD 500072"/>
        <s v="sy no.106/P,107/1,Gulmohar park colony,tara nagar serlingampally telangana,hyd"/>
        <s v="B007,riddhis grand eur,neknampur road,manikonda,gandipet,rangareddy,telangana"/>
        <s v="Hno:- 8-46/p, 1st floor, swaran arcade, sai ram nagar, colony, bandlaguda jagir, rangareddy, telangana 500086"/>
        <s v="D.no:7-1-419/9/MS/1-C,opposite prime hospital,manjeera square,ameerpet"/>
        <s v="8-3-96019, sri nagar colony main rd, opp bank of baroda, yella reddy guda, telangana - 500073"/>
        <s v="5-5-35/18,amma mess road beside canara bank,prashant nagar,kukatpally circle no.24"/>
        <s v="D.no:7-1-645/A/1/E,Erragada,yousufguda circle no.19,hyderabad,telangana"/>
        <s v="prashanth nagar,kukatpally,hyd"/>
        <s v="plot no.41/A,Ameetpet road,opposite trends showroon,chandangar circle no.21,hyd,telangana"/>
        <s v="plot no.38,padmaja colony,chandanagar,hyderabad,telangana"/>
        <s v="Moosepet Tanjayab nagar,mossapet,hyd,pillar no.891"/>
        <s v="C9XR+F87,Ayyappa society main road,megha hills,sri sai nagar.madhapur,hyd"/>
        <s v="H.no:32-556/18,sai nagar X road kkukatpally circle no.24,hyderabad"/>
        <s v="plot no.41,opposite rajendra reddy nagar colony,chandnagar"/>
        <s v="H.NO:13-6-815/A/2,ground floor,langarhouz,hyderabad karwan circle no.13,hyd"/>
        <s v="plot no.1 and 2,padmaja colony,chandanagar,hyderabad,telangana"/>
        <s v="sy no.259,263,264,plot no.199,198,chandanagar,reddy colony,sangareddy"/>
        <s v="7-1-399/ameetpet,sr nagar main road,near police station,srinivas nagar,hyd,telangana"/>
        <s v="Plot no: 1271, opp bharath petrol bunk road no:63, checkpost, Jubilee hills , hyderabad - 500033, jubilee hills, circle no: 18, hyd"/>
        <s v="plot no.103 KSR, Enclave beside ayyappa swamy temple,chandanagar"/>
        <s v="Rd.1 kukatpallly housing board colony,phase 1,kukatpally,hyd"/>
        <s v="H.no:KIGH 145,KPHB 7th phase,opposite to GHMC basketball ground,kukatpally,moosapet circle no.23"/>
        <s v="H.no:2-106/9/1,krisat colony,phase-4,gangaram chandanagar"/>
        <s v="plot no.31 and 32, KSR layout,PJR colony,serlingampally,chandanagar circle no.21,hyd,telangana"/>
        <s v="Nallagandla, Tellapur,setlingampally circle no.20,hyd,telangana"/>
        <s v="D&gt;NO:1-11/A/81,Plot no.81,gopal reddy nagar,opposite RTA office,kondapur,hyd"/>
        <s v="plot no.491,near monkey center,madhapur nagar,pragathi nagar,hyd,telangana"/>
        <s v="plot no.105/LIG plhase -XV KPHB colony,kukatpally circle no.24,hyd,"/>
        <s v="H.no:LIG 145,KPHB 7th phase,road,qutubullapur,telangana"/>
        <s v="H.NO:10-31-IX-H5,phase9,KPHB colony,kukatpally,moosapet circele no.23"/>
        <s v="H.NO P-13/B,Addagutta society,backside vishwanth theatre,kukatpally"/>
        <s v="Aroma,HIG,phase 9,kphb colony,kukatapally, moosapet circle no.23,500072"/>
        <s v="plot number 828,venkata ramana colony ,gokul plots hyderabad -500072"/>
        <s v="KSR Enclave beside ayappa swamy temple,chandanagar,shop no.3,hyd,telangana"/>
        <s v="Anjanaya nagar,moosapet circle no.23,Hyderabad,telangana,500018"/>
        <s v="1-59/8/A,miyapur PS,serlingampally circle no.20,hyderabad,Telangana"/>
        <s v="Rayankathishravankumar,survey no.957,ICRISAT colony,Beeramguda 100feet road,502032"/>
        <s v="P.no.14/part,sy no.2,PJR enclave road,opposite gonguras restaurant,chandanagar"/>
        <s v="H.NO:HIG 65 3rd phase near manjeera water tank kayaka parameshwari temple road,Kphb"/>
        <s v="plot no.1452/p venkata ramana colony,gokul plots circle no21-hyderabad 500049"/>
        <s v="plot no.8-2/19/2,beside SBI Bank,Rampally village,keesara,medchal,malkajgiri,telangana"/>
        <s v="MIG-42/1-6,kukatpally hosing board colony,phase3 hyd"/>
        <s v="KSR Enclave beside ayappa swamy temple,chandanagar,shop no.6,hyd,telangana"/>
        <s v="beside feather n splash, kukutpally housing board colony, hafeezpet, telangana - 500085"/>
        <s v="Plot no, 1618, Radha krishna rd, Venkat a rammana rd hyderabad telangana,"/>
        <s v="Ramya Ground RD,beside mad over maggi near vinayaka temple,kukatpally housing board"/>
        <s v="KPHB colony,temple bus stop,opposite mammus kitchen"/>
        <s v="P.no:7/3/4,sector-03,huda technoE,madhapur,serlingampally circle no.20,hyderabad,telangana"/>
        <s v="survey 176,plot no c,addagutta housing society,circle no.24,kukatpally,hyderabad"/>
        <s v="plot no.22,MIG,KPHB phase 15,kukatpally,moosapet circle no.23,500072"/>
        <s v="plot no.27,khanmet village,Hitech city,,serlingampally near on the way driven in,hyd,chandanagar"/>
        <s v="H.NO:2-3-406/12/part,plot no.7,road no.2,Tulasinagar,near M2m jeans,kukatpally circle no.24"/>
        <s v="H.no:1-2-33/VP/76,Hydernagar,Balaji hills road,Ram naresh colony,Chandanagar circle no.24,hyd,telangana"/>
        <s v="PT.NO.52,SY.103/2,Jayabhari enclave,hyderabad"/>
        <s v="plot no.744,road no.40,Ayyappa society,madhapur,hyderabad,telangana"/>
        <s v="2-91/14/8,whitefeilds,kondapur,hitech city,serlingampally circle no.20,telangana"/>
        <s v="C9VV+26,megha hills,madhapur,telangana"/>
        <s v="p.no:897,ss drive in,S.A society,khanamet,madhapur,serlingampally circle no.20,hyderabad"/>
        <s v="shop no.4,plot no.897,ss drive in,ayappa society,madhapur,chandanagar,circle no.2,hyd,telangana"/>
        <s v="12-19-46/2,kukatpally circle no.24,hyderabad,telangana"/>
        <s v="H.NO:8-3-214/54/1/B-3,Madhaura nagar,Ameerpet,hyderbad,telangana"/>
        <s v="R/O plot no B3,Kundacottage,madhura nagar,Ameerpet,hyderabad,telangana"/>
        <s v="H.NO:7-1-632/17,Bapu nagar,sanjeeva reddy nagar,Khairthabad circle no.17,hyderabad"/>
        <s v="7-1-621/289/5/A,Bapu Nagar,SR Nagar,hyderabad,telangana"/>
        <s v="Flat no.909,block-A,Raghavendra's Mirra Pan chajan,Miyapur,AS Raj Miyapur,serlingampally circle no.20"/>
        <s v="32B,Opposite,Community Hall,SR Nagar,Hyderabad,Khairthabad circle no.17,Hyd,Telangana"/>
        <s v="H.NO:7-1-209,Sy No.153,Sanjeeva Reddy Nagar,Ameerpet,Hyderabad,Telanagana"/>
      </sharedItems>
    </cacheField>
    <cacheField name="Signing Authority" numFmtId="0">
      <sharedItems containsBlank="1">
        <s v="Mohammed minhaj uddin"/>
        <s v="M.A aqeel"/>
        <s v="Mohammed Arshad"/>
        <s v="Naika Amena"/>
        <s v="Syed Ameer Hussain"/>
        <s v="Shabana Begum"/>
        <s v="Mohd Shoieb"/>
        <s v="Asfiya sulthana"/>
        <s v="Katragadda Shesha sai"/>
        <s v="K.Rama Rao"/>
        <s v="Raguveer"/>
        <s v="Paul kumar"/>
        <s v="Bargava.B"/>
        <s v="Gardas saritha"/>
        <s v="Kuna Vaishnav"/>
        <s v="Yelgani sai kumar goud"/>
        <s v="veeram reddy seetharam reddy"/>
        <s v="Divvela sri mahalakshmi"/>
        <s v="Natva Santosh kumar"/>
        <s v="chatne akash"/>
        <m/>
        <s v="Ankapur village hotels llp"/>
        <s v="Sachinandan hari das"/>
        <s v="Siva Rama Krishna"/>
        <s v="Ashok thapa,Vishu thapa"/>
        <s v="venudhar reddy"/>
        <s v="not mentioned"/>
        <s v="Pokuri prathyusha"/>
        <s v="Ragavendra Gm"/>
        <s v="B.Raja yashwanth kumar"/>
        <s v="Bidhaniyasoni"/>
        <s v="Manjunath"/>
        <s v="Madyapaga Ravindra"/>
        <s v="Abhilash Thota"/>
        <s v="Penubua kula sai"/>
        <s v="Mangalarapu sai teja"/>
        <s v="Mohd Arshad"/>
        <s v="Rai shankar"/>
        <s v="Krishna teeram"/>
        <s v="Md mansoor"/>
        <s v="Mohammed feroz"/>
        <s v="Mohanmed feroz"/>
        <s v="karempudi vijava durga"/>
        <s v="SR Nagar"/>
        <s v="Juturi Rama seshagiri"/>
        <s v="Challa Triveni"/>
        <s v="Madapuram anil kumar"/>
        <s v="Mohammed umar khan"/>
        <s v="Mohammed Quddus hussain"/>
        <s v="K. Naga Bhushan Rao"/>
        <s v="Juhi sanjay sajnani"/>
        <s v="Sonal mohit mehta"/>
        <s v="Karthik"/>
        <s v="K.Rajesh"/>
        <s v="Ashish kumar"/>
        <s v="Vamshi krishna"/>
        <s v="Dinesh"/>
        <s v="Ramchandra rao"/>
        <s v="Yashwanth"/>
        <s v="Veera Di chaap "/>
        <s v="Yarlagadda Suryam"/>
        <s v="Medikonda kondaiah"/>
        <s v="Konda stella mary"/>
        <s v="Laxmi addikecharla"/>
        <s v="Khasim"/>
        <s v="Sudheer kumar"/>
        <s v="Musthakin"/>
        <s v="Pooja Karthik"/>
        <s v="sudarsan nayak"/>
        <s v="K. Shiv kumar"/>
        <s v="M.Sanjeev reddy"/>
        <s v="Arukha flavours/Arun"/>
        <s v="Enoch Chowdary"/>
        <s v="mohammed masurd"/>
        <s v="Kataru padmavathi"/>
        <s v="Vakalapudi subhash chowdary"/>
        <s v="Sri latha kakarla"/>
        <s v="Manikenteswara reddy.E"/>
        <s v="Prasad"/>
        <s v="Naveen"/>
        <s v="D.Venkata ramana"/>
        <s v="Paper missing"/>
        <s v="Mohammed Ishaq"/>
        <s v="Srikanth"/>
        <s v="Velagapudi meghana"/>
        <s v="Ravikanth Rao"/>
        <s v="Manikanta Reddy"/>
        <s v="T.Ravali"/>
        <s v="Prashanth Singh"/>
        <s v="V.Ravi Kumar"/>
        <s v="Aripelli VInesh"/>
        <s v="Tokala mahendra reddy"/>
        <s v="Venu prakash gunda"/>
        <s v="E.Balaji"/>
        <s v="K.Amulya"/>
        <s v="Dilip Deva"/>
        <s v="Sai lakshmi"/>
        <s v="Ravi Teja"/>
        <s v="Abhishek"/>
        <s v="MD.Ghouse"/>
        <s v="Mohammed Khaleel"/>
        <s v="Jagan"/>
        <s v="Monica Surana"/>
        <s v="Dinesh kumar"/>
        <s v="Sheik faehaan"/>
        <s v="Manne Hanumanth"/>
        <s v="Megha vath venkatesh"/>
        <s v="Dodda krupakar"/>
        <s v="B.Hsarsha vardhan Raju"/>
        <s v="Yeshwanth"/>
        <s v="Sri hari"/>
        <s v="Naveeed khan ahsan mohammed khan"/>
        <s v="Padmavathi"/>
        <s v="kotha akshok"/>
        <s v="Aduru sai charitha"/>
        <s v="Mohammed Bin Mansoor Al Jabri"/>
        <s v="Syed shahed"/>
        <s v="Lakshman kumar yadav"/>
        <s v="shiv kumar patil"/>
        <s v="mohammed Ameen Uddin"/>
        <s v="Gudelli srinivas"/>
        <s v="Ishaq ahmed"/>
        <s v="Sita Ram"/>
        <s v="Mehreen"/>
        <s v="Rakesh"/>
        <s v="Hemanta kumar jena"/>
        <s v="Ramakrishna reddy gaddampally"/>
        <s v="Kailash"/>
        <s v="Ajay"/>
        <s v="Khairatabad"/>
        <s v="Chalavadi Pavan Kalyan"/>
        <s v="Shaikhpet"/>
        <s v="Venkata Triven kumar Akula"/>
        <s v="Nagendra"/>
        <s v="Praveen Kumar "/>
        <s v="Laxman"/>
        <s v="Allampally Suresh"/>
        <s v="Narsimha"/>
        <s v="kailesh "/>
        <s v="Roopchand"/>
        <s v="G.Rajendra reddy"/>
        <s v="Regu srinivas"/>
        <s v="Y.Niraj"/>
        <s v="Amarnadh Reddy"/>
        <s v="Sai Kumar"/>
        <s v="Suryamanohara S Chivukula"/>
        <s v="Narasimha Murthy"/>
        <s v="Anjaneyareddy"/>
        <s v="Kakumanu sai teja"/>
        <s v="A. Mahesh"/>
        <s v="makkala narsing roa "/>
        <s v="Tataya Naidu"/>
        <s v="Angad Singh"/>
        <s v="Anjaneya reddy"/>
        <s v="Sravan Kumar"/>
        <s v="Sandeep"/>
        <s v="Syed Hisan Uddin"/>
        <s v="karani nagendra varama"/>
        <s v="kommala Krishna Nihar"/>
        <s v="Fathima"/>
        <s v="A. Anil Kumar"/>
        <s v="Sunny kumar arora"/>
        <s v="Manoj Reddy "/>
        <s v="Prashanth Vunnam"/>
        <s v="Mohammed Rasheed"/>
        <s v="Thirumala Reddy Balashow reddy"/>
        <s v="Prashanth prasad"/>
        <s v="Burra Rakesh Gound"/>
        <s v="Priyanka"/>
        <s v="Rahul Gupta"/>
        <s v="Naseer khan"/>
        <s v="Shadab"/>
        <s v="Madaram Shailaja"/>
        <s v="Mohan"/>
        <s v="Pidathala bharathi"/>
        <s v="Biradar Pradeep"/>
        <s v="Shajit sha"/>
        <s v="Shravan Kumar"/>
        <s v="Mohammed Irfaan"/>
        <s v="Meghana"/>
        <s v="Bhimalla Shiva Shankar"/>
        <s v="Hema Addanki"/>
        <s v="Mohammed Afroz"/>
        <s v="satya prasad"/>
        <s v="Auti Eknath"/>
        <s v="Krishna roa reddy"/>
        <s v="Korman sai krishna"/>
        <s v="Dasari kiran (Gani)"/>
        <s v="Sammidi Ranjith reddy"/>
        <s v="Raghavendra"/>
        <s v="Sai manikanta reddy"/>
        <s v="Karthik Reddy"/>
        <s v="Pendyala teja arun kumar"/>
        <s v="N. Goutham kumar"/>
        <s v="Deepak"/>
        <s v="Soheb"/>
        <s v="Kannavarapu Narendra babu"/>
        <s v="Raju gari sruthi"/>
        <s v="Satya vara prasad"/>
        <s v="Methri mallesh"/>
        <s v="Rambala sanjay"/>
        <s v="Mayabrahma nikhil"/>
        <s v="Nikhil"/>
        <s v="Anil kumar"/>
        <s v="Madhuri chand"/>
        <s v="Prem raju"/>
        <s v="not mentionrd"/>
        <s v="Veeranjaneyulu"/>
        <s v="Sekhar"/>
        <s v="Shiva karthik"/>
        <s v="Suresh Reddy"/>
        <s v="Manideep"/>
        <s v="P. Mastan Rao"/>
        <s v="Chithari sai bhuvan"/>
        <s v="P.Satya sai"/>
        <s v="P SATYA SAI,"/>
        <s v="Chandan"/>
        <s v="Mihir Khanna"/>
        <s v="Sivaji prasad vasireddy"/>
        <s v="G. Naveen kumar"/>
        <s v="Ajay Kumar"/>
        <s v="Modi venkata kishore Babu"/>
        <s v="M. Ramesh"/>
        <s v="Syed Hajiali"/>
        <s v="Srinivas"/>
        <s v="Hamdan Bin Masood"/>
        <s v="Sneha"/>
        <s v="Divya"/>
        <s v="Ravi kumar"/>
        <s v="Bishwash"/>
        <s v="Pradeep"/>
        <s v="Mekala Shasidar reddy"/>
        <s v="Nagalla Tejasai"/>
        <s v="A. Naveen"/>
        <s v="V. Rama Devi"/>
        <s v="K.Navanitha"/>
        <s v="Konda lokeswari"/>
        <s v="Khairuddin"/>
        <s v="Annappa shetty"/>
        <s v="Suresh"/>
        <s v="Birader usha"/>
        <s v="Vikram talasila"/>
        <s v="Amorz"/>
        <s v="Shiva Kumar"/>
        <s v="Shabbir"/>
        <s v="Alkehya"/>
        <s v="Tatavarthi somnath"/>
        <s v="M.Sai kiran"/>
        <s v="Santosh"/>
        <s v="Sri vengamamba delux mess"/>
        <s v="Kancharla Anand"/>
        <s v="Manjela Hanumantudu"/>
        <s v="Bhanu Prakash"/>
        <s v="Skindar"/>
        <s v="Golla Venkateshwara Rao"/>
        <s v="Sai Nagaraju Kumar"/>
        <s v="Balaram Khuntia"/>
        <s v="Madduri Ravindhar Reddy"/>
        <s v="Wasim Akram"/>
        <s v="Sunil Gowtham"/>
        <s v="Vinod"/>
        <s v="not mentioned "/>
        <s v="Naga Lakshmi"/>
        <s v="Shivananda"/>
        <s v="M.V Prabhavathi"/>
        <s v="Menday Vamshi"/>
        <s v="Arjun"/>
        <s v="Lalu Sekhar Gudavalli"/>
        <s v="Dr.Ravi Kumar"/>
        <s v="Seshu"/>
        <s v="Swarup Jana"/>
        <s v="Vasanthi Polu"/>
        <s v="M.Satya Durga"/>
        <s v="Kale Shravan Kumar"/>
        <s v="Fahad Mon Kalathingal"/>
        <s v="Phani Kumar"/>
        <s v="B.Ram Singh"/>
        <s v="Sambhashivarao"/>
        <s v="Pavithra"/>
        <s v="Ashok Kumar"/>
        <s v="Irfaan"/>
        <s v="G.Bhanu Prasad"/>
        <s v="Raja Chandra Sekhar Chevula"/>
        <s v="Kalidini Swathi"/>
        <s v="HemKumar"/>
      </sharedItems>
    </cacheField>
    <cacheField name="Pincode">
      <sharedItems containsBlank="1" containsMixedTypes="1" containsNumber="1" containsInteger="1">
        <n v="500057.0"/>
        <n v="500028.0"/>
        <n v="500006.0"/>
        <n v="500086.0"/>
        <n v="500048.0"/>
        <n v="500091.0"/>
        <n v="500008.0"/>
        <n v="500085.0"/>
        <n v="500082.0"/>
        <n v="500016.0"/>
        <n v="500081.0"/>
        <n v="500003.0"/>
        <n v="500038.0"/>
        <m/>
        <n v="500075.0"/>
        <n v="500047.0"/>
        <n v="500084.0"/>
        <n v="500019.0"/>
        <n v="500004.0"/>
        <s v="not mentioned"/>
        <n v="500072.0"/>
        <n v="500026.0"/>
        <n v="500050.0"/>
        <n v="500032.0"/>
        <n v="500033.0"/>
        <n v="500045.0"/>
        <n v="500073.0"/>
        <n v="500089.0"/>
        <n v="500049.0"/>
        <n v="500030.0"/>
        <n v="500034.0"/>
        <n v="502032.0"/>
        <n v="500104.0"/>
        <n v="500029.0"/>
        <n v="500090.0"/>
        <n v="500018.0"/>
        <n v="500046.0"/>
        <n v="500001.0"/>
        <n v="502286.0"/>
        <s v="not mentionrd"/>
        <n v="500043.0"/>
        <n v="501301.0"/>
      </sharedItems>
    </cacheField>
    <cacheField name="Locality" numFmtId="0">
      <sharedItems containsBlank="1">
        <s v="Masab Tank"/>
        <s v="Mehdipatnam"/>
        <s v="Kismathpur"/>
        <s v="Attapur"/>
        <s v="Bandlaguda"/>
        <s v="Gandipet"/>
        <s v="Tolichowki"/>
        <s v="Madhapur"/>
        <s v="Begumpet"/>
        <s v="Langer houz"/>
        <s v="Ameerpet"/>
        <s v="S.R Nagar"/>
        <m/>
        <s v="Manikonda"/>
        <s v="Gandamguda"/>
        <s v="Gudimalkapur"/>
        <s v="Kondapur"/>
        <s v="Khairathabad"/>
        <s v="Asif nagar"/>
        <s v="SR Nagar"/>
        <s v="Chandanagar"/>
        <s v="not mentioned"/>
        <s v="secunderabad"/>
        <s v="Kukatpally"/>
        <s v="Serilingampally"/>
        <s v="KBHP"/>
        <s v="Miyapur"/>
        <s v="Somajiguda"/>
        <s v="Nanakramguda"/>
        <s v="shaikpet"/>
        <s v="Madhura nagar"/>
        <s v="Yellareddy guda"/>
        <s v="SRINAGAR COLONY"/>
        <s v="Ali Nagar"/>
        <s v="yousufguda"/>
        <s v="Gachibowli"/>
        <s v="Banglaguda"/>
        <s v="Dwauaka Nagar"/>
        <s v="Hafeezpet"/>
        <s v="Banjara Hills"/>
        <s v="serlingampally"/>
        <s v="Panjagutta"/>
        <s v="Narsingi"/>
        <s v="Mandinaguda"/>
        <s v="Himayahnagar"/>
        <s v="Lakdikapool"/>
        <s v="Nizampet"/>
        <s v="KPHP"/>
        <s v="Hitech city"/>
        <s v="Ameenapur"/>
        <s v="Kismatpur"/>
        <s v="Kothaguda"/>
        <s v="not mentionrd"/>
        <s v="Jubliee hills"/>
        <s v="KPHB"/>
        <s v="Hyderabad"/>
        <s v="Raidurg"/>
        <s v="Borabanda"/>
        <s v="sri nagar colony"/>
        <s v="RC puram"/>
        <s v="Jubilee hills"/>
        <s v="Medchal "/>
      </sharedItems>
    </cacheField>
    <cacheField name="Region" numFmtId="0">
      <sharedItems containsBlank="1">
        <s v="masab tank"/>
        <s v="mehdipatnam"/>
        <s v="Langar Houz"/>
        <s v="tolichowki"/>
        <s v="madhapur"/>
        <s v="ameerpet"/>
        <s v="panjagutta"/>
        <e v="#N/A"/>
        <s v="manikonda"/>
        <s v="Kondapur"/>
        <s v="Khairathabad"/>
        <s v="miyapur"/>
        <s v="not mentioned"/>
        <s v="begumpet"/>
        <s v="kukatpally"/>
        <s v="Sherilingampally"/>
        <s v="KPHP"/>
        <s v="nanakramguda"/>
        <s v="shaikpet"/>
        <s v="yousufguda"/>
        <s v="gachibowli"/>
        <s v="banjara hills"/>
        <s v="hafeezpet"/>
        <s v="Hitech-City"/>
        <s v="not mentionrd"/>
        <s v="Jubliee hills"/>
        <s v="Hyderabad"/>
        <s v="Raidurg"/>
        <s v="Borabanda"/>
        <m/>
      </sharedItems>
    </cacheField>
    <cacheField name="Zone" numFmtId="0">
      <sharedItems containsBlank="1">
        <s v="Zone 1 Mehdipatnam"/>
        <s v="Zone 2 Jubliee hils"/>
        <s v="Zone 4 Hi-tech City"/>
        <s v="Zone 6 Ameerpet"/>
        <m/>
        <s v="Zone 3 Raidurg"/>
        <s v="Zone 5 Kukatpally"/>
        <s v="not mentioned"/>
        <s v="not mentionrd"/>
        <s v="jubliee hills zone 2"/>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020" sheet="whatsapp"/>
  </cacheSource>
  <cacheFields>
    <cacheField name="Date" numFmtId="164">
      <sharedItems containsDate="1" containsString="0" containsBlank="1">
        <d v="2026-02-09T00:00:00Z"/>
        <d v="2026-02-10T00:00:00Z"/>
        <d v="2026-02-11T00:00:00Z"/>
        <d v="2026-02-12T00:00:00Z"/>
        <d v="2026-02-13T00:00:00Z"/>
        <d v="2026-02-14T00:00:00Z"/>
        <d v="2026-02-16T00:00:00Z"/>
        <d v="2026-02-17T00:00:00Z"/>
        <d v="2026-02-18T00:00:00Z"/>
        <d v="2026-02-19T00:00:00Z"/>
        <d v="2026-02-20T00:00:00Z"/>
        <d v="2026-02-21T00:00:00Z"/>
        <d v="2026-02-23T00:00:00Z"/>
        <d v="2026-02-24T00:00:00Z"/>
        <d v="2026-02-25T00:00:00Z"/>
        <d v="2026-02-26T00:00:00Z"/>
        <d v="2026-02-27T00:00:00Z"/>
        <d v="2026-02-28T00:00:00Z"/>
        <d v="2026-03-02T00:00:00Z"/>
        <d v="2026-03-03T00:00:00Z"/>
        <d v="2026-03-05T00:00:00Z"/>
        <d v="2026-03-06T00:00:00Z"/>
        <d v="2026-03-09T00:00:00Z"/>
        <d v="2026-03-10T00:00:00Z"/>
        <d v="2026-03-11T00:00:00Z"/>
        <d v="2026-03-13T00:00:00Z"/>
        <d v="2026-03-16T00:00:00Z"/>
        <d v="2026-03-17T00:00:00Z"/>
        <d v="2026-03-18T00:00:00Z"/>
        <m/>
      </sharedItems>
    </cacheField>
    <cacheField name="Restaurant name" numFmtId="0">
      <sharedItems containsBlank="1">
        <s v="Beyniaz shawarm"/>
        <s v="Pachakattu dosa"/>
        <s v="cake factory "/>
        <s v="SSR FOOD zone "/>
        <s v="1000 Biryani"/>
        <s v="Pondy parottas"/>
        <s v="Roti Ruchulu"/>
        <s v="Bojam taiyaru"/>
        <s v="Vela bites"/>
        <s v="Bowls and Bites "/>
        <s v="Hari Balaji Dhaba "/>
        <s v="Pappanam"/>
        <s v="Grand Spicy Bawarchi"/>
        <s v="The Good Sparrow Millests food "/>
        <s v="Babai Hotel"/>
        <s v="Abhiruchi Biryani"/>
        <s v="Kshatriya Grand"/>
        <s v="Mehfil Restaurant"/>
        <s v="Bakeway Bakers"/>
        <s v="mandi@36 arabian kitchen"/>
        <s v="Darbar Family"/>
        <s v="The Bougainvillea"/>
        <s v="Toppa"/>
        <s v="The Hole In The Wall Cafe"/>
        <s v="Concu"/>
        <s v="Brown Bear"/>
        <s v="99 Pancake"/>
        <s v="Rivora the cafe"/>
        <s v="Nasir"/>
        <s v="Coffee Place"/>
        <s v="Veeramagearu vantillu"/>
        <s v="Bhadrakali hotel"/>
        <s v="Mokshi kitchen"/>
        <s v="North indian hub only veg"/>
        <s v="Kavya Tiffins"/>
        <s v="Heart cup coffee"/>
        <s v="Deccan chillis"/>
        <s v="Lassi Store"/>
        <s v="Aanandobrahma"/>
        <s v="kush mandi"/>
        <s v="kadak house"/>
        <s v="Frost Bakery"/>
        <s v="Frsot Bake Studio"/>
        <s v="Just So wow cakes "/>
        <s v="Donut O'clock"/>
        <s v="C'est la vie bakes and cakes "/>
        <s v="Tempt Chocolates"/>
        <s v="Say Cheese Patisserie"/>
        <s v="La Boulangerie"/>
        <s v="Veera di chaap"/>
        <s v="Gupshup bistro"/>
        <s v="Pakwan Grand"/>
        <s v="Cafe reels"/>
        <s v="I love Godavari"/>
        <s v="Lucky Restaurant"/>
        <s v="Sandarshini udipi pure veg"/>
        <s v="Cafe nandhini veg deluxe "/>
        <s v="Good Flipping Burgers"/>
        <s v="Cream Stone "/>
        <s v="Scoops"/>
        <s v="Froops"/>
        <s v="Sarvi Restaurant"/>
        <s v="500Foodies club"/>
        <s v="Habibi Mandi "/>
        <s v="Krimmy Thickshakes"/>
        <s v="Tipsy Topsy Bakers"/>
        <s v="New aritaku bhojanam"/>
        <s v="Brundavan pure veg"/>
        <s v="Mozo pizza "/>
        <s v="Chubby cho"/>
        <s v="Maraheb mandi"/>
        <s v="Arabian nights mandi"/>
        <s v="Punhabi affair"/>
        <s v="yum yum tree"/>
        <s v="mandi king"/>
        <s v="mekong"/>
        <s v="Sithara"/>
        <s v="Aqeeq Restaurant"/>
        <s v="vasireddy swagruha foods"/>
        <s v="Belgian waffle "/>
        <s v="Reddy Brothers"/>
        <s v="Hiyya the chronic mandi"/>
        <s v="Vellanki foods"/>
        <s v="Pragathi sweets and savouries"/>
        <s v="Tinnu mawa"/>
        <s v="Biryanis and more "/>
        <s v="Toscano"/>
        <s v="Navarasa"/>
        <s v="Frozen Bottles"/>
        <s v="Brurma Restaurant"/>
        <s v="Hard rock cafe"/>
        <s v="Itlu Bobbatlu"/>
        <s v="Gabru Di chaap"/>
        <s v="Wow momo"/>
        <s v="wow chicken"/>
        <s v="Monday premium "/>
        <s v="Shahi Rasoi family Restaurant"/>
        <s v="Donne biryani house "/>
        <s v="The emperor"/>
        <s v="Satyanarayan mithai bhandar"/>
        <s v="sm group, food network, by the bottle , president dhaba, krishnapatnam"/>
        <s v="California Burrito"/>
        <s v="mandi 36"/>
        <s v="parampara"/>
        <s v="maryada ramanna"/>
        <s v="4 season"/>
        <s v="balaji family dhaba"/>
        <s v="Barbeque nation "/>
        <s v="Onesta pizzeria "/>
        <s v="kake di hatti"/>
        <s v="rayalaseema ruchulu"/>
        <s v="rayalaseema spice"/>
        <s v="4 season "/>
        <s v="cafe cilantro"/>
        <s v="vaikuntapuram"/>
        <s v="simply parottas "/>
        <s v="soy N sesame New york slice pizza"/>
        <s v="Bombay juice"/>
        <s v="mama thinu"/>
        <s v="Habibo"/>
        <s v="Ice and spice"/>
        <s v="Arman hotel"/>
        <s v="Palle vindu"/>
        <s v="manasa.chigurupati@capsdelivery.com kitchen and Swagruha Sweets"/>
        <s v="suryakantham"/>
        <s v="D and D caters"/>
        <s v="Chantabbai"/>
        <s v="Santosh dhaba"/>
        <s v="samjam's pizza "/>
        <s v="Anu archana kitchen"/>
        <s v="TOC-The Original Chef"/>
        <s v="kanch cafe"/>
        <s v="Raju gari pulav"/>
        <s v="china town"/>
        <s v="Gabbar dhaba"/>
        <s v="Dosthugallu mandi"/>
        <s v="Namesthe"/>
        <s v="abu layed bait"/>
        <s v="spicy express "/>
        <s v="The indian wok"/>
        <s v="sangam veg affair "/>
        <s v="pappanmam"/>
        <s v="Chintamani Pulaos"/>
        <s v="7 spices "/>
        <s v="Royal arabian mandi"/>
        <s v="brew and blow heaven coffee shop"/>
        <s v="Eden ice treats"/>
        <s v="Arabian vibes "/>
        <s v="Aromas "/>
        <s v="Hari dosa "/>
        <s v="Biryani and co"/>
        <s v="Royal tiffin centre "/>
        <s v="Ali seasons xprs"/>
        <s v="shohrat"/>
        <s v="Deccan biryani house and restaurant "/>
        <s v="The thick shake factory "/>
        <s v="Tasty fried chicken "/>
        <s v="The shawarma kingdom"/>
        <s v="Raw bakers"/>
        <s v="South n spice "/>
        <s v="Mr faddy"/>
        <s v="vibe check"/>
        <s v="crispy days"/>
        <s v="gyros doner by nice juice centre "/>
        <s v="Qubz the shawarma revolution "/>
        <s v="kabul darbar"/>
        <s v="karam dosa"/>
        <s v="Ramu Villas"/>
        <s v="viyyalavari sweets"/>
        <s v="Aha"/>
        <s v="cafe morning raaga"/>
        <s v="military rajaana hotel"/>
        <s v="sree vakula kitchen"/>
        <s v="Dragon restaurant "/>
        <s v="Tadipatri briyani "/>
        <s v="MM cake factory and bakers "/>
        <s v="kings briyani adda "/>
        <s v="Ma pottam ma Istam"/>
        <s v="kohinoor restaurant "/>
        <s v="Sthali"/>
        <s v="Ice and Spice "/>
        <s v="Pooja dins inn"/>
        <s v="Shubham grand family restaurant "/>
        <s v="the  turban taste "/>
        <s v="cake exotica bakers"/>
        <s v="Arabian food corner"/>
        <s v="Al rahman bakery "/>
        <s v="Mayudri foods"/>
        <s v="Garuda cafe and new gongura"/>
        <s v="Honey foods"/>
        <s v="Al baik cakes and Restaurant"/>
        <s v="kalingapatnam"/>
        <s v="palleturi dosa"/>
        <s v="kochinspices"/>
        <s v="Al saba cafe "/>
        <s v="smoky docky"/>
        <s v="SNS bake"/>
        <s v="Gatox cafe"/>
        <s v="Al rikaab arabian"/>
        <s v="gourmet shawarma, 100N,the homly bowls"/>
        <s v="missamma Restaurant"/>
        <s v="the wine dine kitchen and bar "/>
        <s v="coffee place "/>
        <s v="MMD kitchens"/>
        <s v="poruginti chepala pulusu"/>
        <s v="united cafe"/>
        <s v="Hitech Bawarchi"/>
        <s v="Zamindars cafe"/>
        <s v="Sri vindha"/>
        <s v="hulchal desserts and bakers"/>
        <s v="Arukha flavours cloud kitchen and takeaway"/>
        <s v="Udipi Uphar "/>
        <s v="Farzan"/>
        <s v="Rainbow mandi and Restaurant"/>
        <s v="Royal darbar"/>
        <s v="sabiib Restaurant"/>
        <s v="Padmavathi food court"/>
        <s v="Italian sahke cafe"/>
        <s v="Punjabi junction"/>
        <s v="Agra sweets"/>
        <s v="Gyros doner "/>
        <s v="Bulli abbai gari kodi palau"/>
        <s v="cozmo cafe"/>
        <s v="Morine bakery"/>
        <s v="kakati deluxe mess"/>
        <s v="Paruchuri foods"/>
        <s v="Balaji pavan mithai bhandar"/>
        <s v="Alkapuri Bawarchi"/>
        <s v="juice bar"/>
        <s v="Balaji santhosh family dhaba"/>
        <s v="Biryani and biryani"/>
        <s v="fire and ice bakers"/>
        <s v="Mahindra mithaiwala"/>
        <s v="Amrutham"/>
        <s v="chopsticks"/>
        <s v="Bamma tiffins"/>
        <s v="surabhi hotel udupi veg "/>
        <s v="new cafe bakers "/>
        <s v="Urban franky"/>
        <s v="Trinetra cafe and Restaurant"/>
        <s v="Imperial multicuisine Restaurant"/>
        <s v="Hut-k bucket biryani"/>
        <s v="palle vindu dosa"/>
        <s v="raja rani ruchulu"/>
        <s v="suryakantham military hotel"/>
        <s v="A1 shawarma bites"/>
        <s v="ghuma ghumalu"/>
        <s v="yummy feast "/>
        <s v="The great britian waffle"/>
        <s v="lakshmi narasimha vilas "/>
        <s v="Aqeeq"/>
        <s v="andhra meals"/>
        <s v="Rithvikaa's kitchen"/>
        <s v="An te ra kitchen and bar"/>
        <s v="the street stories"/>
        <s v="qubz"/>
        <s v="old A1 "/>
        <s v="Naidu gari kunda biryani"/>
        <s v="kakatiya tiffins"/>
        <s v="pothuraju"/>
        <s v="andhra kitchens"/>
        <s v="krishna magic kitchen"/>
        <s v="konaseema biryani"/>
        <s v="amma chethi ruchulu"/>
        <s v="bunty biryani"/>
        <s v="Hotel Udupi house "/>
        <s v="Amogha"/>
        <s v="I love RRR mandi"/>
        <s v="Badrachalam cafe"/>
        <s v="Ganesh virat food court"/>
        <s v="Shanghai chef"/>
        <s v="Meghana non veg parcel"/>
        <s v="chai nagri"/>
        <s v="Trigunas kitchen"/>
        <s v="Mayur sweers and dry fruits"/>
        <s v="waraka Restaurant (Tiffins and Meals)"/>
        <s v="Nakshatra tiffins "/>
        <s v="Gal Punjab di "/>
        <s v="Bakers town"/>
        <s v="Lassi and shakes"/>
        <s v="Hanuman juice and salad"/>
        <s v="Laibas cafe"/>
        <s v="Polar bear,The ice cream,sundae zone"/>
        <s v=" Nellore Padmavati Ruchulu "/>
        <s v="Cheesiano pizza"/>
        <s v="Cake Walkers "/>
        <s v="satyam foods"/>
        <s v="Emerald food house "/>
        <s v="Patiiala plate "/>
        <s v="Sri Krishna "/>
        <s v="chaayos"/>
        <s v="Raagam food court"/>
        <s v="Oye punjabi"/>
        <s v="Delhi Muradabadi Biryani"/>
        <s v="Bhimavaram thali"/>
        <s v="Ruchi curries"/>
        <s v="Amogha cafe and restaurant"/>
        <s v="Vinni cabin cafe"/>
        <s v="Bab al mandi"/>
        <s v="dadas tiffin and fast food"/>
        <s v="Tiffin express "/>
        <s v="Sri Aadhya Delicious"/>
        <s v="Paruchuri foods onboarded"/>
        <s v="Wow! Vadapav"/>
        <s v="Mandava Ruchulu"/>
        <s v="Universal Al matam Mandi "/>
        <s v="Hotel shurbhi udpi"/>
        <s v="Kadali kitchen"/>
        <s v="Arabian Affair"/>
        <s v="Creative home baker's "/>
        <s v="Mother's kitchen "/>
        <s v="Vindhu Maharaj "/>
        <s v="Rayalaseema peddaraju Ruchulu"/>
        <s v="Sri Sai Rama Tiffins"/>
        <s v="Sreendidhi Fast food"/>
        <s v="Sahi nawabis kitchen (new restaurant)"/>
        <s v="Wrappy"/>
        <s v="Hi Tech Bawarchi Food zone"/>
        <s v="Hi Tech biryani house"/>
        <s v="Oven Fresh Bakery"/>
        <s v="Imperial "/>
        <s v="Santhosh Dhaba "/>
        <s v="Brew Gato"/>
        <s v="Bawarchi Express Restaurant "/>
        <s v="Madhura Restaurant and Bar"/>
        <s v="Flavour of Andhra"/>
        <s v="Gismat jail mandi"/>
        <s v="Sarvi Restaurant "/>
        <s v="Hanuman juice and salad "/>
        <s v="Kaaram The authentic Telangana spice kitchen"/>
        <s v="Udupi Shree krishna grand hotel "/>
        <s v="Ahara kitchen "/>
        <s v="Sri varahi sampradaya vindhu"/>
        <s v="Brands Of Bhimavaram"/>
        <s v="Samastha tiffins"/>
        <s v="Moms recipe"/>
        <s v="Sweet Basket"/>
        <s v="Keshava reddy sweets"/>
        <s v="Sri vijaya Laxmi food court "/>
        <s v="Iguru"/>
        <s v="big byte "/>
        <s v="Mandi zone An indo-Arabian restaurant"/>
        <s v="Vaarahi Kitchen "/>
        <s v="Tiffin Tales"/>
        <s v="Agra sweet"/>
        <s v="Village Vanta"/>
        <s v="Saharsh udupi "/>
        <s v="Swad of Grandma"/>
        <s v="santhakam ruchulu"/>
        <s v="Machili Patnam"/>
        <s v="Chaitanya’s modern kitchen "/>
        <s v="Venkee's kitchen"/>
        <s v="Patnam Ruchulu "/>
        <s v="The Spicy Express "/>
        <s v="Delhi Mithai wala "/>
        <s v="Amy’s cafe "/>
        <s v=" Aha Dakshin"/>
        <s v=" Tosh e daan"/>
        <s v="Midway bakers"/>
        <s v="Special 9"/>
        <s v="surabhi hotel "/>
        <s v="Bangaru Babu Biriyani"/>
        <s v="Indira Darshini tiffins"/>
        <s v="Burger King"/>
        <s v="Pandaga "/>
        <s v="SORSHE "/>
        <s v="Narthanashala "/>
        <s v="Fire Water"/>
        <s v="svs bakers  and fast food "/>
        <s v="Kings afganghan "/>
        <s v="WOW China"/>
        <s v=" N circle restaurant "/>
        <s v="Tadipatri biryani "/>
        <s v="My bowl "/>
        <s v="The Thickshake Factory "/>
        <s v=" Biryani Bahar"/>
        <s v="Barbeque nation"/>
        <s v="Frankie"/>
        <s v="Fuel Box"/>
        <s v="Cafe delhi hights"/>
        <s v="Deerga Ayushman bhava"/>
        <s v="SS Bawarchi"/>
        <s v="mana inti bojanam"/>
        <s v="Kings kohinoor hotel"/>
        <s v="Durga bhavani food zone"/>
        <s v="FOO"/>
        <s v="Khaan Saab"/>
        <s v="BEJAWADA Junction"/>
        <s v="Tteok bokki "/>
        <s v="DiD LI Arabian kitchen"/>
        <s v="The Royal Plate"/>
        <s v="IKIGAI CAFE"/>
        <s v="Chai point "/>
        <s v="Good vibes only "/>
        <s v="Sri Ramana Maharshi food court"/>
        <s v="Hillstar restaurant "/>
        <s v="Red Bucket"/>
        <s v="mysore bakery"/>
        <s v="New Tasty King Bakers"/>
        <s v="tealogy cafe"/>
        <s v="Pala pitta ruchulu"/>
        <s v="Zamana shawarma "/>
        <s v="Chanti mess "/>
        <s v="Rajasaab Royal Kitchen"/>
        <s v="Chicken shawarma hunt"/>
        <s v="Oak bistro"/>
        <s v=" Bakers harvest"/>
        <s v="Amma mess"/>
        <s v="Onesta "/>
        <s v="priyansh fast food "/>
        <s v="Labonel"/>
        <s v="Yum Yard"/>
        <s v="Desi kitchen"/>
        <s v="Telugu patnam Ruchulu "/>
        <s v="Mandi House"/>
        <s v="minerva  sweet "/>
        <s v="Dwarak multicuisine Restaurant "/>
        <s v="Fire and ice"/>
        <s v="Chutneys"/>
        <s v="Sri Raghavendra Bhavan"/>
        <s v="Red oven"/>
        <s v="Kings Kohinoor hotel "/>
        <s v="Iq shawarma "/>
        <s v="fire and ice cream"/>
        <s v="Hyde's Diner"/>
        <s v="Bakers harvest "/>
        <s v="Sha sha shandhar shawarma"/>
        <s v="7th Heaven &amp; white hart"/>
        <s v="Burfi ghar "/>
        <s v="chopsticks noodles"/>
        <s v="Akshaya bhojanam"/>
        <s v="Kingston Restaurant "/>
        <s v="Deccan Dhaba"/>
        <s v="Kajol kitchen"/>
        <s v="sardarji kitchen"/>
        <s v="Spice Theroy "/>
        <s v="Daily rituals"/>
        <s v="Tiffins and more"/>
        <s v="Aroma biryani  and pulaos"/>
        <s v="flavours of andhra "/>
        <s v="Al Aadaab Arabian Mandi "/>
        <s v="Mr Chopsticks"/>
        <s v="Burfigha"/>
        <s v="Haldirams"/>
        <s v="Arya tiffins "/>
        <s v="Murugan’s Cofee"/>
        <s v="Almond House"/>
        <s v="House of taste"/>
        <s v="kolkata food plaza"/>
        <s v="Amogha "/>
        <s v="Mezbaan"/>
        <s v="VR tiffins"/>
        <s v="Sri Ragavendra Bhavan"/>
        <s v="Maheswari balaji family dhabha "/>
        <s v="Sai Ram tiffins"/>
        <s v="Kings Restaurant and bar "/>
        <s v="Ks bakers "/>
        <s v="Bayyas Food hub"/>
        <s v="La chai de "/>
        <s v="Peshawar"/>
        <s v="Blend and roast cafe"/>
        <s v="Cashew House "/>
        <s v="Fb bakers "/>
        <s v="SK foods "/>
        <s v="Sri subham food court "/>
        <s v="Slice and sauce"/>
        <s v="Organic creamery"/>
        <s v="Peni icecandy"/>
        <s v="Lakshmi durha andhra flavours"/>
        <s v="Aamantran"/>
        <s v="Shanghai flavours of china"/>
        <s v="Baskin Robin's "/>
        <s v="RR Food Court"/>
        <s v="Karachi Bakery"/>
        <s v="Just bake "/>
        <s v="Contico "/>
        <s v="Grand bawarchi hotel"/>
        <s v="Sandwichsquare "/>
        <s v="shahi kalyani biryani"/>
        <s v="Bhimavaram Vari Unlimited Ruchulu"/>
        <s v="Momo pizza "/>
        <s v="Arya bhavan"/>
        <s v="chandini hotel  "/>
        <s v=" A1 bawarchi "/>
        <s v="Chicken shawarma Hut"/>
        <s v="The nosh bistro"/>
        <s v="Lickees "/>
        <s v="Tulja Bhavani Hotel"/>
        <s v="Dreamland bakers"/>
        <s v=" Desi Chinese "/>
        <s v=" Mahadev sweets "/>
        <s v="Theme cafe"/>
        <s v="Mandi vibes"/>
        <s v="Mahreens kitchen "/>
        <s v="Times food court "/>
        <s v="Authentic Kunda biryani"/>
        <s v="Ss live kitchen "/>
        <s v=" yum crumb waffle "/>
        <s v="Friends corner cafeteria "/>
        <s v="Fresh bakers"/>
        <s v="Street darbar "/>
        <s v="Virndhvan kitchen"/>
        <s v="Lakshmi Narasimha swgruha foods "/>
        <s v="Maya bazar "/>
        <s v="Swiss castle "/>
        <s v="Kulcha Kulture"/>
        <s v="the red box"/>
        <s v="Claysutra pottery"/>
        <s v="Eats corner restaurant "/>
        <s v="Fusion @49 "/>
        <s v="The bake factory "/>
        <s v="Nellore Padmavathi Ruchulu "/>
        <s v="My Biryani "/>
        <s v="Livora cafe and kitchen "/>
        <s v="Kings"/>
        <s v="Cherrys Restaurant "/>
        <s v="IFC Indian fav chef "/>
        <s v="Southern fusion "/>
        <s v="Pizza mania"/>
        <s v="Andhra Housz"/>
        <s v="Maska Chaska"/>
        <s v="bhamavaram"/>
        <s v="food invitation"/>
        <s v="Bites and delights"/>
        <s v="Bawarchi cafe biryani "/>
        <s v="Punjabi paratha House"/>
        <s v="Indian Mandi Restaurant "/>
        <s v="Lassi shop "/>
        <s v="Grill on fire"/>
        <s v="Lemonridge hotels "/>
        <s v="Rs biryani"/>
        <s v="Spicy Xpress"/>
        <s v="Dheeraj kheswani"/>
        <s v="Pizza zone "/>
        <s v="Eruvaaka"/>
        <s v="Bonalu kitchen "/>
        <s v="Ravoli"/>
        <s v="Maa Amrutham"/>
        <s v="Rushiba "/>
        <s v="RR Orissa dhaba"/>
        <s v="pepper Green"/>
        <s v="Hazelnut Bakers "/>
        <s v="Mayabazaar"/>
        <s v="svs bakers  and fast food"/>
        <s v="Elipayakaram "/>
        <s v="Made in Andhra "/>
        <s v="Bezawada Biryani "/>
        <s v="Aazebo"/>
        <s v="The Nawabs "/>
        <s v=" ustaads hyderabadi zaiqa "/>
        <s v="scoop icecream"/>
        <s v=" grand sons bademiyan kababs and restaurants "/>
        <s v="Spicy hut "/>
        <s v="Pasidipuri kitchen "/>
        <s v="Aahara food court "/>
        <s v="Ram ki bandi "/>
        <s v="Pepper Green "/>
        <s v="Sri poorna hotel"/>
        <s v="Elaichi fine dining"/>
        <s v="Kafika "/>
        <s v=" Hunger station "/>
        <s v="Avani Restaurant"/>
        <s v=" kitchens of masalas"/>
        <s v="The chocolate room "/>
        <s v="Rooster Kitchen "/>
        <s v="Dragon Kitchen "/>
        <s v="Rya Restaurant"/>
        <s v="Wisphot "/>
        <s v="Keventeers"/>
        <s v="Woodfire pizza"/>
        <s v="Bhattad ki idly "/>
        <s v="Akshaya bhojanam "/>
        <s v="gulf bakers"/>
        <s v="Flavours"/>
        <s v="Sindhu Tiffins &amp; Meals "/>
        <s v="Times Tiffins &amp; Meals "/>
        <s v="Cake Cafe"/>
        <s v="Kamakshi tiffins "/>
        <s v="Kamakshi snacks curries and meals - 23++"/>
        <s v="Royal odisha daba"/>
        <s v=" sk munna  restaurant "/>
        <s v="Spice kitchen "/>
        <s v="Rayalaseema spice "/>
        <s v="BTO "/>
        <s v="dwaraka multi cuisine restaurant "/>
        <s v="Midhunam "/>
        <s v="SSS shawarma"/>
        <s v="Sri Bakers "/>
        <s v="Tass spice hut "/>
        <s v="Sri sai food court"/>
        <s v="prakash meals and tiffins"/>
        <s v="Victoria tiffins and fast food "/>
        <s v="Jai murthi banglore"/>
        <s v="Southern kitchen "/>
        <s v="Spicy food court"/>
        <s v="Swach"/>
        <s v="Abhiruchi"/>
        <s v="Rao gari military hotel "/>
        <s v="Slice and Bytes"/>
        <s v="Babai ruchi mess nd biryani "/>
        <s v="Irachaku rameen house"/>
        <s v="Vellankifood"/>
        <s v="Sankla bakery "/>
        <s v="Thrivesome cafe"/>
        <s v="Chai kings"/>
        <s v="Cafe cocktail music"/>
        <s v="chinese biryani"/>
        <s v="waffle house"/>
        <s v="East and west kitchen"/>
        <s v="Chinese express "/>
        <s v="Zara hi-fi restaurant "/>
        <s v="Maddys cloud kitchen "/>
        <s v="Sip &amp; Chill onboarded "/>
        <s v="Abhiruchi "/>
        <s v="Ayansh food Court"/>
        <s v="tulsi velas"/>
        <s v="Dakshin haveli"/>
        <s v="Malabaris "/>
        <s v="hyderabad shahi restaurant "/>
        <s v="The food planet"/>
        <s v="Sarasam - cafe and restaurant "/>
        <s v="Squid kitchen - cloud kitchen "/>
        <s v="Tuyaa - cloud kitchen "/>
        <s v="Shree Raghavendra "/>
        <s v="Palle vindhu "/>
        <s v="Tazza tiffins"/>
        <s v="Malabar kitchen "/>
        <s v="Annam Parabrahma"/>
        <s v="Punjabi chasak "/>
        <s v="Nadeem hotel"/>
        <s v="Red Bucket Biryani "/>
        <s v="naidus  food court"/>
        <s v="Kings M biryani adda"/>
        <s v="hitex bawarchi restaurant"/>
        <s v=" BBQ Bites"/>
        <s v="Waffle &amp; Sip "/>
        <s v="Madura bar and restraunt "/>
        <s v="shiridi sai tiffins "/>
        <s v="tiffin xpress"/>
        <s v="preeti tiffins "/>
        <s v="Aahara Aahvanam"/>
        <s v="Preeti tiffens "/>
        <s v="Asian pan house and restraunt "/>
        <s v="Annapoorna kitchen "/>
        <s v="Thunderbolts"/>
        <s v="Ganesh tiffins"/>
        <s v="Abhiruchi tiffins and meals"/>
        <s v="Bakers corner"/>
        <s v="Heavenly Restaurant"/>
        <s v="President dhaba"/>
        <s v="Raju Gari Bhimavaram Biryani"/>
        <s v="Myfroyoland"/>
        <s v="Falak bakers and cakes"/>
        <s v="Sai Mumbai Famous "/>
        <s v="AR fast food and restaurant"/>
        <s v="Natu kitchen "/>
        <s v="Palamguru grill"/>
        <s v="shsh gouse"/>
        <s v="spices "/>
        <s v="Blue star"/>
        <s v="Hassan Diary "/>
        <s v="Sulomon kings of flavours"/>
        <s v="hotel Anand Bhavan"/>
        <s v="zumaria restaurant "/>
        <s v="Tatva Modern dining"/>
        <s v="CHAI Chasaka"/>
        <s v="Orugallu Ruchulu"/>
        <s v="Dosa hut"/>
        <s v="whisk it"/>
        <s v="Upasana's"/>
        <s v="kabul restaurant "/>
        <s v="Bhai ki chai"/>
        <s v="Hotel swaruchi"/>
        <s v="Bhimavaram Raju gari Ruchulu"/>
        <s v="Shirisha fast food "/>
        <s v="Sankar villas tiffins "/>
        <s v="Venkateswara foods  "/>
        <s v="Bobby's friend chicken "/>
        <s v="Zaiqa-11 "/>
        <s v="Al saba Restaurant "/>
        <s v="Pakka local food "/>
        <s v="lakshmi food and meals"/>
        <s v="Highway Restaurant "/>
        <s v="Madhuram Kitchen "/>
        <s v="Satti babu biryani "/>
        <s v="Arabian Mandi"/>
        <s v="Kafka house "/>
        <s v="Bezawada bhojanams and Biryanis "/>
        <s v="Ulavacharu"/>
        <s v="Dune bar and kitchen "/>
        <s v="Moms kitchen"/>
        <s v="Naughty kudi"/>
        <s v="Aadhya hotel"/>
        <s v="Kakatiya home foods"/>
        <s v="Insomnia"/>
        <s v="Dwaraka swagracha food"/>
        <s v="Sri Raghavendra vihar"/>
        <s v="Zaiqa 11"/>
        <s v="Zafaron shawarma nd Chinese fast food"/>
        <s v="Crave and corners kitchen"/>
        <s v="the spicy unions"/>
        <s v="Bhulakshmi Mess"/>
        <s v="Brost nation "/>
        <s v="oye punjabi "/>
        <s v="bab al mandi "/>
        <s v="L.K Brudavan Food court"/>
        <s v="Sandu's bakes and brews"/>
        <s v="Tiny Town cafe "/>
        <s v="Granny’s Kitchen "/>
        <s v="The exotic shawarma "/>
        <s v="Bhimavaram raju gari kodi palau"/>
        <s v="sri satti babu biryani "/>
        <s v="Sravanthi food court "/>
        <s v="Mickeys tiffin"/>
        <s v="Taaza tiffins"/>
        <s v="FIVE STAR CHICKEN "/>
        <s v="saba-e-kitchen and cafe"/>
        <s v="Anu kitchen "/>
        <s v="rowdy momo express "/>
        <s v="Sri annapoorna kitchen"/>
        <s v="Tiffin kottu "/>
        <s v="Annamaya"/>
        <s v="chicken donne biryani house "/>
        <s v="Tealogy care"/>
        <s v="padma vilas"/>
        <s v="olive garden "/>
        <s v="Sri akshaya tiffins and meals"/>
        <s v="Balaji vilas"/>
        <s v="Sri Gowras kitchen "/>
        <s v="Morine bakers "/>
        <s v="Midland bakers"/>
        <s v="ABC foods  Abiruchi biryani cafe "/>
        <s v="Blue star restaurant "/>
        <s v="Hasis pulav"/>
        <s v="Hasis kitchen "/>
        <s v="my friend circle and kitchen"/>
        <s v="Rayudu's kitchen "/>
        <s v="Tasty flavours (tiffins, meals, biryanis)"/>
        <s v="Dhabha food court"/>
        <s v="Hotel Amrutha sai "/>
        <s v="Agra sweets "/>
        <s v="Sai nadh tiffins "/>
        <s v="Sri Sai home foods and tiffins "/>
        <s v="Olive mithai"/>
        <s v="habitat cafe"/>
        <s v="Andhra bhavan"/>
        <s v="Kinnus kitchen "/>
        <s v="Saiko "/>
        <s v="Raddison blu"/>
        <s v="VVK fast food"/>
        <s v="Giri food court "/>
        <s v="Snaking cafe private limited "/>
        <s v="Mubarak cafe"/>
        <s v="season Xprs"/>
        <s v="spice soiree"/>
        <s v="Parnasala kitchen"/>
        <s v="Dine Hill "/>
        <s v="Rayudu hotels"/>
        <s v="Indru spice kitchen"/>
        <s v="Subbayamma foods"/>
        <s v="Supreeth Grand "/>
        <s v="Supreeth Curries and meals "/>
        <s v="Ma oori vanta"/>
        <s v="Exotica Z mantra of taste"/>
        <s v="Rama tiffins"/>
        <s v="Third wave coffee"/>
        <s v=" Bommarillu"/>
        <s v="Big byte"/>
        <s v="Snack bite "/>
        <s v="Chaitanya food court "/>
        <s v=" Manam Chocolate "/>
        <s v="Sravanam 4am biryani "/>
        <s v="4am kushka biryani"/>
        <s v="Zaiqa bawarchi restaurant "/>
        <s v="Hummus house"/>
        <s v="Dostan Food court (5 outlets)"/>
        <s v="A1 Chinese and fast food "/>
        <s v="Cherry restaurant "/>
        <s v="Mandi bistro"/>
        <s v="Fresh fruit juices and bowls "/>
        <s v="A1 bawarchi"/>
        <s v="Aditya kitchen"/>
        <s v="cafe coffe day"/>
        <s v="Cranelle"/>
        <s v="the gallery cafe"/>
        <s v="the chocolate room"/>
        <s v="The organic creamery "/>
        <s v="the kapoor cafe"/>
        <s v="the irawat kitchen"/>
        <s v="sri venkateswara food court"/>
        <s v="sai ristha fast food center"/>
        <s v="the shipping adda"/>
        <s v="Sree teja food court "/>
        <s v="Perch 24 cafe"/>
        <s v="hotel bheemas grand "/>
        <s v="New farasha cafe "/>
        <s v="Sri Nakshatra Chinese Hub"/>
        <s v="Club 10 Chicken "/>
        <s v="Savera hills hotel"/>
        <s v="Imperial restaurant"/>
        <s v="Hyderabad Bakehouse"/>
        <s v="King darbar hotel"/>
        <s v="Shalimar sweets"/>
        <s v="TOC Bakers and Confectioners"/>
        <s v="Varnam"/>
        <s v=" A1 hotel"/>
        <s v="Royal Bawarchi"/>
        <s v="mataam "/>
        <s v="Royal food courth "/>
        <s v="al bawadi "/>
        <s v=" SRK food court "/>
        <s v="RS hotel"/>
        <s v="ouvra"/>
        <s v="Firdous hotel"/>
        <s v="ilyaas "/>
        <s v="Rk grand restaurant "/>
        <s v="City chefs kitchen "/>
        <s v="Jai tulja bhavani curries"/>
        <s v=" khans arabian shawarma "/>
        <s v="Bagara and biryani"/>
        <s v="Rokali"/>
        <s v=" Ministry of coffee affairs "/>
        <s v="fresh and hot "/>
        <s v="makhayad al arabi "/>
        <s v="The bake box "/>
        <s v="Bejing Bistro"/>
        <s v="Sri raghavendra hotel "/>
        <s v="Sri Sai tiffin centre and curry point "/>
        <s v="shurfa  mandi "/>
        <s v="Ruchi plaza "/>
        <s v="Bait al Mandi "/>
        <s v="Limra Arabian mandi house"/>
        <s v="Sv food court "/>
        <s v="Al-Baik "/>
        <s v="Honeyman"/>
        <s v="felfelah "/>
        <s v="Klinkaara kitchen "/>
        <s v="Crispy corner "/>
        <s v="Mahabaala food Court "/>
        <s v="Aahar villas "/>
        <s v="Shakambari restraunt "/>
        <s v="Telugu aroma "/>
        <s v=" hotel city diamond "/>
        <s v="Vaibhavam restaurant "/>
        <s v="Namaste Hyderabad "/>
        <s v="Sri mamas kitchen "/>
        <s v="Bombay juice "/>
        <s v="Sabiib Restaurant Haven "/>
        <s v="Al furqan hotel"/>
        <s v="Hyderabad bake house "/>
        <s v="Royal Bawarchi "/>
        <s v="Annapurna hotel"/>
        <s v="Arabian zaiqa mandi restaurant "/>
        <s v="The Bakely cafe"/>
        <s v="Alfa madr eat "/>
        <s v="Bismillah Hotel "/>
        <s v="Shah restaurant "/>
        <s v="The Bakely bakers"/>
        <s v="The nawaabs restaurant "/>
        <s v="Hotel M S pride"/>
        <s v=" Bhai chai "/>
        <s v="The hungry spot"/>
        <s v="Dostan Biryani"/>
        <s v="Hotel chal mohana ranga biryanis"/>
        <s v="Sarvani Biryanis"/>
        <s v="Dostan Shawarma"/>
        <s v="coal spark"/>
        <s v="Dostan Meals and snacks"/>
        <s v="Dostan Fast Food"/>
        <s v="RK delux mess"/>
        <s v="Dostan Tiffin"/>
        <s v="poorna food court "/>
        <s v="Leon’s burger and wings "/>
        <s v="ALBAIK "/>
        <s v="Sri vigneshwaranellore chepala pulusu"/>
        <s v="kebabwala "/>
        <s v="Churrolto "/>
        <s v="Raasa cafe"/>
        <s v=" Aha Bhojanam"/>
        <s v=" mana ruchulu "/>
        <s v="Kkm bakers "/>
        <s v="Kittys kitchen "/>
        <s v="Punjabi Affair daba"/>
        <s v="Bingsu ice cafe"/>
        <s v="Cafe 74 "/>
        <s v="Anu kitcen"/>
        <s v="Snack bite"/>
        <s v="Zam zam fast food"/>
        <s v="Hyde’s Diner"/>
        <s v="Perch cafe "/>
        <s v="Anandha brahma"/>
        <s v="Tawakaal biryani hotel "/>
        <s v="Rk Grand "/>
        <s v="Anagha Kitchen (new cloud kitchen)"/>
        <s v="New Nisar cafe and restaurant "/>
        <s v="Saudi arabian restaurant "/>
        <s v="New pentaiah hotel"/>
        <s v="Balaji fast food "/>
        <s v=" AR Raghavendra tiffins and meals"/>
        <s v="Cake factory"/>
        <s v="Desi zayqa "/>
        <s v="Chickpet donne biryani house "/>
        <s v="Madhurams restaurant "/>
        <s v="Bahar biryani nd cafe "/>
        <s v="Manikantas eat spot "/>
        <s v="Hotel CVR"/>
        <s v="Yuman crazy fast food center"/>
        <s v="Beyniaz shawarma nd grill"/>
        <s v="7 stars Restaurant "/>
        <s v="New tasty kind bakers "/>
        <s v="srk food court "/>
        <s v="RK deluxe mess"/>
        <s v="andra ruchulu"/>
        <s v="kritunga restaurant"/>
        <s v="Errababu palaav"/>
        <s v="Athidhis kitchen"/>
        <s v="Shake it up "/>
        <s v="#just shake it "/>
        <s v="Konaseema pedi Ruchulu "/>
        <s v=" biryani adda"/>
        <s v="Charcoal shawarma "/>
        <s v="Avacado on wheels"/>
        <s v="Oh my momos "/>
        <s v="Hayansh kitchen "/>
        <s v="Nine waves Restaurant"/>
        <s v="The Boat House "/>
        <s v="Casa Hotels and Restaurants"/>
        <s v="Tealogy"/>
        <s v="Hotel athidi "/>
        <s v="Food corner"/>
        <s v="Rithvikaas kitchen"/>
        <s v="A1 hotel "/>
        <s v="City wrap and Broast"/>
        <s v=" shurfa  mandi "/>
        <s v="Ulavapadu biryani and pulaos"/>
        <s v="Araah cafe "/>
        <s v="Meridian Restaurant "/>
        <s v="Raghavendra tiffens "/>
        <s v="Shadab"/>
        <s v="Desi zayqa"/>
        <s v="Tazz biryani point"/>
        <s v=" Andhra bhavan"/>
        <s v="Universal Restaurant "/>
        <s v="Akshaya pathra"/>
        <s v="Bhavani food court"/>
        <s v="Famous arabian shawarma"/>
        <s v="Wrapes and more"/>
        <s v="The Boat House"/>
        <s v="nawabi cafeteria "/>
        <s v="Nawabi waffles and beverages "/>
        <s v="5ves Dines restaurant"/>
        <s v="Sri Raghavendra Bhavan "/>
        <s v=" Golden Pavilion "/>
        <s v=" shreya food court "/>
        <s v="Srija home foods and curry point "/>
        <s v="D and D caterers "/>
        <s v="Biryani Adda "/>
        <s v="Balle balle punjabi "/>
        <s v="Arunachala cafe "/>
        <s v="Swathi tiffens "/>
        <s v="gayatri bhavan "/>
        <s v="Kritunga Restaurant "/>
        <s v=" harika mess"/>
        <s v="The food court "/>
        <s v="Bandhan mithai vatika "/>
        <s v="Raghuram dosa "/>
        <s v="amans food court "/>
        <s v="Amulya Abhiruchi"/>
        <s v="Corner centrer Bakery, fast food, juice and milk shake, Meals and biryani "/>
        <s v="corner center fast food"/>
        <s v="corner center juice  and milk shake"/>
        <s v=" corner center Meals and biryani "/>
        <s v="Caffeine hub "/>
        <s v="Amulya Abhiruchi Biryani"/>
        <s v="Amulya Abhiruchi Fast Food"/>
        <s v="Aadhya Food Court"/>
        <s v="Slice and bytes Food Court"/>
        <s v="Slice and Bytes Biryani"/>
        <s v="Relax cafe "/>
        <s v="Reddy Brothers Tiffins "/>
        <s v="A1 bawarchi "/>
        <s v="Chai kaburlu "/>
        <s v="Brownies bakery "/>
        <s v="Svs special village  spices"/>
        <s v="Telugu ruchulu"/>
        <s v="T vannam "/>
        <s v="DSD Cafe "/>
        <s v="Maruthi tiffins "/>
        <s v="Midhunam tiffins and snacks "/>
        <s v=" telugu cuisine "/>
        <s v="Mini udipis"/>
        <s v="Crispy crunch dinner "/>
        <s v="Appi natural "/>
        <s v="Sri Teja’s kitchen "/>
        <s v="Classic crown "/>
        <s v="Klassic Baker's and shawarma cafe"/>
        <s v="biryani ustad "/>
        <s v="Aaha Amrutulya"/>
        <s v="Shwarma kingdom"/>
        <s v="Epic Bawarchi"/>
        <s v="Epic Bawarchi Tiffin Centre"/>
        <s v="Bantu gadi food court"/>
        <s v="The Chinese Zhang Family Kitchen"/>
        <s v="Nellore Vantakalu"/>
        <s v="Healthy Juices Promised"/>
        <s v="Beyond Kimchi – The Taste of Korea"/>
        <s v="The English Kitchen"/>
        <s v="Vizag Beach Street Food"/>
        <s v="Mana Vizag Ruchulu"/>
        <s v="Healthy Food Promised"/>
        <s v="Military Reddy Tiffins"/>
        <s v="Sip of Health"/>
        <s v="The Brazilian Juice Bar"/>
        <s v="The Nice Juice Junction"/>
        <s v="Andhra Ruchlu"/>
        <s v="Millet marvels"/>
        <s v="Dum biryani Adda"/>
        <s v=" Audio Cup"/>
        <s v="All seasons express "/>
        <s v="B.V.S pradeep varma"/>
        <s v="Baskin Robbins "/>
        <s v="biryani wala and co"/>
        <s v="Bismillah restaurant "/>
        <s v="Cafe Chaiminar "/>
        <s v="Chamkila "/>
        <s v="Chatoros"/>
        <s v="Crispy hot wings"/>
        <s v="Deccan Bawarchi "/>
        <s v="Dosa mart"/>
        <s v="Eat hot 1 "/>
        <s v="Godavari vari vindhu maryada "/>
        <s v="Green bawarchi"/>
        <s v="haji ali fresh"/>
        <s v="Hot moms"/>
        <s v="Hot shawarma nd wings"/>
        <s v="Hot wings"/>
        <s v="joharfa"/>
        <s v="Kelvin scale absolute icecream "/>
        <s v="Konaseema peddiraja Ruchulu "/>
        <s v="Konaseema peddiraju Ruchulu"/>
        <s v="Konseema pedi raju ruchulu "/>
        <s v="lasya faast food"/>
        <s v="Maharaja chat and food "/>
        <s v="Mallesh mama fast food"/>
        <s v="Manikantas eat hot spot "/>
        <s v="Maruthi Tiffins"/>
        <s v="Meenakshi Cafe "/>
        <s v="Mexician Fried Chicken"/>
        <s v="Mummy ki rassoi/amritsar dhaba/wok33"/>
        <s v="N hot chinese"/>
        <s v="Nikhil feast"/>
        <s v="Nostic natural fruit ice cream "/>
        <s v="Olive Mithai Shop"/>
        <s v="Om Sri Balaji food court "/>
        <s v="Pulaos and bagara"/>
        <s v="Puppalguda, golden temple branches"/>
        <s v="Ram’s Dosa House "/>
        <s v="Rayalaseema Biryani "/>
        <s v="Rayudu hotels "/>
        <s v="Res is under partnership."/>
        <s v="Saabi arabian mandi "/>
        <s v="Sai nagarjuna tiffins "/>
        <s v="Sainadh food court "/>
        <s v="Second wife "/>
        <s v="Shri Balaji chennai spice restaurant "/>
        <s v="Shri balaji chennai spices"/>
        <s v="SK kitchen"/>
        <s v="Southern Mirchi "/>
        <s v="Sozo cakery &amp; Cafe "/>
        <s v="SRG Restro inn"/>
        <s v="Sri Govinda udipi veg"/>
        <s v="street view express "/>
        <s v="Teaology "/>
        <s v="The kebab house"/>
        <s v="Venkateshwara food court 3 outlets and "/>
        <s v="Wanderlust "/>
        <s v="captains kunafa"/>
        <s v="Annapurna Hotel and tiffins "/>
        <s v="Dine O china"/>
        <s v="The Tasty chapter "/>
        <s v="Biryani Mandirr "/>
        <s v=" House of dosas "/>
        <s v="Meenakshi Cafe"/>
        <s v="Koodu - the taste of Telangana "/>
        <s v="Vasistas Biryanis non veg curries"/>
        <s v="Hammayya kadupu nindindi "/>
        <s v="Gottipati Military Hotel"/>
        <s v="Raam ka Adda, Narsingi - Puppalaguda Main Rd, Anupama Homes, Manikonda, Hyderabad, Telangana 500089"/>
        <s v="Butter bunnie "/>
        <s v="Mandi bistro "/>
        <s v="Harisha tiffens "/>
        <s v="Monkeys cafe"/>
        <s v="Best biryanis "/>
        <s v="SweetsDude"/>
        <s v="Kanakadurga Tiffins"/>
        <s v="Chamkila asked to share proposal on mail"/>
        <s v="Machili Patnam "/>
        <s v="Chaitanyas modern kitchen "/>
        <s v="Smoke shack "/>
        <s v=" shreya fast food and momo "/>
        <s v="zaiqa bawarchi "/>
        <s v="Delight kitchen"/>
        <s v="Annapurna mess "/>
        <s v="pakka non veg "/>
        <s v="Srijas food and currys"/>
        <s v="Kavyam"/>
        <s v="Sri vengamamba deluxe mess "/>
        <s v="Hanvika Grand Fast Food"/>
        <s v="Hanvika Grand Biryani"/>
        <s v="Good morning cafe fast food"/>
        <s v="Good morning cafe"/>
        <s v="My 3 kitchen biryani"/>
        <s v="My 3 kitchen Chinese"/>
        <s v="My3 kitchen tiffins"/>
        <s v="My3 kitchen meals and curries"/>
        <s v="Aahara Aahvanam juices and icecreams"/>
        <s v="Aahara Aahvanam Chinese"/>
        <s v="Aahara Aahvanam meals and curries"/>
        <s v="Aahara Aahvanam tiffins"/>
        <s v="The hungry kitchen"/>
        <s v="Anji meals"/>
        <s v="Anji tiffins"/>
        <s v=" millet marvels "/>
        <s v="Spicy Restaurant "/>
        <s v="New Chanti Mess"/>
        <s v="Big guys wings and burgers"/>
        <s v="Resto GOLDEN BARREL"/>
        <s v="Vepuris Biryani "/>
        <s v="Arya Bhavan "/>
        <s v="Prathista food court"/>
        <s v="PK FOOD Court"/>
        <s v="Dorasani Chethivanta"/>
        <s v="Taaza tiffens "/>
        <s v="RUCHI CURRY POINTS "/>
        <s v=" Konaseema Ghumaghumalu "/>
        <s v="Butter bunnies "/>
        <s v=" THE BOAT HOUSE"/>
        <s v="Sri Shakambhari Restaurant "/>
        <s v="Darbar street "/>
        <s v="Dumont Creamery "/>
        <s v="Baburao gari Biriyani"/>
        <s v="Bawarchi mandi and biryani"/>
        <s v="Mandi specials and Biryani"/>
        <s v="Balaji Dhaba"/>
        <s v="Prince House Family Restaurant "/>
        <s v="Delicia "/>
        <s v="ATHITHI BIRIYANI RUCHULU "/>
        <s v="Mini cafe "/>
        <s v="Rishitha curries and biryani"/>
        <s v="Arambam "/>
        <s v="Cafe Hyd"/>
        <s v="anmol continental "/>
        <s v="Avani restaurant "/>
        <s v="swadist super sweets &amp; restaurant  Cuisine:- South Indian &amp; desserts "/>
        <s v="Kamat hotel "/>
        <s v="Chinese Adda &amp;"/>
        <s v="Sri sai bakers"/>
        <s v=" hare krishna family dhaba  "/>
        <s v="Friends N Cafe "/>
        <s v="krishna tiffins and mess "/>
        <s v="hillstar"/>
        <s v="harika mess "/>
        <s v=" sri sai food court "/>
        <s v="Lotus Biryani and Fast Food"/>
        <s v="Ellipaya karam express"/>
        <s v="Chittibabu Biriyani "/>
        <s v="The eatery hub "/>
        <s v="Bengali food plaza"/>
        <s v="Burgers and pizzas "/>
        <s v="cheese and mix kitchen "/>
        <s v="Mohammedia shawarma "/>
        <s v="Sai Darshini Tiffins"/>
        <s v="Almas Restaurant"/>
        <s v="by the bay"/>
        <s v="Pakka Telangana "/>
        <s v="Ahmed restaurant "/>
        <s v="Swamy’s Kitchen"/>
        <s v="Chopsticks "/>
        <s v=" 7 sauces"/>
        <s v="Scoops "/>
        <s v="Sd food Court "/>
        <s v="Lebanese grill "/>
        <s v="chichas"/>
        <s v="Karam dosa "/>
        <s v="Aroma Cafe"/>
        <s v="Bhawaanee multi cusine restraunt "/>
        <s v="Kathmandu momos "/>
        <s v=" hillstar "/>
        <s v="Lucky restaurant "/>
        <s v="Bhadrachalam cafe "/>
        <s v="Idv kitchen "/>
        <s v="Poruginti chepala pulsu"/>
        <s v="marjaan hotel "/>
        <s v="Hotel the Nawabi zaiqa "/>
        <s v="Ideal Kitchen"/>
        <s v="Taiba bakery and cafe "/>
        <s v="Shringeri kitchen "/>
        <s v="90s Biryani "/>
        <s v="Prathiyaka the kitchen "/>
        <s v="Dum maaro dum "/>
        <s v="Rushibha kitchen"/>
        <s v="Ammamma Gari illu "/>
        <s v="makers of milkshake "/>
        <s v="Udipis ahaara arogya"/>
        <s v="makhayad al arabi restaurant"/>
        <s v="Gummadi foods"/>
        <s v="Sree Sai foods"/>
        <s v="felfelah"/>
        <s v="Pulao Kitchen.com"/>
        <s v="Al Baik "/>
        <s v="Babu gari ruchulu "/>
        <s v="Dostea "/>
        <s v="Udupi uphar "/>
        <s v="Ustaad "/>
        <s v="azebo "/>
        <s v="Sri Sai Raghavendra tiffins and meals "/>
        <s v="Sri bakers"/>
        <s v=" ice station"/>
        <s v="Bikanerwala "/>
        <s v="Mc cafe "/>
        <s v=" go fresh "/>
        <s v="Seoul soul "/>
        <s v="Mr . Jimmy "/>
        <s v="Pizza Hut"/>
        <s v="KFC "/>
        <s v="The Mamindla Restaurant "/>
        <s v="MFC"/>
        <s v="shawarma zone "/>
        <s v="Momo street and waffles and more "/>
        <s v="Pista house"/>
        <s v=" Cafe coffee day "/>
        <s v="Hotel Sree Ram"/>
        <s v="Open heart restaurant "/>
        <s v=" Rajamundry vaari real rose milk "/>
        <s v=" Gen z flavoria "/>
        <s v=" Iyengar bakery "/>
        <s v="Royal Kitchen "/>
        <s v="The Ramaram cafe"/>
        <s v="Mini cafe"/>
        <s v="Persis cafe"/>
        <s v="K.G.N"/>
        <s v=" Al saba Restaurant"/>
        <s v="Sri vengamamaba Deluxe mess "/>
        <s v=" Red pepper"/>
        <s v="Toops"/>
        <s v="The hotel in the wall"/>
        <s v="Victoria Restaurant "/>
        <s v="Abhiruchi Food court"/>
        <s v="Hyderabad host "/>
        <s v="Sharma foods"/>
        <s v="Zucifera "/>
        <s v="Cafe Melli And Bakery"/>
        <s v="RK biryani"/>
        <s v="shake it up"/>
        <s v="Sumeet Foods"/>
        <s v="Scandy"/>
        <s v="Madhapur Bawarchi "/>
        <s v="shangai fast foods"/>
        <s v="Kokko Roko"/>
        <s v="hill star"/>
        <s v="Red bucket biryani"/>
        <s v="Rayalaseema spicy pot biryani"/>
        <s v=" prime deccan restaurant "/>
        <s v="Imperial Restaurant "/>
        <s v="A1Hotel "/>
        <s v="royal family dhaba"/>
        <s v="Souskis foodies club "/>
        <s v="Verendar "/>
        <s v="Udipis uphar"/>
        <s v="Sri vijaya laxmi  food court"/>
        <s v="Palumuru Grill"/>
        <s v="Brown bear bakers "/>
        <s v=" B.Bichareddy Pure ghee sweets &amp; cookies "/>
        <s v="sai martha food court "/>
        <s v="Kolkata Food plaza "/>
        <s v="Bakers corner "/>
        <s v="almas restaurant "/>
        <s v="Al faizan arabian mandi "/>
        <s v="Captain cook "/>
        <s v="santosh dhaba "/>
        <s v="Roti Stori"/>
        <s v="Amogha Cafe"/>
        <s v="The Cevirma"/>
        <s v="Tibb’s frankie"/>
        <s v="krishna udipi Park"/>
        <s v="Sri Nandhini Food and beverages"/>
        <s v="Madhu Restaurant "/>
        <s v="Ahaa kitchen "/>
        <s v=" Anandobhrahma"/>
        <s v="Exotica Slice and Sauce Private Limited"/>
        <s v="Sri Lakshmi's Kitchen"/>
        <s v="CVS sripada food court "/>
        <s v="Ruchi chupistha"/>
        <s v="Biryani Patnam"/>
        <s v="RK foods "/>
        <s v="Karthikeya Jain dosas "/>
        <s v="Hotel Nawabi veg curries "/>
        <s v="The shawarma"/>
        <s v="Hyderabadi chicken dum biryani adda "/>
        <s v="The parothas"/>
        <s v="The hotel Nawabi zaiqa beverages "/>
        <s v="Ugadhi Cafe "/>
        <s v=" IDV Kitchen Muntha masala"/>
        <s v="Karthikeya chitti nethi idly "/>
        <s v="Nawabi Chinese zaiqa"/>
        <s v="The Nawabi pulkas"/>
        <s v="Zaiqa Non veg curries "/>
        <s v="The rice bowls "/>
        <s v="Royal family dhaba kabab"/>
        <s v="The shawarma "/>
        <s v="The munchies momo"/>
        <s v="Bamboo chicken"/>
        <s v="Biryani and more"/>
        <s v="Burger munchies"/>
        <s v="The sandwiches"/>
        <s v="Pot biryani"/>
        <s v="Pragatee kitchen "/>
        <s v="Sha Sha Shawarma "/>
        <s v="The hazel nut co"/>
        <s v="shadruchulu"/>
        <s v="The one and only tasty "/>
        <s v="Kings bakers "/>
        <s v="dwaraka mai tiffins "/>
        <s v="Alhamduillah hotel "/>
        <s v="Royal hotel "/>
        <s v="Lucky multicusine "/>
        <s v="Sip N Scoop "/>
        <s v="Dakshina desapu ruchulu "/>
        <s v="Mr Fast food"/>
        <s v="Ag food court"/>
        <s v="Poriginti chapala pulsu"/>
        <s v="The manager of minyu "/>
        <s v="rajamahendravaram pulav centre "/>
        <s v="Mr cook "/>
        <s v="Hamara adda"/>
        <s v="Mandilicious"/>
        <s v="Hotel valentine "/>
        <s v=" Naidu Gari Kunda Biryani "/>
        <s v="Rk brundavan food court"/>
        <s v="Sr food court"/>
        <s v="Sri tiffins meals"/>
        <s v="Pondy parrottas "/>
        <s v="Sangamesh fast food "/>
        <s v="raheem pulav"/>
        <s v="Lakshmi Prasanna Andhra  mess"/>
        <s v="Cream town"/>
        <s v="No name of the restarunt"/>
        <s v="mamus kitchen "/>
        <s v="Godavari Food court"/>
        <s v=" varahi foods "/>
        <s v="Maa Bhojanam "/>
        <s v="Sri Balaji bakers"/>
        <s v="Vaikunta Foods "/>
        <s v="Sri Harsha deluxe mess "/>
        <s v="Madrasi military hotel "/>
        <s v=" Bhagavathi fast foods"/>
        <s v="Suvi’s Bistro"/>
        <s v="one stop cafe "/>
        <s v="Pulavs by one kitchen "/>
        <s v="Mad over Maggies "/>
        <s v="Om Sri Hanuman Foods"/>
        <s v="Balaji Muntha Masala"/>
        <s v="Balaji Kitchens"/>
        <s v="Adbuthaha tiffins"/>
        <s v="Tea time"/>
        <s v="Aroma Authentic kitchens Aroma Biryanis and palauos "/>
        <s v="Aroma Meals and Chinese"/>
        <s v="Ayan foods"/>
        <s v="Sirf Chinese"/>
        <s v="Sens detox delight"/>
        <s v="VHR’s tea and coffee"/>
        <s v="Kbr pop corn chicken"/>
        <s v="Rk Chinese"/>
        <s v="Mr cook"/>
        <s v="Vinayaka tiffens"/>
        <s v="Dfc (dodla fired chicken )-"/>
        <s v="Kbr cripsy chicken"/>
        <s v="Sens detox fit fuel break fast "/>
        <s v="Souskis food club "/>
        <s v="Babu Gari Biryani"/>
        <s v="Ala konaseemalo Biryani"/>
        <s v="Mammus chinese kitchen"/>
        <s v="Babu garu ruchulu and curry point"/>
        <s v="mammu's kitchen"/>
        <s v="Ala konaseemaloo"/>
        <s v="prime deccan restaurant "/>
        <s v="Hotel Yousufain Kalyani "/>
        <s v="Chowman"/>
        <s v="Celebs Reloaded "/>
        <s v=" godavari food court "/>
        <s v="Qubz "/>
        <s v="Ganesh foods"/>
        <s v="Mathani juice Hub"/>
        <s v=" vasireddy swagraha foods "/>
        <s v="slv banglore iyengar bakery"/>
        <s v="Moksh food corner"/>
        <s v=" Lickees "/>
        <s v="apsara badam milk"/>
        <s v="Chutneys "/>
        <s v=" Eruvaka Tiffins "/>
        <s v="Go rang kitchen "/>
        <s v="Vada Pav station"/>
        <s v="Ram ki Bandi"/>
        <s v="Mohammedia Shawarma"/>
        <s v="Sri Sai famous Udipi &amp; tiffins "/>
        <s v="Baburao gari biryani"/>
        <s v="Sri Venkateshwara hospitalites (Kondapur) Monday Restaurant "/>
        <s v="Sri Venkateshwara hospitalites (Kondapur) Kunafa Cravings"/>
        <s v="Candella heights llp ( Gachibowli) Monday Restaurant "/>
        <s v="Shriman Hotels llp (Madhapur) Monday Restaurant "/>
        <s v="Muisyle elite hospitality management llp (Madhapur)"/>
        <s v="The red box "/>
        <s v="Wine dine Restaurant"/>
        <s v="Eerabau pulav "/>
        <s v=" Godavari chepala Pulusu "/>
        <s v="Butter Bunnie"/>
        <s v="Srinidhi food zone "/>
        <s v="konaseema vantillu "/>
        <s v="Delizia Cafe "/>
        <s v="Rainbow foods "/>
        <s v="Maska Chaska the fast food company"/>
        <s v="Mista Eats"/>
        <s v="Panchabhakshya"/>
        <s v="Masala Restaurant ( Bombay canteen )"/>
        <s v="Naivedya (taste of prasadam)"/>
        <s v="sri thirumal bakers"/>
        <s v="Sri Gokul tiffin center "/>
        <s v="Zufra mandi "/>
        <s v="Vijwal grand restaurant "/>
        <s v="Vaibhav restaurant "/>
        <s v="Sri ankapur bhojanam"/>
        <s v="Ravulapalem Vantillu"/>
        <s v="lassi story "/>
        <s v="Sri vasista foods"/>
        <s v="Mr .Shawarma and ms.Shawarma "/>
        <s v="Pulnadu ruchulu"/>
        <s v="Spicy table"/>
        <s v="Zamindar's cafe"/>
        <s v="shah gouse "/>
        <s v="Guntur Gongoore"/>
        <s v="Anandhobhrama "/>
        <s v="Hari dosa"/>
        <s v="Amogha pure veg"/>
        <s v="Madhu restraunt"/>
        <s v="Harsha delux mess "/>
        <s v="Amaravati tiffens"/>
        <s v="Burma Burma "/>
        <s v="The Telugu Medium"/>
        <s v="Garuda cafe "/>
        <s v="Gonguras by Garuda (new outlet) "/>
        <s v="Punjabi Affair"/>
        <s v="Suto cafe "/>
        <s v=" smoky docky "/>
        <s v="Chinese wok "/>
        <s v="Grand lucky restaurant"/>
        <s v="Prathika fast food and biryani centre"/>
        <s v=" Lassi story "/>
        <s v="Bahar cafe"/>
        <s v=" Cake factory "/>
        <s v="Kadak house "/>
        <s v="Bhojanam thayaru "/>
        <s v="Bakelore"/>
        <s v="minsitry of coffee affairs"/>
        <s v="the big cup theory "/>
        <s v="BURN "/>
        <s v=" BURN"/>
        <s v="Anandobrahma "/>
        <s v="aaha kitchen "/>
        <s v=" hyderabad hosts"/>
        <s v="circars burgars "/>
        <s v="kebabs of Kumbhakk "/>
        <s v="varahi foods "/>
        <s v="zamindar restaurant "/>
        <s v="ULAVAPADU BIRYANI AND PULAO'S"/>
        <s v="Olden days Tiffens "/>
        <s v="Vasista Sri laxmi "/>
        <s v="nannayya"/>
        <s v="Suvi’S Bistro "/>
        <s v="Togo"/>
        <s v="Kochin spice,southern spice and kafika"/>
        <s v="Kochin spice "/>
        <s v="Bojanam thalli "/>
        <s v="Golkanda chef "/>
        <s v="Curry man "/>
        <s v="Hulchal desserts and bakers "/>
        <s v=" sree   harsha delux mess"/>
        <s v="Tadipathri biryani "/>
        <s v="Sorche "/>
        <s v="Pandga "/>
        <s v="Dine in china "/>
        <s v="Rajamahendravaram Palavu Center"/>
        <s v="hotel vishnu sree"/>
        <s v="angaara restaurant "/>
        <m/>
      </sharedItems>
    </cacheField>
    <cacheField name="location " numFmtId="0">
      <sharedItems containsBlank="1">
        <s v="Ameerpet "/>
        <m/>
        <s v="Ameerpet"/>
        <s v="Somajiguda"/>
        <s v="Kukatpally"/>
        <s v="Kondapur/miyapur/Chandanagar"/>
        <s v="Jubliee Hills"/>
        <s v="Kondapur"/>
        <s v="Mehdipatnam"/>
        <s v="Hitech-city"/>
        <s v="Hitech city "/>
        <s v="Madhapur"/>
        <s v="towli chowki"/>
        <s v="Towlichowki"/>
        <s v="medhipatnam"/>
        <s v="jubliee hills "/>
        <s v="Mehdipatnam "/>
        <s v="Banjara hills,beside tv9"/>
        <s v="Panjagutta "/>
        <s v="Tolichowki "/>
        <s v="Kukatpally "/>
        <s v="Amerrpet"/>
        <s v="Madhura nagar"/>
        <s v="madhura nagar "/>
        <s v="gachibowli "/>
        <s v="Hakimpet"/>
        <s v="moosapet"/>
        <s v="Mossapet"/>
        <s v="sri nagar colony"/>
        <s v="abbas"/>
        <s v="ammerpet "/>
        <s v="sr nagar"/>
        <s v="banjra hills "/>
        <s v="SR.Nagar"/>
        <s v="ameetpet"/>
        <s v="samdar"/>
        <s v="Yousufguda"/>
        <s v="Yosufguda "/>
        <s v="Yousufguda "/>
        <s v=" "/>
        <s v="Banjara hills "/>
        <s v=" Kondapur"/>
        <s v="Begumpet "/>
        <s v=" Banjara Hills JVK One"/>
        <s v="Banjara hills"/>
        <s v="JVK one banjara hills"/>
        <s v="JVK one"/>
        <s v=" jvk one Banjara hills"/>
        <s v="Punjaguta"/>
        <s v="Srinagar colony "/>
        <s v=" Banjara hills gvk one"/>
        <s v="Sai Ram nagar"/>
        <s v="panjagutta"/>
        <s v="begumpet"/>
        <s v="Rasoolpura"/>
        <s v="Rasoolpura "/>
        <s v="Ahan "/>
        <s v="Hafeezpet"/>
        <s v="Kothaguda "/>
        <s v="Kothaguda"/>
        <s v="Gachibowli"/>
        <s v="Hitech city"/>
        <s v="Jubilee hills"/>
        <s v="Tolichowki"/>
        <s v="jublii hills "/>
        <s v="toulichowki"/>
        <s v="toulichowki "/>
        <s v="shariq"/>
        <s v="Hafeezpet "/>
        <s v="Financial district "/>
        <s v="Financial District"/>
        <s v="Punjagutta"/>
        <s v="Hi-tech City "/>
        <s v="Youfuguda "/>
        <s v="Kismatpur "/>
        <s v="Madhapur "/>
        <s v="manikonda "/>
        <s v="chinna"/>
        <s v="Hyder nagar"/>
        <s v=" Bunty "/>
        <s v="Khairatabad"/>
        <s v="Erragada "/>
        <s v="sherlingampally"/>
        <s v="Masab Tank "/>
        <s v="Lakidikapool"/>
        <s v=" Jubilee Hills "/>
        <s v="S R nagar"/>
        <s v="Langar Houz "/>
        <s v="Kphb"/>
        <s v="Sherligampally"/>
        <s v="Sherligampally "/>
        <s v="Lanagara house "/>
        <s v="Raidurg"/>
        <s v=" Kukatpally"/>
        <s v="Nizampet"/>
        <s v="Miyapur "/>
        <s v="miyapur"/>
      </sharedItems>
    </cacheField>
    <cacheField name="poc name" numFmtId="0">
      <sharedItems containsBlank="1">
        <s v="tarun "/>
        <s v="mukesh "/>
        <m/>
        <s v="Akhil Reddy"/>
        <s v="Sai Krishna"/>
        <s v="Muqeeb"/>
        <s v="Dinesh reddy"/>
        <s v="Anil"/>
        <s v="Manoj"/>
        <s v="zaki"/>
        <s v="Khasim"/>
        <s v="Naveen reddy"/>
        <s v="Satya"/>
        <s v="Mahesh"/>
        <s v="Rohith"/>
        <s v="Anji"/>
        <s v="Danial"/>
        <s v="uma(owner)"/>
        <s v="Chandu"/>
        <s v="Zakil(owner)"/>
        <s v="Zunaid"/>
        <s v="shankara vara prasad"/>
        <s v="Abhishek"/>
        <s v="Rajesh"/>
        <s v="santosh"/>
        <s v="sadhaam(manager)"/>
        <s v="Ashwaq"/>
        <s v="Arvind Chowdary(owner)"/>
        <s v="majid "/>
        <s v="upendra"/>
        <s v="manoj and area manager (Avinash)"/>
        <s v="swathi(manager)"/>
        <s v="chandrashekar"/>
        <s v="Bala"/>
        <s v="Naveen "/>
        <s v="kajal"/>
        <s v="Ali firoz"/>
        <s v="Fayz"/>
        <s v="srinu"/>
        <s v="sahil"/>
        <s v="Rajshekhar(owner)"/>
        <s v="surjit,Rithik(marketing team)"/>
        <s v="syed varis(owner)"/>
        <s v="ali"/>
        <s v="syed habid "/>
        <s v="prabhakar"/>
        <s v="rahini "/>
        <s v="narsigin rao"/>
        <s v="zubair"/>
        <s v="venkatesh"/>
        <s v="Rupesh "/>
        <s v="Raghav"/>
        <s v="Shakeel"/>
        <s v="Ayub Quereshi"/>
        <s v="Shankar"/>
        <s v="Mahesh war rao"/>
        <s v="Ramya"/>
        <s v="Thalmal"/>
        <s v="Pradeep"/>
        <s v="Dhakshina murthy"/>
        <s v="srinivas"/>
        <s v="srinivas "/>
        <s v="sandhya rani"/>
        <s v="abdul"/>
        <s v="Balu"/>
        <s v="adi"/>
        <s v="Chandrashekhar"/>
        <s v="ashfaq"/>
        <s v="deepak"/>
        <s v="Jagdish roy"/>
        <s v="ibrahim"/>
        <s v="hari"/>
        <s v="Raza"/>
        <s v="sridhar"/>
        <s v="sameer"/>
        <s v="mohd amjad khan"/>
        <s v="manasa.chigurupati@capsdelivery.com"/>
        <s v="Arvind Reddy "/>
        <s v="aliaz"/>
        <s v="Pranay "/>
        <s v="Abib"/>
        <s v="Hussain"/>
        <s v="abrar"/>
        <s v="Abdul malik"/>
        <s v="shakeel "/>
        <s v="Prashant reddy"/>
        <s v="Nagendra"/>
        <s v="Hazrat"/>
        <s v="raju"/>
        <s v="mahesh(nikithi)"/>
        <s v="shekhar"/>
        <s v="Mahesh "/>
        <s v="Thaiq,manchu manoj(owner)"/>
        <s v="sajaz"/>
        <s v="wajid"/>
        <s v="param"/>
        <s v="Basha"/>
        <s v="krishna"/>
        <s v="shiva"/>
        <s v="vijay"/>
        <s v="praveen"/>
        <s v="jeff"/>
        <s v="sai kiran"/>
        <s v="sirish"/>
        <s v="khan saaab"/>
        <s v="sandeep"/>
        <s v="giri"/>
        <s v="Naveen"/>
        <s v="Ram"/>
        <s v="Dilip"/>
        <s v="Awaiz "/>
        <s v="sharan"/>
        <s v="Divya"/>
        <s v="padmavathi"/>
        <s v="Nageshwar Rao"/>
        <s v="santhosh"/>
        <s v="vishnu"/>
        <s v="venkat reddy"/>
        <s v="sohail"/>
        <s v="Gulam"/>
        <s v="chadra shekar"/>
        <s v="atif ali"/>
        <s v="srikanth"/>
        <s v="sreedhar"/>
        <s v="chandra kant"/>
        <s v="Durga"/>
        <s v="Abhimanyu"/>
        <s v="Tharbaiz"/>
        <s v="Aashritha"/>
        <s v="UMAR"/>
        <s v="pruthiv"/>
        <s v="kali"/>
        <s v="naresh"/>
        <s v="sudhakar"/>
        <s v="sai"/>
        <s v="prasad"/>
        <s v="banjara hills"/>
        <s v="sarath "/>
        <s v="Jeevan"/>
        <s v="hemanth"/>
        <s v="prasad "/>
        <s v="ganesh"/>
        <s v="sekar"/>
        <s v="ranjan"/>
        <s v="shaheb,piyush(owner)"/>
        <s v="Madhushekar "/>
        <s v="Owner(Vamshi)"/>
        <s v="Jamindar "/>
        <s v="Naveen Choudhary"/>
        <s v="Mirza"/>
        <s v="Haritha "/>
        <s v="Sudhakar reddy "/>
        <s v=" charan"/>
        <s v="satyam"/>
        <s v="venu"/>
        <s v="Jaffar(manager)"/>
        <s v="Rama krishna"/>
        <s v="gaurav arora"/>
        <s v="sahithi"/>
        <s v="mohammed "/>
        <s v="Ahmed"/>
        <s v="Poc Chandrashekar "/>
        <s v="sridar"/>
        <s v="Kedarnath reddy"/>
        <s v="mubeen"/>
        <s v="Rohan"/>
        <s v="Raviteja"/>
        <s v="Sri Ram"/>
        <s v="Rama"/>
        <s v="Suresh"/>
        <s v="Deepak "/>
        <s v="Deva"/>
        <s v="Mohammad "/>
        <s v="Shekar"/>
        <s v="Vidhya sagar"/>
        <s v="Rajab Ali "/>
        <s v="Vijay Kumar "/>
        <s v="Sujith"/>
        <s v="Balaji"/>
        <s v="keshava reddy"/>
        <s v="Suresh "/>
        <s v="Charan"/>
        <s v="prem"/>
        <s v="Ravi"/>
        <s v="Suraj "/>
        <s v="Srinivas reddy"/>
        <s v="Venkat "/>
        <s v="Venkateshwar Rao(Owner)"/>
        <s v="Laxmi Narayan "/>
        <s v="Aditya "/>
        <s v="Ajay "/>
        <s v=" Shabaz"/>
        <s v="P rohit(owner)"/>
        <s v="Shoukat "/>
        <s v="sai "/>
        <s v="koushik "/>
        <s v="Raj"/>
        <s v="chandu "/>
        <s v="Praveen raju"/>
        <s v="Adhil "/>
        <s v="Sudhanshu "/>
        <s v="Muzzammil "/>
        <s v="manohar"/>
        <s v="Mohan Singh"/>
        <s v="Vikram(Owner)"/>
        <s v="jagan"/>
        <s v="Khaeel"/>
        <s v="Anoop "/>
        <s v=" Yashwant sai"/>
        <s v="Raj Kumar "/>
        <s v="Priyan "/>
        <s v="Khaleel "/>
        <s v="Rakesh "/>
        <s v="Dheeraj "/>
        <s v="Sravan"/>
        <s v="dinesh "/>
        <s v="vinay"/>
        <s v="Rehamed "/>
        <s v="Shyam"/>
        <s v="Syed"/>
        <s v="Nadeem"/>
        <s v="Joshua "/>
        <s v="khalid "/>
        <s v="ashish "/>
        <s v="Satish "/>
        <s v="azhar"/>
        <s v="Rahul Gupta"/>
        <s v="Teja"/>
        <s v="Srikant Reddy"/>
        <s v="Navven"/>
        <s v="santhosh "/>
        <s v="sultan  "/>
        <s v="Devendar "/>
        <s v="Gurvinder Singh"/>
        <s v="Jubliee hills"/>
        <s v="mujeeb"/>
        <s v="Sumit bajaj"/>
        <s v="Sushmitha"/>
        <s v="Arun"/>
        <s v="gopal "/>
        <s v="Pradeep "/>
        <s v="Sai Ram"/>
        <s v="probin"/>
        <s v="david"/>
        <s v="Akash "/>
        <s v="Zia "/>
        <s v="mohamad"/>
        <s v="Gopinath "/>
        <s v="Savitha "/>
        <s v="Bhanu prakash"/>
        <s v="Santosh "/>
        <s v="Navven "/>
        <s v="devi sri"/>
        <s v="Zinia "/>
        <s v="Kalyan "/>
        <s v="siraj "/>
        <s v="Sathyam "/>
        <s v="rohit "/>
        <s v="Vijay "/>
        <s v="Ameenudden"/>
        <s v="Aslam"/>
        <s v="Fasiuddin "/>
        <s v="akhila.narra@capsdelivery.com kumar"/>
        <s v="ubed"/>
        <s v="sk Janbee"/>
        <s v="Adil "/>
        <s v="Sameer "/>
        <s v="Sunny"/>
        <s v="Triven Kumar "/>
        <s v="Rohit"/>
        <s v="Shanan "/>
        <s v="Gourab "/>
        <s v="suraj"/>
        <s v="Rafi saat"/>
        <s v="venkat"/>
        <s v="narsimha"/>
        <s v="Nikhil"/>
        <s v="Sai kumar "/>
        <s v="Manu"/>
        <s v="saif"/>
        <s v="Yasar"/>
        <s v="Ravi kumar"/>
        <s v="Ramakrishna "/>
        <s v="Abdul "/>
        <s v="Sunil Kumar "/>
        <s v="Pavan"/>
        <s v="nabeel "/>
        <s v="Sadhana "/>
        <s v="kiran "/>
        <s v=" durga prasad "/>
        <s v="Arvi "/>
        <s v="siraj"/>
        <s v="prashanth"/>
        <s v="Pappu "/>
        <s v="Akshay "/>
        <s v="chakri"/>
        <s v="Hammad "/>
        <s v="Younis Khan"/>
        <s v="Umar "/>
        <s v="Nadeem "/>
        <s v="Mahendra "/>
        <s v="rohan "/>
        <s v="Yogesh "/>
        <s v="Sk jani"/>
        <s v="imran "/>
        <s v="Karthik "/>
        <s v="mazar "/>
        <s v="Ramaraju"/>
        <s v="vamsi "/>
        <s v="Prakash"/>
        <s v="Sunil"/>
        <s v="Ganesh "/>
        <s v="Syed hissam uddin"/>
        <s v="Kishore "/>
        <s v="Hema"/>
        <s v="purna chandhar rao"/>
        <s v="Pravallika "/>
        <s v="Tapas"/>
        <s v="Keerthi kumar"/>
        <s v="thufail "/>
        <s v="Srija"/>
        <s v="yashwant "/>
        <s v="Vishnu "/>
        <s v="Vamsi"/>
        <s v="Bhagwan "/>
        <s v="ameer "/>
        <s v="mohameed yaser"/>
        <s v="megha "/>
        <s v="murali kitchen"/>
        <s v="Aadil "/>
        <s v="Vinod"/>
        <s v="Diksha "/>
        <s v="Rehman "/>
        <s v="Dinesh"/>
        <s v="irfan"/>
        <s v="Rauf"/>
        <s v="rajashekar"/>
        <s v="salman"/>
        <s v="Ayaz"/>
        <s v="Kalyan"/>
        <s v="Swapna"/>
        <s v="Vajit"/>
        <s v="Ramesh"/>
        <s v="surya"/>
        <s v="Hitish"/>
        <s v="Liyakath"/>
        <s v="likith"/>
        <s v="Ramnath"/>
        <s v="Imran"/>
        <s v="Syed Sameer"/>
        <s v="Virababu"/>
        <s v="Ritesh"/>
        <s v="Kishore"/>
        <s v="Varma"/>
        <s v="Ajar"/>
        <s v="Kamleesh"/>
        <s v="Santhosh reddy "/>
        <s v="Manish Dubey "/>
        <s v="kumar"/>
        <s v="Rakesh"/>
        <s v="Gopi"/>
        <s v="Krishna Mohan"/>
        <s v="kamesh"/>
        <s v="Shekar "/>
        <s v="Krishna "/>
        <s v="Sathyaprasad "/>
        <s v="Laxman "/>
        <s v="Sudhakar "/>
        <s v="Vasu"/>
        <s v="Prithvi "/>
        <s v="Khan"/>
        <s v="jagadeesh "/>
        <s v="Ravi "/>
        <s v="Faizal"/>
        <s v="Avinay"/>
        <s v="Raghu"/>
        <s v="Kedar  das"/>
        <s v="Arjun reddy "/>
        <s v="Mrunal "/>
        <s v="Kalim "/>
        <s v="Koushik"/>
        <s v="Charan "/>
        <s v="Krishna Chaitanya"/>
        <s v="saurav yadav"/>
        <s v="nagendhar rao "/>
        <s v=" Syed zenil"/>
        <s v="Saffi arman"/>
        <s v=" Habeeb"/>
        <s v="Abhinav"/>
        <s v="akram"/>
        <s v="Mahaboob"/>
        <s v="arif khan"/>
        <s v="Mohit"/>
        <s v="Dharma"/>
        <s v="naseer "/>
        <s v="POC-Harika"/>
        <s v="althaf "/>
        <s v="Praveen "/>
        <s v="Dhanvir"/>
        <s v="Sujini"/>
        <s v="arshad"/>
        <s v="Pranav"/>
        <s v="akbar "/>
        <s v="Haji "/>
        <s v=" Chandrashekar "/>
        <s v="siddique "/>
        <s v="Abhinav Reddy"/>
        <s v="Ravindar"/>
        <s v="Azeez"/>
        <s v="Nasimathar"/>
        <s v="sumanth"/>
        <s v="Syed Harshad"/>
        <s v="Afroz"/>
        <s v="Theja"/>
        <s v="Narendra "/>
        <s v="Anil Reddy"/>
        <s v="amit.kaler@capsdelivery.comh "/>
        <s v="Shaiju"/>
        <s v="rehmat "/>
        <s v="Eshwar reddy"/>
        <s v="ajay"/>
        <s v="yeshwant "/>
        <s v="chinmai"/>
        <s v="nandha kumar"/>
        <s v="Mohd moseen qureshi"/>
        <s v="Surya "/>
        <s v=" shamshed "/>
        <s v="Ubaid "/>
        <s v="Narmadha "/>
        <s v="rafee "/>
        <s v="Goutham"/>
        <s v="Ramesh "/>
        <s v="Manikanta"/>
        <s v="prem kumar "/>
        <s v="Zaheed"/>
        <s v="hamid "/>
        <s v="Prashanth "/>
        <s v="Anthuni dass "/>
        <s v="Jahnavi"/>
        <s v="Sri Charan"/>
        <s v="Nitin Dev"/>
        <s v="Tulasi "/>
        <s v="akram "/>
        <s v="Jahir"/>
        <s v="ali "/>
        <s v="iliyas"/>
        <s v="Md. Sajeeb "/>
        <s v="chandan"/>
        <s v="Jyosthna &amp; chakri "/>
        <s v="vengal rao "/>
        <s v="Mani "/>
        <s v="raghav "/>
        <s v="Satyaprasad"/>
        <s v="usha rani "/>
        <s v="Srivani.reddy@capsdelivery.com"/>
        <s v="Srikanth reddy"/>
        <s v="Mohamed shoeb "/>
        <s v="Appaji"/>
        <s v=" Ranjith Reddy "/>
        <s v="Nehad siddiqi "/>
        <s v="ramu "/>
        <s v="Srinivas Rao"/>
        <s v="Naga Sai Ganesh "/>
        <s v="Veer "/>
        <s v="Vivek "/>
        <s v="Navtej"/>
        <s v=" Satya varaprasad"/>
        <s v=" Aman goyal"/>
        <s v="Sangram "/>
        <s v="Sham "/>
        <s v="Purnachander Rao"/>
        <s v="Kalyani "/>
        <s v=" Nagaraju"/>
        <s v="Rama Rao "/>
        <s v="Annie "/>
        <s v="ADNAN"/>
        <s v="Ravishankar"/>
        <s v="Vijayaramaraju"/>
        <s v="chandan "/>
        <s v="Uma Mahesh"/>
        <s v="Gnaneshwar"/>
        <s v="Raja ramana"/>
        <s v="sriram"/>
        <s v="Vamshi"/>
        <s v="Sridhar "/>
        <s v="Nagaraju "/>
        <s v="Vijaya Laxmi"/>
        <s v="Narsimha "/>
        <s v="Sudheer "/>
        <s v="suhan"/>
        <s v="narayn"/>
        <s v="Nagnath"/>
        <s v="abhisek "/>
        <s v="Fareed "/>
        <s v=" vengal rao "/>
        <s v=" Naga Raju "/>
        <s v="Mohammed anwar "/>
        <s v="Wasim"/>
        <s v="hameed"/>
        <s v="Adnan "/>
        <s v="venkatram Reddy"/>
        <s v="Syed hajiali "/>
        <s v="Swamy"/>
        <s v="Shehzaad "/>
        <s v="Alvi "/>
        <s v="Danish "/>
        <s v="Prashanth reddy "/>
        <s v="Bishwash "/>
        <s v="kaif"/>
        <s v="Raghuram "/>
        <s v="kiran kumar reddy "/>
        <s v="Sathish"/>
        <s v="marjan "/>
        <s v="Mirza "/>
        <s v="Rajesh "/>
        <s v="Sanjay "/>
        <s v="vinay "/>
        <s v="M.Sai kiran "/>
        <s v="altaf "/>
        <s v="Mieekal shajji"/>
        <s v="Rafeeq "/>
        <s v="Usha"/>
        <s v="shiva shanker "/>
        <s v="Somnath"/>
        <s v="mehboob "/>
        <s v="Kamal HO"/>
        <s v="ram babu"/>
        <s v="aman "/>
        <s v="Ankith Agarwal "/>
        <s v="Sovrav "/>
        <s v="Chakravarti "/>
        <s v="Vikram"/>
        <s v="Vikram "/>
        <s v="Khairuddin khazi"/>
        <s v="Karthik"/>
        <s v="md.kaif"/>
        <s v="Shiva Kumar"/>
        <s v="kumar "/>
        <s v="Mohd Moin"/>
        <s v="Anitha "/>
        <s v="Hussian"/>
        <s v=" Rama khan"/>
        <s v="Sumeet"/>
        <s v="Pavan kalyan"/>
        <s v="Kiran"/>
        <s v="narshima"/>
        <s v="mosin "/>
        <s v="Saddam Qureshi "/>
        <s v="islam "/>
        <s v="Anurag "/>
        <s v="Mishra "/>
        <s v="Bharathi "/>
        <s v="shahbudin "/>
        <s v="Lokesh "/>
        <s v="mazhar "/>
        <s v="Swarup "/>
        <s v="Bharath"/>
        <s v="Navin"/>
        <s v=" sanjay "/>
        <s v=" Avinash "/>
        <s v="Saleem"/>
        <s v="Pavan Kalyan "/>
        <s v="Dileep Kumar/Sk Abdul Kalam"/>
        <s v="Vicky "/>
        <s v="naga laxmi "/>
        <s v="Amit khan"/>
        <s v=" raja ram"/>
        <s v="Rajashaker "/>
        <s v="Charan Teja"/>
        <s v="Sajiya"/>
        <s v="Nikhil "/>
        <s v="Thann"/>
        <s v="Bhaskar"/>
        <s v="seshu"/>
        <s v="naidu"/>
        <s v="Ramana Reddy "/>
        <s v="Durga Prasad "/>
        <s v="narsimha rao "/>
        <s v="Rajasekhar "/>
        <s v="akshay"/>
        <s v="prabhavathi"/>
        <s v="Arjun "/>
        <s v=" mosin "/>
        <s v="Syed Yousuf"/>
        <s v=" satish "/>
        <s v="Ankush "/>
        <s v="Darshan "/>
        <s v=" sheshu "/>
        <s v="Harish "/>
        <s v="Swarup Jana"/>
        <s v=" pavan "/>
        <s v="Rathod Ragu"/>
        <s v="Murali reddy"/>
        <s v="Abbas Ali "/>
        <s v="Vinay kunchal"/>
        <s v="Jayaprakash"/>
        <s v="Shiva "/>
        <s v="Ravi Kumar "/>
        <s v="Nithin "/>
        <s v="Rajendra Prasad "/>
        <s v="Rahul "/>
        <s v=" pavan"/>
        <s v=" Srinivas "/>
        <s v="Chandra shekar"/>
        <s v="Sitharama Raju"/>
        <s v="Bhanu Prasad !! "/>
        <s v="Bhavana"/>
        <s v="javed"/>
        <s v="Ayyappa "/>
        <s v="Ahmed "/>
        <s v="Veeraswamy "/>
        <s v="Anthuridass"/>
        <s v="sameel "/>
        <s v="abilash"/>
        <s v="chaitaniya"/>
        <s v=" vara prasad "/>
        <s v="Ayaan Khan"/>
        <s v="pavan "/>
        <s v="ajay mallareddy"/>
        <s v="anthony"/>
        <s v="Jaffar "/>
        <s v="TIPU"/>
        <s v="Azal ammari "/>
        <s v="venkatesh "/>
        <s v="md younus"/>
      </sharedItems>
    </cacheField>
    <cacheField name="contact no.">
      <sharedItems containsBlank="1" containsMixedTypes="1" containsNumber="1" containsInteger="1">
        <n v="7.98119498E9"/>
        <n v="7.992492924E9"/>
        <n v="8.712274005E9"/>
        <m/>
        <n v="9.05981013E9"/>
        <n v="9.985559231E9"/>
        <n v="9.70526974E8"/>
        <n v="8.121020121E9"/>
        <n v="9.985800031E9"/>
        <n v="7.077577025E9"/>
        <n v="8.886904546E9"/>
        <n v="9.94925629E9"/>
        <n v="9.908662728E9"/>
        <n v="9.676945646E9"/>
        <n v="6.281845369E9"/>
        <n v="9.849108337E9"/>
        <n v="6.30252957E9"/>
        <n v="6.303246535E9"/>
        <n v="8.985607723E9"/>
        <n v="9.398881323E9"/>
        <n v="9.493932004E9"/>
        <n v="8.885294412E9"/>
        <n v="9.381887842E9"/>
        <n v="9.045779674E9"/>
        <n v="6.300797895E9"/>
        <n v="9.014249702E9"/>
        <n v="9.032515133E9"/>
        <n v="7.739656963E9"/>
        <n v="8.985909898E9"/>
        <n v="9.951122214E9"/>
        <n v="9.581749555E9"/>
        <n v="9.949429494E9"/>
        <n v="7.977757237E9"/>
        <n v="8.096999908E9"/>
        <n v="7.396422628E9"/>
        <n v="9.676583099E9"/>
        <n v="9.986998503E9"/>
        <n v="9.866402028E9"/>
        <n v="6.281162645E9"/>
        <n v="7.977765789E9"/>
        <n v="9.769343996E9"/>
        <n v="9.959160354E9"/>
        <n v="9.392055514E9"/>
        <n v="9.059435788E9"/>
        <n v="7.33700104E8"/>
        <n v="7.00363664E9"/>
        <n v="8.886767272E9"/>
        <n v="8.074932383E9"/>
        <n v="7.618754404E9"/>
        <n v="9.140523292E9"/>
        <n v="9.95902031E9"/>
        <n v="7.075777491E9"/>
        <n v="9.052878671E9"/>
        <n v="9.704025498E9"/>
        <n v="9.392857604E9"/>
        <n v="7.991231238E9"/>
        <n v="8.328599288E9"/>
        <n v="9.88586813E9"/>
        <n v="9.849510284E9"/>
        <n v="9.866847607E9"/>
        <n v="7.396769261E9"/>
        <n v="7.893777231E9"/>
        <n v="9.959244406E9"/>
        <n v="9.10044213E9"/>
        <n v="9.989071021E9"/>
        <n v="9.704228899E9"/>
        <n v="8.438457084E9"/>
        <n v="9.86666778E8"/>
        <n v="9.966660134E9"/>
        <n v="9.052253253E9"/>
        <n v="9.550402185E9"/>
        <n v="9.059036521E9"/>
        <n v="8.374447297E9"/>
        <n v="9.246573562E9"/>
        <n v="7.897979742E9"/>
        <n v="7.799777981E9"/>
        <n v="9.966591281E9"/>
        <n v="9.347288529E9"/>
        <n v="9.133424262E9"/>
        <n v="8.885086869E9"/>
        <n v="7.702428848E9"/>
        <n v="9.866667E9"/>
        <n v="9.000211792E9"/>
        <n v="9.145845425E9"/>
        <n v="8.801027834E9"/>
        <n v="9.154408946E9"/>
        <n v="7.337332022E9"/>
        <n v="9.849499208E9"/>
        <n v="9.493041116E9"/>
        <n v="8.32839342E9"/>
        <n v="9.100886637E9"/>
        <n v="9.550001177E9"/>
        <n v="8.688114118E9"/>
        <n v="9.346036222E9"/>
        <n v="8.125526123E9"/>
        <n v="7.207083888E9"/>
        <n v="7.981730116E9"/>
        <n v="8.008020304E9"/>
        <n v="9.704673535E9"/>
        <n v="8.688995094E9"/>
        <n v="8.309463956E9"/>
        <n v="9.100172163E9"/>
        <n v="9.000143978E9"/>
        <n v="8.790130941E9"/>
        <n v="9.603021048E9"/>
        <n v="8.125583337E9"/>
        <n v="7.993930918E9"/>
        <n v="9.849765228E9"/>
        <n v="8.884066682E9"/>
        <n v="7.981607619E9"/>
        <n v="9.000252549E9"/>
        <n v="9.3700938E9"/>
        <n v="9.542233485E9"/>
        <n v="9.010776408E9"/>
        <n v="9.544186712E9"/>
        <n v="9.392458574E9"/>
        <n v="7.842474608E9"/>
        <n v="8.639381583E9"/>
        <n v="6.28174849E9"/>
        <n v="9.966033399E9"/>
        <n v="9.642234333E9"/>
        <n v="6.30552916E9"/>
        <n v="9.12179543E9"/>
        <n v="9.398948353E9"/>
        <n v="9.346342272E9"/>
        <n v="8.688077052E9"/>
        <n v="9.866896332E9"/>
        <n v="9.000931717E9"/>
        <n v="7.093051795E9"/>
        <n v="9.121083701E9"/>
        <n v="7.995243674E9"/>
        <n v="8.121749748E9"/>
        <n v="9.133139059E9"/>
        <n v="8.466082222E9"/>
        <n v="8.790072864E9"/>
        <n v="9.34603623E8"/>
        <n v="9.493989362E9"/>
        <s v=";04023510000"/>
        <n v="9.676716999E9"/>
        <n v="9.98550631E9"/>
        <n v="9.347658193E9"/>
        <n v="8.125655929E9"/>
        <n v="9.885930333E9"/>
        <n v="9.703471098E9"/>
        <n v="9.553099111E9"/>
        <n v="9.885215007E9"/>
        <n v="9.966740877E9"/>
        <n v="8.142914683E9"/>
        <n v="9.573394555E9"/>
        <n v="9.908602056E9"/>
        <n v="9.06906404E9"/>
        <n v="8.520937226E9"/>
        <n v="6.302751766E9"/>
        <n v="9.000258998E9"/>
        <n v="8.80129776E9"/>
        <n v="7.01302777E9"/>
        <n v="9.160770619E9"/>
        <n v="8.12565211E9"/>
        <n v="7.659856207E9"/>
        <n v="8.121764465E9"/>
        <n v="9.0596663E9"/>
        <n v="8.142520056E9"/>
        <n v="9.536442345E9"/>
        <n v="9.948505639E9"/>
        <n v="7.287888601E9"/>
        <n v="7.674846966E9"/>
        <n v="8.31769626E9"/>
        <n v="8.074793426E9"/>
        <n v="8.712342023E9"/>
        <n v="9.49477772E9"/>
        <n v="8.51995436375698E19"/>
        <n v="8.519979693E9"/>
        <n v="9.248067813E9"/>
        <n v="7.680006511E9"/>
        <n v="8.179514738E9"/>
        <n v="7.569996701E9"/>
        <n v="9.885552731E9"/>
        <n v="9.66644062E9"/>
        <n v="8.374167037E9"/>
        <n v="9.502547468E9"/>
        <n v="9.133650914E9"/>
        <n v="9.652444418E9"/>
        <n v="9.346112262E9"/>
        <n v="8.319942382E9"/>
        <n v="7.396369586E9"/>
        <n v="6.300802819E9"/>
        <n v="9.381425752E9"/>
        <n v="8.686521161E9"/>
        <n v="9.963027222E9"/>
        <n v="7.066346634E9"/>
        <n v="9.966321486E9"/>
        <n v="7.99552079E8"/>
        <n v="9.391007154E9"/>
        <n v="7.970928335E9"/>
        <n v="7.416812233E9"/>
        <n v="9.959921616E9"/>
        <n v="9.989649223E9"/>
        <n v="7.98992243E9"/>
        <n v="9.985566667E9"/>
        <n v="8.297032369E9"/>
        <n v="9.000002378E9"/>
        <n v="8.978621009E9"/>
        <n v="9.505255701E9"/>
        <n v="9.849242228E9"/>
        <n v="7.780667655E9"/>
        <n v="9.640166669E9"/>
        <n v="9.94907222E9"/>
        <n v="9.985404412E9"/>
        <n v="9.985661114E9"/>
        <n v="9.700116661E9"/>
        <n v="9.390732422E9"/>
        <n v="7.702618533E9"/>
        <n v="9.985185999E9"/>
        <n v="9.000343427E9"/>
        <n v="9.000901009E9"/>
        <n v="9.780455455E9"/>
        <n v="9.912013333E9"/>
        <n v="9.00046444E9"/>
        <n v="9.121302712E9"/>
        <n v="8.639857988E9"/>
        <n v="9.453315094E9"/>
        <n v="9.505671074E9"/>
        <n v="9.032624865E9"/>
        <n v="9.5535255E9"/>
        <n v="9.000266581E9"/>
        <n v="9.849882217E9"/>
        <n v="7.680947465E9"/>
        <n v="7.075376903E9"/>
        <n v="8.309163739E9"/>
        <n v="9.100002909E9"/>
        <n v="9.3938748E9"/>
        <n v="7.848873441E9"/>
        <n v="9.583459143E9"/>
        <n v="9.552323334E9"/>
        <n v="9.182628576E9"/>
        <n v="8.247534864E9"/>
        <n v="7.98180905E9"/>
        <n v="9.246878121E9"/>
        <n v="8.790606524E9"/>
        <n v="9.618084946E9"/>
        <n v="6.300718621E9"/>
        <n v="9.393132929E9"/>
        <n v="8.897351867E9"/>
        <n v="8.008745888E9"/>
        <n v="9.640290237E9"/>
        <n v="9.84900012E9"/>
        <n v="9.182769806E9"/>
        <n v="7.407797777E9"/>
        <n v="7.207095222E9"/>
        <n v="7.093053039E9"/>
        <n v="9.885238434E9"/>
        <n v="6.392619682E9"/>
        <n v="6.28181763E9"/>
        <n v="9.5336438E9"/>
        <n v="8.32856892E9"/>
        <n v="9.581774709E9"/>
        <n v="7.799662245E9"/>
        <n v="9.84922082E9"/>
        <n v="7.801005204E9"/>
        <n v="9.963696969E9"/>
        <n v="7.093108484E9"/>
        <n v="7.70294282E9"/>
        <n v="8.00831909E9"/>
        <n v="8.464915054E9"/>
        <n v="9.985700007E9"/>
        <n v="7.036844444E9"/>
        <n v="7.070567056E9"/>
        <n v="9.704551666E9"/>
        <n v="9.790769073E9"/>
        <n v="9.10021352E9"/>
        <n v="9.642357335E9"/>
        <n v="9.703445554E9"/>
        <n v="9.985559905E9"/>
        <n v="8.668045147E9"/>
        <n v="6.300110346E9"/>
        <n v="8.319637722E9"/>
        <n v="9.967535945E9"/>
        <n v="8.125638358E9"/>
        <n v="9.100009426E9"/>
        <n v="9.393895558E9"/>
        <n v="9.959838242E9"/>
        <n v="9.441469962E9"/>
        <n v="9.154819482E9"/>
        <n v="6.281968245E9"/>
        <n v="9.014387137E9"/>
        <n v="7.67507172E9"/>
        <n v="8.008783939E9"/>
        <n v="7.330661433E9"/>
        <n v="9.615550066E9"/>
        <n v="8.07474285E9"/>
        <n v="9.08338532E8"/>
        <n v="6.303602919E9"/>
        <n v="7.841881125E9"/>
        <n v="9.147716232E9"/>
        <n v="8.790377705E9"/>
        <n v="8.179777635E9"/>
        <n v="7.995719834E9"/>
        <n v="9.553399599E9"/>
        <n v="9.415540562E9"/>
        <n v="8.858725032E9"/>
        <n v="9.949904998E9"/>
        <n v="7.816007219E9"/>
        <n v="6.307547076E9"/>
        <n v="9.160559004E9"/>
        <n v="8.074651105E9"/>
        <n v="7.702209893E9"/>
        <n v="9.703580006E9"/>
        <n v="9.34703592E9"/>
        <n v="9.00000965E9"/>
        <n v="9.642114111E9"/>
        <n v="7.33099147E9"/>
        <n v="9.246342148E9"/>
        <n v="9.000360723E9"/>
        <n v="9.233549583E9"/>
        <n v="8.801558662E9"/>
        <n v="8.106842929E9"/>
        <n v="9.908227476E9"/>
        <n v="9.494567064E9"/>
        <n v="9.030066247E9"/>
        <n v="7.00424097E9"/>
        <n v="6.302303453E9"/>
        <n v="9.39138984E9"/>
        <n v="9.59359399E8"/>
        <n v="8.247047507E9"/>
        <n v="9.700119173E9"/>
        <n v="6.30520208E9"/>
        <n v="8.12521E9"/>
        <n v="6.301503139E9"/>
        <n v="9.550955064E9"/>
        <n v="9.95151122E9"/>
        <n v="9.618116E9"/>
        <n v="8.106386969E9"/>
        <n v="9.959497686E9"/>
        <n v="8.897389987E9"/>
        <n v="9.562870851E9"/>
        <n v="9.49375094E9"/>
        <n v="9.885747504E9"/>
        <n v="9.493512255E9"/>
        <n v="9.000777275E9"/>
        <n v="9.54206508E9"/>
        <n v="9.640241237E9"/>
        <n v="8.688612955E9"/>
        <n v="9.247109555E9"/>
        <n v="8.466050144E9"/>
        <n v="9.962286139E9"/>
        <n v="9.370982719E9"/>
        <n v="9.890198531E9"/>
        <n v="9.701959365E9"/>
        <n v="8.80129993E9"/>
        <n v="7.207206239E9"/>
        <n v="9.542120004E9"/>
        <n v="8.019347999E9"/>
        <n v="7.99559538E8"/>
        <n v="8.374972864E9"/>
        <n v="9.100628573E9"/>
        <n v="8.91904832E9"/>
        <n v="8.617755298E9"/>
        <n v="9.573923991E9"/>
        <n v="6.300043595E9"/>
        <n v="6.302764631E9"/>
        <n v="8.099941233E9"/>
        <n v="9.154051768E9"/>
        <n v="8.297167789E9"/>
        <n v="9.177056777E9"/>
        <n v="7.032362999E9"/>
        <n v="9.849849754E9"/>
        <n v="9.700231851E9"/>
        <n v="8.978265222E9"/>
        <n v="8.341901102E9"/>
        <n v="7.893354044E9"/>
        <n v="9.502201776E9"/>
        <n v="9.989547754E9"/>
        <n v="9.1002255E9"/>
        <n v="7.981900413E9"/>
        <n v="6.304257429E9"/>
        <n v="9.985076767E9"/>
        <n v="8.0742365E9"/>
        <n v="8.341830787E9"/>
        <n v="9.94937333E8"/>
        <n v="8.317528467E9"/>
        <n v="8.074223013E9"/>
        <n v="8.519905468E9"/>
        <n v="9.133711711E9"/>
        <n v="9.281492277E9"/>
        <n v="9.441166869E9"/>
        <n v="7.981933914E9"/>
        <n v="9.676370413E9"/>
        <n v="9.17795003998E11"/>
        <n v="7.89345611E9"/>
        <n v="9.000239392E9"/>
        <n v="7.058580596E9"/>
        <n v="7.702160273E9"/>
        <n v="9.154323333E10"/>
        <n v="6.305727049E9"/>
        <n v="9.17700583E9"/>
        <n v="7.396231414E9"/>
        <n v="9.494167001E9"/>
        <n v="8.977779072E9"/>
        <n v="7.396928999E9"/>
        <n v="7.396368972E9"/>
        <n v="6.30097803E9"/>
        <n v="8.142488588E9"/>
        <n v="8.096301302E9"/>
        <n v="7.893787203E9"/>
        <n v="9.000939335E9"/>
        <n v="8.074507215E9"/>
        <n v="9.705995817E9"/>
        <n v="9.642302809E9"/>
        <n v="6.300044131E9"/>
        <n v="8.37457252E9"/>
        <n v="9.61854168E9"/>
        <n v="6.300745703E9"/>
        <n v="8.179825296E9"/>
        <n v="8.897966743E9"/>
        <n v="9.063076187E9"/>
        <n v="8.88636606E9"/>
        <n v="9.642787697E9"/>
        <n v="9.34768181E9"/>
        <n v="7.981113402E9"/>
        <n v="9.908336133E9"/>
        <n v="9.553442334E9"/>
        <n v="7.995740832E9"/>
        <n v="9.44004922E9"/>
        <n v="9.96665808E9"/>
        <n v="9.666601617E9"/>
        <n v="9.640067678E9"/>
        <n v="8.499081111E9"/>
        <n v="9.885001581E9"/>
        <n v="7.013883666E9"/>
        <n v="9.618033021E9"/>
        <n v="9.912733258E9"/>
        <n v="8.121685645E9"/>
        <n v="9.515752647E9"/>
        <n v="9.032833756E9"/>
        <n v="9.1600061E9"/>
        <n v="9.64249849E9"/>
        <n v="8.374223982E9"/>
        <n v="6.39410162E9"/>
        <n v="9.912104569E9"/>
        <n v="9.000003851E9"/>
        <n v="9.885649456E9"/>
        <n v="6.304208062E9"/>
        <n v="7.893194466E9"/>
        <n v="8.97874752E9"/>
        <n v="9.18264695E9"/>
        <n v="8.639727263E9"/>
        <n v="9.502752106E9"/>
        <n v="6.30959061E9"/>
        <n v="8.125178871E9"/>
        <n v="9.16284003952E11"/>
        <n v="8.121825518E9"/>
        <n v="8.686943703E9"/>
        <n v="9.700112955E9"/>
        <n v="9.177712111E9"/>
        <n v="8.886775599E9"/>
        <n v="9.494569463E9"/>
        <n v="7.995546937E9"/>
        <n v="9.393316686E9"/>
        <n v="9.440221946E9"/>
        <n v="9.391777337E9"/>
        <n v="7.416151947E9"/>
        <n v="9.966440312E9"/>
        <n v="9.833858958E9"/>
        <n v="7.993021641E9"/>
        <n v="9.030079776E9"/>
        <n v="9.703736799E9"/>
        <n v="9.440457994E9"/>
        <n v="8.099706321E9"/>
        <n v="6.301560085E9"/>
        <n v="9.160602449E9"/>
        <n v="8.247717177E9"/>
        <n v="7.993472121E9"/>
        <n v="8.297740515E9"/>
        <n v="8.131917627E9"/>
        <n v="7.032929468E9"/>
        <n v="9.985151185E9"/>
        <n v="9.989188881E9"/>
        <n v="9.100425287E9"/>
        <n v="8.347797111E9"/>
        <n v="8.885442441E9"/>
        <n v="6.281371177E9"/>
        <n v="8.977656268E9"/>
        <n v="6.301481281E9"/>
        <n v="9.177944625E9"/>
        <n v="7.993012727E9"/>
        <n v="9.550514455E9"/>
        <n v="8.919621196E9"/>
        <n v="9.440340854E9"/>
        <n v="9.010022442E9"/>
        <n v="8.019924037E9"/>
        <n v="9.0722188E9"/>
        <n v="8.328283516E9"/>
        <n v="9.573318519E9"/>
        <n v="9.701049241E9"/>
        <n v="8.309232321E9"/>
        <n v="9.849399807E9"/>
        <n v="9.938380231E9"/>
        <n v="9.398196192E9"/>
        <n v="8.498938264E9"/>
        <n v="9.347368545E9"/>
        <n v="6.301174005E9"/>
        <n v="8.55509073E9"/>
        <n v="9.090070708E9"/>
        <n v="9.949390399E9"/>
        <n v="8.016963924E9"/>
        <n v="9.912667177E9"/>
        <n v="9.440860933E9"/>
        <n v="8.125641626E9"/>
        <n v="7.993924605E9"/>
        <n v="9.10017709E9"/>
        <n v="9.014757764E9"/>
        <n v="8.688546247E9"/>
        <n v="9.550551971E9"/>
        <n v="9.177050547E9"/>
        <n v="9.346411788E9"/>
        <n v="7.660939863E9"/>
        <n v="9.030058654E9"/>
        <n v="8.977797797E9"/>
        <n v="9.010031068E9"/>
        <n v="9.032730504E9"/>
        <n v="9.502247618E9"/>
        <n v="8.328632386E9"/>
        <n v="9.030272322E9"/>
        <n v="8.919193385E9"/>
        <n v="8.247031311E9"/>
        <n v="9.9558546E8"/>
        <n v="7.799678883E9"/>
        <n v="9.490422404E9"/>
        <n v="9.347072802E9"/>
        <n v="8.328135391E9"/>
        <n v="9.77725647E8"/>
        <n v="9.866542507E9"/>
        <n v="9.701072348E9"/>
        <n v="9.110781474E9"/>
        <n v="7.816087272E9"/>
        <n v="8.328177189E9"/>
        <n v="9.381475016E9"/>
        <n v="9.100735996E9"/>
        <n v="9.94899904E9"/>
        <n v="9.392482884E9"/>
        <n v="8.074023731E9"/>
        <n v="9.398380469E9"/>
        <n v="9.67615422E9"/>
        <n v="9.544991313E9"/>
        <n v="9.948698203E9"/>
        <n v="8.247679019E9"/>
        <n v="7.331122771E9"/>
        <n v="9.100028909E9"/>
        <n v="9.347354009E9"/>
        <n v="7.780432204E9"/>
        <n v="9.866986194E9"/>
        <n v="8.106872005E9"/>
        <n v="9.64250262E9"/>
        <n v="9.494406167E9"/>
        <n v="9.989090291E9"/>
        <n v="7.416676153E9"/>
        <n v="7.093039172E9"/>
        <n v="8.91947707E9"/>
        <n v="9.000200207E9"/>
        <n v="9.849794341E9"/>
        <n v="7.671075758E9"/>
        <n v="9.24621305E9"/>
        <n v="6.301944159E9"/>
        <n v="9.951343434E9"/>
        <n v="8.125397376E9"/>
        <n v="9.154181471E9"/>
        <n v="8.688880266E9"/>
        <n v="9.949098489E9"/>
        <n v="7.032690373E9"/>
        <n v="9.154999897E9"/>
        <n v="8.1795347E9"/>
        <n v="8.875840852E9"/>
        <n v="8.686503599E9"/>
        <n v="9.347536751E9"/>
        <n v="9.989859992E9"/>
        <n v="9.666313134E9"/>
        <n v="9.030944113E9"/>
        <n v="8.801417049E9"/>
        <n v="9.010000086E9"/>
        <n v="8.328055327E9"/>
        <n v="9.642274228E9"/>
        <n v="9.01405136E9"/>
        <n v="8.303445729E9"/>
        <n v="9.966887205E9"/>
        <n v="8.8018589E9"/>
        <n v="8.297858217E9"/>
        <n v="7.893779377E9"/>
        <n v="9.652727251E9"/>
        <n v="8.374165833E9"/>
        <n v="7.032537092E9"/>
        <n v="8.801729791E9"/>
        <n v="9.849847665E9"/>
        <n v="8.885000505E9"/>
        <n v="9.703972766E9"/>
        <n v="8.328047934E9"/>
        <n v="9.885748057E9"/>
        <n v="7.406466642E9"/>
        <n v="7.981180887E9"/>
        <n v="9.849556473E9"/>
        <n v="7.981958799E9"/>
        <n v="7.993617733E9"/>
        <n v="9.951698337E9"/>
        <n v="9.985294783E9"/>
        <n v="9.160016806E9"/>
        <n v="9.347762647E9"/>
        <n v="9.3910197604E10"/>
        <n v="9.398596919E9"/>
        <n v="8.88581819E9"/>
        <n v="7.989506022E9"/>
        <n v="9.100086888E9"/>
        <n v="9.392458705E9"/>
        <n v="7.397400542E9"/>
        <n v="9.86636464E9"/>
        <n v="9.67609933E9"/>
        <n v="9.603039045E9"/>
        <n v="9.391179371E9"/>
        <n v="9.849991664E9"/>
        <n v="9.701857699E9"/>
        <n v="8.88587547E9"/>
        <n v="7.032226551E9"/>
        <n v="8.885303345E9"/>
        <n v="8.886826873E9"/>
        <n v="7.569171589E9"/>
        <n v="9.9493955E9"/>
        <n v="9.55304089E9"/>
        <n v="9.573281025E9"/>
        <n v="8.686464689E9"/>
        <n v="9.963605557E9"/>
        <n v="9.398645876E9"/>
        <n v="9.343102102E9"/>
        <n v="6.300703058E9"/>
        <n v="9.39322002E9"/>
        <n v="9.849183812E9"/>
        <n v="7.41663075E9"/>
        <n v="9.15489371E9"/>
        <n v="9.949595361E9"/>
        <n v="8.008645443E9"/>
        <n v="7.780181321E9"/>
        <n v="7.89334345E9"/>
        <n v="9.177813356E9"/>
        <n v="9.849477304E9"/>
        <n v="9.989445803E9"/>
        <n v="8.121918468E9"/>
        <n v="8.688138887E9"/>
        <n v="9.649647535E9"/>
        <n v="9.966889981E9"/>
        <n v="7.569284401E9"/>
        <n v="9.177015185E9"/>
        <n v="6.300078398E9"/>
        <n v="9.985263589E9"/>
        <n v="8.019975006E9"/>
        <n v="7.799956667E9"/>
        <n v="9.985690739E9"/>
        <n v="8.712220229E9"/>
        <n v="9.705805877E9"/>
        <n v="9.390851792E9"/>
        <n v="9.100692616E9"/>
        <n v="9.666368516E9"/>
        <n v="9.848384979E9"/>
        <n v="8.106599233E9"/>
        <s v=" 9505976437  9505976437(laxmi prasad)   "/>
        <n v="8.12142971E9"/>
        <n v="7.601018276E9"/>
        <n v="9.052685685E9"/>
        <n v="8.71211146E9"/>
        <n v="9.502912619E9"/>
        <n v="7.799810105E9"/>
        <s v="89786 26202"/>
        <n v="9.985463235E9"/>
        <n v="8.555889177E9"/>
        <n v="7.780463434E9"/>
        <n v="9.700651582E9"/>
        <n v="8.30944483E9"/>
        <n v="9.381245681E9"/>
        <n v="8.686506624E9"/>
        <n v="9.007733384E9"/>
        <n v="9.949336944E9"/>
        <n v="9.848757455E9"/>
        <n v="9.948711846E9"/>
        <n v="9.502958616E9"/>
        <n v="9.121417638E9"/>
        <n v="6.305311698E9"/>
        <n v="9.949391723E9"/>
        <n v="9.493862863E9"/>
        <n v="7.39660009E9"/>
        <n v="9.550704987E9"/>
        <n v="6.38397829E9"/>
        <n v="8.121677227E9"/>
        <n v="6.281752314E9"/>
        <n v="8.374917077E9"/>
        <n v="7.20771366E9"/>
        <n v="8.46686234E9"/>
        <n v="8.143334411E9"/>
        <n v="7.032536269E9"/>
        <n v="7.794963658E9"/>
        <n v="9.908889944E9"/>
        <n v="9.948476572E9"/>
        <n v="9.059693328E9"/>
        <n v="8.501088773E9"/>
        <n v="9.985876885E9"/>
        <n v="9.632710669E9"/>
        <n v="7.386840498E9"/>
        <n v="9.911990304E9"/>
        <n v="9.908013301E9"/>
        <n v="9.030090088E9"/>
        <n v="9.608159787E9"/>
        <n v="9.030023124E9"/>
        <n v="8.790664378E9"/>
        <n v="9.866536396E9"/>
        <n v="9.866572585E9"/>
        <n v="8.008607777E9"/>
        <n v="9.985515133E9"/>
        <n v="9.346198983E9"/>
        <n v="8.686972783E9"/>
        <n v="9.246178788E9"/>
        <n v="7.799550044E9"/>
        <n v="9.885484224E9"/>
        <n v="7.680825252E9"/>
        <n v="7.347413137E9"/>
        <n v="9.390353857E9"/>
        <n v="8.121575663E9"/>
        <n v="9.160002E9"/>
        <n v="9.885166652E9"/>
        <n v="8.977033476E9"/>
        <n v="9.642888994E9"/>
        <n v="9.663893398E9"/>
        <n v="9.000000623E9"/>
        <n v="9.490334499E9"/>
        <n v="9.550014444E9"/>
        <n v="8.885552082E9"/>
        <n v="9.346143606E9"/>
        <n v="9.966655997E9"/>
        <n v="9.397970397E9"/>
        <n v="9.849363955E9"/>
      </sharedItems>
    </cacheField>
    <cacheField name="person went" numFmtId="0">
      <sharedItems containsBlank="1">
        <s v="sumadhur"/>
        <s v="moin.khan@capsdelivery.com "/>
        <s v="ankitha.baske@capsdelivery.com"/>
        <s v="madhumitha.sonnakula@capsdelivery.com"/>
        <s v="manasa.chigurupati@capsdelivery.com"/>
        <s v="chanakya.inugala@capsdelivery.com"/>
        <s v="moin.khan@capsdelivery.com"/>
        <s v="parthive.maganti@capsdelivery.com"/>
        <s v="akhila.narra@capsdelivery.com"/>
        <s v="greeshma.vanneldas@capsdelivery.com"/>
        <s v="nitya.akshara@capsdelivery.com"/>
        <s v="Manisha.poddar@capsdelivery.com"/>
        <s v="amit.kaler@capsdelivery.com"/>
        <s v="anisha.poddar@capsdelivery.com"/>
        <s v="Srivani.reddy@capsdelivery.com"/>
        <m/>
      </sharedItems>
    </cacheField>
    <cacheField name="comment" numFmtId="0">
      <sharedItems containsBlank="1">
        <s v="Today 4pm"/>
        <s v="Tommorow"/>
        <s v="owner will get back"/>
        <s v="onboarded"/>
        <s v="owner available after 2pm"/>
        <s v="Discuss with the partner"/>
        <s v="intersted will get back to us tomorrow by 6pm"/>
        <s v="meet on wednesday for onboarding"/>
        <s v="owner will be available after 2 to 3 hours"/>
        <s v="meet tomorrow sai krishna"/>
        <s v="owner not available"/>
        <s v="onboarded 3 oulets"/>
        <s v="he will meet after a week"/>
        <s v="will be onboarding tommorow"/>
        <s v="will be available on wednesday"/>
        <s v="meet owner at banjara hills in evenig times"/>
        <s v="owner will available tomorrow at 12pm"/>
        <s v="intersted he need a trail run once with our app"/>
        <s v="manager wiil be available after 4pm"/>
        <s v="we can meet tomorrow"/>
        <s v="he needs lesser cpmmission than 17%"/>
        <s v="they will get back to us as they want detailed in everthing"/>
        <s v="he will talk with MD and get back tomorrow"/>
        <s v="interstead get back tomorrow"/>
        <s v="as documents not available in this branch going to onboard tomorrow"/>
        <s v="interseted get back tomorrow"/>
        <s v="owner will get back tomorrow"/>
        <s v="tomorrow morning will be onboarded"/>
        <s v="meeting fixed at 6pm"/>
        <s v="meeting tomorrow with the owner"/>
        <s v="the owner is free after 8pm"/>
        <s v="the owner is free after 7pm"/>
        <s v="will onboarded by thursday"/>
        <s v="owner will be onboard after the app"/>
        <s v="owner not available asked to come tomorrow"/>
        <s v="onboarded "/>
        <s v="Not available asked to come tomorrow"/>
        <s v="He has 12 outlets the owner is not available once he come back will arrange meeting ,got the manager number to follow up"/>
        <s v="Head office in mumbai Area manager is in kondapur have to meet him in kondapur"/>
        <s v="owner is not available today so we scheduled a meeting after 11pm"/>
        <s v="Asked to call at 5pm and check whether the owner is available or not "/>
        <s v="owner will be available after 1 hour"/>
        <s v="manager will be available after 3pm"/>
        <s v="Has 7 outlets owner available at 3:30pm"/>
        <s v="call after 3"/>
        <s v="The owner said to approch after the product lauch"/>
        <s v="main branch is in sr nagar can meet the owner there between 4-6pm"/>
        <s v="can meet the decision maker directly tomorrow"/>
        <s v="can meet the owner after 2pm"/>
        <s v="can meet the owner after 6pm"/>
        <s v="has 3 outlets owner will be available after 10 days"/>
        <s v="manager will be available after 8pm and has 7 outlets"/>
        <s v="meet him in mehdipatnam branch"/>
        <s v="asked to call back after 3:30pm for the manager's availabilty"/>
        <s v="Had a word with him him asked to call back after 10 days due to renovation"/>
        <s v="owner not available today asked to come wednesday"/>
        <s v="call again later busy"/>
        <s v="call not answered"/>
        <s v="meet afrer 8pm before call and coem"/>
        <s v="Manager will discuss with the owner, for the follow up i will call tomorrow"/>
        <s v="Any discussion should be done in kondapur main branch"/>
        <s v="Head office in kukatpally have to visit directly"/>
        <s v="ready to onboarded by 4-5 in the evening need his brothers signature"/>
        <s v="All decision are taken at Gachibowli branch. They told to talk to their marketing manager santhosh"/>
        <s v="Owner is in Banglore "/>
        <s v="He will call at 5pm now he is occupied with some work"/>
        <s v="Discussed with the manager he shared our info with the marketing team once they get back manager will approch us"/>
        <s v="Discussed with manager, he is intersted but he need the proposal to sent on email with clear points about or platform and commission and the offers so that he can discuss with his higher officilals for approval"/>
        <s v="we are onboarding tomorrow"/>
        <s v="He will talk with the Marketing Team and inform tomorrow as he has 9 outlets"/>
        <s v="After 5 he will available in the outlet as he has 35+outlets in hyd"/>
        <s v="manager will be available after 7pm they are not ready to give phone number or email id as they has 500+outlets"/>
        <s v="owner will be available on friday as he is out of station "/>
        <s v="has 8 outlerts owner will be available"/>
        <s v="They have 3 branches decision are taken at main branch which is in begum bazar"/>
        <s v="we have visited all this The decision maker will be available after feb 15 we have gm number same gm for president dhaba and krishnapatanam and by the bottle is only for dinein "/>
        <s v="outler 25 This member are the main contarcts for 25 outlets we can contact them"/>
        <s v="owner is not available today today asked to visit tomorrow"/>
        <s v="will meet after 7pm today"/>
        <s v="the manager will be available after 6:30 pm for discussion "/>
        <s v="main branch tolichowki manager will be available over there and has 3 outlets"/>
        <s v="poc didn't give the number "/>
        <s v="head office in attapur asked to visit there directly"/>
        <s v="area manager in banglore"/>
        <s v="owner will be available ar Restaurant at 9 pm"/>
        <s v="asked to discuss with the team and follow up meeting scheduled tomorrow at 10am in the marketing office"/>
        <s v="he will discuss the owner and let us know"/>
        <s v="owner is in saudi will be back on a week asked to call after a week"/>
        <s v="she will discuss with owner and get back us"/>
        <s v="have expalined everything to the manager and he said he'll fix an appointement with the owners. told me to follow up on thursday"/>
        <s v="Appoitnment fixed tomorrow at 3pm"/>
        <s v="spoke with the manager he said he'll call back "/>
        <s v="owner will talk with his partner and call back"/>
        <s v="owner will be available at 11pm in evening"/>
        <s v="Manager is not available at the moment, I tired calling him but not reachable "/>
        <s v="As documents are not available now and need to discuss with MD asked to come tom"/>
        <s v="will onboard next sunday"/>
        <s v="intersted to onboard 6 oulets will meet at jubliee hills today before 5pm"/>
        <s v="onwer will be available at 3pm"/>
        <s v="has 4 outlets owner will be available in half an hour will follow back"/>
        <s v="has 2 outlet owner will be available after 2 houra"/>
        <s v="manager is not available now he will available in evening time"/>
        <s v="interested he needs to discuss with other partners asked to visit again 2 days"/>
        <s v="has 2 outlet when owner come he will inform "/>
        <s v="he will talk with the owner and let us know"/>
        <s v="owner not available asked to come Friday for onboarding "/>
        <s v="zomato order per day 40-50 Aov 400-500 manager will be available in the evening after 6pm"/>
        <s v="Ready for onboarding but he needs 2 days time"/>
        <s v="Need to discuss with other partners I will follow up"/>
        <s v="present owner is out of station he will be back after one week "/>
        <s v="owner is busy he said to follow up after 4 days"/>
        <s v="Daily orders : 80-100(might vary according to the weekend and weekends) Monthly revenue from online platforms :  500000 Discussed with @⁨~Manisha.poddar@capsdelivery.com Kumari⁩ and closing them on 16% base (16++)"/>
        <s v="owner will be available tomorrow "/>
        <s v="will talk with the partner and inform tomorrow "/>
        <s v="meeting fixed with the owner at 4pm today"/>
        <s v="Asked me call back at 6pm for futher discussion "/>
        <s v="told to meet after 6:30 pm order per 30"/>
        <s v="owner will be available after 8:00 p.m. "/>
        <s v="manager is on leave available after 2 days"/>
        <s v="call and meet after 7pm"/>
        <s v="owner will be available after 8pm"/>
        <s v="not answering calls"/>
        <s v="call after 6pm"/>
        <s v="number not given owner not available "/>
        <s v="Discussed with one partner,ready to onboard and he need to discuss with other partner "/>
        <s v="Discussion done with owner,he need to check with his brother,follow up tomorrow in the evening after 18:00PM"/>
        <s v="owner not available today asked to visit tomorrow "/>
        <s v="owner is in banglore will call once he is back"/>
        <s v="has given my contact details he said he will follow up "/>
        <s v="Owner asked to visit on friday as he is not available today and tommrow"/>
        <s v="he will onboard tomorrow at 4pm"/>
        <s v="owner will be available after 9pm"/>
        <s v="spoke with him on call he said to meet at Saturday "/>
        <s v="will be available tomorrow "/>
        <s v="he will onboarde 2 outlet tomorrow at Kukatpally branch after 7pm"/>
        <s v="owner will meet at 1990 restaurant tomorrow "/>
        <s v="owner will be available after 6pm number not given "/>
        <s v="manager will be available tomorrow "/>
        <s v="owner will be available after 3 days we can meet him"/>
        <s v="he will connect with his partner and get back for 2 branches onboarding "/>
        <s v="per day order 25 AOV is 750 plus Told to meet at 2pm to discuss regarding commission "/>
        <s v="ready for onboarding asked me to meet tomorrow after 6pm"/>
        <s v="Tomorrow morning have to visit for onboarding "/>
        <s v="owner need 1 day time"/>
        <s v="number not given manager will be available tomorrow afternoon"/>
        <s v="owner said he will talk tomorrow"/>
        <s v="follow up on monday"/>
        <s v="asked to meet after 2pm"/>
        <s v="We got the owner number Afc 2-3 pm we can call Daily orders 50 Order value 450 He have 2 outlet In new outlet they don’t have any Swiggy or Zomato"/>
        <s v="Order value is -400 above He is not using any apps because of commissions and other reasons We talked we need to follow up"/>
        <s v="owner is out of station follow up via call 4 branches"/>
        <s v="ready for onboarding asked to visit on 18-02-26 because their new Restaurant is lauching he will onboard on that day"/>
        <s v="have 5 outlets gave decision makers number"/>
        <s v="We can meet owner directly at 5 pm today Aov - 400 + They are in both Swiggy and Zomato Daily -15 -20 orders"/>
        <s v="will get back on monday"/>
        <s v="available after 6pm in the Restaurant 30 orders on online platform 60 on weekends"/>
        <s v="200orders per day on online platform AOV-200-400 They are 4partners,Discussion done with one partner,he will discuss with other partners and get back,I will follow up for the feedback."/>
        <s v="he will be available after 8pm in the store"/>
        <s v="has 2 outlets will take to his finance team and get back tomorrow"/>
        <s v="Orders:- 20 AOV :- 250 Discussed with there Manager, Intrested But Owner is not available now at the res he Wil be available in the evng form filled"/>
        <s v="Owner asked to meet on monday has 3 outlets"/>
        <s v="can meet the owner from 5-6pm form filled"/>
        <s v="said to follow up next week as the owner is out of station form filled"/>
        <s v="owner will be contacting soon"/>
        <s v="he said to follow up next week"/>
        <s v="we will onboarding them on monday Aov 300 above daily 30+orders"/>
        <s v="onboarded Aov-350"/>
        <s v="owner told to call back at 6pm form filled"/>
        <s v="manager is available after 6pm Aov 300-400"/>
        <s v="owner will be available after 18th of this month"/>
        <s v="main branch at kukatpally ,vivekananda nagar any discussion should be made there. form filled"/>
        <s v="has 5 outlets has exclusive with zomato 13+ asking if we can reduce more than that he is already to onboard 5 oulets"/>
        <s v="head office is in kondapur asked to directly visit the head office"/>
        <s v="onboarded Aov-300 order-55 form filled"/>
        <s v="said to call and come to the Restaurant after 3 hrs form filled"/>
        <s v="POC not available"/>
        <s v="we have talked everything we need to follow up order value 400+ orders 75+"/>
        <s v="onboarded AOV 120"/>
        <s v="not intersted in online platform"/>
        <s v="Aov 300 orders every day 60 onboarded"/>
        <s v="has different Restaurant and outlets asked to come tomorrow 12p,"/>
        <s v="asked to come on monday"/>
        <s v="aked to meet tomorrow 12pm"/>
        <s v="explained everything intersted but want to have a discussing with partner onboarding meeting scheduled for tomorrow"/>
        <s v="not in any online platform we have explain every thing but not interested as of now will contact if intersted"/>
        <s v="he gave appointment for dicussion morning 10pm"/>
        <s v="asked t meet tommorrow at 11am"/>
        <s v="We need to follow up  they are on swiggy zomato"/>
        <s v="Aov 250,40 orders tomorrow will collect documents"/>
        <s v="asked me to meet monday"/>
        <s v="per day order 15, AOV 300 discussed he will get back tomorrow"/>
        <s v="owner will available at 7pm or else visit at langarhouse branch"/>
        <s v="AOV 250 owner will be available on monday"/>
        <s v="main branch is in kakinada in hyd they have 2 branches spoke with manager he will update by monday"/>
        <s v="POC not available asked to visit on Tuesday"/>
        <s v="follow up 2 days"/>
        <s v="come tommorow for onboarding at 11am"/>
        <s v="owner will be available at 12pm  langarhouse"/>
        <s v="Tharbaiz owner He is interested he is in Swiggy and Zomato already We can onboard him tomorrow Aov -500 above Daily -10-15 orders"/>
        <s v="onboarded AOV 400-500"/>
        <s v="manager will be available after 5"/>
        <s v="come tommorow for discussion"/>
        <s v="asked to call tommorow morning"/>
        <s v="decision maker is not available manager like the idea and meeting schedule with manager at 11:30pm tommorow"/>
        <s v="Aov 400 onboarded"/>
        <s v="will get back tomorrow"/>
        <s v="owner didn't answer will follow up"/>
        <s v="come tomorrow for onboarding at 3pm"/>
        <s v="Will tallk to his brother and let me know"/>
        <s v="asked me to call tomorrow after 10:30"/>
        <s v="owner will be available tommorow by 3pm"/>
        <s v="I have talked with him he said he will be disscussing and get back to us"/>
        <s v="i will follow up tomorrow for an appointment"/>
        <s v="spoke with manager on call, gave appoitnment on monday for meeting"/>
        <s v="will call back in an hour"/>
        <s v="he said he will discuss with his partner. has told to call and come tomorrow after 3pm for onboarding"/>
        <s v="busy right now asked to come tomorrow 2 to 4"/>
        <s v="asked me to call and come to the Restaurant at 11:30am tomorrow"/>
        <s v="discussed showed intersted and discussed about commission too he told me to visit again for discussion"/>
        <s v="I have discussed eveything he said to call at 8 once to confirm tommorow he will be onboarded"/>
        <s v=" onboarded Aov per outlet 25-300 online orders per day all outlets 80-100"/>
        <s v="Pick this one @⁨~Sumadhur⁩ @⁨~parthive.maganti@capsdelivery.com Maganti⁩ He will be available after 7:30"/>
        <s v="he said come after 1pm"/>
        <s v="Owner is not available Aov -400 above Daily order - 25 above They are using both Swiggy and zomato We can meet owner after 5 pm"/>
        <s v="He is getting 21.8 total from Swiggy and zomato Order value is - 320 above He is asking what is the final commission we can give with including everything he is okay with 19++ we need to send him all the proposal and deck so that he will discussing with t"/>
        <s v="Owner not interested in online platform right Previously is on other Platforms They are having issue with Cancellation Problems from delivery Partners and Customers and order Preparation isnalso less Asked him to Onboard with less items but not intrested "/>
        <s v="owner is not available at the moment monday available around 11-12pm i will follow up on monday."/>
        <s v="spoke with the cashier he said they're already gacing losses because of swiggy and zomato need to follow up again"/>
        <s v="Owner will be available after 7"/>
        <s v="the owner is not there at the moment will follow up in an hour"/>
        <s v="They have 48 outlets Main it department number got from the store manager POC-8519954363(Shaheb)(For all the outlets he is managing)head office is in kolkata) POC-8519954363(Shaheb)(For all the outlets he is managing)head office is in kolkata) 7569890018("/>
        <s v="owner will be available after 3pm"/>
        <s v="AOV : 400 Online Orders per day : 7000 One month revenue on both swiggy &amp; Zomoto is around 1 Cr Asking 10++ commission 80% of the business is on online orders"/>
        <s v="Gm as he is busy today to discuss in detail Scheduled it for Monday after 11:30 Khairtabad They are doing 700 Plus orders Per day"/>
        <s v="Has 2 outlets will confirm by tmr need to discuss with his brother"/>
        <s v="AOV-400 He is not available at present in the restaurant,spoke on call,gave appointment on Monday 18:00Pm."/>
        <s v="Will followup up for further discussion"/>
        <s v="Aov 200+ Daily orders in Swiggy 300+ Onboarded"/>
        <s v="Has 4 other branches. Fixed an appointment today at 4:30"/>
        <s v="Aov - 200 above They are not on any other platforms recently started"/>
        <s v="16 outlets in hyd Area head will be available in Gachibowli Not ready to share the contact of area head.I asked store manager to pass the info,I will follow up her for the update."/>
        <s v="Will get back by tomorrow"/>
        <s v="Spoke with Manager he will update the decision by monday"/>
        <s v="Numbers not given Owner not available"/>
        <s v="Asked me to follow up on Monday"/>
        <s v="Asked me to meet after 4pm"/>
        <s v="50-60 orders online per day and 100 on weekends AOV-500-600 Discussion done with manager and he need to discuss with owner for the update,I will follow up for the update."/>
        <s v="Intrested but doesn’t have documents required"/>
        <s v="They have 11 outlets need to speak with area manager for the update"/>
        <s v="owner not available will follow up"/>
        <s v="POC didn't show up"/>
        <s v="Onboarded AOV:200 daily order:150+"/>
        <s v="On Tuesday she is onboarding"/>
        <s v="Aov: 150 and 40 online orders per day Will onboard Mohammedia Shawrma after documents are ready"/>
        <s v="He is interested, told me to come at 3:00 for discussion about onboarding"/>
        <s v="Poc not available Numbers not given"/>
        <s v="onboarded AOv:200 Closed by 18++ Swiggy:18% But he will give pan card and bank details after app launch"/>
        <s v="Onboarded 200 orders per day Present they are not on any online platform because they have been to three platforms but due to hidden charges and commission they are inactive at themoment.Closed on 22%"/>
        <s v="I have talked with owner everything is done Monday she will be onboarding Aov -380 above Daily orders - 50 above More takeaway are done there"/>
        <s v="Will on board on monday"/>
        <s v="Intrested will onboard on Monday"/>
        <s v="onboarded AOv:250 Percentage:22% Orders per day:150"/>
        <s v="onboarded Aov 130"/>
        <s v="Owner is not available he will be available tomorrow 4 pm"/>
        <s v="Will onboard after app launch"/>
        <s v="Owner asked to call evening and has 3 branches"/>
        <s v="Owner will be available at 11 am on monday"/>
        <s v="intersted asked send the propsal Aov 800"/>
        <s v="I have talked with manager On Monday after 5 pm we can directly meet owner Aov -350 above Orders per day - 50 above daily 50% they are directly sending without Any platform usage"/>
        <s v="AOV:130 Owner told to share the details in whatsapp if interested he said he will get back us"/>
        <s v="Onboarded  restaurants Mother’s kitchen AOV : 250 Daily orders - 10-15"/>
        <s v="Onboarded Vindhu Maharaj AOV : 300(offline) New outlet"/>
        <s v="Resto name: Rayalaseema peddaraju Ruchulu Name will be changed soon Waiting for new food license and gst after that he will onboard"/>
        <s v="Asked to meet on Monday night 7pm"/>
        <s v="If we meet Him after 8 He will be onboarding"/>
        <s v="AOV:130 Orders:80+ Swiggy,Zomato:22% He need details in whatsapp,he is ready for Onboarding but he has some work ,he will be available tomorrow afternoon"/>
        <s v="onboarding on Monday "/>
        <s v="Manager As he is not available at the Outlet Discussed with him over Call He will be connecting with his MD Today"/>
        <s v="They were having 9 Branches Main Branch :- Abid Owner wil be available there any time"/>
        <s v=" I need to Meet him and his brother on Monday 4 pm he will on board 2 restraunts"/>
        <s v="Monday on boarding at 5:30 evening We have explained everything.Aov -400 above Daily order - 80 +"/>
        <s v="Monday 6:30  AOV-500 Online platforms-30+ Seating capacity -80 I met the one of the owner and explained everything all the partners will be available at 6:30 for discussion"/>
        <s v="Aov - 400 to 1800 it will reach Daily order- 100 + orders"/>
        <s v="Met the Owner Discussed he is Saying that he fed up with Swiggy and Zomato and he is too Busy Informed about our Platform He Said he Will Call me back for discussion or told us to text back Once"/>
        <s v="Onboarded Order office - 200 per day Closed at 20++"/>
        <s v="Onboarded Aov-600 above Daily order- 80 + Daily revenue - 45 k he is earning total offline and  online"/>
        <s v="Onboarded Aov -200 above Daily order-250 above Revenue -20 k above daily only in offline Seating - 80 above"/>
        <s v="Onboarded Aov 500+ (Corporate bulk bookings)"/>
        <s v="Onboarded Aov 250 No Swiggy zomato"/>
        <s v="Onboarded Aov 110 No Swiggy zomato 18++"/>
        <s v="onboarded Aov 150"/>
        <s v="Owner will be available in the evening"/>
        <s v="Contact: Keshava reddy meet him at madhapur branch"/>
        <s v="He is available to meet tomorrow"/>
        <s v="Spoke with Manager he said will wait for App launch so that we can go with you"/>
        <s v="Manager not available will talk to his manager and will get back"/>
        <s v="MD will be available around 21:00 clock I will follow up with him in the call,I spoke to the manager he said he will convey"/>
        <s v="AOV : 250 Owners were not available"/>
        <s v="Call and come for onboarding now he is busy"/>
        <s v="Owner will be available in ramantapur branch"/>
        <s v="AOV : 250 Decision maker is not available"/>
        <s v="Owner is not available at the moment I tried calling him but he is not answering"/>
        <s v="Come @1.30 for Onboarding now he is in rush"/>
        <s v="Aov 2000 Asking below 15++"/>
        <s v="Owner will be available after 2 "/>
        <s v="Owner is not available"/>
        <s v="Aov 300 Owner is not available now,I called him got appointment fixed at 15:00 today I will follow up him in the afternoon."/>
        <s v="He want to talk with old owner and he will decide and onboard tinnava"/>
        <s v="Discussion done with the manager he need to speak with his MD"/>
        <s v="Poc will be available tomorrow"/>
        <s v="He is on leave asked comeback on 25th for onboarding"/>
        <s v="Manager will be available after 2"/>
        <s v="He is relocating his bakery, will follow up when it's completed."/>
        <s v="Present manager is not available,I have called him and fixed appointment at 15:30 today I will follow up him at 15:30Pm"/>
        <s v="Owner is busy will be. Calling in a while  will follow up"/>
        <s v="Aov : 400  Not interested in online platforms, trying ti close"/>
        <s v="He's available to talk tomorrow at 10:00 am"/>
        <s v="He will be sharing Mr. Dheeraj’s number South India head for online delivery platform"/>
        <s v="Discussion done with the manager,he asked us to share the proposal."/>
        <s v="Owner was not available,spoke with manager he will update to owner I will follow up for the feedback."/>
        <s v="Discussion done manager and MD they need one day time for descion."/>
        <s v="After app launch we need to follow up"/>
        <s v="Asked to call him at 10:30 tommrow  he owns 4 branches"/>
        <s v="Owner not available,We need to get back at 5 pm today"/>
        <s v="Spoke to him he will connect me with Mr. Faizan South India Head"/>
        <s v="Intrested will onboard tomorrow"/>
        <s v="Owners will be in ananthapur Discussion done with Manager,he need to speak with owners during the weekend,follow up on Monday"/>
        <s v="Owner is not available at the moment. Follow back"/>
        <s v="Asked to call him on Thursday. He will speak to his Soutb India head and let me on know about the appointment with South India Head"/>
        <s v="Meet after week Resto name going to change"/>
        <s v="They have 14outlets The descion makers will be available at Athapur barbeque nation.If anyone is near to athapur can follow up if no one we will follow up."/>
        <s v="Have 72 outlets all over hyd.He is on leave today asked to call tomorrow after 12pm"/>
        <s v="He is the decision maker we need to call him at 3 pm and discuss"/>
        <s v="Got  marketing managers number in head office"/>
        <s v="Earnings - 8000/day I have explained everything. He will onboard tomorrow at 1:00"/>
        <s v="He will be available at 2 pm"/>
        <s v="Onboarded Aov 240 Avg per day 40 "/>
        <s v="Owner not available asked to come at 4 evening"/>
        <s v="Took POC number AOV 1500"/>
        <s v="owner’s son he is taking care of marketing for all the outlets.He sit out of Gachibowli branch Called him but he disconnected the call will keep a follow up"/>
        <s v="After 3 he will be available manager I’m going to follow up"/>
        <s v="Not available"/>
        <s v="He is not interested in any online platform,still I pitched him regarding the takeaway option he said he need discuss with owners and get back"/>
        <s v="Onboarded AOV : 350  Closing them with 19++(wants 8km)"/>
        <s v="Owner is not available in the cafe,I tried to reach him via call but not reachable.I will keep on trying him for the meeting."/>
        <s v="He is in a meeting asked to call after 3pm"/>
        <s v="Seating capacity 66 and 40 orders per day on food delivery platforms Will follow up"/>
        <s v="Onboarding Aov- 250 above Daily orders -60 +&#10;"/>
        <s v="Manager available after 6pm"/>
        <s v="AOV :- 350 Plus and Orders:- 30 Owner wil be available at 3 Pm"/>
        <s v="Onboarded Aov : 300+ Avg Orders  per day  40"/>
        <s v="Onboarded 2 Remaining 2 outlets @4.30pm his brother will sign the documents"/>
        <s v="Onboarded Aov- 300 above Daily order - 50 above"/>
        <s v="Onboarded AOV-350-400 Takeaways-150-200 per day Zomato 50-60 on weekdays."/>
        <s v="OnboardedAov 130-150 and 22%++"/>
        <s v="Asked to come tomorrow 9am"/>
        <s v="Onboarded AOV is 270 Plus"/>
        <s v="Aov 150 (zomato top 10 shawarma outlet) Asked to meet after 10pm"/>
        <s v="Poc not available and 5 branches managers will be at Gachibowli branch"/>
        <s v="Onboarded Aov 160"/>
        <s v="He will call us to meet his son between 5-6"/>
        <s v="Mr. Syed sits out of headoffice in Bangalore. Tried calling him but no answer as of now. Will follow up"/>
        <s v="Onboarded Aov 250 and Avg orders per day 40"/>
        <s v="He said he will forward the message to his directors . Will follow him up"/>
        <s v="Onboarded  AOV :- 270 Orders Per day:- 55 around"/>
        <s v="Asked me to follow up at the end of this week. I have forwarded the details of our company to him"/>
        <s v="ONBOARDED AOV-300 and 40-50orders per day from online platform "/>
        <s v="Owner will be available tomorrow from 6pm-8pm"/>
        <s v="Owner will be available after 8  he has 4 branches"/>
        <s v="Tomorrow Owner will be available after 11 AOV is aroun 500 Plus AOV is aroun 500 Plus"/>
        <s v="He will be taking to his brother and then he will call  me"/>
        <s v="Got the poc for all the branches, tried calling him. He disconnected. Will follow up"/>
        <s v="Tomorrow Owner wil be available to discuss Per day Orders:- 150 AoV :- 270 Plus"/>
        <s v="I have talked everything with the owner I need to follow up"/>
        <s v="Onboarded AOV:200"/>
        <s v="Onboarded Aov 110 Online orders 40-50 Night order 60-80 and 20+2%++"/>
        <s v="Owner not available today asked to come tommrow"/>
        <s v="Ready to onboard , documents collected, contract given to the manager for getting it signed from the owner. Asked to collect it tomorrow"/>
        <s v="7outlests  Discussion done with the operational manager,he need to discuss with head team then get back us  We will keep on following up"/>
        <s v="Onboarded  Aov - 250 above Daily orders -90 above"/>
        <s v="Spoke to him, he asked to share the proposal on WhatsApp after that he will give the meeting"/>
        <s v="He is not available,I will follow up They have 9 outlets"/>
        <s v="Will meet tomorrow"/>
        <s v="will meet @friday after 7pm"/>
        <s v="He need time to discuss with his patner"/>
        <s v="Owner not available will come tomorrow"/>
        <s v="call and come tomorrow"/>
        <s v="Onboarded AOV 250 and Orders 80 Plus Per day"/>
        <s v="Asked to share brouchers"/>
        <s v="Onboarded Aov - 500 above  Both on Swiggy and Zomato Daily order - 80 above"/>
        <s v="Onboarded Aov -700   above  Daily orders - 100 above"/>
        <s v="Onboarded AoV:250 Daily orders:90+"/>
        <s v="Onboarded Aov 200 Online orders morning 30 Nights 40-50"/>
        <s v="had a conversation, informed about the idea, he will give a call back in the evening with his senior,I will follow up."/>
        <s v="Asked to share an email AOV - 500 Seating capacity 60"/>
        <s v="POC Didn’t show up "/>
        <s v="Asked me to meet tomorrow at 12:30 for further discussion"/>
        <s v="hey need 1 day time to think"/>
        <s v="Dinesh Sits in Kukatpally branch Asked to share the proposal on email. He will be sharing his email ID shortly"/>
        <s v="Owner will be available at 3 pm"/>
        <s v="Ask to come next week"/>
        <s v="Owner will be available evening,Number not given"/>
        <s v="Owner not available today as he is busy in court case. POC will give me a call tomorrow once the owner comes"/>
        <s v="Owner will be available at 7 pm"/>
        <s v="He have around 6 outlets in Hyderabad The owner will be available Tomorrow mrg after 10 am we can directly contact him I explained everything to the manager AOV:- 300 Per day:-150 orders Karthik reddy owner I have talked everything he will be onboarding o"/>
        <s v="AOV-300 Manager is not available at the moment"/>
        <s v="Agreed to onboard on Thursday. Asked me to come at 12:30 pm Thursday"/>
        <s v="Manager was not available"/>
        <s v="After 4 he will be available 25 outlets We will follow up after 16:00pm"/>
        <s v="Will onboard at 8 today"/>
        <s v="Asked me to follow up on Tuesday"/>
        <s v="Seating capacity - 50 AOV - 300 Asked to share the proposal on WhatsApp after that he will connect us with the concerned person"/>
        <s v="Onboarded Aov 210"/>
        <s v="No.Of orders per day : 40  AOV : 500 Exclusive on Swiggy Owner was not available"/>
        <s v="20outlets Got appointment on sat with area manager at 11:00Am"/>
        <s v="Ready to onboard will share documents Not available the restaurant for 2 days so will sign documents after 2 days"/>
        <s v="Owners are not available Discussion done with the manager,she will update to them"/>
        <s v="He need time to think and he has 1 cloud kitchen also"/>
        <s v="have 7 outlets in HYD and 2 in Vinaywada Asked call after 5pm as he in a night shift"/>
        <s v="Manager will be available tomorrow at 15:00Pm"/>
        <s v="They need time to think"/>
        <s v="He said he will convey to MD. I will follow up"/>
        <s v="Seating capacity - 48 head sits out of head office in Kolkata Tried calling him but no response will follow up more"/>
        <s v="They said that they are tied up with Swiggy zomato as per company policy"/>
        <s v="Onboarded AOV:150"/>
        <s v="Receptionist asked to visit banjara hills branch as the main POC will be available there"/>
        <s v="5outlets Discussion done with manager,he need to discuss with owner  Call back today around 16:00Pm"/>
        <s v="Outlet of continental coffee  Shared required documents Will follow up tmr "/>
        <s v="Asked me to come at 4pm to meet the owner"/>
        <s v="Discussion done with the manager He need to discuss with owners I will follow up for the feedback"/>
        <s v="Owner will be available after 5 in evening"/>
        <s v="Onboarded Minimum order value (180) New outlet Onboarded with 20++ commission (base plan 5km)"/>
        <s v="Manager is not available,we will call back in the evng"/>
        <s v="I have talked with owner we need to follow up"/>
        <s v="Owner said will tell by evening 7 pm"/>
        <s v="Owner will be available today after 1 tmr"/>
        <s v="Onboarded Aov 400 Only online sales 25000 per day Zomato and swiggy top 10 shawarma awardee "/>
        <s v="He has asked for two days time. Will follow up"/>
        <s v="Interested with the idea, will be onboarding on sat , after discussing with the partner."/>
        <s v=" come by @5pm for onboarding"/>
        <s v="Intrested will talk to his brother and  will get back by tmr"/>
        <s v="Owner will be available after after 23rd"/>
        <s v="Call and come @8pm"/>
        <s v="Onboarded Aov 180 and 22++ (only Swiggy and now caps)"/>
        <s v="Onboarded AOV 250-300"/>
        <s v="Head office is in Bangalore Did shared any POC details."/>
        <s v="Onboarded AOV:250"/>
        <s v="Owner will be available after 7 Numbers not shared"/>
        <s v="will meet in 1hr"/>
        <s v="Owner not Available Tried calling no response"/>
        <s v="I have explained him everything and he is interested. He will have a word with his owner and onboard."/>
        <s v="Manager was not available Did shared the POC"/>
        <s v="Owner will be available after 8"/>
        <s v="Chandrashekar partner will meet @27 for finalize"/>
        <s v="They have 3 outlets Discussion done with the manager,meeting with MD fixed at 17:30today. We will follow up for meeting"/>
        <s v="I have sent them the relevant documents  Will follow up"/>
        <s v="250-300 per day in another platform AOV-500 Owner was not available,trying to reach him"/>
        <s v="The have 2 outlets  Meeting scheduled with marketing tomorrow."/>
        <s v="Need to discuss with owners and get back us  Discussion done with manager &#10;"/>
        <s v="Discussion done with manager Need to connect with owner on call after 18:00pm today."/>
        <s v="Onboarded AOV-250 and 22++"/>
        <s v="Met with the HOD.They are not any online platform and not interested on online platform"/>
        <s v="Onboarded Aov 200+ and 30 online orders per day"/>
        <s v="Onboarded Aov 200 Daily orders 54+"/>
        <s v="Owner was not available in the cafe"/>
        <s v="Owner will be available tomorrow"/>
        <s v="Owner will available in 1 h"/>
        <s v="He need contact the owner"/>
        <s v="Discussion done with the owner Tomorrow onboarding."/>
        <s v="Discussion with the owner Onboarding next week"/>
        <s v="He will onboard tomorrow"/>
        <s v="He is not in any other platform after 2 months he will join"/>
        <s v="He is busy right now he will onboard tomorrow"/>
        <s v="Intrested will onboard by tmr"/>
        <s v="Come 21 st for onboarding busy due to Ramzan days starting"/>
        <s v="will be onboarded next week"/>
        <s v="Intrested and will talk to his brother and update in next 2 weeks"/>
        <s v="Onboarded Aov 300 Daily orders: 30"/>
        <s v="Aov : 500 Manager Will talk to the owner and confirm the onboarding, follow back on monday"/>
        <s v="Onboarding today at 5 pm"/>
        <s v="Onboarded AOV 200"/>
        <s v="We have talked to the manager We need send the proposals and all that to him he will be talking to the owner"/>
        <s v="Have got the owners contact details Will follow up"/>
        <s v="It’s a new outlet food license not available, he said i will give update today by evening about that license."/>
        <s v="meet @4pm"/>
        <s v="POS used : explorex Will give a call back once owner is available"/>
        <s v="Aov : 300 Owner not available, asked to come tmr @ 5"/>
        <s v="Asked to come back @ 5pm today"/>
        <s v="He need time to think"/>
        <s v="Meeting tomorrow with owner @2pm "/>
        <s v="AOV : 200 Exclusive on zomato Owner is travelling, wanted details on what’s app"/>
        <s v="Onboarded AOV-300-400 and 150 orders per day from one platform 50 from swiggy 3 outlets"/>
        <s v="Asked to call him at 5pm"/>
        <s v="He is ready to onboard atleast 10 outlets out of 16 by today evening or by Saturday"/>
        <s v="Onboarded Aov 200+ Daily online orders 40"/>
        <s v="Have to meet @7pm"/>
        <s v="They have 7 branches If we talk to the branch people it will be sortedSame contact to head office every operations are done there is it’s self They are not lifting the call if we call Them"/>
        <s v="Seating capacity- 500 POS : chef desk Will arrange meeting with MD"/>
        <s v="Owner is not available asked to come tommrow"/>
        <s v="He will be available after 6"/>
        <s v="Owner will be available after 4pm"/>
        <s v="ONBOARDED  AOV-250"/>
        <s v="Onboarded Aov 250 Avg order per day 50"/>
        <s v="He said he will inform by end of this week  Will follow"/>
        <s v="meeting @3.30pm"/>
        <s v="He will be talking to his brother and he will call us back Aov-300 above Daily orders -50 above"/>
        <s v="They told me to follow up in two days"/>
        <s v="AOV-300 Discussion done with manager,need to discuss with owner then I will follow up tomorrow for the feedback"/>
        <s v="Will be available tmr after 1"/>
        <s v="We  have talked with owner  We need to talk to his son on call After 6 pm  Aov-400 above Daily order -70 +"/>
        <s v="Will Discuss clearly tomorrow now he is in rush tomorrow after 6pm"/>
        <s v="Discussion done with manager,need to discuss with md  I will follow up tomorrow for the update"/>
        <s v="Onboarded AOV:200+"/>
        <s v="Onabording at 6pm today"/>
        <s v="He said he will fix an appointment with their owners either today after 8pm or tomorrow from 12pm-1pm Will follow up"/>
        <s v="He didn't answer the call"/>
        <s v="The manager didn't answer the call"/>
        <s v="Owner available after 8pm"/>
        <s v="He said he will speak to the owner, will follow up"/>
        <s v="Onboarded Aov 300 Daily 75 orders"/>
        <s v="He will ask his partner and get back by 8 o clock"/>
        <s v="We have talked with owner  He will get back to us"/>
        <s v="Onboarded AOV : 200 "/>
        <s v="Total No.of Outlets : 12 Yogesh ( will be available at JP Nagar Branch) "/>
        <s v="Onboarded AOV:150+"/>
        <s v="onboarded 23++ Aov 180 No Swiggy no zomato"/>
        <s v="onboarded Aov 200 and 17+2%++ No Swiggy no zomato"/>
        <s v="Owner will be available after 4"/>
        <s v="Owner will be available tmr"/>
        <s v="Manager was not available  Did nt shared the POC details"/>
        <s v="Discussion done with manager need to discuss with owner get back evening I will follow up in the evening"/>
        <s v="manager ask to come again @4pm"/>
        <s v="Owner will be available after 10 pm evening"/>
        <s v="Manager was not available "/>
        <s v="Owner will be available at 5 pm"/>
        <s v="Total outlets : 7 Aov : 200 No of orders a day : 30 Outlet manager : vamsi Contact No : 9177056777 Owner name : Srinivad Reddy Contact No :9177501753"/>
        <s v="Owner was not available in the restaurant Discussion done with manager,spoke with owner on the call,appointment fixed tomorrow for the meeting."/>
        <s v="He is not interested"/>
        <s v="He is busy right now ,he said i will call you when i am free"/>
        <s v="Onboarded Aov 150+ Not on any other food delivery platforms Offline orders 100 per day"/>
        <s v="It’s managed by Kinara group of hotels Asked to mail the proposal Will be sharing mail I’d shortly"/>
        <s v="Aov- 200 above Daily orders- minimum 100 Total outlets - 3"/>
        <s v="Available in sr nagar branch Total of -4 branches"/>
        <s v="OnboardedRao gari military hotel 2 outlets onboarded Kothaguda Poc mahesh Ameenapur Aov weekdays 350 Weekends 400 Online orders per day 50-70"/>
        <s v="Manager was busy,she asked me to call in the evening I will follow up"/>
        <s v="onboarded Aov 180 and 26++"/>
        <s v="We need to send the proposal to them we have talked with owner he is interested Owner contact Outlets of - 8 total"/>
        <s v="Owner was not available,discussion done with the manager I will follow up for feedback"/>
        <s v="Aov- 800 Daily orders - 20 orders More dine She will talk to the owner and she will let us know till eod"/>
        <s v="All the decisions are taken in Chennai"/>
        <s v="Destination Cafe We need time to discuss with his partners"/>
        <s v="Owner not available, didn’t wanted to share the number"/>
        <s v="Onboarded  AOV : 300 No.of orders a day : 20(online platforms) with 20++"/>
        <s v="Onboarded Aov 180 and 25++ with long distance fee"/>
        <s v="Need to discuss with his brother Gachibowli"/>
        <s v="Onboarded,few documents yet to be collected"/>
        <s v="Onboarded  AOV : 200 Currently not on any food delivery platform  with 20++(5km)"/>
        <s v="asked to send the detials on what’s app"/>
        <s v="Onboarded AOV:200+ Daily orders:90+per day"/>
        <s v="Onboarded Aov-300 Daily orders - 60 They are in both Swiggy and Zomato 22++"/>
        <s v="?"/>
        <s v="Manager was not available,I need to follow up for discuss"/>
        <s v="Owner will be available after9 pm"/>
        <s v="Owner is out of station I have talked in call he said we will meet directly and talk on Monday"/>
        <s v="Onboarded Aov- 250+"/>
        <s v="Everything talked with owner on boarding may done with in 2 days"/>
        <s v="Discussion done with manager,need to up follow up in next week"/>
        <s v="AOV :- 350 Orders per day :- 45Follow up required Call @6:30 PM today"/>
        <s v="We have talked with owner and manager Meeting schedule - on Saturday with owner Explained everything on call Total outlets - 8 In Hyderabad 6"/>
        <s v="He will Discuss with other partners for onboarding 4branches meanwhile he asked me to send proposal"/>
        <s v="Onboarded Aov 250++"/>
        <s v="onboarded Aov - 250 above Daily order- 60 above  Closed with 19++"/>
        <s v="Onboarded Aov 250 Daily order per 150"/>
        <s v="Owner will be available on monday"/>
        <s v="Onboarded Aov : 200 Daily orders: 45"/>
        <s v="Monday he will be onboard because cashier taking care of online platform he is in vacation"/>
        <s v="Onboarded Aov 400+ Avg order per day  100 "/>
        <s v="Onboarded another outlet Aov-300 above Daily orders -300 + Both  Swiggy and Zomato"/>
        <s v="Aov- 350 above  Daily orders - 50 +"/>
        <s v="I have explained him everything. He is interested to onboard  Will complete onboarding tomorrow at 7pm"/>
        <s v="ONBOARDED AOV-300orders per day -30+"/>
        <s v="They have two more branches in Balanagar, one is dhaba and the other is tiffins Owner available after 9pm"/>
        <s v="Meet on Sunday"/>
        <s v="They have 3 branches They are having online delivery in other two branches, they are planning to start here very soon"/>
        <s v="Owner will be available after 6 PM"/>
        <s v="Have to discuss with the manager regarding thiswill follow up"/>
        <s v="Onboarded AOV:300"/>
        <s v="POC was not available need to follow up"/>
        <s v="Meeting with owner after 4 today"/>
        <s v="Owner asked to get back after Ramzan"/>
        <s v="Met with manager explained everything need to speak with the owner and get back"/>
        <s v=" Met with the manager poc details not shared informed they have their head office opposite meridian school, if anyone is near that location. Please visit"/>
        <s v="owner asked to come after ramadan as he is very busy"/>
        <s v="Talked with manager He said you can come after Ramazan directly to talk"/>
        <s v="he will meet after 8pm"/>
        <s v="honor not available ask to come back at 4:00 p.m"/>
        <s v="ask to come on Monday"/>
        <s v="He is not interested on these apps He directly said get out"/>
        <s v="owner not available asked to come back on Monday "/>
        <s v="Poc not available, no details shared 3 outlets, have to come back on Monday."/>
        <s v="They are adding up with other restaurant Next month have to follow up"/>
        <s v="Onboarded Aov:250 Daily orders:45+"/>
        <s v="Should follow back after one hour"/>
        <s v="Owner will be available at night"/>
        <s v="Owner will be available daily after 8:30 PM !"/>
        <s v="They faced issues with online platform they are not intrested on any platform"/>
        <s v=" Discussion done with owner need one day time to get back"/>
        <s v="Disscusion done with one partner need to discuss with other partner I will follow up"/>
        <s v="Owner was not available,reaching him for meeting"/>
        <s v="Discussion done with owner,once he need to discuss with his son and get back us I will follow up"/>
        <s v="Discussion done with manager,need to update to owner I will Follow up"/>
        <s v="Owner will be available at evening"/>
        <s v="Discussion done with two partners Need to discuss with other partner They have 3outlets I will follow up"/>
        <s v="Meet tomorrow @10-12"/>
        <s v="Owner will be available at 4 pm"/>
        <s v="He will discuss with his father and take decision in 1 hr"/>
        <s v="We need to send proposal"/>
        <s v="AOV : 200 Owner not available, doesn’t want to share details, asked to come back tmr"/>
        <s v=" Contact Ramnath for further discussion"/>
        <s v="Owner current in Saudi Arabia,will return on 27th. 60-80 orders per day"/>
        <s v="They have 6 outlets in hyd Did shared the number Owner will be available in jubilee bills branch kbr park gate no-1 He is the descion maker for all outlets If anyone in jubliee hills can reach out him"/>
        <s v="Will onboard by monday for 2 outlets"/>
        <s v="Asked for the proposal,I have shared them,They will get back in next week"/>
        <s v="Aov:500 and 3 outlets We discuss each and everything and he want to discuss with his brother we need to send proposal @⁨~manasa.chigurupati@capsdelivery.com @ankitha.baske@capsdelivery.com"/>
        <s v="Met with manager , however did not share any details, need to call the general manager to set up a meeting.I will follow up."/>
        <s v="Owner was not available,discussion done with manager I will follow up for feed back"/>
        <s v="Met with the Manager They are opening 2 more outlets!General manager will be availble after 2-3 dayswill follow up."/>
        <s v=" ONBOARDED AOV-250"/>
        <s v="Had a discussion with the manager, they are not serving online orders as they are pub and dining oriented place.They are not interested in online orders."/>
        <s v="Interested but need to discuss with his partner, will follow up"/>
        <s v="They are not ready to give number ,owner is not available"/>
        <s v="ONBOARDED AOV-400"/>
        <s v="ONBOARDED AOV-300"/>
        <s v="Discussion done with one partner and need to discuss with other partner"/>
        <s v="We need to send details in whatsapp"/>
        <s v=" AOV : 350 ( confirmed on POS) No.of orders a day : 20 Follow back on monday"/>
        <s v="Discussion done with manager need to discuss with owner I will follow up"/>
        <s v="Onboarded Aov -500 above Daily order -75 + both on Swiggy and Zomato"/>
        <s v=" AOV : 300 Have 3 outlets Asked to meet 1 week later for onboarding"/>
        <s v="Onboarded Aov - 200 No of orders : 15-20( only on zomoto) Explained about 40 rupees per order and 22++"/>
        <s v="@⁨~Sagara Veerudu⁩ Discussion and everything is done for 22++ , tmr they gonna onboard kindly follow up"/>
        <s v="AOV : 200 and 22++ Will disscuss with partner and will be onboarded"/>
        <s v="Aov : 200 Have 3 outlets Onboarding on Monday"/>
        <s v="Head office add :- Mehadipatnam! 17 pillar no.Total outlets - 9 Follow up required to get the appointment date with HO !"/>
        <s v="2 outlets Owner is availabe on monday Interested in onboarding"/>
        <s v="Onboarded Aov 240 Daily orders 20 + "/>
        <s v="onboarded 4 outletsAov 250 No Swiggy no zomato 23++and  + 2% long distance fees"/>
        <s v="Onboarded Aov 180 Online orders mrng 20-30 Night 40-50 and 25++ with long distance "/>
        <s v="Meeting is on Monday -10 am"/>
        <s v="Onboarded AOV :- 350 Orders per day :- 45 "/>
        <s v="AOV :- 450 Orders per day :- 60 All details about onboarding discussed with owner !!! Onboarding will be done on Tuesday !!! 2 outlets !"/>
        <s v="Daily order - 150 + orders daily Aov - 300 above Meet on Monday"/>
        <s v="  Owner not available in outlet ! Asked to call back tomorrow mrng !"/>
        <s v="On boarded Aov-300 above Daily order -70 above"/>
        <s v=" Onboarded AOV -200"/>
        <s v="Discussion done with one partner need to discuss with other partner They are not on other platforms"/>
        <s v="For the discussion no seniors and manager was not available"/>
        <s v="Owner  was not available,Discussion done with manager "/>
        <s v="Owner was not available "/>
        <s v="Come Monday for discussion"/>
        <s v="Not intrested in online platform"/>
        <s v="permanently closed "/>
        <s v="The owner is not on any online platforms as he wants settlements daily"/>
        <s v="Discussion done with the owner But they had issues before with swiggy and zomato  regarding payment Now they are not interested on online platforms"/>
        <s v="Monday appointment after 14:00"/>
        <s v="On leave today Main branch Mehdipatnam if anyone is in that area kindly visit Pos used - Cozypos"/>
        <s v="The owner is available after 2 pm"/>
        <s v="Owner was not available Discussion done with the managerI will follow up"/>
        <s v="Owner available after 2 pm"/>
        <s v="Onboarded Aov :200 Daily 75 orders from other platforms "/>
        <s v="Owner will be available in the evening "/>
        <s v="The owner will be available in an hour,will come back here"/>
        <s v="Onboarded ov 250 and 22++ with long distance fees"/>
        <s v="They are going to change the names and location Need to follow up in next month"/>
        <s v="Didn’t shared any contact details  Need to follow on Monday"/>
        <s v="The owner is available on Monday after 4 pm"/>
        <s v="Owner is available after 7 pm"/>
        <s v="Meet @4 now he is busy"/>
        <s v="Come @1pm today"/>
        <s v="All decisions are taken at Hyder nagar branch Has 5 branches"/>
        <s v="AOV - 600  Manager isn’t available! He will be available after 5 PM"/>
        <s v="Meet@4pm a little bit rush now"/>
        <s v="Owner will be available after 4 Will follow up Tried explaining to the manger so that he can convey"/>
        <s v="Owner not available in Bangalore will contact if Intrested"/>
        <s v="This is the 5 star hotel We got positive response they are in Swiggy and Zomato he is like  we can also take u  because keeping one more won’t be a problem send ur marketing things Proposal and all the clear details We can do that not an issue  Mail I’d- "/>
        <s v="Not Intrested"/>
        <s v="Meet @2pm"/>
        <s v="AOV :- &gt; 500 Spoke with manager &amp; gave brief about our platform He said that “he will get back to  us after reaching out to his owner on Monday”"/>
        <s v="OnboardedSnaking cafe private limited  Present their outlet only in Rajahmundry and Hyderabad  They are planning to keep 15 outlets by this year and everything goes well they want to keep exclusive partnership with CAPS Onboarded hitech City outlet Sriniv"/>
        <s v="Owner available after 6pm"/>
        <s v="Manager is handling 5 outlets - Aeroplaza RGI Airport- ⁠All seasons - Banjara Hills- ⁠Levant - ⁠Nomme kitchen &amp; Coffee theatre - ⁠Seasons Express All the above res base will be handled by the same person, we have discussed the structure of caps with cashi"/>
        <s v="Onboarded Aov :500 Daily orders 45+"/>
        <s v="Parampara they have all (14outlets )  4 outlets will be taken care by one manager so they have 4 mangers  Who will be looking after all the outlets the main manger is available at chandhanagar  We got the contact of one manager  We have talked with Mr. Vi"/>
        <s v="AOV :- &gt;500  and Orders per day - 100 Currently owner isn’t available at res. Discussed the details with manager.Owner will be available at res after Ramzan &amp; after 3PM."/>
        <s v="Can meet the owner evening at 8pm"/>
        <s v="Appointment fixed on tues After 15:00PM"/>
        <s v="Owner available on Monday after 2pm Will follow up"/>
        <s v="Onboarded Aov 150+"/>
        <s v="Owner asked me to come on Monday morning"/>
        <s v="Spoke with manager - he told to share all the proposal details through mail id. After checking the details they will get back to us."/>
        <s v="Meet @4pm today"/>
        <s v="He is not interested  for now if  he want he will let us know He took the card soo he said we will get back"/>
        <s v="Spoke with Manager and owner said to meet again on monday"/>
        <s v="The owner needs to discuss with his son , asked me to follow up after 2 days"/>
        <s v="Intrested will talk to his father and let us know "/>
        <s v="Total -5 outlets Kphb is the main branch -1000 to 1500 order dailyKondapur Aaa mall Nizampet Banjara Hills They have Swiggy and Zomato More orders from Swiggy and less from Zomato Aov -400-500 Daily orders- 300 per day Daily revenue -1 lakh More order tha"/>
        <s v="Spoke to outlet manager - he told to share proposal over mail Mail id :- Care@manamchocolate.com PR Team will respond through mail."/>
        <s v="onboarded Aov 300 Online sales 80-100 (huge 4am sales) Daily revenue from 2 outlets 60000 and 22++ with long distance fee"/>
        <s v="Owner available after 9pm They didn't share the number"/>
        <s v="He is busy now  So he said to come on Monday  Aov- 600 above  Daily- 30 orders Both on Swiggy and Zomato"/>
        <s v="Meeting done will do onboarding by Monday"/>
        <s v="Owner not available "/>
        <s v="Mandi Bistro come tomorrow @1pm to meet owner"/>
        <s v="Onboarded Has 2 more pizza outlets will confirm them by evening"/>
        <s v="Follow up meeting owner left just now will meet and close on Monday"/>
        <s v="The owner is not interested in delivery apps"/>
        <s v="The manger is not available You can come on Monday and directly meet manager Total outlets - 16  He didn’t give any number  We can meet him on Monday for more informatio"/>
        <s v="The owner will be available on Monday. Will follow up"/>
        <s v="Have spoke to manager &amp; he informed to connect with him on Monday !"/>
        <s v="I have talked with manager I explained him all the things he said he will explain the things to the owner And he took the contact of me He will call me on Wednesday for follow back They have like - 60 orders a day  More dine in customers  Aov-400 above  H"/>
        <s v="All decisions are taken at Nellore"/>
        <s v="No manger is available He will be available after 8 at night so u can come at after 8 and have a talk with the manger They gave the company number 6309590610 Aov- 400 above Daily orders -30 above from one application More dine in place I took there mail I"/>
        <s v="This is akhila.narra@capsdelivery.coms client . I followed them up and they agreed to onboard on Tuesday"/>
        <s v="The owner is available on the 25th"/>
        <s v="Have discussed everything to the manager. Will follow up tomorrow and complete onboarding on Monday"/>
        <s v="The owner was not Avilable in the city,he will be back after 10days need to follow up after 10days"/>
        <s v="Owner was not available in India,he went for visiting Dubai &#10;Asked us to come back after ramzan"/>
        <s v="Onboarded AOV:300 Daily Revenue:30k per day"/>
        <s v="Owner was not available at the moment"/>
        <s v="They are not on any online platform They said us to follow back after ramzan"/>
        <s v="Manager will be available at 1 Pm"/>
        <s v="Manager available after 1"/>
        <s v="Owner available after 2"/>
        <s v="Owner not available at outlet ! Follow up required at 4PM"/>
        <s v="He want to discuss with his brother who handles swiggy and zomato -If he is interested he will onboard tomorrow 2 outlets"/>
        <s v="Asked to visit after app launch"/>
        <s v="Manager will be available at 2 pm"/>
        <s v="Outlet closed right now ! Follow up required"/>
        <s v="owner will be available after 1"/>
        <s v="Will be available tommrow"/>
        <s v="Owner available at Banjara Hills outlet after 2PM They are having 8 outlets They are having 8 outlets"/>
        <s v="Owner Will be available at 3:30"/>
        <s v="Owner is available to talk tomorrow,they didn't specify a time when asked"/>
        <s v="Revisited again for the feedback still they are busy with other things,they need time to get back"/>
        <s v="The owner is available to talk after 2pm Will follow up"/>
        <s v="Appointment fixed for tomorrow for the feedback  AOV-400"/>
        <s v="Will be available after 7pm"/>
        <s v="Onboarded Aov 200Order per day 50"/>
        <s v="Not interested"/>
        <s v="POS-Petpooja AOV-400 Need to discuss with other partner"/>
        <s v="Owner told me to come tomorrow afternoon"/>
        <s v="POS-Petpooja  Manager was not available and didn’t shared any POC"/>
        <s v="Owner asked to come at 6 o clock"/>
        <s v="Owner is busy asked to come tommrow for onboarding"/>
        <s v="POS-they don’t use any integration Owner was not available for the discussion"/>
        <s v="I have discussed each and everything with the manager, He need 1 week time to discuss with his owner next monday he will inform"/>
        <s v="Cashier told that he will call back to us."/>
        <s v="Asked me to follow up tomorrow"/>
        <s v="Owner available after10 pm"/>
        <s v="Revisited again for the feedback but owner is not available"/>
        <s v="come after app launch"/>
        <s v="Owner is not available,we need to call him after 5 pm and discuss"/>
        <s v="Asked to visit tmr"/>
        <s v="Owner will be available after 4PM !"/>
        <s v="The owner didn't answer calls"/>
        <s v="Owner asked to come tommrow"/>
        <s v="Same owner of ideal kitchen Will be available in the evening"/>
        <s v="onboarded Aov 250+ Avg order per day :40"/>
        <s v="Onboarded Not on Swiggy and Zomato"/>
        <s v="Onboarded Aov 200+"/>
        <s v="Intrested will onboard in 3 days Documents not available"/>
        <s v="Intrested will onboard once app is launched "/>
        <s v="Owner not available asked to come after 9pm"/>
        <s v="Should call the marketing head for further discussion"/>
        <s v="Owner was not available"/>
        <s v="AOV-300 Asked to share the proposal,shared the proposal next meeting fixed next Monday for the follow up"/>
        <s v="Have to talk to partners asked to come after app launch Has 4 branches"/>
        <s v="Owner not available !  Asked to come back after 4PM"/>
        <s v="The owner is not interested in delivery platforms due to settlement times"/>
        <s v="He need time to discuss with his owner"/>
        <s v="They are on swiggy and zomato before,they had payment issues so at present they are not interested They didn’t shared the POC details."/>
        <s v="The owner is available to meet after 9pm"/>
        <s v="Onboarded 2 outlets Aov 350"/>
        <s v="The owner was not available,call back at 20:00 To schedule meeting"/>
        <s v="Aov 200+and 50 online orders per day"/>
        <s v="They don’t use any integration Need to discuss with other partner"/>
        <s v="AOV-400 The general manager is the descion maker  POS-safedesk  Need to email,we will do"/>
        <s v="The owner is available at 1 am"/>
        <s v="Menu includes - wraps &amp; everything AOV - 300  Orders per day - 20"/>
        <s v="Onboarded Aov 200  Online orders 50-60  Onboard 25++ with long distance fees"/>
        <s v="onboarded Dostan Food court Food court owner is main partner remaining all individual working under same food court 5 outlets Aov 30025++ with long distance fee"/>
        <s v="We can talk with the owner after 6 pm"/>
        <s v="After app launch he will decide"/>
        <s v="Discussion done with the floor manager The descion maker will be available to around 10 Need to call him before coming"/>
        <s v="Owner will be available tomorrow 1 pm"/>
        <s v="Owner Will be available tommrow"/>
        <s v="AOV-300 POS-Petpooja They have 20 outlets Per day orders from online-500 Store manager will be from 9:00-18:00 We will follow up tomorrow"/>
        <s v="POS-Petpooja Seating capacity-50 Per day orders from online-100+ They have 3 outlets in hyd got business development number he is the descion maker "/>
        <s v="OnboardedAOV 300and  23++ with long distance fee"/>
        <s v="7 outlets in hyd  He is the one for all the outlets  9100861222(sai nath reddy) store manager"/>
        <s v="Manager was not available for discussion I will follow up to schedule meeting  POS-Petpooja"/>
        <s v="Onboarded Aov 350 Online orders 50-60 and 23++ with long distance fees "/>
        <s v="Owner will be available tmr morning"/>
        <s v="Owner asked to call after 7pm"/>
        <s v="Will speak will manager and let us know"/>
        <s v="Onboarded Aov 230"/>
        <s v="Onboarded ! Orders per day :- 40 AOV :- 300"/>
        <s v="Onboarded ! AOV :- 300 and Orders per day :- 45"/>
        <s v="He said to come onboard tomorrow"/>
        <s v="Onboarded AOV - 350 Min order - 60 per daySeating- 24"/>
        <s v="Discussion done with manager Friday 16:00 fixed meeting with MD for further discussion."/>
        <s v="Need some time to think"/>
        <s v="Discussion done with Manager he will take decision call @7pm"/>
        <s v="Onboarded 25++ with long distance fee"/>
        <s v="Not available  Tried calling not answered"/>
        <s v="They are not interested in online platform"/>
        <s v="call him @evening"/>
        <s v="Need time to think"/>
        <s v="Not ready to share the POC details  Need to visit after the app launch"/>
        <s v="Need to follow up next week"/>
        <s v="Asked to visit after 4"/>
        <s v="Call back in the night to schedule meeting at 21:00PM"/>
        <s v="Not interested in online,they had issues before with other platform"/>
        <s v="He is very much interested to Onboard but he want to talk with his son"/>
        <s v="Need to follow up tomorrow around 13:00PM, discussion done with manager"/>
        <s v="Discussed with one partner need to discuss with other partner  Appointment fixed today at 16:00Pm"/>
        <s v="He is busy meet in evening times"/>
        <s v="Present the owner is not available,I will follow up to schedule meeting"/>
        <s v="Owner is not available now"/>
        <s v="Meet @3 pm"/>
        <s v="Owner was not available,they are not ready to share the details"/>
        <s v="He is not interested as he is not on any other  food delivery platform"/>
        <s v="Owner was not available i have explained to manager he said i will discuss with the owner"/>
        <s v="Owner was not available Follow up"/>
        <s v="They have 3 outlets asked to call after 3pm"/>
        <s v="Owner is not available We can meet after 5.30 evening"/>
        <s v="Follow back after 2days,They are interested  AOV-250"/>
        <s v="I will follow up to schedule meeting Present owner is not available "/>
        <s v="Onabording on Friday after 4 "/>
        <s v="Will onboard after 2 days"/>
        <s v="onboarded Aov:- 210,230,200 All outlets 25++ with long distance fee"/>
        <s v="Onaborded Aov - 350 above Daily order -55 above New outlet"/>
        <s v="Owner not available at outlet"/>
        <s v="Spoke to manager &amp; help him understand how our platform works"/>
        <m/>
        <s v="Aov250 onboarded "/>
        <s v="They are not interested"/>
        <s v="Owner will be discussing with. With his brother and  will call back by tommrow"/>
        <s v="Owner will be available after 8 pm"/>
        <s v="Owner is busy asked to meet tommrow"/>
        <s v="Owner is out of station asked to come on friday"/>
        <s v="This restaurant is going to close"/>
        <s v="ONBOARDED Aov- 450 above  Daily orders -80 above Swiggy recently started 22++"/>
        <s v="Manager will be available at night"/>
        <s v="Owner has 7 outlets  ready to onboard 1 for now by tommrow"/>
        <s v="Onboarding  will be done   With yum yum tree both at a tym"/>
        <s v="Had a word with merchant &amp; as he was having petpooja integration.He asked to directly integrate with petpooja after conversation."/>
        <s v="He said i will pass the information to MD and let you now after 1 day"/>
        <s v="ONBOARDED Aov 200+ Daily online orders 100 Will onboard 2 more outlets after app launch"/>
        <s v="Wait for a week food license have to renewal"/>
        <s v="He said i will discuss with his brother and onboard tomorrow"/>
        <s v="Onboarded Aov 300+ Avg order per day 50 "/>
        <s v="Onborded Aov -299 above Daily order - 30 above and 22++ "/>
        <s v="Onboarded Aov 450+ and 20++ with long distance fee"/>
        <s v=" Onboarded Aov -300  above  Daily order -150 above"/>
        <s v="AOV :- 600-1200  Orders per day :- 25 Spoke to the owner,explained detailed structure.Have to share proposal through mail id :- gpsajju@gmail.com Follow up required Lead status :- positive"/>
        <s v="Owner will onboard tommrow as he  is not available"/>
        <s v="Manager said to meet head office after 3 pm"/>
        <s v="Onboarded Aov 210+ Online orders 100+"/>
        <s v="Onboarded New outlet"/>
        <s v="Tomorrow morning sir will be available In between of 10-12  We can go directly talk with owner Aov -200  Daily orders -60 above"/>
        <s v="Manager will be available at 11 pm afternoon"/>
        <s v="Spoke to owner of the the outlet. They asked to share proposal through mail &amp; they will get back to us."/>
        <s v="Owner asked to meet after 4pm"/>
        <s v="Aov - 200  above  Daily order -60 + I have  talked with owner She will onboard on Friday"/>
        <s v="We need to meet him after 1 st march  He is having 2  outlets same owner"/>
        <s v="Meet after 7pm today"/>
        <s v="Onboarded Aov - 250 above  Not in Swiggy and zomato before he use to due to commissions he stoped Daily order-80 + more office people they call and take orders"/>
        <s v="Owner is not available asked to come back tommrow"/>
        <s v="Onboarded 4 outlets Aov 290 No Swiggy no zomato 22++ with long distance fee"/>
        <s v="onboarded 5 outletsAov 260 and 24++ with long distance fee"/>
        <s v=" Onboarded AOV:250"/>
        <s v="onboarded Aov : 200 No of orders 40+"/>
        <s v="Srikanth reddy meet @7pm"/>
        <s v="Will onboard today at 5 pm"/>
        <s v="onboarded Aov 250+ Online sales 1.5L per outlet 17++ with long distance fee (upto 7km)"/>
        <s v="Will discuss with his brother"/>
        <s v="newly opened tier 1 multi cuisine restaurant Spoken with owner will let us know by this week end"/>
        <s v="onboarded New out let no Swiggy no zomato"/>
        <s v="He will onboard tomorrow now he is in Rush"/>
        <s v="onboarded Aov 300-400 (depends on weekends) Only in Swiggy (70 orders) 23++ with long distance "/>
        <s v="Intrested asked to come after one hr"/>
        <s v="Explained detailed structure with merchant , he asked to come back after 7PM"/>
        <s v="Onboarded Aov 350"/>
        <s v="Onboarded Aov  250 + Avg order per  50 "/>
        <s v="onboarded AOV :- 250 Orders per day :- 50"/>
        <s v="onboarded Aov: 200 Daily orders 40"/>
        <s v="Owner not available asked to come again"/>
        <s v="Meet in 1 hr"/>
        <s v="Follow up  Will update tmr"/>
        <s v="Follow up required tomorrow mrng 11 am , owner isn’t available rn"/>
        <s v="Explained detailed structure to mx ,Follow up required to onboard."/>
        <s v="Appointment scheduled at 12 tmr"/>
        <s v="Asked to contact This number  Owner not available"/>
        <s v="Had a word with head office manager Mr.Vivek, he asked to drop a proposal mail to his mail id."/>
        <s v="Owner will be available at 2:30 PM"/>
        <s v="Not interested  They are not on any platform"/>
        <s v="onboarded Aov- 450+  and 150 online orders per day"/>
        <s v="Owner will be available at 6"/>
        <s v="Asked to share proposal   2 branches"/>
        <s v="onboarded Aov-500"/>
        <s v="onboarded Aov: 350 No of orders: 60+"/>
        <s v="Owner was not available  Didn't sharedthe POC details"/>
        <s v="Onboarded  Aov-400 above Daily orders - 300 above order In both Swiggy and Zomato Seating capacity-100 people and 22++ "/>
        <s v="He will be only coming after 9PM "/>
        <s v="Have to follow back after 2 "/>
        <s v="onboarded Aov 250 No of orders: 50"/>
        <s v="onboarded Aov 250 and 50 orders per day"/>
        <s v="2 branches  Gng to main branch Manikonda"/>
        <s v="Onboarded Aov 260 and 23++"/>
        <s v="Daily order -300 + Both Swiggy and Zomato I have talked with manager and explained everything He is interested and he will talk with owner if possible he will arrange the meeting by tomorrow"/>
        <s v="Meet at 6pm"/>
        <s v="Aov : 300 No of online orders : 100+ Explained everything clearly, asked for a day time, tmr she will onboard"/>
        <s v="Onboarded AOV:300 and 22++"/>
        <s v="Onboarded Aov 500 Online orders 100-120"/>
        <s v="onboarded Aov - 300 above Daily - 50 above "/>
        <s v="Main Branch He said i will forward to Higher people this information"/>
        <s v="Manager will be available after 1 pm and 3 outlets"/>
        <s v="Owner will be available at 10 in the morning, asked to come back tmr "/>
        <s v="Onboarded AOV:250 and 22++"/>
        <s v="Discussion done with one partner need to discuss with other partner"/>
        <s v="They asked to share proposal over mail Resmouryarestaurant2024@gmail.com is under partnership.&#10;"/>
        <s v="Owner was not available  I will follow up to schedule meeting"/>
        <s v="Discussion done with manager,need to discuss with partners  I will follow up"/>
        <s v="Onboarded Aov 290 Online orders 50 and 24++ long distance"/>
        <s v="Onboarded Aov 300 Online orders 60 and 24++ with long distance fee"/>
        <s v="Discussion done with owner need the onboarding document to be sent,he want to go through it and then sign  He has two outlets  I will send"/>
        <s v="onboarded Aov - 200  No online platforms"/>
        <s v="Manager will get back to us by tmr, we gave our details"/>
        <s v="Orders per day :- 40 AOV :- 600 Follow up required after 5PM"/>
        <s v="onboarded Aov - 200  above Daily order -50 above Both in Swiggy and Zomato"/>
        <s v="Need to send details"/>
        <s v="Owner was not available  Didn't shared the POC details Owner will be available in the nyt. 22:00"/>
        <s v="Manager will be available after 4PM"/>
        <s v="Owner said to meet later"/>
        <s v="Manager isn’t available - follow up required after 4PM"/>
        <s v="Onboarded Orders per day :- 80 through online AOV :- 350-400 "/>
        <s v="Onboarded Aov : 300+  No.of orders a day : 120+ "/>
        <s v="Onboarded Aov -300 above  Daily orders -30 above"/>
        <s v="meet @6pm"/>
        <s v=" Onboarded Aov - 250 above  Daily orders - 50 above"/>
        <s v=" Onboarded AOV : 700  No.of orders a day : 15 (on swiggy) "/>
        <s v="Will onboard tmr"/>
        <s v="AOV : 700  They have 4 outlets Meeting scheduled at Monday 1Pm, will be onboarding"/>
        <s v="Onboarded  Aov-300 above They sell more Combos Daily order -90 above "/>
        <s v="Onboarded AOV - 800 Per day order - 80 - 90"/>
        <s v="Meet after 7pm"/>
        <s v="Contact@thechamkila.com Chamkila asked to share proposal on mail"/>
        <s v="Owner not available Follow up "/>
        <s v="Owner  Proposal on WhatsApp Follow up "/>
        <s v="Onboarded Aov 250 Avg orders per day 50 "/>
        <s v="Onboarded Aov 400+ Avg order per day 50+"/>
        <s v="Follow up  Will update on Monday"/>
        <s v="Not available right now ! Follow up after 7PM"/>
        <s v="Orders per day - 45 AOV :- 400 Manager will be only available afternoon"/>
        <s v="onboarded Aov:400 and 4 outlets onboarded out of 9 Remaining will done by next week"/>
        <s v="Had a word with manager at outlet Explained all about platform.Sales.treeinnjubilee@gmail.com"/>
        <s v="Spoke to one of the partner &amp; fixed meeting on Sunday 2PM"/>
        <s v="Owner not available ! He will be available on Monday after 2PM"/>
        <s v="They have 2 branches going to start more 18 Intrested but busy in talks with franchise works"/>
        <s v="HAD DISCUSSION WILL ONBOARD BY EVENING"/>
        <s v="Onboarding on Monday"/>
        <s v="Onboarded 22+2 (long distance)"/>
        <s v="Owner is not available I talk with manager he told me to come on monday"/>
        <s v="Onboarded AOV : 200"/>
        <s v="Onboarded Aov -300 above  Daily orders - 200 above"/>
        <s v="Owner was not available should follow up they have 10 outlets "/>
        <s v="Owner not available in the restaurant  Cuisine : South Indian "/>
        <s v="follow up meeting  Will onboard by eod"/>
        <s v="Onboarded 22++"/>
        <s v="Onboarded Cusine -  indo Chinese "/>
        <s v="Mx is out of station ! Onboarding will be done after March 1st week - as mx will get back on March 10th"/>
        <s v="Cuisine : South Indian, Dessets , beverages, Chinese No.of Branches : 8 ( under one legal entity) Filled the form Dotpay is the POS , will onboard only if the app is integrated with the POS."/>
        <s v="Owner was not available they are not ready give number"/>
        <s v="She need time to think"/>
        <s v="Owner are not available till friday New outlet, not on swiggy and zomoto too Cuisine : south indian, north Indian, chinese"/>
        <s v="Manager will arrange a meeting with the owner "/>
        <s v="Onboarding will be on Wednesday."/>
        <s v="Tomorrow onboarding"/>
        <s v="Meet hima after 1 hr"/>
        <s v="Meet him after 7pm"/>
        <s v="Asked to share proposal over mail Info@nicehospitality.in"/>
        <s v="Onboarded ov -700 above Daily orders when there are on Swiggy and Zomato -90 + orders a day For how they have removed from Swiggy and Zomato completely Google reviews are 1400 change Cusine - multicusine Tier -1 restraunt "/>
        <s v="They are having 3 branches.Spoke to manager &amp; explained business model.Follow up required."/>
        <s v="I have talk to the manger  He will let us know after talking with owner We need follow up  Aov - 400 above Daily orders before  they have stopped in Swiggy for now - 200 above"/>
        <s v="Owner is out of station will come in 2 days"/>
        <s v="Orders per day :- 40  AOV :- 300 Cuisine :- Continental Owner  not available at outlet Follow up required after 6:00 PM Today"/>
        <s v="Owner is not available today asked to come   on 4 th"/>
        <s v="Owner will be available after 7 today will visit by 7 again"/>
        <s v="Need some time to think will get back in 2 days"/>
        <s v="Onboarded Tier-3"/>
        <s v="Onboarded Aov: 400+ No of orders per day : 60+Remaining 3 outlets will onboard today he will do Digital sign ,right now he is in office"/>
        <s v="Should call after 8:30 PM"/>
        <s v="Follow up meeting Owner is not available"/>
        <s v="Tomorrow he will onboard Aov -200 above New outlet"/>
        <s v="Onboarded Aov 300 Avg order per day 70"/>
        <s v="Need to contact after 2 days"/>
        <s v="Manager will be available after 4 pm tomorrow"/>
        <s v="Spoke to owner !!! After detailed discussion of business model, Owner asks to meet him after launch with data."/>
        <s v="Not on swiggy and zomoto  Asked to come tmr at 5:30-6 pm  Cuisine : South Indian "/>
        <s v="onboarded They are not on other platform "/>
        <s v="onboarded Minimum order value (250)  New outlet On on swiggy &amp; zomato"/>
        <s v="Onboarded Aov 400 Tier 1Online orders (Swiggy Zomato) - 100 to 120"/>
        <s v="call back 7PM"/>
        <s v="Follow up required :- call back after 8PM"/>
        <s v="I have talked to the manager owner is not available he said he will call me when owner comes to the restraunt"/>
        <s v="Decision maker will be available only on Tuesdays 1PM"/>
        <s v="Meet tomorrow morning 11.30 am for onboarding"/>
        <s v="Onboarded Aov -300 above  Daily order -120 above  Cusine - multi cusine"/>
        <s v="Onboarded Ratings on Zomato :- 7.5K+"/>
        <s v="Will talk to his brother and will call by tommrow"/>
        <s v="Onboarded Tier 1"/>
        <s v="Asked to come after ramzan"/>
        <s v="Contact:Nagole main branch they have total 5 branches can meet by 5 to 7 pm every day"/>
        <s v="Same owner"/>
        <s v="Resto name:Goutham siddarth and Pranathi will connect with owner soon and get back"/>
        <s v="Already somebody from our team visited"/>
        <s v="The owner was not available in the outlet I will follow up to schedule meeting "/>
        <s v="Follow up on Thursday"/>
        <s v="Owner not available asked to come at 1 :30pm"/>
        <s v="The owner was not available in the restaurant"/>
        <s v="We have talked to one of the partners He said after 1 u can come and they have 3 partners u can directly talk with them"/>
        <s v="Have to call in 1 hr"/>
        <s v="They need time to decide"/>
        <s v="Manager not available"/>
        <s v="Tier 2 lead Spoke to owner, asked to share details"/>
        <s v="Head office is in sherlingampally  We can go and talk directly"/>
        <s v="Onboarded Tier-2 Daily orders on Swiggy and zomato 100+"/>
        <s v="Owner not available Cuisine : arabian Tier :2"/>
        <s v="swaroopa she is busy meet her again in 2 hrs"/>
        <s v="Owner not available today Tier 2 Cuisine arabian"/>
        <s v="Owner was not available for discussion I will follow up to schedule meeting"/>
        <s v="Follow up after 2 days"/>
        <s v="Spoke to younger brother &amp; told him about the business model, Fixed meeting with owner @ 5PM"/>
        <s v="New outlet, asked to share the details Will onboard day after tmr Said won’t sign today due to chandra grahanam"/>
        <s v="Onboarded Tier-2"/>
        <s v="Discussion done with the head,aked me to share proposal Shared the proposal on WhatsApp Tomorrow follow back"/>
        <s v="Merchant asked to reach out today after 1PM ! &amp; he isn’t available at outlet. Asked to get back next Tuesday @1PM"/>
        <s v="The owner will be available after  9 I have talked  with manager and explained"/>
        <s v="I have followed up him again He have 3 partners He will be talking to other partners and let us know"/>
        <s v="Asked to call head office Head office number : 9000777275Cuisine  : arabian Tier 1"/>
        <s v="Manager was not available for discussion I will follow up to schedule meeting 2 outlets"/>
        <s v="Owner will onboard on thursday Cuisine chinese Tier 3"/>
        <s v="They are having 8 outlets across Hyd ! Kamal is the decision maker."/>
        <s v="Marketing manager Total outlets -43"/>
        <s v="Owner not available today asked to come on friday"/>
        <s v="spoke to manager, right they are having 2 outlets. They asked to share details over mail id :- Seoulsoul.in@gmail.com"/>
        <s v="We can meet them and talk directly there in the head office"/>
        <s v="Store manager Head office - Madhapur Total outlets - 27"/>
        <s v="Total of -38 outlets We got the marketing manger number+919398596919"/>
        <s v="Onboarded Aov : 200No of orders per day in zomato: 35"/>
        <s v="Total -3 Outlets -2 in hyd one in Nellore Head office is in - Kismatpur"/>
        <s v="Owner will discuss with brother and get back on thursday Cuisine arabian Tier 3"/>
        <s v="Athif (store manager ) Total outlets - 2 and 1 waffles Habits "/>
        <s v="Head office - Secunderabad Anil - we can meet him directly He will be talking care of these things "/>
        <s v="We can reach him going to the head office"/>
        <s v="He said to meet tomorrow for further discussion"/>
        <s v="Onboarded Tier3"/>
        <s v="Onboarded Tier2"/>
        <s v="Owner was not available Didn't shared the POC details"/>
        <s v="OnboardedTier 3"/>
        <s v="Had a discussion with Karthik he had another partner to discuss asking time"/>
        <s v="onboarded Tier 3"/>
        <s v="have different outlets in the city Not interested on online platforms Day after tmr one more follow up with the owner to convince"/>
        <s v="Onboarded Tier 2"/>
        <s v="Followup Meet @11 am to 12Anyday"/>
        <s v="3 outlets Follow up meeting on Thursday"/>
        <s v="Meet in morning time after 9 am or after 8 pm"/>
        <s v="onboardedTier 2 "/>
        <s v="Call after 3 days"/>
        <s v="I have talked to the owner Tomorrow we can go with onboarding "/>
        <s v="I have talked with the store manager there I have arranged the meeting with owner tomorrow after 2 pm"/>
        <s v="Call and come anytime After 8"/>
        <s v="Meet after 8pm"/>
        <s v="Talked with the manager need to follow up"/>
        <s v="Onboarded  22++ Tier 3"/>
        <s v="Have to meet again now he is busy"/>
        <s v="Owner not available, he will be available after 9PM"/>
        <s v="Total 10 outlets They are in Swiggy We can contact to the head office And talk with them 94916 69116 Pavan Kalyan owner of store Madhapur7032226551 Sumath Master franchise and devlopement team head"/>
        <s v="Onboarded Tier 1 Cuisine multi cuisine  Aov 350  Avg order per day 70  In zomato 122k+ ratings in swigy 50k ratings"/>
        <s v="Owner isn’t available , he will be available after 10PM"/>
        <s v="Owners not available David ,Sarvesh Will meet Directly"/>
        <s v="We got the main owner number and we scheduled a meeting on thursday"/>
        <s v="We spoke with the  owner's brother He is saying that as if now we are okay with zomato and swiggy He said he will update on friday for the meet"/>
        <s v="Onboarded Tier 1 Aov 350 zomato 11.7k+Rating"/>
        <s v="Onboarded Tier 3 Aov 350 zomato 11.7k+Rating"/>
        <s v="Cuisine multicuisine Owner asked to come by 7pm evening"/>
        <s v="They going with 14 % with Swiggy and Zomato I discussed everything with manager  he told i will discuss with md and let you know 13 outlets &#10;"/>
        <s v="Owner isn’t available , asked to cb at 5PM"/>
        <s v="Will onboard at 7 pm Cuisine multi cuisine"/>
        <s v="Will give an update by eod"/>
        <s v="I have talked with owner He said I will get up Follow up Balaji mithai bhandar"/>
        <s v="Asked get back later ! Had a word with manager"/>
        <s v="Manager isn’t available at outlet, had a word with cashier &amp; took managers number. Follow up required - call @5PM"/>
        <s v="Head office is in - Kukatpally Total outlets -48 "/>
        <s v="Total :- 14 outlets across HYD Owner will be available in chandanagar outlet at sharp 9:30AM tomorrow."/>
        <s v="Owner  will talk to his brother and let us know by tommrow"/>
        <s v="He is available after 4:30  I have talked on call he said to come after 4:30"/>
        <s v="Owner will onboard after app launch"/>
        <s v="Asked to visit after 1 week"/>
        <s v="Onboarded Tier 1   All docs collected Merchant told that he will collect soft copy of his menu from other platform &amp; share us.POS :- petpooja"/>
        <s v="Owners will be available at balkampet branch Asked to meet them there"/>
        <s v="Asked to visit restaurant at 5 pm"/>
        <s v="Owner not available  Will inform once he comes"/>
        <s v="After app launch he will onboard"/>
        <s v="total outlets: 4,  follow up required with HO"/>
        <s v="Spoke to owner &amp; explained everything, sending details through WhatsApp. Follow required for onboarding"/>
        <s v="Owner not available they are not ready to give number"/>
        <s v="Owner  will be available   on monday as he is out of station"/>
        <s v="Onboarded   Tier 3   AOV 250"/>
        <s v="Asked to visit after 7"/>
        <s v=" onboarded  Tier 3    22++  Recently added in swiggy and zomato "/>
        <s v="Onboarded  Tier 2  Newly Opened outlet No Swiggy no zomato"/>
        <s v="Will confirm tmr"/>
        <s v="Spoke to owner on call &amp; explained details &amp; visited Poc as well to explain the structure. Follow up required after a while.Positive lead"/>
        <s v="Onboarded  Tier 3   New outlet"/>
        <s v="Onboarded   Tier -2 "/>
        <s v="Onboarded   Tier - 1"/>
        <s v="Onboarded   Tier - 3"/>
        <s v="Spoke with manager &amp; explained the structure."/>
        <s v="Onboarded   Tier - 2"/>
        <s v="Onboarded Tier -2"/>
        <s v="Onboarded Tier - 2"/>
        <s v="Onboarded Tier-1 and  22++"/>
        <s v="Onboarded Tier - 1"/>
        <s v="Onboarded Tier - 3"/>
        <s v="Onboarded Tier 3 POS :- ordermatic New Res ( 3 months old into online deliveries )"/>
        <s v="Onboarded Tier -1 Aov 400 Online orders daily (150+) Owner agreed our proposal and onboarded main outlet after 1 month analytics and reviews they will onboard remaining 13 outlets"/>
        <s v="Onboarded Tier 3 New outlet ! Not listed in Swiggy &amp; Zomato ! "/>
        <s v="As of now not going with any platforms will see later"/>
        <s v="Need to discuss with his brother "/>
        <s v="Owner will be available day after"/>
        <s v="Onboarded  Tier 3  Aov 200 Charges 22++Cuisine : south indian"/>
        <s v="Had a word with manager , owner will be available after 6PM FOLLOW UP REQUIRED"/>
        <s v="Owner will be available after 5PM"/>
        <s v="Owner will be available at 4"/>
        <s v="Onboarded Tier 3 Aov 250 23%"/>
        <s v="Outlets -2 Owner will be available tomorrow after 12 pm  I have talked to the manager as if now Aov - 400 above Daily orders - 30 +"/>
        <s v="Follow up after 4 pm"/>
        <s v="Spoke directly with owner ! Follow up after 2PM"/>
        <s v="Manager num  Need to follow up Monday"/>
        <s v="  Aov -600 above Daily order -15+  He is available after 2 we can follow up with him"/>
        <s v="Follow up required at 4PM"/>
        <s v="Monday owner will be available after 4 pm"/>
        <s v="1 outlets Aov-400 above  Daily order -100 above  I have talked everything on call with owner He said to come at 3:30 for meeting and he said I need to talk on commissions For now he have removed everything from Swiggy and Zomato "/>
        <s v="2 outlets Aov-400 above  Daily order -100 above  I have talked everything on call with owner He said to come at 3:30 for meeting and he said I need to talk on commissions For now he have removed everything from Swiggy and Zomato "/>
        <s v="He need time to decide"/>
        <s v="Onboarded  Tier 3  2 outlets "/>
        <s v="Tier 1 lead - 6.5K ratings  AOV :- 450 Total outlets :- 4  Orders per day :- 60 in each platform  Spoke to owner , explained everything. Follow up required on Wednesday  "/>
        <s v="Come @7pm"/>
        <s v="Follow up after 5 pm"/>
        <s v="He is interested but He need time to think and decide"/>
        <s v="He is opening a new outlet kamakshi cafe ,he is busy right now and he told me to follow up after 3 to 4 days"/>
        <s v="Manager not available have to follow up after 2 days"/>
        <s v="Tier 2  Aov 250  Owner will be available on monday as he is out of station"/>
        <s v="Intrested but it takes time to onboard"/>
        <s v="Will on board  at 4: 30"/>
        <s v="Meet on monday"/>
        <s v="Will onboard on monday"/>
        <s v="Will onboard by eod"/>
        <s v="Spoke to owner,shared details through WhatsApp as well"/>
        <s v="New outlet , owner not available , call back after 6PM"/>
        <s v="Explained Everything clearly he said to meet on monday evening "/>
        <s v="Tier - 1 lead  Positive lead Follow up required"/>
        <s v="intrested"/>
        <s v="Owner isn’t available at outlet,Need follow up"/>
        <s v="Owner isn’t available"/>
        <s v="Onboarded  Tier-3"/>
        <s v="Onboarded  Tier-3 Not in swiggy and Zomato "/>
        <s v="onboarded Tier 3 Aov 25 23%"/>
        <s v="onboarded Tier 3 Aov 220 23%"/>
        <s v="onboarded Tier 3 Aov 270 23%"/>
        <s v="onboarded Tier 1 Aov 400 23% with long distance"/>
        <s v="onboarded Tier 2 Aov 350 23% with long distance"/>
        <s v="onboarded Tier 2 Aov 300 22% "/>
        <s v="onboarded Tier 2 and 22%"/>
        <s v="Owner not available  Follow up on Monday"/>
        <s v="Onboarded  Tier-2"/>
        <s v="Onboarded  Tier-1"/>
        <s v="Onboarded  Tier-3 Esign"/>
        <s v="Onboarded Tier-3 Aov 300 and 22%+"/>
        <s v="Onboarded Tier-2 Aov 400 and 18%+"/>
        <s v="Onboarded Tier-2 Aov 200 and 22%+"/>
        <s v="Onboarded Tier-3 and Aov 200 and 22% Avg Oder per day 50"/>
        <s v="Onboarded Tier-2 Aov 300 and 20%"/>
        <s v="Onboarded Tier-2 Aov 400 and 18++ Avg order per day 60"/>
        <s v="Right now he is busy ,Follow up required after some time"/>
        <s v="Cuisine multicuisine Owner asked to come after ramzan."/>
        <s v="He is having two outlets, follow up required."/>
        <s v="Tier 2  Aov 250  Owner will discuss with brother and let us know"/>
        <s v="City head operations :-    Name :- Ravindar  Number :- +91 92309 97403 Had a word with city head &amp; POC, heading to Madhapur location as city head is available in that outlet. Total outlets across hyd :- 3  Met city head &amp; explained structure !  Took sales"/>
        <s v="onboarded Tier 1  Aov 400   22++ with long distance fee "/>
        <s v="Onboarded  Tier 2   Aov 250  22++    Poc email id : seshuachanta003@gmail.com"/>
        <s v="Owner not available !"/>
        <s v="Onboarded  Tier 1   20++    Zomato-4.1 rating Reviews-8.6k"/>
        <s v="Onboarded  Tier 3   Aov 280  23++"/>
        <s v="Onboarded !!!  Tier 3  20++   New outlet into online deliveries !  Cuisine :- Snacks &amp; Desserts   "/>
        <s v="Owner will  talk to his brother and get back tommrow"/>
        <s v="Owner not available today"/>
        <s v="Owner will be  available wednesday"/>
        <s v="Head office :- Franchise   Total outlets across hyd :- 65  Directly had a word with franchise owner, follow up required on upcoming Friday."/>
        <s v="Owner isn’t available at outlet, follow up required"/>
        <s v="Owner  will onboard on friday"/>
        <s v="Currently in head office  Waiting for the person called Satish"/>
        <s v="Owner will be available after 1 PM - Follow up required."/>
        <s v="We got direct owner details  Vinay kunchal Head office is in Begumpet pulla reddy building We can call him directly and take appointment I have called him he is available on Thursday to meet him directly"/>
        <s v="Follow up required - Tomorrow"/>
        <s v="Total outlets :- 5  Follow up required at 7PM"/>
        <s v="Owner is in abroad , follow ups also required after 15 days."/>
        <s v="Asked to call back &amp; reach outlet on Thursday after 10 AM"/>
        <s v="Owner not available , follow up required tomorrow"/>
        <s v="Onboarded  Tier 1  agreed with 20+"/>
        <s v="Owner will be available tomorrow after 6PM"/>
        <s v="Follow up 7PM Today"/>
        <s v="Total :- 4outlets  Asked to meet on next Monday"/>
        <s v="Asked to meet on Friday !"/>
        <s v="Onboarded  Tier - 3   Aov 300 "/>
        <s v="Had a word with owner asked to share details over WhatsApp &amp; he will get back if required"/>
        <s v="Owner not available , need to follow up"/>
        <s v="Owner asked to get back on Thursday"/>
        <s v="Onboarded Tier 3 ( main outlet onboarded ,they are having 4 more outlets &amp; they are expecting 4 more to inaugurate in hyd) 20++ ! Offline crowd is too good for two outlets , previous they are in S &amp; Z , as services aren’t top notch,they are out of it."/>
        <s v="Onboarded  Tier 2 ( main outlet onboarded ,they are having 4 more outlets &amp; they are expecting 4 more to inaugurate in hyd) 20++ ! Offline crowd is too good for two outlets , previous they are in S &amp; Z , as services aren’t top notch,they are out of it."/>
        <s v="Owner asked to meet on Thursday 12 PM"/>
        <s v="parasad(Manager) Owner was not available he will be available only in midnights"/>
        <s v="Owner is out of station ! Follow up required - scheduled meet for tmrw 1PM"/>
        <s v="Onboarded Tier -2 Zomato -1K +  Swiggy -1 k + "/>
        <s v="Owner isn’t available, spoke to manager They refused to provide contact number"/>
        <s v="Asked to meet after 6PM"/>
        <s v="Had a discussion with both the restaurants.He is interested but after app launch they will onboard"/>
        <s v="Asked to reach after app launch."/>
        <s v="After app launch"/>
        <s v="Ratings on z :- 100  AOV :- 200  Spoke to owner ,asked to get back on Friday"/>
        <s v="Ratings:3.2k   Call back at 7 30 pm"/>
        <s v="Vivekanand reddy-9666659779 Sridevi-9908013301 They need time to discuss and decide"/>
        <s v=" Onboarding on Monday 11 am"/>
        <s v="Onboarded ! Tier 3 ! Ratings :- 900+ in Z  AOV :- 300"/>
        <s v="Discussed everything about our app with the manager . he will discuss with the owner and arrange a meeting as in present situation the owner is busy in handling LPG  shortage"/>
        <s v="Owner is very busy asked to come after ramzan"/>
        <s v="Asked to get back on Friday !"/>
        <s v="Meet the owner after 5 pm same owner for ahaar kitchen "/>
        <s v="After 7-8 pm the owner will be available "/>
        <s v="straight rejection from owner that , He is not interested Habibo- the head office is in Jubilee Hills road no 36"/>
        <s v="They are having multiple outlets across pan India ! One outlet in Hyderabad.Ms.Kajal is marketing head (Bangalore), proper pitch in required. Follow up."/>
        <s v="Spoke to restaurant manager, they are having 3 outlets &amp; GM will be available tomorrow after 1:30 PM, haven’t provided the contact info."/>
        <s v="Onboarded Swiggy -1 k + ratings Aov -300 + Daily orders -100 to 150 orders"/>
        <s v="Total outlets :- 3 Ms.Chinmai is the decision maker &amp; she will be available on Saturday. Follow up required"/>
        <s v="Spoke to manager , owner will be available at outlet at 5PM"/>
        <s v="As owner not available at outlet , had a chat over call &amp; he asked to share proposal through WhatsApp. Proposal sent ☑️ Follow up required :- Monday Total outlets :-4 They are about to launch 5 more outlets in next 3-4 months soon"/>
        <s v="Follow up at 8PM  SCHEDULED MEET WITH OWNER"/>
        <s v="Onaborded Tier -2"/>
        <s v="Brand owner is available at Banjara Hills. Heading to Banjara Hills outlet.Visited - Spoke to CEO of the company !!! Explained about service &amp; fleet in crystal clear,Status :- Negotiation They are at 16++ at Zomato &amp; Swiggy.Positive lead ! Total outlets :"/>
        <s v="Visited to Bahar cafe,the owner was not available at the moment rescheduled to eveng"/>
        <s v=" owner is not available at the moment follow back after 2days"/>
        <s v="Owner was busy  Meeting scheduled on Monday for discussion"/>
        <s v="They have 10 outlets Owner will be available after 4 We will visit in the evening"/>
        <s v="The marketing head sithish I fixed a meeting with him 12 to 12:30"/>
        <s v="Came to meeting with bakelore 4 outlets"/>
        <s v="Tier 3   Zomato rating 500  Merchant will be available   on friday"/>
        <s v="Tier 3 Owner is not available as he is out of station asked to come back on friday (Followup)"/>
        <s v="Tier 2  Zomato 1.6k ratings  Ask  to visit again later as your currently facing LPG issue"/>
        <s v="Owner isn’t available - follow up required. 2 outlets :- Madhapur &amp; Miyapur"/>
        <s v="Onboarded -  Tier 3 lead - they are into market for 9 months."/>
        <s v=" Onboarded  Tier 3 lead - they are into market for 9 months."/>
        <s v="Onaborded   tier 1  Swiggy - 3.2 k +  Zomato -8.4 k + "/>
        <s v="Onaborded   tier 1  Swiggy - 3.2 k +  Zomato -8.4 k + Swiggy - 2.5+ k  Zomato - 3.7k ratings"/>
        <s v="Tier 2  Owner will be available tommrow"/>
        <s v="Tier 2 Zomato ratings 1.7k ratings Owner will be available tommrow after 3 pm"/>
        <s v="Manager will be available tomorrow after 2:30 PM  follow up required"/>
        <s v="Tier 3 Owner is not followed up with the owner he asked to come tommrow"/>
        <s v="Tier 2 Owner  is in banglore asked to call on monday so that he will be available in madhapur branch They own 2 more restaurants"/>
        <s v="Onboarded Tier-3 "/>
        <s v="Owner not available - follow up required"/>
        <s v="Total outlets -3 Aov -550 Round off - He is getting 14%+ gst from other platforms He asked for 10++ We finalised for 12++ He need 3 years argreement He will onboard all the 3 outlets Saturday is the final meeting"/>
        <s v="Tier 1 Zomato ratings 7.8k Explained every thing to the manager  he will discuss it with the owner and schedule the meeting on saturday"/>
        <s v="Onboarded Tier 3  ( E - Signed ) He is having two more outlets - after launch those will get done."/>
        <s v=" onboarding will be done in evening"/>
        <s v=" meeting scheduled for Monday"/>
        <s v="will share the proposal today"/>
        <s v="We have talked with owner I explained everything he is getting 1200 per week Aov -300 above Rating -2.2+ from Swiggy Zomato - 2.5 k He is interested in onabording but need the best commission then other platforms"/>
        <s v="I have talked with marketing manager They are in Swiggy with -9++  So they said send proposal accordingly we will plan the things"/>
        <s v="Spoke with manager,he said he gonna arrange meeting on MONDAY"/>
        <s v="The owner will be available on Monday"/>
        <s v="Monday call back to schedule appointment"/>
        <s v="Onboarded Teir 1 Siwigy ratings 4.2k Zomato rating 4.1k Aov 350 Avg orders per day 70"/>
        <s v="PoC was not available for discussion Call back on Monday for the feedback Revisited"/>
        <s v="Got the contact details Follow up on Monday as per schedule tym"/>
        <s v="Due to LPG issue he said to follow back after the issue has sorted"/>
        <s v="As per the talk with manager He said the owner will be available on Tuesdays So follow up on Tuesday"/>
        <s v="Tier 2 Zomato ratings 2.2k Will onboard  after the app launch"/>
        <s v="Tier 1 Zomato rating 5.7k+Owner not available asked to come on monday"/>
      </sharedItems>
    </cacheField>
    <cacheField name="Follow up date" numFmtId="0">
      <sharedItems containsDate="1" containsString="0" containsBlank="1">
        <m/>
        <d v="2026-02-13T00:00:00Z"/>
        <d v="2026-02-16T00:00:00Z"/>
        <d v="2026-02-14T00:00:00Z"/>
        <d v="2026-02-17T00:00:00Z"/>
        <d v="2026-02-25T00:00:00Z"/>
        <d v="2026-02-23T00:00:00Z"/>
        <d v="2026-02-20T00:00:00Z"/>
        <d v="2026-02-18T00:00:00Z"/>
        <d v="2026-02-24T00:00:00Z"/>
        <d v="2026-02-19T00:00:00Z"/>
        <d v="2026-02-21T00:00:00Z"/>
        <d v="2026-02-27T00:00:00Z"/>
        <d v="2026-02-22T00:00:00Z"/>
        <d v="2026-02-26T00:00:00Z"/>
        <d v="2026-02-28T00:00:00Z"/>
        <d v="2026-03-02T00:00:00Z"/>
        <d v="2026-03-01T00:00:00Z"/>
        <d v="2026-03-10T00:00:00Z"/>
        <d v="2026-03-03T00:00:00Z"/>
        <d v="2026-03-05T00:00:00Z"/>
        <d v="2026-03-04T00:00:00Z"/>
        <d v="2026-03-06T00:00:00Z"/>
        <d v="2026-03-09T00:00:00Z"/>
        <d v="2026-03-11T00:00:00Z"/>
        <d v="2026-03-07T00:00:00Z"/>
        <d v="2026-03-13T00:00:00Z"/>
        <d v="2026-03-12T00:00:00Z"/>
        <d v="2026-03-16T00:00:00Z"/>
        <d v="2026-03-20T00:00:00Z"/>
        <d v="2026-03-17T00:00:00Z"/>
        <d v="2026-03-23T00:00:00Z"/>
        <d v="2026-03-18T00:00:00Z"/>
        <d v="2026-03-21T00:00:00Z"/>
        <d v="2026-03-24T00:00:00Z"/>
      </sharedItems>
    </cacheField>
    <cacheField name="Follow up time" numFmtId="0">
      <sharedItems containsDate="1" containsString="0" containsBlank="1">
        <m/>
        <d v="1899-12-30T13:00:00Z"/>
        <d v="1899-12-30T17:00:00Z"/>
        <d v="1899-12-30T19:00:00Z"/>
        <d v="1899-12-30T15:00:00Z"/>
        <d v="1899-12-30T11:30:00Z"/>
        <d v="1899-12-30T18:00:00Z"/>
        <d v="1899-12-30T16:30:00Z"/>
        <d v="1899-12-30T16:00:00Z"/>
        <d v="1899-12-30T11:00:00Z"/>
        <d v="1899-12-30T20:00:00Z"/>
        <d v="1899-12-30T17:30:00Z"/>
        <d v="1899-12-30T18:30:00Z"/>
        <d v="1899-12-30T21:00:00Z"/>
        <d v="1899-12-30T13:30:00Z"/>
        <d v="1899-12-30T14:00:00Z"/>
        <d v="1899-12-30T15:30:00Z"/>
        <d v="1899-12-30T10:00:00Z"/>
        <d v="1899-12-30T10:30:00Z"/>
        <d v="1899-12-30T12:00:00Z"/>
        <d v="1899-12-30T09:00:00Z"/>
        <d v="1899-12-30T22:00:00Z"/>
        <d v="1899-12-30T12:30:00Z"/>
        <d v="1899-12-30T20:30:00Z"/>
        <d v="1899-12-30T23:00:00Z"/>
        <d v="1899-12-30T14:30:00Z"/>
        <d v="1899-12-30T21:30:00Z"/>
        <d v="1899-12-30T19:3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28" cacheId="0" dataCaption="" compact="0" compactData="0">
  <location ref="A1:B32" firstHeaderRow="0" firstDataRow="1" firstDataCol="0"/>
  <pivotFields>
    <pivotField name="Region" axis="axisRow" dataField="1" compact="0" outline="0" multipleItemSelectionAllowed="1" showAll="0" sortType="ascending">
      <items>
        <item x="29"/>
        <item x="5"/>
        <item x="21"/>
        <item x="13"/>
        <item x="28"/>
        <item x="20"/>
        <item x="22"/>
        <item x="23"/>
        <item x="26"/>
        <item x="25"/>
        <item x="10"/>
        <item x="9"/>
        <item x="16"/>
        <item x="14"/>
        <item x="2"/>
        <item x="4"/>
        <item x="8"/>
        <item x="0"/>
        <item x="1"/>
        <item x="11"/>
        <item x="17"/>
        <item x="12"/>
        <item x="24"/>
        <item x="6"/>
        <item x="27"/>
        <item x="18"/>
        <item x="15"/>
        <item x="3"/>
        <item x="19"/>
        <item x="7"/>
        <item t="default"/>
      </items>
    </pivotField>
  </pivotFields>
  <rowFields>
    <field x="0"/>
  </rowFields>
  <dataFields>
    <dataField name="COUNTA of Region" fld="0" subtotal="count" baseField="0"/>
  </dataFields>
</pivotTableDefinition>
</file>

<file path=xl/pivotTables/pivotTable2.xml><?xml version="1.0" encoding="utf-8"?>
<pivotTableDefinition xmlns="http://schemas.openxmlformats.org/spreadsheetml/2006/main" name="Pivot Table 27" cacheId="1" dataCaption="" compact="0" compactData="0">
  <location ref="A1:B64" firstHeaderRow="0" firstDataRow="1" firstDataCol="0"/>
  <pivotFields>
    <pivotField name="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staura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RM/KAM" compact="0" outline="0" multipleItemSelectionAllowed="1" showAll="0">
      <items>
        <item x="0"/>
        <item x="1"/>
        <item x="2"/>
        <item x="3"/>
        <item x="4"/>
        <item x="5"/>
        <item x="6"/>
        <item x="7"/>
        <item x="8"/>
        <item x="9"/>
        <item x="10"/>
        <item x="11"/>
        <item x="12"/>
        <item t="default"/>
      </items>
    </pivotField>
    <pivotField name="Type of Ownership" compact="0" outline="0" multipleItemSelectionAllowed="1" showAll="0">
      <items>
        <item x="0"/>
        <item x="1"/>
        <item x="2"/>
        <item x="3"/>
        <item x="4"/>
        <item x="5"/>
        <item x="6"/>
        <item x="7"/>
        <item x="8"/>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Signing Auth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lity"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autoSortScope>
        <pivotArea>
          <references>
            <reference field="4294967294">
              <x v="0"/>
            </reference>
          </references>
        </pivotArea>
      </autoSortScope>
    </pivotField>
    <pivotField name="Reg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Zone" compact="0" outline="0" multipleItemSelectionAllowed="1" showAll="0">
      <items>
        <item x="0"/>
        <item x="1"/>
        <item x="2"/>
        <item x="3"/>
        <item x="4"/>
        <item x="5"/>
        <item x="6"/>
        <item x="7"/>
        <item x="8"/>
        <item x="9"/>
        <item t="default"/>
      </items>
    </pivotField>
    <pivotField name="Service fe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rvice Fees Bucket" compact="0" numFmtId="10" outline="0" multipleItemSelectionAllowed="1" showAll="0">
      <items>
        <item x="0"/>
        <item x="1"/>
        <item x="2"/>
        <item x="3"/>
        <item x="4"/>
        <item x="5"/>
        <item x="6"/>
        <item t="default"/>
      </items>
    </pivotField>
    <pivotField name="Payment Gateway Charges" compact="0" outline="0" multipleItemSelectionAllowed="1" showAll="0">
      <items>
        <item x="0"/>
        <item x="1"/>
        <item x="2"/>
        <item t="default"/>
      </items>
    </pivotField>
    <pivotField name="Long Distance Charges %" compact="0" outline="0" multipleItemSelectionAllowed="1" showAll="0">
      <items>
        <item x="0"/>
        <item x="1"/>
        <item x="2"/>
        <item x="3"/>
        <item x="4"/>
        <item x="5"/>
        <item x="6"/>
        <item x="7"/>
        <item x="8"/>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Contact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hone n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Benficia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t="default"/>
      </items>
    </pivotField>
    <pivotField name="Ban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IFSC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Account Type" compact="0" outline="0" multipleItemSelectionAllowed="1" showAll="0">
      <items>
        <item x="0"/>
        <item x="1"/>
        <item x="2"/>
        <item x="3"/>
        <item x="4"/>
        <item x="5"/>
        <item x="6"/>
        <item x="7"/>
        <item x="8"/>
        <item t="default"/>
      </items>
    </pivotField>
    <pivotField name="FSSAI" compact="0" outline="0" multipleItemSelectionAllowed="1" showAll="0">
      <items>
        <item x="0"/>
        <item x="1"/>
        <item x="2"/>
        <item t="default"/>
      </items>
    </pivotField>
    <pivotField name="GST" compact="0" outline="0" multipleItemSelectionAllowed="1" showAll="0">
      <items>
        <item x="0"/>
        <item x="1"/>
        <item x="2"/>
        <item x="3"/>
        <item x="4"/>
        <item x="5"/>
        <item t="default"/>
      </items>
    </pivotField>
    <pivotField name="PAN" compact="0" outline="0" multipleItemSelectionAllowed="1" showAll="0">
      <items>
        <item x="0"/>
        <item x="1"/>
        <item x="2"/>
        <item x="3"/>
        <item t="default"/>
      </items>
    </pivotField>
    <pivotField name="CHEQUE" compact="0" outline="0" multipleItemSelectionAllowed="1" showAll="0">
      <items>
        <item x="0"/>
        <item x="1"/>
        <item x="2"/>
        <item x="3"/>
        <item x="4"/>
        <item t="default"/>
      </items>
    </pivotField>
    <pivotField name="MENU" compact="0" outline="0" multipleItemSelectionAllowed="1" showAll="0">
      <items>
        <item x="0"/>
        <item x="1"/>
        <item x="2"/>
        <item x="3"/>
        <item x="4"/>
        <item t="default"/>
      </items>
    </pivotField>
    <pivotField name="LABOUR LINCENSE" compact="0" outline="0" multipleItemSelectionAllowed="1" showAll="0">
      <items>
        <item x="0"/>
        <item x="1"/>
        <item x="2"/>
        <item x="3"/>
        <item t="default"/>
      </items>
    </pivotField>
    <pivotField name="Drive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name="Map 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LOCALITY AREA" compact="0" outline="0" multipleItemSelectionAllowed="1" showAll="0">
      <items>
        <item x="0"/>
        <item x="1"/>
        <item x="2"/>
        <item x="3"/>
        <item x="4"/>
        <item x="5"/>
        <item x="6"/>
        <item x="7"/>
        <item x="8"/>
        <item x="9"/>
        <item x="10"/>
        <item x="11"/>
        <item x="12"/>
        <item x="13"/>
        <item x="14"/>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marks2" compact="0" outline="0" multipleItemSelectionAllowed="1" showAll="0">
      <items>
        <item x="0"/>
        <item x="1"/>
        <item x="2"/>
        <item x="3"/>
        <item x="4"/>
        <item x="5"/>
        <item x="6"/>
        <item x="7"/>
        <item t="default"/>
      </items>
    </pivotField>
    <pivotField name="Column 35" compact="0" outline="0" multipleItemSelectionAllowed="1" showAll="0">
      <items>
        <item x="0"/>
        <item t="default"/>
      </items>
    </pivotField>
    <pivotField name="Column 36" compact="0" outline="0" multipleItemSelectionAllowed="1" showAll="0">
      <items>
        <item x="0"/>
        <item t="default"/>
      </items>
    </pivotField>
    <pivotField name="Column 37" compact="0" outline="0" multipleItemSelectionAllowed="1" showAll="0">
      <items>
        <item x="0"/>
        <item t="default"/>
      </items>
    </pivotField>
    <pivotField name="Column 38" compact="0" outline="0" multipleItemSelectionAllowed="1" showAll="0">
      <items>
        <item x="0"/>
        <item t="default"/>
      </items>
    </pivotField>
    <pivotField name="Column 39" compact="0" outline="0" multipleItemSelectionAllowed="1" showAll="0">
      <items>
        <item x="0"/>
        <item t="default"/>
      </items>
    </pivotField>
    <pivotField name="Column 40" compact="0" outline="0" multipleItemSelectionAllowed="1" showAll="0">
      <items>
        <item x="0"/>
        <item t="default"/>
      </items>
    </pivotField>
    <pivotField name="Column 41" compact="0" outline="0" multipleItemSelectionAllowed="1" showAll="0">
      <items>
        <item x="0"/>
        <item t="default"/>
      </items>
    </pivotField>
    <pivotField name="Column 42" compact="0" outline="0" multipleItemSelectionAllowed="1" showAll="0">
      <items>
        <item x="0"/>
        <item t="default"/>
      </items>
    </pivotField>
    <pivotField name="Column 43" compact="0" outline="0" multipleItemSelectionAllowed="1" showAll="0">
      <items>
        <item x="0"/>
        <item t="default"/>
      </items>
    </pivotField>
  </pivotFields>
  <rowFields>
    <field x="7"/>
  </rowFields>
  <dataFields>
    <dataField name="COUNTA of Date" fld="0" subtotal="count" baseField="0"/>
  </dataFields>
</pivotTableDefinition>
</file>

<file path=xl/pivotTables/pivotTable3.xml><?xml version="1.0" encoding="utf-8"?>
<pivotTableDefinition xmlns="http://schemas.openxmlformats.org/spreadsheetml/2006/main" name="Pivot Table 25" cacheId="2" dataCaption="" compact="0" compactData="0">
  <location ref="A1:A403" firstHeaderRow="0" firstDataRow="1" firstDataCol="0"/>
  <pivotFields>
    <pivotField name="Address" axis="axisRow" dataField="1" compact="0" outline="0" multipleItemSelectionAllowed="1" showAll="0" sortType="ascending">
      <items>
        <item x="21"/>
        <item x="309"/>
        <item x="275"/>
        <item x="89"/>
        <item x="178"/>
        <item x="69"/>
        <item x="389"/>
        <item x="11"/>
        <item x="128"/>
        <item x="22"/>
        <item x="75"/>
        <item x="54"/>
        <item x="251"/>
        <item x="274"/>
        <item x="43"/>
        <item x="38"/>
        <item x="42"/>
        <item x="413"/>
        <item x="52"/>
        <item x="2"/>
        <item x="1"/>
        <item x="51"/>
        <item x="10"/>
        <item x="186"/>
        <item x="56"/>
        <item x="59"/>
        <item x="62"/>
        <item x="353"/>
        <item x="323"/>
        <item x="12"/>
        <item x="409"/>
        <item x="123"/>
        <item x="187"/>
        <item x="206"/>
        <item x="419"/>
        <item x="250"/>
        <item x="31"/>
        <item x="140"/>
        <item x="171"/>
        <item x="359"/>
        <item x="193"/>
        <item x="121"/>
        <item x="110"/>
        <item x="276"/>
        <item x="175"/>
        <item x="158"/>
        <item x="37"/>
        <item x="145"/>
        <item x="130"/>
        <item x="194"/>
        <item x="210"/>
        <item x="371"/>
        <item x="253"/>
        <item x="55"/>
        <item x="417"/>
        <item x="99"/>
        <item x="192"/>
        <item x="161"/>
        <item x="290"/>
        <item x="240"/>
        <item x="338"/>
        <item x="116"/>
        <item x="108"/>
        <item x="117"/>
        <item x="122"/>
        <item x="139"/>
        <item x="271"/>
        <item x="143"/>
        <item x="85"/>
        <item x="91"/>
        <item x="358"/>
        <item x="86"/>
        <item x="254"/>
        <item x="264"/>
        <item x="118"/>
        <item x="305"/>
        <item x="388"/>
        <item x="282"/>
        <item x="385"/>
        <item x="4"/>
        <item x="355"/>
        <item x="15"/>
        <item x="237"/>
        <item x="5"/>
        <item x="397"/>
        <item x="208"/>
        <item x="219"/>
        <item x="278"/>
        <item x="14"/>
        <item x="195"/>
        <item x="410"/>
        <item x="365"/>
        <item x="115"/>
        <item x="176"/>
        <item x="322"/>
        <item x="157"/>
        <item x="119"/>
        <item x="49"/>
        <item x="132"/>
        <item x="357"/>
        <item x="360"/>
        <item x="337"/>
        <item x="379"/>
        <item x="217"/>
        <item x="216"/>
        <item x="79"/>
        <item x="327"/>
        <item x="329"/>
        <item x="48"/>
        <item x="188"/>
        <item x="78"/>
        <item x="418"/>
        <item x="222"/>
        <item x="57"/>
        <item x="160"/>
        <item x="169"/>
        <item x="111"/>
        <item x="90"/>
        <item x="348"/>
        <item x="65"/>
        <item x="40"/>
        <item x="96"/>
        <item x="343"/>
        <item x="32"/>
        <item x="33"/>
        <item x="349"/>
        <item x="148"/>
        <item x="312"/>
        <item x="204"/>
        <item x="196"/>
        <item x="249"/>
        <item x="384"/>
        <item x="165"/>
        <item x="71"/>
        <item x="61"/>
        <item x="334"/>
        <item x="352"/>
        <item x="406"/>
        <item x="298"/>
        <item x="105"/>
        <item x="212"/>
        <item x="265"/>
        <item x="60"/>
        <item x="82"/>
        <item x="319"/>
        <item x="300"/>
        <item x="44"/>
        <item x="27"/>
        <item x="46"/>
        <item x="383"/>
        <item x="368"/>
        <item x="80"/>
        <item x="376"/>
        <item x="98"/>
        <item x="112"/>
        <item x="405"/>
        <item x="351"/>
        <item x="200"/>
        <item x="198"/>
        <item x="114"/>
        <item x="340"/>
        <item x="129"/>
        <item x="366"/>
        <item x="16"/>
        <item x="93"/>
        <item x="152"/>
        <item x="235"/>
        <item x="106"/>
        <item x="342"/>
        <item x="135"/>
        <item x="164"/>
        <item x="83"/>
        <item x="9"/>
        <item x="420"/>
        <item x="308"/>
        <item x="13"/>
        <item x="307"/>
        <item x="416"/>
        <item x="76"/>
        <item x="239"/>
        <item x="317"/>
        <item x="141"/>
        <item x="414"/>
        <item x="84"/>
        <item x="231"/>
        <item x="270"/>
        <item x="339"/>
        <item x="94"/>
        <item x="102"/>
        <item x="392"/>
        <item x="375"/>
        <item x="382"/>
        <item x="202"/>
        <item x="332"/>
        <item x="7"/>
        <item x="179"/>
        <item x="291"/>
        <item x="172"/>
        <item x="215"/>
        <item x="345"/>
        <item x="356"/>
        <item x="350"/>
        <item x="199"/>
        <item x="173"/>
        <item x="146"/>
        <item x="39"/>
        <item x="68"/>
        <item x="100"/>
        <item x="266"/>
        <item x="325"/>
        <item x="3"/>
        <item x="310"/>
        <item x="316"/>
        <item x="400"/>
        <item x="387"/>
        <item x="396"/>
        <item x="346"/>
        <item x="260"/>
        <item x="124"/>
        <item x="142"/>
        <item x="273"/>
        <item x="156"/>
        <item x="214"/>
        <item x="25"/>
        <item x="97"/>
        <item x="103"/>
        <item x="267"/>
        <item x="395"/>
        <item x="66"/>
        <item x="311"/>
        <item x="189"/>
        <item x="364"/>
        <item x="344"/>
        <item x="378"/>
        <item x="263"/>
        <item x="95"/>
        <item x="336"/>
        <item x="45"/>
        <item x="81"/>
        <item x="23"/>
        <item x="324"/>
        <item x="166"/>
        <item x="401"/>
        <item x="411"/>
        <item x="391"/>
        <item x="30"/>
        <item x="286"/>
        <item x="224"/>
        <item x="225"/>
        <item x="209"/>
        <item x="331"/>
        <item x="234"/>
        <item x="255"/>
        <item x="335"/>
        <item x="347"/>
        <item x="185"/>
        <item x="262"/>
        <item x="256"/>
        <item x="226"/>
        <item x="53"/>
        <item x="36"/>
        <item x="26"/>
        <item x="218"/>
        <item x="19"/>
        <item x="398"/>
        <item x="372"/>
        <item x="321"/>
        <item x="243"/>
        <item x="87"/>
        <item x="233"/>
        <item x="333"/>
        <item x="211"/>
        <item x="228"/>
        <item x="28"/>
        <item x="242"/>
        <item x="18"/>
        <item x="369"/>
        <item x="285"/>
        <item x="127"/>
        <item x="373"/>
        <item x="221"/>
        <item x="381"/>
        <item x="72"/>
        <item x="17"/>
        <item x="20"/>
        <item x="29"/>
        <item x="277"/>
        <item x="296"/>
        <item x="220"/>
        <item x="393"/>
        <item x="144"/>
        <item x="330"/>
        <item x="261"/>
        <item x="174"/>
        <item x="303"/>
        <item x="318"/>
        <item x="280"/>
        <item x="63"/>
        <item x="147"/>
        <item x="246"/>
        <item x="131"/>
        <item x="403"/>
        <item x="241"/>
        <item x="24"/>
        <item x="101"/>
        <item x="404"/>
        <item x="326"/>
        <item x="125"/>
        <item x="377"/>
        <item x="229"/>
        <item x="363"/>
        <item x="367"/>
        <item x="362"/>
        <item x="306"/>
        <item x="315"/>
        <item x="380"/>
        <item x="294"/>
        <item x="289"/>
        <item x="104"/>
        <item x="279"/>
        <item x="408"/>
        <item x="394"/>
        <item x="109"/>
        <item x="284"/>
        <item x="295"/>
        <item x="244"/>
        <item x="8"/>
        <item x="304"/>
        <item x="320"/>
        <item x="302"/>
        <item x="301"/>
        <item x="34"/>
        <item x="386"/>
        <item x="190"/>
        <item x="361"/>
        <item x="407"/>
        <item x="180"/>
        <item x="183"/>
        <item x="415"/>
        <item x="269"/>
        <item x="292"/>
        <item x="247"/>
        <item x="113"/>
        <item x="399"/>
        <item x="390"/>
        <item x="374"/>
        <item x="227"/>
        <item x="150"/>
        <item x="203"/>
        <item x="283"/>
        <item x="257"/>
        <item x="0"/>
        <item x="213"/>
        <item x="73"/>
        <item x="74"/>
        <item x="197"/>
        <item x="58"/>
        <item x="151"/>
        <item x="182"/>
        <item x="47"/>
        <item x="120"/>
        <item x="177"/>
        <item x="181"/>
        <item x="170"/>
        <item x="268"/>
        <item x="252"/>
        <item x="136"/>
        <item x="297"/>
        <item x="288"/>
        <item x="248"/>
        <item x="223"/>
        <item x="412"/>
        <item x="126"/>
        <item x="88"/>
        <item x="281"/>
        <item x="272"/>
        <item x="107"/>
        <item x="341"/>
        <item x="35"/>
        <item x="137"/>
        <item x="70"/>
        <item x="155"/>
        <item x="299"/>
        <item x="191"/>
        <item x="77"/>
        <item x="402"/>
        <item x="6"/>
        <item x="134"/>
        <item x="154"/>
        <item x="163"/>
        <item x="64"/>
        <item x="168"/>
        <item x="313"/>
        <item x="184"/>
        <item x="230"/>
        <item x="41"/>
        <item x="314"/>
        <item x="258"/>
        <item x="259"/>
        <item x="354"/>
        <item x="287"/>
        <item x="328"/>
        <item x="133"/>
        <item x="232"/>
        <item x="370"/>
        <item x="67"/>
        <item x="238"/>
        <item x="138"/>
        <item x="153"/>
        <item x="245"/>
        <item x="205"/>
        <item x="201"/>
        <item x="207"/>
        <item x="236"/>
        <item x="167"/>
        <item x="92"/>
        <item x="159"/>
        <item x="162"/>
        <item x="293"/>
        <item x="50"/>
        <item x="149"/>
        <item t="default"/>
      </items>
    </pivotField>
  </pivotFields>
  <rowFields>
    <field x="0"/>
  </rowFields>
  <dataFields>
    <dataField name="COUNTA of Address" fld="0" subtotal="count" baseField="0"/>
  </dataFields>
</pivotTableDefinition>
</file>

<file path=xl/pivotTables/pivotTable4.xml><?xml version="1.0" encoding="utf-8"?>
<pivotTableDefinition xmlns="http://schemas.openxmlformats.org/spreadsheetml/2006/main" name="Pivot Table 24" cacheId="3" dataCaption="" compact="0" compactData="0">
  <location ref="A1:A477" firstHeaderRow="0" firstDataRow="1" firstDataCol="0"/>
  <pivotFields>
    <pivotField name="Restaurant Name" axis="axisRow" dataField="1" compact="0" outline="0" multipleItemSelectionAllowed="1" showAll="0" sortType="ascending">
      <items>
        <item x="541"/>
        <item x="466"/>
        <item x="294"/>
        <item x="128"/>
        <item x="220"/>
        <item x="253"/>
        <item x="539"/>
        <item x="254"/>
        <item x="194"/>
        <item x="389"/>
        <item x="390"/>
        <item x="391"/>
        <item x="392"/>
        <item x="168"/>
        <item x="516"/>
        <item x="195"/>
        <item x="124"/>
        <item x="36"/>
        <item x="430"/>
        <item x="193"/>
        <item x="278"/>
        <item x="8"/>
        <item x="87"/>
        <item x="104"/>
        <item x="129"/>
        <item x="512"/>
        <item x="511"/>
        <item x="20"/>
        <item x="3"/>
        <item x="44"/>
        <item x="21"/>
        <item x="88"/>
        <item x="105"/>
        <item x="345"/>
        <item x="346"/>
        <item x="295"/>
        <item x="296"/>
        <item x="279"/>
        <item x="45"/>
        <item x="540"/>
        <item x="89"/>
        <item x="393"/>
        <item x="394"/>
        <item x="22"/>
        <item x="23"/>
        <item x="24"/>
        <item x="79"/>
        <item x="255"/>
        <item x="297"/>
        <item x="90"/>
        <item x="491"/>
        <item x="130"/>
        <item x="492"/>
        <item x="493"/>
        <item x="494"/>
        <item x="495"/>
        <item x="496"/>
        <item x="91"/>
        <item x="450"/>
        <item x="196"/>
        <item x="169"/>
        <item x="280"/>
        <item x="431"/>
        <item x="197"/>
        <item x="221"/>
        <item x="467"/>
        <item x="53"/>
        <item x="256"/>
        <item x="257"/>
        <item x="55"/>
        <item x="497"/>
        <item x="498"/>
        <item x="468"/>
        <item x="106"/>
        <item x="199"/>
        <item x="4"/>
        <item x="395"/>
        <item x="298"/>
        <item x="281"/>
        <item x="432"/>
        <item x="152"/>
        <item x="9"/>
        <item x="10"/>
        <item x="469"/>
        <item x="11"/>
        <item x="470"/>
        <item x="170"/>
        <item x="267"/>
        <item x="171"/>
        <item x="153"/>
        <item x="12"/>
        <item x="80"/>
        <item x="46"/>
        <item x="107"/>
        <item x="92"/>
        <item x="56"/>
        <item x="258"/>
        <item x="57"/>
        <item x="299"/>
        <item x="300"/>
        <item x="301"/>
        <item x="302"/>
        <item x="303"/>
        <item x="304"/>
        <item x="525"/>
        <item x="521"/>
        <item x="537"/>
        <item x="305"/>
        <item x="347"/>
        <item x="396"/>
        <item x="282"/>
        <item x="433"/>
        <item x="172"/>
        <item x="154"/>
        <item x="434"/>
        <item x="435"/>
        <item x="198"/>
        <item x="173"/>
        <item x="448"/>
        <item x="348"/>
        <item x="306"/>
        <item x="259"/>
        <item x="307"/>
        <item x="308"/>
        <item x="309"/>
        <item x="310"/>
        <item x="349"/>
        <item x="311"/>
        <item x="436"/>
        <item x="350"/>
        <item x="155"/>
        <item x="108"/>
        <item x="499"/>
        <item x="58"/>
        <item x="351"/>
        <item x="418"/>
        <item x="419"/>
        <item x="420"/>
        <item x="260"/>
        <item x="261"/>
        <item x="262"/>
        <item x="452"/>
        <item x="263"/>
        <item x="264"/>
        <item x="174"/>
        <item x="312"/>
        <item x="500"/>
        <item x="200"/>
        <item x="13"/>
        <item x="93"/>
        <item x="437"/>
        <item x="313"/>
        <item x="314"/>
        <item x="315"/>
        <item x="471"/>
        <item x="283"/>
        <item x="222"/>
        <item x="131"/>
        <item x="37"/>
        <item x="38"/>
        <item x="245"/>
        <item x="59"/>
        <item x="60"/>
        <item x="156"/>
        <item x="94"/>
        <item x="532"/>
        <item x="453"/>
        <item x="519"/>
        <item x="352"/>
        <item x="533"/>
        <item x="397"/>
        <item x="398"/>
        <item x="399"/>
        <item x="25"/>
        <item x="535"/>
        <item x="26"/>
        <item x="61"/>
        <item x="400"/>
        <item x="109"/>
        <item x="401"/>
        <item x="402"/>
        <item x="238"/>
        <item x="239"/>
        <item x="284"/>
        <item x="316"/>
        <item x="317"/>
        <item x="110"/>
        <item x="111"/>
        <item x="353"/>
        <item x="354"/>
        <item x="355"/>
        <item x="95"/>
        <item x="472"/>
        <item x="473"/>
        <item x="474"/>
        <item x="475"/>
        <item x="476"/>
        <item x="477"/>
        <item x="478"/>
        <item x="479"/>
        <item x="480"/>
        <item x="501"/>
        <item x="502"/>
        <item x="403"/>
        <item x="39"/>
        <item x="265"/>
        <item x="201"/>
        <item x="481"/>
        <item x="132"/>
        <item x="175"/>
        <item x="438"/>
        <item x="62"/>
        <item x="5"/>
        <item x="454"/>
        <item x="112"/>
        <item x="157"/>
        <item x="202"/>
        <item x="482"/>
        <item x="439"/>
        <item x="503"/>
        <item x="504"/>
        <item x="266"/>
        <item x="133"/>
        <item x="203"/>
        <item x="47"/>
        <item x="318"/>
        <item x="285"/>
        <item x="483"/>
        <item x="96"/>
        <item x="356"/>
        <item x="319"/>
        <item x="357"/>
        <item x="404"/>
        <item x="97"/>
        <item x="40"/>
        <item x="63"/>
        <item x="421"/>
        <item x="64"/>
        <item x="54"/>
        <item x="27"/>
        <item x="237"/>
        <item x="158"/>
        <item x="536"/>
        <item x="358"/>
        <item x="81"/>
        <item x="440"/>
        <item x="82"/>
        <item x="41"/>
        <item x="176"/>
        <item x="276"/>
        <item x="359"/>
        <item x="518"/>
        <item x="48"/>
        <item x="177"/>
        <item x="455"/>
        <item x="204"/>
        <item x="159"/>
        <item x="360"/>
        <item x="451"/>
        <item x="505"/>
        <item x="506"/>
        <item x="134"/>
        <item x="320"/>
        <item x="83"/>
        <item x="361"/>
        <item x="524"/>
        <item x="522"/>
        <item x="178"/>
        <item x="179"/>
        <item x="441"/>
        <item x="49"/>
        <item x="362"/>
        <item x="224"/>
        <item x="321"/>
        <item x="456"/>
        <item x="322"/>
        <item x="84"/>
        <item x="0"/>
        <item x="205"/>
        <item x="442"/>
        <item x="65"/>
        <item x="135"/>
        <item x="405"/>
        <item x="113"/>
        <item x="167"/>
        <item x="526"/>
        <item x="363"/>
        <item x="364"/>
        <item x="484"/>
        <item x="160"/>
        <item x="406"/>
        <item x="407"/>
        <item x="408"/>
        <item x="409"/>
        <item x="136"/>
        <item x="365"/>
        <item x="252"/>
        <item x="443"/>
        <item x="206"/>
        <item x="530"/>
        <item x="28"/>
        <item x="50"/>
        <item x="286"/>
        <item x="287"/>
        <item x="161"/>
        <item x="323"/>
        <item x="422"/>
        <item x="423"/>
        <item x="424"/>
        <item x="6"/>
        <item x="114"/>
        <item x="75"/>
        <item x="366"/>
        <item x="66"/>
        <item x="367"/>
        <item x="14"/>
        <item x="137"/>
        <item x="288"/>
        <item x="538"/>
        <item x="507"/>
        <item x="15"/>
        <item x="457"/>
        <item x="223"/>
        <item x="115"/>
        <item x="425"/>
        <item x="426"/>
        <item x="427"/>
        <item x="98"/>
        <item x="138"/>
        <item x="16"/>
        <item x="116"/>
        <item x="180"/>
        <item x="268"/>
        <item x="181"/>
        <item x="85"/>
        <item x="485"/>
        <item x="534"/>
        <item x="289"/>
        <item x="139"/>
        <item x="517"/>
        <item x="207"/>
        <item x="99"/>
        <item x="520"/>
        <item x="182"/>
        <item x="1"/>
        <item x="458"/>
        <item x="508"/>
        <item x="324"/>
        <item x="2"/>
        <item x="523"/>
        <item x="459"/>
        <item x="140"/>
        <item x="225"/>
        <item x="209"/>
        <item x="208"/>
        <item x="368"/>
        <item x="369"/>
        <item x="370"/>
        <item x="192"/>
        <item x="29"/>
        <item x="210"/>
        <item x="325"/>
        <item x="67"/>
        <item x="30"/>
        <item x="183"/>
        <item x="226"/>
        <item x="486"/>
        <item x="487"/>
        <item x="449"/>
        <item x="211"/>
        <item x="162"/>
        <item x="488"/>
        <item x="125"/>
        <item x="117"/>
        <item x="227"/>
        <item x="387"/>
        <item x="241"/>
        <item x="385"/>
        <item x="384"/>
        <item x="388"/>
        <item x="386"/>
        <item x="141"/>
        <item x="184"/>
        <item x="185"/>
        <item x="142"/>
        <item x="212"/>
        <item x="68"/>
        <item x="371"/>
        <item x="372"/>
        <item x="373"/>
        <item x="374"/>
        <item x="375"/>
        <item x="290"/>
        <item x="291"/>
        <item x="143"/>
        <item x="186"/>
        <item x="410"/>
        <item x="31"/>
        <item x="376"/>
        <item x="32"/>
        <item x="528"/>
        <item x="187"/>
        <item x="213"/>
        <item x="326"/>
        <item x="509"/>
        <item x="344"/>
        <item x="188"/>
        <item x="214"/>
        <item x="327"/>
        <item x="328"/>
        <item x="269"/>
        <item x="270"/>
        <item x="248"/>
        <item x="411"/>
        <item x="271"/>
        <item x="100"/>
        <item x="76"/>
        <item x="240"/>
        <item x="144"/>
        <item x="215"/>
        <item x="189"/>
        <item x="216"/>
        <item x="249"/>
        <item x="250"/>
        <item x="228"/>
        <item x="229"/>
        <item x="230"/>
        <item x="231"/>
        <item x="412"/>
        <item x="377"/>
        <item x="118"/>
        <item x="329"/>
        <item x="232"/>
        <item x="51"/>
        <item x="119"/>
        <item x="272"/>
        <item x="330"/>
        <item x="145"/>
        <item x="460"/>
        <item x="69"/>
        <item x="126"/>
        <item x="428"/>
        <item x="233"/>
        <item x="444"/>
        <item x="331"/>
        <item x="33"/>
        <item x="127"/>
        <item x="465"/>
        <item x="464"/>
        <item x="463"/>
        <item x="242"/>
        <item x="527"/>
        <item x="273"/>
        <item x="274"/>
        <item x="163"/>
        <item x="120"/>
        <item x="86"/>
        <item x="17"/>
        <item x="246"/>
        <item x="247"/>
        <item x="101"/>
        <item x="445"/>
        <item x="413"/>
        <item x="164"/>
        <item x="429"/>
        <item x="332"/>
        <item x="42"/>
        <item x="251"/>
        <item x="515"/>
        <item x="146"/>
        <item x="277"/>
        <item x="333"/>
        <item x="147"/>
        <item x="339"/>
        <item x="342"/>
        <item x="340"/>
        <item x="343"/>
        <item x="341"/>
        <item x="70"/>
        <item x="446"/>
        <item x="292"/>
        <item x="334"/>
        <item x="52"/>
        <item x="335"/>
        <item x="77"/>
        <item x="336"/>
        <item x="190"/>
        <item x="71"/>
        <item x="510"/>
        <item x="414"/>
        <item x="275"/>
        <item x="243"/>
        <item x="378"/>
        <item x="489"/>
        <item x="337"/>
        <item x="148"/>
        <item x="490"/>
        <item x="244"/>
        <item x="415"/>
        <item x="78"/>
        <item x="416"/>
        <item x="217"/>
        <item x="234"/>
        <item x="165"/>
        <item x="72"/>
        <item x="191"/>
        <item x="102"/>
        <item x="166"/>
        <item x="218"/>
        <item x="461"/>
        <item x="447"/>
        <item x="18"/>
        <item x="73"/>
        <item x="74"/>
        <item x="379"/>
        <item x="380"/>
        <item x="381"/>
        <item x="513"/>
        <item x="219"/>
        <item x="34"/>
        <item x="43"/>
        <item x="514"/>
        <item x="121"/>
        <item x="122"/>
        <item x="338"/>
        <item x="35"/>
        <item x="7"/>
        <item x="382"/>
        <item x="383"/>
        <item x="293"/>
        <item x="149"/>
        <item x="150"/>
        <item x="103"/>
        <item x="235"/>
        <item x="417"/>
        <item x="236"/>
        <item x="151"/>
        <item x="531"/>
        <item x="123"/>
        <item x="462"/>
        <item x="529"/>
        <item x="19"/>
        <item t="default"/>
      </items>
    </pivotField>
  </pivotFields>
  <rowFields>
    <field x="0"/>
  </rowFields>
  <dataFields>
    <dataField name="COUNTA of Restaurant Name" fld="0" subtotal="count" baseField="0"/>
  </dataFields>
</pivotTableDefinition>
</file>

<file path=xl/pivotTables/pivotTable5.xml><?xml version="1.0" encoding="utf-8"?>
<pivotTableDefinition xmlns="http://schemas.openxmlformats.org/spreadsheetml/2006/main" name="Pivot Table 22" cacheId="4" dataCaption="" compact="0" compactData="0">
  <location ref="A1:E10" firstHeaderRow="0" firstDataRow="0"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staura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RM/KAM" compact="0" outline="0" multipleItemSelectionAllowed="1" showAll="0">
      <items>
        <item x="0"/>
        <item x="1"/>
        <item x="2"/>
        <item x="3"/>
        <item x="4"/>
        <item x="5"/>
        <item x="6"/>
        <item x="7"/>
        <item x="8"/>
        <item x="9"/>
        <item x="10"/>
        <item x="11"/>
        <item x="12"/>
        <item x="13"/>
        <item t="default"/>
      </items>
    </pivotField>
    <pivotField name="Type of Ownership" compact="0" outline="0" multipleItemSelectionAllowed="1" showAll="0">
      <items>
        <item x="0"/>
        <item x="1"/>
        <item x="2"/>
        <item x="3"/>
        <item x="4"/>
        <item x="5"/>
        <item x="6"/>
        <item x="7"/>
        <item x="8"/>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Signing Auth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Reg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Zone" compact="0" outline="0" multipleItemSelectionAllowed="1" showAll="0">
      <items>
        <item x="0"/>
        <item x="1"/>
        <item x="2"/>
        <item x="3"/>
        <item x="4"/>
        <item x="5"/>
        <item x="6"/>
        <item x="7"/>
        <item x="8"/>
        <item x="9"/>
        <item t="default"/>
      </items>
    </pivotField>
    <pivotField name="Service fe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rvice Fees Bucket" compact="0" numFmtId="10" outline="0" multipleItemSelectionAllowed="1" showAll="0">
      <items>
        <item x="0"/>
        <item x="1"/>
        <item x="2"/>
        <item x="3"/>
        <item x="4"/>
        <item x="5"/>
        <item x="6"/>
        <item t="default"/>
      </items>
    </pivotField>
    <pivotField name="Payment Gateway Charges" compact="0" outline="0" multipleItemSelectionAllowed="1" showAll="0">
      <items>
        <item x="0"/>
        <item x="1"/>
        <item x="2"/>
        <item t="default"/>
      </items>
    </pivotField>
    <pivotField name="Long Distance Charges %" compact="0" outline="0" multipleItemSelectionAllowed="1" showAll="0">
      <items>
        <item x="0"/>
        <item x="1"/>
        <item x="2"/>
        <item x="3"/>
        <item x="4"/>
        <item x="5"/>
        <item x="6"/>
        <item x="7"/>
        <item x="8"/>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Contact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hone n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Benficia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t="default"/>
      </items>
    </pivotField>
    <pivotField name="Ban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IFSC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Account Type" compact="0" outline="0" multipleItemSelectionAllowed="1" showAll="0">
      <items>
        <item x="0"/>
        <item x="1"/>
        <item x="2"/>
        <item x="3"/>
        <item x="4"/>
        <item x="5"/>
        <item x="6"/>
        <item x="7"/>
        <item x="8"/>
        <item t="default"/>
      </items>
    </pivotField>
    <pivotField name="FSSAI" compact="0" outline="0" multipleItemSelectionAllowed="1" showAll="0">
      <items>
        <item x="0"/>
        <item x="1"/>
        <item x="2"/>
        <item t="default"/>
      </items>
    </pivotField>
    <pivotField name="GST" compact="0" outline="0" multipleItemSelectionAllowed="1" showAll="0">
      <items>
        <item x="0"/>
        <item x="1"/>
        <item x="2"/>
        <item x="3"/>
        <item x="4"/>
        <item x="5"/>
        <item t="default"/>
      </items>
    </pivotField>
    <pivotField name="PAN" compact="0" outline="0" multipleItemSelectionAllowed="1" showAll="0">
      <items>
        <item x="0"/>
        <item x="1"/>
        <item x="2"/>
        <item x="3"/>
        <item t="default"/>
      </items>
    </pivotField>
    <pivotField name="CHEQUE" compact="0" outline="0" multipleItemSelectionAllowed="1" showAll="0">
      <items>
        <item x="0"/>
        <item x="1"/>
        <item x="2"/>
        <item x="3"/>
        <item x="4"/>
        <item t="default"/>
      </items>
    </pivotField>
    <pivotField name="MENU" compact="0" outline="0" multipleItemSelectionAllowed="1" showAll="0">
      <items>
        <item x="0"/>
        <item x="1"/>
        <item x="2"/>
        <item x="3"/>
        <item x="4"/>
        <item t="default"/>
      </items>
    </pivotField>
    <pivotField name="LABOUR LINCENSE" compact="0" outline="0" multipleItemSelectionAllowed="1" showAll="0">
      <items>
        <item x="0"/>
        <item x="1"/>
        <item x="2"/>
        <item x="3"/>
        <item t="default"/>
      </items>
    </pivotField>
    <pivotField name="Drive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name="Map 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LOCALITY AREA" compact="0" outline="0" multipleItemSelectionAllowed="1" showAll="0">
      <items>
        <item x="0"/>
        <item x="1"/>
        <item x="2"/>
        <item x="3"/>
        <item x="4"/>
        <item x="5"/>
        <item x="6"/>
        <item x="7"/>
        <item x="8"/>
        <item x="9"/>
        <item x="10"/>
        <item x="11"/>
        <item x="12"/>
        <item x="13"/>
        <item x="14"/>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marks2" compact="0" outline="0" multipleItemSelectionAllowed="1" showAll="0">
      <items>
        <item x="0"/>
        <item x="1"/>
        <item x="2"/>
        <item x="3"/>
        <item x="4"/>
        <item x="5"/>
        <item x="6"/>
        <item x="7"/>
        <item t="default"/>
      </items>
    </pivotField>
    <pivotField name="Column 35" compact="0" outline="0" multipleItemSelectionAllowed="1" showAll="0">
      <items>
        <item x="0"/>
        <item t="default"/>
      </items>
    </pivotField>
    <pivotField name="Column 36" compact="0" outline="0" multipleItemSelectionAllowed="1" showAll="0">
      <items>
        <item x="0"/>
        <item t="default"/>
      </items>
    </pivotField>
    <pivotField name="Column 37" compact="0" outline="0" multipleItemSelectionAllowed="1" showAll="0">
      <items>
        <item x="0"/>
        <item t="default"/>
      </items>
    </pivotField>
    <pivotField name="Column 38" compact="0" outline="0" multipleItemSelectionAllowed="1" showAll="0">
      <items>
        <item x="0"/>
        <item t="default"/>
      </items>
    </pivotField>
    <pivotField name="Column 39" compact="0" outline="0" multipleItemSelectionAllowed="1" showAll="0">
      <items>
        <item x="0"/>
        <item t="default"/>
      </items>
    </pivotField>
    <pivotField name="Column 40" compact="0" outline="0" multipleItemSelectionAllowed="1" showAll="0">
      <items>
        <item x="0"/>
        <item t="default"/>
      </items>
    </pivotField>
    <pivotField name="Column 41" compact="0" outline="0" multipleItemSelectionAllowed="1" showAll="0">
      <items>
        <item x="0"/>
        <item t="default"/>
      </items>
    </pivotField>
    <pivotField name="Column 42" compact="0" outline="0" multipleItemSelectionAllowed="1" showAll="0">
      <items>
        <item x="0"/>
        <item t="default"/>
      </items>
    </pivotField>
    <pivotField name="Column 43" compact="0" outline="0" multipleItemSelectionAllowed="1" showAll="0">
      <items>
        <item x="0"/>
        <item t="default"/>
      </items>
    </pivotField>
  </pivotFields>
</pivotTableDefinition>
</file>

<file path=xl/pivotTables/pivotTable6.xml><?xml version="1.0" encoding="utf-8"?>
<pivotTableDefinition xmlns="http://schemas.openxmlformats.org/spreadsheetml/2006/main" name="Pivot Table 23" cacheId="5" dataCaption="" compact="0" compactData="0">
  <location ref="A1:A1390" firstHeaderRow="0" firstDataRow="1" firstDataCol="0"/>
  <pivotFields>
    <pivotField name="Restaurant name" axis="axisRow" dataField="1" compact="0" outline="0" multipleItemSelectionAllowed="1" showAll="0" sortType="ascending">
      <items>
        <item x="1493"/>
        <item x="1178"/>
        <item x="483"/>
        <item x="805"/>
        <item x="878"/>
        <item x="356"/>
        <item x="1241"/>
        <item x="1288"/>
        <item x="941"/>
        <item x="898"/>
        <item x="1017"/>
        <item x="1272"/>
        <item x="406"/>
        <item x="634"/>
        <item x="1355"/>
        <item x="860"/>
        <item x="919"/>
        <item x="375"/>
        <item x="766"/>
        <item x="1465"/>
        <item x="1230"/>
        <item x="1458"/>
        <item x="971"/>
        <item x="489"/>
        <item x="1399"/>
        <item x="1234"/>
        <item x="1220"/>
        <item x="1414"/>
        <item x="1389"/>
        <item x="952"/>
        <item x="551"/>
        <item x="1157"/>
        <item x="962"/>
        <item x="1187"/>
        <item x="842"/>
        <item x="1081"/>
        <item x="560"/>
        <item x="1468"/>
        <item x="1217"/>
        <item x="1302"/>
        <item x="1235"/>
        <item x="818"/>
        <item x="562"/>
        <item x="1134"/>
        <item x="1456"/>
        <item x="1396"/>
        <item x="490"/>
        <item x="879"/>
        <item x="770"/>
        <item x="1122"/>
        <item x="821"/>
        <item x="371"/>
        <item x="1337"/>
        <item x="283"/>
        <item x="1262"/>
        <item x="1233"/>
        <item x="1243"/>
        <item x="1099"/>
        <item x="953"/>
        <item x="933"/>
        <item x="580"/>
        <item x="1452"/>
        <item x="1485"/>
        <item x="1162"/>
        <item x="810"/>
        <item x="989"/>
        <item x="1136"/>
        <item x="357"/>
        <item x="549"/>
        <item x="1349"/>
        <item x="1393"/>
        <item x="497"/>
        <item x="917"/>
        <item x="4"/>
        <item x="105"/>
        <item x="112"/>
        <item x="772"/>
        <item x="62"/>
        <item x="950"/>
        <item x="143"/>
        <item x="908"/>
        <item x="427"/>
        <item x="1197"/>
        <item x="26"/>
        <item x="780"/>
        <item x="980"/>
        <item x="776"/>
        <item x="931"/>
        <item x="245"/>
        <item x="1264"/>
        <item x="975"/>
        <item x="692"/>
        <item x="997"/>
        <item x="1467"/>
        <item x="839"/>
        <item x="640"/>
        <item x="1116"/>
        <item x="1115"/>
        <item x="1117"/>
        <item x="1118"/>
        <item x="554"/>
        <item x="469"/>
        <item x="38"/>
        <item x="547"/>
        <item x="731"/>
        <item x="596"/>
        <item x="613"/>
        <item x="15"/>
        <item x="1247"/>
        <item x="646"/>
        <item x="137"/>
        <item x="1363"/>
        <item x="781"/>
        <item x="1329"/>
        <item x="344"/>
        <item x="219"/>
        <item x="740"/>
        <item x="169"/>
        <item x="1287"/>
        <item x="331"/>
        <item x="1175"/>
        <item x="430"/>
        <item x="571"/>
        <item x="943"/>
        <item x="440"/>
        <item x="1209"/>
        <item x="190"/>
        <item x="809"/>
        <item x="1277"/>
        <item x="848"/>
        <item x="186"/>
        <item x="198"/>
        <item x="194"/>
        <item x="679"/>
        <item x="833"/>
        <item x="1380"/>
        <item x="1384"/>
        <item x="873"/>
        <item x="854"/>
        <item x="1323"/>
        <item x="152"/>
        <item x="227"/>
        <item x="1018"/>
        <item x="1172"/>
        <item x="1276"/>
        <item x="446"/>
        <item x="966"/>
        <item x="1445"/>
        <item x="263"/>
        <item x="407"/>
        <item x="1201"/>
        <item x="266"/>
        <item x="449"/>
        <item x="1281"/>
        <item x="296"/>
        <item x="1442"/>
        <item x="233"/>
        <item x="967"/>
        <item x="973"/>
        <item x="974"/>
        <item x="355"/>
        <item x="253"/>
        <item x="893"/>
        <item x="890"/>
        <item x="1440"/>
        <item x="1466"/>
        <item x="745"/>
        <item x="519"/>
        <item x="260"/>
        <item x="251"/>
        <item x="1014"/>
        <item x="912"/>
        <item x="1492"/>
        <item x="1120"/>
        <item x="1121"/>
        <item x="1151"/>
        <item x="627"/>
        <item x="721"/>
        <item x="643"/>
        <item x="851"/>
        <item x="1077"/>
        <item x="1102"/>
        <item x="129"/>
        <item x="885"/>
        <item x="717"/>
        <item x="992"/>
        <item x="1397"/>
        <item x="250"/>
        <item x="77"/>
        <item x="654"/>
        <item x="935"/>
        <item x="308"/>
        <item x="185"/>
        <item x="685"/>
        <item x="71"/>
        <item x="147"/>
        <item x="852"/>
        <item x="1149"/>
        <item x="121"/>
        <item x="1365"/>
        <item x="438"/>
        <item x="1184"/>
        <item x="1366"/>
        <item x="148"/>
        <item x="210"/>
        <item x="958"/>
        <item x="481"/>
        <item x="1128"/>
        <item x="444"/>
        <item x="642"/>
        <item x="915"/>
        <item x="1146"/>
        <item x="495"/>
        <item x="921"/>
        <item x="561"/>
        <item x="1152"/>
        <item x="1367"/>
        <item x="614"/>
        <item x="1214"/>
        <item x="1019"/>
        <item x="298"/>
        <item x="704"/>
        <item x="14"/>
        <item x="599"/>
        <item x="1379"/>
        <item x="1210"/>
        <item x="1382"/>
        <item x="1140"/>
        <item x="1405"/>
        <item x="268"/>
        <item x="819"/>
        <item x="903"/>
        <item x="1457"/>
        <item x="830"/>
        <item x="1461"/>
        <item x="647"/>
        <item x="1275"/>
        <item x="425"/>
        <item x="278"/>
        <item x="18"/>
        <item x="1143"/>
        <item x="106"/>
        <item x="897"/>
        <item x="1362"/>
        <item x="1361"/>
        <item x="226"/>
        <item x="229"/>
        <item x="727"/>
        <item x="957"/>
        <item x="1311"/>
        <item x="235"/>
        <item x="964"/>
        <item x="361"/>
        <item x="1001"/>
        <item x="376"/>
        <item x="107"/>
        <item x="1020"/>
        <item x="471"/>
        <item x="524"/>
        <item x="323"/>
        <item x="1141"/>
        <item x="457"/>
        <item x="387"/>
        <item x="825"/>
        <item x="79"/>
        <item x="1167"/>
        <item x="1092"/>
        <item x="0"/>
        <item x="907"/>
        <item x="1005"/>
        <item x="687"/>
        <item x="546"/>
        <item x="1189"/>
        <item x="31"/>
        <item x="671"/>
        <item x="521"/>
        <item x="570"/>
        <item x="944"/>
        <item x="1185"/>
        <item x="710"/>
        <item x="673"/>
        <item x="294"/>
        <item x="479"/>
        <item x="1460"/>
        <item x="701"/>
        <item x="767"/>
        <item x="340"/>
        <item x="1125"/>
        <item x="1218"/>
        <item x="883"/>
        <item x="956"/>
        <item x="230"/>
        <item x="150"/>
        <item x="1312"/>
        <item x="1080"/>
        <item x="1293"/>
        <item x="996"/>
        <item x="1021"/>
        <item x="85"/>
        <item x="855"/>
        <item x="1022"/>
        <item x="523"/>
        <item x="460"/>
        <item x="659"/>
        <item x="732"/>
        <item x="677"/>
        <item x="7"/>
        <item x="1481"/>
        <item x="117"/>
        <item x="846"/>
        <item x="535"/>
        <item x="9"/>
        <item x="333"/>
        <item x="145"/>
        <item x="322"/>
        <item x="702"/>
        <item x="25"/>
        <item x="1271"/>
        <item x="982"/>
        <item x="67"/>
        <item x="89"/>
        <item x="583"/>
        <item x="221"/>
        <item x="264"/>
        <item x="428"/>
        <item x="442"/>
        <item x="363"/>
        <item x="1313"/>
        <item x="1168"/>
        <item x="1446"/>
        <item x="1464"/>
        <item x="1415"/>
        <item x="1088"/>
        <item x="1135"/>
        <item x="1173"/>
        <item x="45"/>
        <item x="884"/>
        <item x="1023"/>
        <item x="113"/>
        <item x="605"/>
        <item x="782"/>
        <item x="379"/>
        <item x="1150"/>
        <item x="1251"/>
        <item x="170"/>
        <item x="56"/>
        <item x="52"/>
        <item x="972"/>
        <item x="576"/>
        <item x="184"/>
        <item x="899"/>
        <item x="2"/>
        <item x="285"/>
        <item x="101"/>
        <item x="1408"/>
        <item x="1278"/>
        <item x="1076"/>
        <item x="926"/>
        <item x="461"/>
        <item x="1388"/>
        <item x="290"/>
        <item x="665"/>
        <item x="981"/>
        <item x="604"/>
        <item x="272"/>
        <item x="392"/>
        <item x="769"/>
        <item x="350"/>
        <item x="1097"/>
        <item x="1024"/>
        <item x="1095"/>
        <item x="482"/>
        <item x="126"/>
        <item x="402"/>
        <item x="920"/>
        <item x="1025"/>
        <item x="1169"/>
        <item x="284"/>
        <item x="777"/>
        <item x="515"/>
        <item x="1182"/>
        <item x="722"/>
        <item x="404"/>
        <item x="484"/>
        <item x="901"/>
        <item x="133"/>
        <item x="1155"/>
        <item x="606"/>
        <item x="609"/>
        <item x="1453"/>
        <item x="142"/>
        <item x="1165"/>
        <item x="234"/>
        <item x="1177"/>
        <item x="429"/>
        <item x="1387"/>
        <item x="69"/>
        <item x="876"/>
        <item x="418"/>
        <item x="1398"/>
        <item x="1469"/>
        <item x="816"/>
        <item x="932"/>
        <item x="994"/>
        <item x="507"/>
        <item x="797"/>
        <item x="866"/>
        <item x="29"/>
        <item x="202"/>
        <item x="24"/>
        <item x="475"/>
        <item x="969"/>
        <item x="970"/>
        <item x="968"/>
        <item x="222"/>
        <item x="783"/>
        <item x="699"/>
        <item x="58"/>
        <item x="1345"/>
        <item x="309"/>
        <item x="837"/>
        <item x="991"/>
        <item x="162"/>
        <item x="1026"/>
        <item x="1483"/>
        <item x="1291"/>
        <item x="955"/>
        <item x="125"/>
        <item x="299"/>
        <item x="436"/>
        <item x="616"/>
        <item x="1327"/>
        <item x="20"/>
        <item x="1138"/>
        <item x="1027"/>
        <item x="154"/>
        <item x="36"/>
        <item x="432"/>
        <item x="380"/>
        <item x="354"/>
        <item x="293"/>
        <item x="1145"/>
        <item x="1101"/>
        <item x="1418"/>
        <item x="412"/>
        <item x="939"/>
        <item x="900"/>
        <item x="1375"/>
        <item x="738"/>
        <item x="532"/>
        <item x="389"/>
        <item x="756"/>
        <item x="1489"/>
        <item x="1078"/>
        <item x="97"/>
        <item x="44"/>
        <item x="1131"/>
        <item x="667"/>
        <item x="1028"/>
        <item x="862"/>
        <item x="868"/>
        <item x="775"/>
        <item x="867"/>
        <item x="865"/>
        <item x="870"/>
        <item x="1211"/>
        <item x="135"/>
        <item x="565"/>
        <item x="173"/>
        <item x="488"/>
        <item x="986"/>
        <item x="1016"/>
        <item x="1199"/>
        <item x="1139"/>
        <item x="689"/>
        <item x="384"/>
        <item x="416"/>
        <item x="1322"/>
        <item x="584"/>
        <item x="695"/>
        <item x="608"/>
        <item x="1029"/>
        <item x="508"/>
        <item x="146"/>
        <item x="1413"/>
        <item x="558"/>
        <item x="544"/>
        <item x="1164"/>
        <item x="287"/>
        <item x="999"/>
        <item x="1000"/>
        <item x="914"/>
        <item x="534"/>
        <item x="1289"/>
        <item x="763"/>
        <item x="652"/>
        <item x="945"/>
        <item x="212"/>
        <item x="462"/>
        <item x="1207"/>
        <item x="835"/>
        <item x="813"/>
        <item x="417"/>
        <item x="231"/>
        <item x="423"/>
        <item x="367"/>
        <item x="715"/>
        <item x="325"/>
        <item x="573"/>
        <item x="439"/>
        <item x="385"/>
        <item x="929"/>
        <item x="522"/>
        <item x="377"/>
        <item x="822"/>
        <item x="499"/>
        <item x="779"/>
        <item x="498"/>
        <item x="1158"/>
        <item x="60"/>
        <item x="41"/>
        <item x="88"/>
        <item x="42"/>
        <item x="378"/>
        <item x="509"/>
        <item x="134"/>
        <item x="92"/>
        <item x="277"/>
        <item x="1391"/>
        <item x="645"/>
        <item x="269"/>
        <item x="1448"/>
        <item x="188"/>
        <item x="197"/>
        <item x="960"/>
        <item x="246"/>
        <item x="750"/>
        <item x="326"/>
        <item x="1400"/>
        <item x="1348"/>
        <item x="1030"/>
        <item x="1482"/>
        <item x="1449"/>
        <item x="57"/>
        <item x="1110"/>
        <item x="1109"/>
        <item x="393"/>
        <item x="1086"/>
        <item x="199"/>
        <item x="476"/>
        <item x="1454"/>
        <item x="12"/>
        <item x="708"/>
        <item x="1031"/>
        <item x="528"/>
        <item x="572"/>
        <item x="1205"/>
        <item x="1439"/>
        <item x="50"/>
        <item x="220"/>
        <item x="163"/>
        <item x="63"/>
        <item x="119"/>
        <item x="744"/>
        <item x="1032"/>
        <item x="443"/>
        <item x="1334"/>
        <item x="1085"/>
        <item x="280"/>
        <item x="328"/>
        <item x="1108"/>
        <item x="1107"/>
        <item x="90"/>
        <item x="10"/>
        <item x="1441"/>
        <item x="149"/>
        <item x="1161"/>
        <item x="1090"/>
        <item x="1444"/>
        <item x="734"/>
        <item x="733"/>
        <item x="660"/>
        <item x="923"/>
        <item x="541"/>
        <item x="1009"/>
        <item x="1004"/>
        <item x="35"/>
        <item x="648"/>
        <item x="317"/>
        <item x="318"/>
        <item x="682"/>
        <item x="1259"/>
        <item x="1160"/>
        <item x="395"/>
        <item x="206"/>
        <item x="633"/>
        <item x="81"/>
        <item x="189"/>
        <item x="834"/>
        <item x="1033"/>
        <item x="1034"/>
        <item x="1035"/>
        <item x="739"/>
        <item x="662"/>
        <item x="928"/>
        <item x="794"/>
        <item x="863"/>
        <item x="905"/>
        <item x="859"/>
        <item x="1296"/>
        <item x="306"/>
        <item x="1231"/>
        <item x="672"/>
        <item x="1193"/>
        <item x="265"/>
        <item x="1336"/>
        <item x="1491"/>
        <item x="1386"/>
        <item x="447"/>
        <item x="209"/>
        <item x="1484"/>
        <item x="774"/>
        <item x="241"/>
        <item x="424"/>
        <item x="888"/>
        <item x="849"/>
        <item x="800"/>
        <item x="1248"/>
        <item x="618"/>
        <item x="1298"/>
        <item x="53"/>
        <item x="267"/>
        <item x="120"/>
        <item x="180"/>
        <item x="1194"/>
        <item x="1190"/>
        <item x="516"/>
        <item x="339"/>
        <item x="391"/>
        <item x="814"/>
        <item x="320"/>
        <item x="240"/>
        <item x="799"/>
        <item x="1263"/>
        <item x="526"/>
        <item x="362"/>
        <item x="758"/>
        <item x="694"/>
        <item x="422"/>
        <item x="600"/>
        <item x="217"/>
        <item x="91"/>
        <item x="592"/>
        <item x="817"/>
        <item x="1036"/>
        <item x="228"/>
        <item x="474"/>
        <item x="43"/>
        <item x="1240"/>
        <item x="329"/>
        <item x="165"/>
        <item x="670"/>
        <item x="40"/>
        <item x="1459"/>
        <item x="307"/>
        <item x="559"/>
        <item x="686"/>
        <item x="433"/>
        <item x="224"/>
        <item x="693"/>
        <item x="258"/>
        <item x="109"/>
        <item x="191"/>
        <item x="578"/>
        <item x="577"/>
        <item x="1154"/>
        <item x="1094"/>
        <item x="131"/>
        <item x="473"/>
        <item x="166"/>
        <item x="1183"/>
        <item x="1303"/>
        <item x="1295"/>
        <item x="1186"/>
        <item x="34"/>
        <item x="1105"/>
        <item x="1376"/>
        <item x="1371"/>
        <item x="1470"/>
        <item x="875"/>
        <item x="1037"/>
        <item x="337"/>
        <item x="568"/>
        <item x="1224"/>
        <item x="386"/>
        <item x="801"/>
        <item x="514"/>
        <item x="369"/>
        <item x="1321"/>
        <item x="176"/>
        <item x="383"/>
        <item x="421"/>
        <item x="632"/>
        <item x="455"/>
        <item x="431"/>
        <item x="746"/>
        <item x="881"/>
        <item x="880"/>
        <item x="995"/>
        <item x="836"/>
        <item x="1480"/>
        <item x="1479"/>
        <item x="193"/>
        <item x="178"/>
        <item x="1258"/>
        <item x="448"/>
        <item x="1274"/>
        <item x="262"/>
        <item x="1038"/>
        <item x="1039"/>
        <item x="918"/>
        <item x="1417"/>
        <item x="1040"/>
        <item x="1083"/>
        <item x="64"/>
        <item x="261"/>
        <item x="1159"/>
        <item x="1284"/>
        <item x="913"/>
        <item x="961"/>
        <item x="456"/>
        <item x="16"/>
        <item x="505"/>
        <item x="39"/>
        <item x="705"/>
        <item x="48"/>
        <item x="458"/>
        <item x="410"/>
        <item x="281"/>
        <item x="468"/>
        <item x="681"/>
        <item x="502"/>
        <item x="249"/>
        <item x="1344"/>
        <item x="279"/>
        <item x="527"/>
        <item x="37"/>
        <item x="1432"/>
        <item x="1041"/>
        <item x="1181"/>
        <item x="529"/>
        <item x="872"/>
        <item x="486"/>
        <item x="831"/>
        <item x="513"/>
        <item x="1163"/>
        <item x="1325"/>
        <item x="54"/>
        <item x="1188"/>
        <item x="762"/>
        <item x="177"/>
        <item x="537"/>
        <item x="1350"/>
        <item x="349"/>
        <item x="1096"/>
        <item x="1359"/>
        <item x="611"/>
        <item x="545"/>
        <item x="1256"/>
        <item x="1286"/>
        <item x="1443"/>
        <item x="324"/>
        <item x="683"/>
        <item x="902"/>
        <item x="1354"/>
        <item x="636"/>
        <item x="838"/>
        <item x="1042"/>
        <item x="453"/>
        <item x="232"/>
        <item x="493"/>
        <item x="1202"/>
        <item x="823"/>
        <item x="1204"/>
        <item x="626"/>
        <item x="617"/>
        <item x="1043"/>
        <item x="118"/>
        <item x="1383"/>
        <item x="1381"/>
        <item x="1347"/>
        <item x="382"/>
        <item x="1008"/>
        <item x="123"/>
        <item x="304"/>
        <item x="102"/>
        <item x="778"/>
        <item x="1089"/>
        <item x="414"/>
        <item x="74"/>
        <item x="1142"/>
        <item x="492"/>
        <item x="341"/>
        <item x="19"/>
        <item x="1335"/>
        <item x="1044"/>
        <item x="904"/>
        <item x="70"/>
        <item x="1192"/>
        <item x="1045"/>
        <item x="987"/>
        <item x="104"/>
        <item x="1423"/>
        <item x="520"/>
        <item x="1420"/>
        <item x="807"/>
        <item x="1392"/>
        <item x="503"/>
        <item x="542"/>
        <item x="187"/>
        <item x="274"/>
        <item x="1219"/>
        <item x="1082"/>
        <item x="1046"/>
        <item x="271"/>
        <item x="17"/>
        <item x="75"/>
        <item x="936"/>
        <item x="1047"/>
        <item x="450"/>
        <item x="1226"/>
        <item x="713"/>
        <item x="585"/>
        <item x="988"/>
        <item x="730"/>
        <item x="358"/>
        <item x="171"/>
        <item x="1010"/>
        <item x="1015"/>
        <item x="415"/>
        <item x="1238"/>
        <item x="1147"/>
        <item x="990"/>
        <item x="1462"/>
        <item x="200"/>
        <item x="1421"/>
        <item x="175"/>
        <item x="203"/>
        <item x="1403"/>
        <item x="1170"/>
        <item x="1395"/>
        <item x="32"/>
        <item x="480"/>
        <item x="1228"/>
        <item x="690"/>
        <item x="335"/>
        <item x="95"/>
        <item x="1091"/>
        <item x="729"/>
        <item x="223"/>
        <item x="310"/>
        <item x="68"/>
        <item x="1222"/>
        <item x="1434"/>
        <item x="441"/>
        <item x="1373"/>
        <item x="1333"/>
        <item x="160"/>
        <item x="1328"/>
        <item x="752"/>
        <item x="1410"/>
        <item x="1048"/>
        <item x="445"/>
        <item x="1111"/>
        <item x="1112"/>
        <item x="512"/>
        <item x="373"/>
        <item x="735"/>
        <item x="1114"/>
        <item x="1113"/>
        <item x="651"/>
        <item x="397"/>
        <item x="1049"/>
        <item x="629"/>
        <item x="257"/>
        <item x="631"/>
        <item x="1424"/>
        <item x="276"/>
        <item x="844"/>
        <item x="136"/>
        <item x="1476"/>
        <item x="366"/>
        <item x="28"/>
        <item x="655"/>
        <item x="691"/>
        <item x="87"/>
        <item x="948"/>
        <item x="1304"/>
        <item x="949"/>
        <item x="511"/>
        <item x="1003"/>
        <item x="66"/>
        <item x="237"/>
        <item x="1124"/>
        <item x="795"/>
        <item x="894"/>
        <item x="896"/>
        <item x="909"/>
        <item x="398"/>
        <item x="1050"/>
        <item x="924"/>
        <item x="1346"/>
        <item x="33"/>
        <item x="1051"/>
        <item x="405"/>
        <item x="922"/>
        <item x="256"/>
        <item x="1474"/>
        <item x="725"/>
        <item x="743"/>
        <item x="1052"/>
        <item x="1053"/>
        <item x="1360"/>
        <item x="1357"/>
        <item x="408"/>
        <item x="108"/>
        <item x="1232"/>
        <item x="466"/>
        <item x="666"/>
        <item x="812"/>
        <item x="319"/>
        <item x="292"/>
        <item x="703"/>
        <item x="1"/>
        <item x="724"/>
        <item x="216"/>
        <item x="680"/>
        <item x="1103"/>
        <item x="1174"/>
        <item x="51"/>
        <item x="400"/>
        <item x="656"/>
        <item x="624"/>
        <item x="122"/>
        <item x="242"/>
        <item x="192"/>
        <item x="1270"/>
        <item x="1422"/>
        <item x="364"/>
        <item x="1488"/>
        <item x="11"/>
        <item x="141"/>
        <item x="103"/>
        <item x="755"/>
        <item x="225"/>
        <item x="302"/>
        <item x="553"/>
        <item x="288"/>
        <item x="352"/>
        <item x="467"/>
        <item x="540"/>
        <item x="556"/>
        <item x="793"/>
        <item x="889"/>
        <item x="1239"/>
        <item x="459"/>
        <item x="1229"/>
        <item x="1223"/>
        <item x="518"/>
        <item x="533"/>
        <item x="1130"/>
        <item x="282"/>
        <item x="5"/>
        <item x="1341"/>
        <item x="181"/>
        <item x="871"/>
        <item x="1330"/>
        <item x="1191"/>
        <item x="204"/>
        <item x="1315"/>
        <item x="259"/>
        <item x="1316"/>
        <item x="83"/>
        <item x="590"/>
        <item x="1455"/>
        <item x="1129"/>
        <item x="1198"/>
        <item x="641"/>
        <item x="639"/>
        <item x="649"/>
        <item x="1385"/>
        <item x="1144"/>
        <item x="409"/>
        <item x="1208"/>
        <item x="1054"/>
        <item x="1358"/>
        <item x="1435"/>
        <item x="72"/>
        <item x="1450"/>
        <item x="882"/>
        <item x="628"/>
        <item x="218"/>
        <item x="525"/>
        <item x="1055"/>
        <item x="255"/>
        <item x="1390"/>
        <item x="164"/>
        <item x="291"/>
        <item x="1087"/>
        <item x="877"/>
        <item x="748"/>
        <item x="937"/>
        <item x="965"/>
        <item x="1343"/>
        <item x="1419"/>
        <item x="213"/>
        <item x="243"/>
        <item x="1490"/>
        <item x="1332"/>
        <item x="403"/>
        <item x="650"/>
        <item x="132"/>
        <item x="1402"/>
        <item x="555"/>
        <item x="1056"/>
        <item x="764"/>
        <item x="167"/>
        <item x="597"/>
        <item x="536"/>
        <item x="1431"/>
        <item x="158"/>
        <item x="1057"/>
        <item x="312"/>
        <item x="110"/>
        <item x="111"/>
        <item x="582"/>
        <item x="1261"/>
        <item x="757"/>
        <item x="1058"/>
        <item x="736"/>
        <item x="396"/>
        <item x="1260"/>
        <item x="630"/>
        <item x="420"/>
        <item x="80"/>
        <item x="979"/>
        <item x="978"/>
        <item x="1059"/>
        <item x="1126"/>
        <item x="1148"/>
        <item x="252"/>
        <item x="930"/>
        <item x="27"/>
        <item x="1252"/>
        <item x="1338"/>
        <item x="1372"/>
        <item x="869"/>
        <item x="911"/>
        <item x="1294"/>
        <item x="892"/>
        <item x="815"/>
        <item x="820"/>
        <item x="564"/>
        <item x="6"/>
        <item x="1280"/>
        <item x="718"/>
        <item x="144"/>
        <item x="806"/>
        <item x="850"/>
        <item x="214"/>
        <item x="1265"/>
        <item x="1308"/>
        <item x="808"/>
        <item x="1324"/>
        <item x="1236"/>
        <item x="579"/>
        <item x="151"/>
        <item x="472"/>
        <item x="539"/>
        <item x="530"/>
        <item x="811"/>
        <item x="1292"/>
        <item x="295"/>
        <item x="1133"/>
        <item x="829"/>
        <item x="538"/>
        <item x="1200"/>
        <item x="566"/>
        <item x="1060"/>
        <item x="716"/>
        <item x="215"/>
        <item x="847"/>
        <item x="346"/>
        <item x="315"/>
        <item x="1171"/>
        <item x="1273"/>
        <item x="653"/>
        <item x="741"/>
        <item x="1061"/>
        <item x="454"/>
        <item x="790"/>
        <item x="747"/>
        <item x="1062"/>
        <item x="334"/>
        <item x="128"/>
        <item x="55"/>
        <item x="706"/>
        <item x="477"/>
        <item x="140"/>
        <item x="1342"/>
        <item x="675"/>
        <item x="602"/>
        <item x="348"/>
        <item x="321"/>
        <item x="127"/>
        <item x="1279"/>
        <item x="620"/>
        <item x="434"/>
        <item x="864"/>
        <item x="61"/>
        <item x="327"/>
        <item x="684"/>
        <item x="286"/>
        <item x="99"/>
        <item x="895"/>
        <item x="798"/>
        <item x="47"/>
        <item x="1255"/>
        <item x="550"/>
        <item x="59"/>
        <item x="1179"/>
        <item x="1180"/>
        <item x="753"/>
        <item x="1063"/>
        <item x="1369"/>
        <item x="1377"/>
        <item x="1221"/>
        <item x="426"/>
        <item x="1317"/>
        <item x="938"/>
        <item x="1319"/>
        <item x="1438"/>
        <item x="856"/>
        <item x="478"/>
        <item x="96"/>
        <item x="840"/>
        <item x="1253"/>
        <item x="916"/>
        <item x="802"/>
        <item x="1257"/>
        <item x="270"/>
        <item x="470"/>
        <item x="1249"/>
        <item x="1227"/>
        <item x="637"/>
        <item x="674"/>
        <item x="153"/>
        <item x="623"/>
        <item x="1064"/>
        <item x="1065"/>
        <item x="1409"/>
        <item x="1196"/>
        <item x="657"/>
        <item x="182"/>
        <item x="828"/>
        <item x="998"/>
        <item x="115"/>
        <item x="574"/>
        <item x="612"/>
        <item x="1326"/>
        <item x="1011"/>
        <item x="1368"/>
        <item x="76"/>
        <item x="463"/>
        <item x="1066"/>
        <item x="598"/>
        <item x="977"/>
        <item x="976"/>
        <item x="465"/>
        <item x="1394"/>
        <item x="100"/>
        <item x="1098"/>
        <item x="195"/>
        <item x="886"/>
        <item x="768"/>
        <item x="751"/>
        <item x="196"/>
        <item x="1487"/>
        <item x="365"/>
        <item x="1378"/>
        <item x="1266"/>
        <item x="159"/>
        <item x="517"/>
        <item x="593"/>
        <item x="1067"/>
        <item x="116"/>
        <item x="1068"/>
        <item x="359"/>
        <item x="581"/>
        <item x="754"/>
        <item x="435"/>
        <item x="658"/>
        <item x="138"/>
        <item x="594"/>
        <item x="552"/>
        <item x="1123"/>
        <item x="1436"/>
        <item x="531"/>
        <item x="621"/>
        <item x="1339"/>
        <item x="771"/>
        <item x="712"/>
        <item x="1206"/>
        <item x="792"/>
        <item x="172"/>
        <item x="314"/>
        <item x="1069"/>
        <item x="301"/>
        <item x="726"/>
        <item x="1430"/>
        <item x="719"/>
        <item x="1216"/>
        <item x="587"/>
        <item x="1351"/>
        <item x="1426"/>
        <item x="1070"/>
        <item x="728"/>
        <item x="1353"/>
        <item x="289"/>
        <item x="1290"/>
        <item x="845"/>
        <item x="796"/>
        <item x="1285"/>
        <item x="557"/>
        <item x="452"/>
        <item x="419"/>
        <item x="951"/>
        <item x="826"/>
        <item x="696"/>
        <item x="394"/>
        <item x="1156"/>
        <item x="1404"/>
        <item x="589"/>
        <item x="742"/>
        <item x="1215"/>
        <item x="313"/>
        <item x="827"/>
        <item x="711"/>
        <item x="1137"/>
        <item x="464"/>
        <item x="993"/>
        <item x="1425"/>
        <item x="1340"/>
        <item x="332"/>
        <item x="1433"/>
        <item x="1242"/>
        <item x="1106"/>
        <item x="1407"/>
        <item x="1406"/>
        <item x="789"/>
        <item x="874"/>
        <item x="1269"/>
        <item x="338"/>
        <item x="208"/>
        <item x="954"/>
        <item x="1104"/>
        <item x="1416"/>
        <item x="910"/>
        <item x="381"/>
        <item x="496"/>
        <item x="3"/>
        <item x="586"/>
        <item x="179"/>
        <item x="500"/>
        <item x="1071"/>
        <item x="759"/>
        <item x="661"/>
        <item x="1254"/>
        <item x="761"/>
        <item x="760"/>
        <item x="360"/>
        <item x="236"/>
        <item x="124"/>
        <item x="244"/>
        <item x="1451"/>
        <item x="1356"/>
        <item x="1477"/>
        <item x="832"/>
        <item x="543"/>
        <item x="368"/>
        <item x="983"/>
        <item x="595"/>
        <item x="347"/>
        <item x="1153"/>
        <item x="1176"/>
        <item x="959"/>
        <item x="336"/>
        <item x="1093"/>
        <item x="504"/>
        <item x="985"/>
        <item x="1132"/>
        <item x="714"/>
        <item x="1486"/>
        <item x="372"/>
        <item x="174"/>
        <item x="1195"/>
        <item x="588"/>
        <item x="737"/>
        <item x="156"/>
        <item x="664"/>
        <item x="891"/>
        <item x="940"/>
        <item x="625"/>
        <item x="1364"/>
        <item x="927"/>
        <item x="399"/>
        <item x="723"/>
        <item x="1072"/>
        <item x="841"/>
        <item x="413"/>
        <item x="984"/>
        <item x="46"/>
        <item x="183"/>
        <item x="824"/>
        <item x="510"/>
        <item x="857"/>
        <item x="853"/>
        <item x="1463"/>
        <item x="947"/>
        <item x="925"/>
        <item x="21"/>
        <item x="1012"/>
        <item x="1282"/>
        <item x="1002"/>
        <item x="785"/>
        <item x="563"/>
        <item x="1166"/>
        <item x="98"/>
        <item x="1006"/>
        <item x="709"/>
        <item x="963"/>
        <item x="619"/>
        <item x="784"/>
        <item x="13"/>
        <item x="248"/>
        <item x="1318"/>
        <item x="23"/>
        <item x="1245"/>
        <item x="1300"/>
        <item x="1119"/>
        <item x="861"/>
        <item x="139"/>
        <item x="788"/>
        <item x="787"/>
        <item x="1073"/>
        <item x="1225"/>
        <item x="1331"/>
        <item x="1310"/>
        <item x="858"/>
        <item x="1305"/>
        <item x="548"/>
        <item x="1013"/>
        <item x="485"/>
        <item x="1320"/>
        <item x="786"/>
        <item x="1299"/>
        <item x="1237"/>
        <item x="506"/>
        <item x="1411"/>
        <item x="1307"/>
        <item x="390"/>
        <item x="1314"/>
        <item x="1297"/>
        <item x="1309"/>
        <item x="157"/>
        <item x="791"/>
        <item x="353"/>
        <item x="700"/>
        <item x="254"/>
        <item x="1079"/>
        <item x="1447"/>
        <item x="155"/>
        <item x="374"/>
        <item x="201"/>
        <item x="491"/>
        <item x="765"/>
        <item x="603"/>
        <item x="644"/>
        <item x="1283"/>
        <item x="300"/>
        <item x="720"/>
        <item x="343"/>
        <item x="638"/>
        <item x="437"/>
        <item x="494"/>
        <item x="575"/>
        <item x="84"/>
        <item x="707"/>
        <item x="65"/>
        <item x="803"/>
        <item x="130"/>
        <item x="1478"/>
        <item x="1244"/>
        <item x="22"/>
        <item x="86"/>
        <item x="273"/>
        <item x="239"/>
        <item x="388"/>
        <item x="487"/>
        <item x="615"/>
        <item x="622"/>
        <item x="211"/>
        <item x="1203"/>
        <item x="1268"/>
        <item x="330"/>
        <item x="1212"/>
        <item x="1301"/>
        <item x="688"/>
        <item x="1473"/>
        <item x="934"/>
        <item x="205"/>
        <item x="305"/>
        <item x="942"/>
        <item x="669"/>
        <item x="238"/>
        <item x="1213"/>
        <item x="342"/>
        <item x="1401"/>
        <item x="1429"/>
        <item x="843"/>
        <item x="1352"/>
        <item x="114"/>
        <item x="1471"/>
        <item x="804"/>
        <item x="78"/>
        <item x="1475"/>
        <item x="1084"/>
        <item x="49"/>
        <item x="30"/>
        <item x="8"/>
        <item x="82"/>
        <item x="601"/>
        <item x="1074"/>
        <item x="676"/>
        <item x="351"/>
        <item x="1127"/>
        <item x="1267"/>
        <item x="1370"/>
        <item x="161"/>
        <item x="1246"/>
        <item x="591"/>
        <item x="1428"/>
        <item x="345"/>
        <item x="1374"/>
        <item x="311"/>
        <item x="297"/>
        <item x="501"/>
        <item x="168"/>
        <item x="1007"/>
        <item x="451"/>
        <item x="749"/>
        <item x="635"/>
        <item x="607"/>
        <item x="1075"/>
        <item x="275"/>
        <item x="668"/>
        <item x="1412"/>
        <item x="567"/>
        <item x="569"/>
        <item x="94"/>
        <item x="370"/>
        <item x="93"/>
        <item x="303"/>
        <item x="946"/>
        <item x="316"/>
        <item x="411"/>
        <item x="73"/>
        <item x="906"/>
        <item x="247"/>
        <item x="698"/>
        <item x="697"/>
        <item x="1100"/>
        <item x="773"/>
        <item x="1306"/>
        <item x="678"/>
        <item x="887"/>
        <item x="401"/>
        <item x="1472"/>
        <item x="1437"/>
        <item x="207"/>
        <item x="610"/>
        <item x="1250"/>
        <item x="1427"/>
        <item x="663"/>
        <item t="default"/>
      </items>
    </pivotField>
  </pivotFields>
  <rowFields>
    <field x="0"/>
  </rowFields>
  <dataFields>
    <dataField name="COUNTA of Restaurant name" fld="0" subtotal="count" baseField="0"/>
  </dataFields>
</pivotTableDefinition>
</file>

<file path=xl/pivotTables/pivotTable7.xml><?xml version="1.0" encoding="utf-8"?>
<pivotTableDefinition xmlns="http://schemas.openxmlformats.org/spreadsheetml/2006/main" name="Pivot Table 21" cacheId="4" dataCaption="" compact="0" compactData="0">
  <location ref="A1:C87"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stauran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RM/KAM" compact="0" outline="0" multipleItemSelectionAllowed="1" showAll="0">
      <items>
        <item x="0"/>
        <item x="1"/>
        <item x="2"/>
        <item x="3"/>
        <item x="4"/>
        <item x="5"/>
        <item x="6"/>
        <item x="7"/>
        <item x="8"/>
        <item x="9"/>
        <item x="10"/>
        <item x="11"/>
        <item x="12"/>
        <item x="13"/>
        <item t="default"/>
      </items>
    </pivotField>
    <pivotField name="Type of Ownership" compact="0" outline="0" multipleItemSelectionAllowed="1" showAll="0">
      <items>
        <item x="0"/>
        <item x="1"/>
        <item x="2"/>
        <item x="3"/>
        <item x="4"/>
        <item x="5"/>
        <item x="6"/>
        <item x="7"/>
        <item x="8"/>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Signing Auth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lity" axis="axisRow" compact="0" outline="0" multipleItemSelectionAllowed="1" showAll="0" sortType="ascending">
      <items>
        <item x="12"/>
        <item x="33"/>
        <item x="49"/>
        <item x="10"/>
        <item x="18"/>
        <item x="3"/>
        <item x="4"/>
        <item x="36"/>
        <item x="39"/>
        <item x="8"/>
        <item x="57"/>
        <item x="20"/>
        <item x="37"/>
        <item x="35"/>
        <item x="14"/>
        <item x="5"/>
        <item x="15"/>
        <item x="38"/>
        <item x="44"/>
        <item x="48"/>
        <item x="55"/>
        <item x="60"/>
        <item x="53"/>
        <item x="25"/>
        <item x="17"/>
        <item x="2"/>
        <item x="50"/>
        <item x="16"/>
        <item x="51"/>
        <item x="54"/>
        <item x="47"/>
        <item x="23"/>
        <item x="45"/>
        <item x="9"/>
        <item x="7"/>
        <item x="30"/>
        <item x="43"/>
        <item x="13"/>
        <item x="0"/>
        <item x="61"/>
        <item x="1"/>
        <item x="26"/>
        <item x="28"/>
        <item x="42"/>
        <item x="46"/>
        <item x="21"/>
        <item x="52"/>
        <item x="41"/>
        <item x="56"/>
        <item x="59"/>
        <item x="11"/>
        <item x="22"/>
        <item x="24"/>
        <item x="40"/>
        <item x="29"/>
        <item x="27"/>
        <item x="19"/>
        <item x="58"/>
        <item x="32"/>
        <item x="6"/>
        <item x="31"/>
        <item x="34"/>
        <item t="default"/>
      </items>
    </pivotField>
    <pivotField name="Reg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Zone" axis="axisRow" compact="0" outline="0" multipleItemSelectionAllowed="1" showAll="0" sortType="ascending">
      <items>
        <item x="4"/>
        <item x="9"/>
        <item x="7"/>
        <item x="8"/>
        <item x="0"/>
        <item x="1"/>
        <item x="5"/>
        <item x="2"/>
        <item x="6"/>
        <item x="3"/>
        <item t="default"/>
      </items>
    </pivotField>
    <pivotField name="Service fe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rvice Fees Bucket" compact="0" numFmtId="10" outline="0" multipleItemSelectionAllowed="1" showAll="0">
      <items>
        <item x="0"/>
        <item x="1"/>
        <item x="2"/>
        <item x="3"/>
        <item x="4"/>
        <item x="5"/>
        <item x="6"/>
        <item t="default"/>
      </items>
    </pivotField>
    <pivotField name="Payment Gateway Charges" compact="0" outline="0" multipleItemSelectionAllowed="1" showAll="0">
      <items>
        <item x="0"/>
        <item x="1"/>
        <item x="2"/>
        <item t="default"/>
      </items>
    </pivotField>
    <pivotField name="Long Distance Charges %" compact="0" outline="0" multipleItemSelectionAllowed="1" showAll="0">
      <items>
        <item x="0"/>
        <item x="1"/>
        <item x="2"/>
        <item x="3"/>
        <item x="4"/>
        <item x="5"/>
        <item x="6"/>
        <item x="7"/>
        <item x="8"/>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Contact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hone n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Benficia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t="default"/>
      </items>
    </pivotField>
    <pivotField name="Ban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IFSC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Account Type" compact="0" outline="0" multipleItemSelectionAllowed="1" showAll="0">
      <items>
        <item x="0"/>
        <item x="1"/>
        <item x="2"/>
        <item x="3"/>
        <item x="4"/>
        <item x="5"/>
        <item x="6"/>
        <item x="7"/>
        <item x="8"/>
        <item t="default"/>
      </items>
    </pivotField>
    <pivotField name="FSSAI" compact="0" outline="0" multipleItemSelectionAllowed="1" showAll="0">
      <items>
        <item x="0"/>
        <item x="1"/>
        <item x="2"/>
        <item t="default"/>
      </items>
    </pivotField>
    <pivotField name="GST" compact="0" outline="0" multipleItemSelectionAllowed="1" showAll="0">
      <items>
        <item x="0"/>
        <item x="1"/>
        <item x="2"/>
        <item x="3"/>
        <item x="4"/>
        <item x="5"/>
        <item t="default"/>
      </items>
    </pivotField>
    <pivotField name="PAN" compact="0" outline="0" multipleItemSelectionAllowed="1" showAll="0">
      <items>
        <item x="0"/>
        <item x="1"/>
        <item x="2"/>
        <item x="3"/>
        <item t="default"/>
      </items>
    </pivotField>
    <pivotField name="CHEQUE" compact="0" outline="0" multipleItemSelectionAllowed="1" showAll="0">
      <items>
        <item x="0"/>
        <item x="1"/>
        <item x="2"/>
        <item x="3"/>
        <item x="4"/>
        <item t="default"/>
      </items>
    </pivotField>
    <pivotField name="MENU" compact="0" outline="0" multipleItemSelectionAllowed="1" showAll="0">
      <items>
        <item x="0"/>
        <item x="1"/>
        <item x="2"/>
        <item x="3"/>
        <item x="4"/>
        <item t="default"/>
      </items>
    </pivotField>
    <pivotField name="LABOUR LINCENSE" compact="0" outline="0" multipleItemSelectionAllowed="1" showAll="0">
      <items>
        <item x="0"/>
        <item x="1"/>
        <item x="2"/>
        <item x="3"/>
        <item t="default"/>
      </items>
    </pivotField>
    <pivotField name="Drive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name="Map 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LOCALITY AREA" compact="0" outline="0" multipleItemSelectionAllowed="1" showAll="0">
      <items>
        <item x="0"/>
        <item x="1"/>
        <item x="2"/>
        <item x="3"/>
        <item x="4"/>
        <item x="5"/>
        <item x="6"/>
        <item x="7"/>
        <item x="8"/>
        <item x="9"/>
        <item x="10"/>
        <item x="11"/>
        <item x="12"/>
        <item x="13"/>
        <item x="14"/>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marks2" compact="0" outline="0" multipleItemSelectionAllowed="1" showAll="0">
      <items>
        <item x="0"/>
        <item x="1"/>
        <item x="2"/>
        <item x="3"/>
        <item x="4"/>
        <item x="5"/>
        <item x="6"/>
        <item x="7"/>
        <item t="default"/>
      </items>
    </pivotField>
    <pivotField name="Column 35" compact="0" outline="0" multipleItemSelectionAllowed="1" showAll="0">
      <items>
        <item x="0"/>
        <item t="default"/>
      </items>
    </pivotField>
    <pivotField name="Column 36" compact="0" outline="0" multipleItemSelectionAllowed="1" showAll="0">
      <items>
        <item x="0"/>
        <item t="default"/>
      </items>
    </pivotField>
    <pivotField name="Column 37" compact="0" outline="0" multipleItemSelectionAllowed="1" showAll="0">
      <items>
        <item x="0"/>
        <item t="default"/>
      </items>
    </pivotField>
    <pivotField name="Column 38" compact="0" outline="0" multipleItemSelectionAllowed="1" showAll="0">
      <items>
        <item x="0"/>
        <item t="default"/>
      </items>
    </pivotField>
    <pivotField name="Column 39" compact="0" outline="0" multipleItemSelectionAllowed="1" showAll="0">
      <items>
        <item x="0"/>
        <item t="default"/>
      </items>
    </pivotField>
    <pivotField name="Column 40" compact="0" outline="0" multipleItemSelectionAllowed="1" showAll="0">
      <items>
        <item x="0"/>
        <item t="default"/>
      </items>
    </pivotField>
    <pivotField name="Column 41" compact="0" outline="0" multipleItemSelectionAllowed="1" showAll="0">
      <items>
        <item x="0"/>
        <item t="default"/>
      </items>
    </pivotField>
    <pivotField name="Column 42" compact="0" outline="0" multipleItemSelectionAllowed="1" showAll="0">
      <items>
        <item x="0"/>
        <item t="default"/>
      </items>
    </pivotField>
    <pivotField name="Column 43" compact="0" outline="0" multipleItemSelectionAllowed="1" showAll="0">
      <items>
        <item x="0"/>
        <item t="default"/>
      </items>
    </pivotField>
  </pivotFields>
  <rowFields>
    <field x="9"/>
    <field x="7"/>
  </rowFields>
  <dataFields>
    <dataField name="COUNTA of Restaurant Name" fld="1" subtotal="count" baseField="0"/>
  </dataFields>
</pivotTableDefinition>
</file>

<file path=xl/pivotTables/pivotTable8.xml><?xml version="1.0" encoding="utf-8"?>
<pivotTableDefinition xmlns="http://schemas.openxmlformats.org/spreadsheetml/2006/main" name="total" cacheId="6" dataCaption="" compact="0" compactData="0">
  <location ref="A1:B38" firstHeaderRow="0" firstDataRow="1" firstDataCol="0"/>
  <pivotFields>
    <pivotField name="Date" axis="axisRow" dataField="1" compact="0" numFmtId="164" outline="0" multipleItemSelectionAllowed="1" showAll="0" sortType="ascending">
      <items>
        <item x="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field x="0"/>
  </rowFields>
  <dataFields>
    <dataField name="COUNTA of Date" fld="0" subtotal="count" baseField="0"/>
  </dataFields>
</pivotTableDefinition>
</file>

<file path=xl/pivotTables/pivotTable9.xml><?xml version="1.0" encoding="utf-8"?>
<pivotTableDefinition xmlns="http://schemas.openxmlformats.org/spreadsheetml/2006/main" name="Pivot Table 16" cacheId="7" dataCaption="" compact="0" compactData="0">
  <location ref="A1:A45" firstHeaderRow="0" firstDataRow="2" firstDataCol="0"/>
  <pivotFields>
    <pivotField name="Region" axis="axisRow" dataField="1" compact="0" outline="0" multipleItemSelectionAllowed="1" showAll="0" sortType="ascending">
      <items>
        <item x="29"/>
        <item x="5"/>
        <item x="21"/>
        <item x="13"/>
        <item x="28"/>
        <item x="20"/>
        <item x="22"/>
        <item x="23"/>
        <item x="26"/>
        <item x="25"/>
        <item x="10"/>
        <item x="9"/>
        <item x="16"/>
        <item x="14"/>
        <item x="2"/>
        <item x="4"/>
        <item x="8"/>
        <item x="0"/>
        <item x="1"/>
        <item x="11"/>
        <item x="17"/>
        <item x="12"/>
        <item x="24"/>
        <item x="6"/>
        <item x="27"/>
        <item x="18"/>
        <item x="15"/>
        <item x="3"/>
        <item x="19"/>
        <item x="7"/>
        <item t="default"/>
      </items>
    </pivotField>
    <pivotField name="Zone" axis="axisRow" compact="0" outline="0" multipleItemSelectionAllowed="1" showAll="0" sortType="ascending">
      <items>
        <item x="4"/>
        <item x="9"/>
        <item x="7"/>
        <item x="8"/>
        <item x="0"/>
        <item x="1"/>
        <item x="5"/>
        <item x="2"/>
        <item x="6"/>
        <item x="3"/>
        <item t="default"/>
      </items>
    </pivotField>
  </pivotFields>
  <rowFields>
    <field x="1"/>
    <field x="0"/>
  </rowFields>
  <dataFields>
    <dataField name="COUNTA of Region" fld="0" subtotal="count" baseField="0"/>
  </dataFields>
</pivotTableDefinition>
</file>

<file path=xl/pivotTables/pivotTable10.xml><?xml version="1.0" encoding="utf-8"?>
<pivotTableDefinition xmlns="http://schemas.openxmlformats.org/spreadsheetml/2006/main" name="Pivot Table 13" cacheId="4" dataCaption="" compact="0" compactData="0">
  <location ref="A1:AL17" firstHeaderRow="0" firstDataRow="1" firstDataCol="1"/>
  <pivotFields>
    <pivotField name="Date" axis="axisCol" dataField="1" compact="0" numFmtId="164" outline="0" multipleItemSelectionAllowed="1" showAll="0" sortType="ascending">
      <items>
        <item x="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Restaura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RM/KAM" axis="axisRow" compact="0" outline="0" multipleItemSelectionAllowed="1" showAll="0" sortType="ascending">
      <items>
        <item x="12"/>
        <item x="13"/>
        <item x="6"/>
        <item x="11"/>
        <item x="2"/>
        <item x="4"/>
        <item x="7"/>
        <item x="3"/>
        <item x="1"/>
        <item x="8"/>
        <item x="0"/>
        <item x="5"/>
        <item x="10"/>
        <item x="9"/>
        <item t="default"/>
      </items>
    </pivotField>
    <pivotField name="Type of Ownership" compact="0" outline="0" multipleItemSelectionAllowed="1" showAll="0">
      <items>
        <item x="0"/>
        <item x="1"/>
        <item x="2"/>
        <item x="3"/>
        <item x="4"/>
        <item x="5"/>
        <item x="6"/>
        <item x="7"/>
        <item x="8"/>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Signing Auth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Reg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Zone" compact="0" outline="0" multipleItemSelectionAllowed="1" showAll="0">
      <items>
        <item x="0"/>
        <item x="1"/>
        <item x="2"/>
        <item x="3"/>
        <item x="4"/>
        <item x="5"/>
        <item x="6"/>
        <item x="7"/>
        <item x="8"/>
        <item x="9"/>
        <item t="default"/>
      </items>
    </pivotField>
    <pivotField name="Service fe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rvice Fees Bucket" compact="0" numFmtId="10" outline="0" multipleItemSelectionAllowed="1" showAll="0">
      <items>
        <item x="0"/>
        <item x="1"/>
        <item x="2"/>
        <item x="3"/>
        <item x="4"/>
        <item x="5"/>
        <item x="6"/>
        <item t="default"/>
      </items>
    </pivotField>
    <pivotField name="Payment Gateway Charges" compact="0" outline="0" multipleItemSelectionAllowed="1" showAll="0">
      <items>
        <item x="0"/>
        <item x="1"/>
        <item x="2"/>
        <item t="default"/>
      </items>
    </pivotField>
    <pivotField name="Long Distance Charges %" compact="0" outline="0" multipleItemSelectionAllowed="1" showAll="0">
      <items>
        <item x="0"/>
        <item x="1"/>
        <item x="2"/>
        <item x="3"/>
        <item x="4"/>
        <item x="5"/>
        <item x="6"/>
        <item x="7"/>
        <item x="8"/>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Contact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hone n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Benficia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t="default"/>
      </items>
    </pivotField>
    <pivotField name="Ban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IFSC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Account Type" compact="0" outline="0" multipleItemSelectionAllowed="1" showAll="0">
      <items>
        <item x="0"/>
        <item x="1"/>
        <item x="2"/>
        <item x="3"/>
        <item x="4"/>
        <item x="5"/>
        <item x="6"/>
        <item x="7"/>
        <item x="8"/>
        <item t="default"/>
      </items>
    </pivotField>
    <pivotField name="FSSAI" compact="0" outline="0" multipleItemSelectionAllowed="1" showAll="0">
      <items>
        <item x="0"/>
        <item x="1"/>
        <item x="2"/>
        <item t="default"/>
      </items>
    </pivotField>
    <pivotField name="GST" compact="0" outline="0" multipleItemSelectionAllowed="1" showAll="0">
      <items>
        <item x="0"/>
        <item x="1"/>
        <item x="2"/>
        <item x="3"/>
        <item x="4"/>
        <item x="5"/>
        <item t="default"/>
      </items>
    </pivotField>
    <pivotField name="PAN" compact="0" outline="0" multipleItemSelectionAllowed="1" showAll="0">
      <items>
        <item x="0"/>
        <item x="1"/>
        <item x="2"/>
        <item x="3"/>
        <item t="default"/>
      </items>
    </pivotField>
    <pivotField name="CHEQUE" compact="0" outline="0" multipleItemSelectionAllowed="1" showAll="0">
      <items>
        <item x="0"/>
        <item x="1"/>
        <item x="2"/>
        <item x="3"/>
        <item x="4"/>
        <item t="default"/>
      </items>
    </pivotField>
    <pivotField name="MENU" compact="0" outline="0" multipleItemSelectionAllowed="1" showAll="0">
      <items>
        <item x="0"/>
        <item x="1"/>
        <item x="2"/>
        <item x="3"/>
        <item x="4"/>
        <item t="default"/>
      </items>
    </pivotField>
    <pivotField name="LABOUR LINCENSE" compact="0" outline="0" multipleItemSelectionAllowed="1" showAll="0">
      <items>
        <item x="0"/>
        <item x="1"/>
        <item x="2"/>
        <item x="3"/>
        <item t="default"/>
      </items>
    </pivotField>
    <pivotField name="Drive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name="Map 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LOCALITY AREA" compact="0" outline="0" multipleItemSelectionAllowed="1" showAll="0">
      <items>
        <item x="0"/>
        <item x="1"/>
        <item x="2"/>
        <item x="3"/>
        <item x="4"/>
        <item x="5"/>
        <item x="6"/>
        <item x="7"/>
        <item x="8"/>
        <item x="9"/>
        <item x="10"/>
        <item x="11"/>
        <item x="12"/>
        <item x="13"/>
        <item x="14"/>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marks2" compact="0" outline="0" multipleItemSelectionAllowed="1" showAll="0">
      <items>
        <item x="0"/>
        <item x="1"/>
        <item x="2"/>
        <item x="3"/>
        <item x="4"/>
        <item x="5"/>
        <item x="6"/>
        <item x="7"/>
        <item t="default"/>
      </items>
    </pivotField>
    <pivotField name="Column 35" compact="0" outline="0" multipleItemSelectionAllowed="1" showAll="0">
      <items>
        <item x="0"/>
        <item t="default"/>
      </items>
    </pivotField>
    <pivotField name="Column 36" compact="0" outline="0" multipleItemSelectionAllowed="1" showAll="0">
      <items>
        <item x="0"/>
        <item t="default"/>
      </items>
    </pivotField>
    <pivotField name="Column 37" compact="0" outline="0" multipleItemSelectionAllowed="1" showAll="0">
      <items>
        <item x="0"/>
        <item t="default"/>
      </items>
    </pivotField>
    <pivotField name="Column 38" compact="0" outline="0" multipleItemSelectionAllowed="1" showAll="0">
      <items>
        <item x="0"/>
        <item t="default"/>
      </items>
    </pivotField>
    <pivotField name="Column 39" compact="0" outline="0" multipleItemSelectionAllowed="1" showAll="0">
      <items>
        <item x="0"/>
        <item t="default"/>
      </items>
    </pivotField>
    <pivotField name="Column 40" compact="0" outline="0" multipleItemSelectionAllowed="1" showAll="0">
      <items>
        <item x="0"/>
        <item t="default"/>
      </items>
    </pivotField>
    <pivotField name="Column 41" compact="0" outline="0" multipleItemSelectionAllowed="1" showAll="0">
      <items>
        <item x="0"/>
        <item t="default"/>
      </items>
    </pivotField>
    <pivotField name="Column 42" compact="0" outline="0" multipleItemSelectionAllowed="1" showAll="0">
      <items>
        <item x="0"/>
        <item t="default"/>
      </items>
    </pivotField>
    <pivotField name="Column 43" compact="0" outline="0" multipleItemSelectionAllowed="1" showAll="0">
      <items>
        <item x="0"/>
        <item t="default"/>
      </items>
    </pivotField>
  </pivotFields>
  <rowFields>
    <field x="2"/>
  </rowFields>
  <colFields>
    <field x="0"/>
  </colFields>
  <dataFields>
    <dataField name="COUNTA of Date" fld="0" subtotal="count" baseField="0"/>
  </dataFields>
</pivotTableDefinition>
</file>

<file path=xl/pivotTables/pivotTable11.xml><?xml version="1.0" encoding="utf-8"?>
<pivotTableDefinition xmlns="http://schemas.openxmlformats.org/spreadsheetml/2006/main" name="Pivot Table 11" cacheId="8" dataCaption="" compact="0" compactData="0">
  <location ref="A1:C47" firstHeaderRow="0" firstDataRow="2" firstDataCol="0"/>
  <pivotFields>
    <pivotField name="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staura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RM/KAM" compact="0" outline="0" multipleItemSelectionAllowed="1" showAll="0">
      <items>
        <item x="0"/>
        <item x="1"/>
        <item x="2"/>
        <item x="3"/>
        <item x="4"/>
        <item x="5"/>
        <item x="6"/>
        <item x="7"/>
        <item x="8"/>
        <item x="9"/>
        <item x="10"/>
        <item x="11"/>
        <item x="12"/>
        <item x="13"/>
        <item t="default"/>
      </items>
    </pivotField>
    <pivotField name="Type of Ownership" compact="0" outline="0" multipleItemSelectionAllowed="1" showAll="0">
      <items>
        <item x="0"/>
        <item x="1"/>
        <item x="2"/>
        <item x="3"/>
        <item x="4"/>
        <item x="5"/>
        <item x="6"/>
        <item x="7"/>
        <item x="8"/>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Signing Auth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Region" axis="axisRow" compact="0" outline="0" multipleItemSelectionAllowed="1" showAll="0" sortType="ascending">
      <items>
        <item x="29"/>
        <item x="5"/>
        <item x="21"/>
        <item x="13"/>
        <item x="28"/>
        <item x="20"/>
        <item x="22"/>
        <item x="23"/>
        <item x="26"/>
        <item x="25"/>
        <item x="10"/>
        <item x="9"/>
        <item x="16"/>
        <item x="14"/>
        <item x="2"/>
        <item x="4"/>
        <item x="8"/>
        <item x="0"/>
        <item x="1"/>
        <item x="11"/>
        <item x="17"/>
        <item x="12"/>
        <item x="24"/>
        <item x="6"/>
        <item x="27"/>
        <item x="18"/>
        <item x="15"/>
        <item x="3"/>
        <item x="19"/>
        <item x="7"/>
        <item t="default"/>
      </items>
    </pivotField>
    <pivotField name="Zone" axis="axisRow" compact="0" outline="0" multipleItemSelectionAllowed="1" showAll="0" sortType="ascending">
      <items>
        <item x="4"/>
        <item x="9"/>
        <item x="7"/>
        <item x="8"/>
        <item x="0"/>
        <item x="1"/>
        <item x="5"/>
        <item x="2"/>
        <item x="6"/>
        <item x="3"/>
        <item t="default"/>
      </items>
    </pivotField>
  </pivotFields>
  <rowFields>
    <field x="9"/>
    <field x="8"/>
  </rowFields>
  <dataFields>
    <dataField name="COUNTA of Date" fld="0" subtotal="count" baseField="0"/>
  </dataFields>
</pivotTableDefinition>
</file>

<file path=xl/pivotTables/pivotTable12.xml><?xml version="1.0" encoding="utf-8"?>
<pivotTableDefinition xmlns="http://schemas.openxmlformats.org/spreadsheetml/2006/main" name="Visits" cacheId="9" dataCaption="" compact="0" compactData="0">
  <location ref="A1:AF19" firstHeaderRow="0" firstDataRow="1" firstDataCol="1"/>
  <pivotFields>
    <pivotField name="Date" axis="axisCol" compact="0" numFmtId="164" outline="0" multipleItemSelectionAllowed="1" showAll="0" sortType="ascending">
      <items>
        <item x="29"/>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estaura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t="default"/>
      </items>
    </pivotField>
    <pivotField name="locatio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poc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t="default"/>
      </items>
    </pivotField>
    <pivotField name="contact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t="default"/>
      </items>
    </pivotField>
    <pivotField name="person went" axis="axisRow" dataField="1" compact="0" outline="0" multipleItemSelectionAllowed="1" showAll="0" sortType="ascending">
      <items>
        <item x="15"/>
        <item x="8"/>
        <item x="12"/>
        <item x="13"/>
        <item x="2"/>
        <item x="5"/>
        <item x="9"/>
        <item x="3"/>
        <item x="4"/>
        <item x="11"/>
        <item x="6"/>
        <item x="1"/>
        <item x="10"/>
        <item x="7"/>
        <item x="14"/>
        <item x="0"/>
        <item t="default"/>
      </items>
    </pivotField>
    <pivotField name="comm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t="default"/>
      </items>
    </pivotField>
    <pivotField name="Follow u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ollow up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field x="5"/>
  </rowFields>
  <colFields>
    <field x="0"/>
  </colFields>
  <dataFields>
    <dataField name="COUNTA of person went" fld="5" subtotal="count" baseField="0"/>
  </dataFields>
</pivotTableDefinition>
</file>

<file path=xl/pivotTables/pivotTable13.xml><?xml version="1.0" encoding="utf-8"?>
<pivotTableDefinition xmlns="http://schemas.openxmlformats.org/spreadsheetml/2006/main" name="Agreement Collected" cacheId="1" dataCaption="" compact="0" compactData="0">
  <location ref="A2:AL17" firstHeaderRow="0" firstDataRow="1" firstDataCol="1"/>
  <pivotFields>
    <pivotField name="Date" axis="axisCol" dataField="1" compact="0" numFmtId="164" outline="0" multipleItemSelectionAllowed="1" showAll="0" sortType="ascending">
      <items>
        <item x="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Restauran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t="default"/>
      </items>
    </pivotField>
    <pivotField name="RM/KAM" axis="axisRow" compact="0" outline="0" multipleItemSelectionAllowed="1" showAll="0" sortType="ascending">
      <items>
        <item x="12"/>
        <item x="6"/>
        <item x="11"/>
        <item x="2"/>
        <item x="4"/>
        <item x="7"/>
        <item x="3"/>
        <item x="1"/>
        <item x="8"/>
        <item x="0"/>
        <item x="5"/>
        <item x="10"/>
        <item x="9"/>
        <item t="default"/>
      </items>
    </pivotField>
    <pivotField name="Type of Ownership" compact="0" outline="0" multipleItemSelectionAllowed="1" showAll="0">
      <items>
        <item x="0"/>
        <item x="1"/>
        <item x="2"/>
        <item x="3"/>
        <item x="4"/>
        <item x="5"/>
        <item x="6"/>
        <item x="7"/>
        <item x="8"/>
        <item t="default"/>
      </items>
    </pivotField>
    <pivotField name="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t="default"/>
      </items>
    </pivotField>
    <pivotField name="Signing Author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Pin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Loca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name="Reg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Zone" compact="0" outline="0" multipleItemSelectionAllowed="1" showAll="0">
      <items>
        <item x="0"/>
        <item x="1"/>
        <item x="2"/>
        <item x="3"/>
        <item x="4"/>
        <item x="5"/>
        <item x="6"/>
        <item x="7"/>
        <item x="8"/>
        <item x="9"/>
        <item t="default"/>
      </items>
    </pivotField>
    <pivotField name="Service fe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rvice Fees Bucket" compact="0" numFmtId="10" outline="0" multipleItemSelectionAllowed="1" showAll="0">
      <items>
        <item x="0"/>
        <item x="1"/>
        <item x="2"/>
        <item x="3"/>
        <item x="4"/>
        <item x="5"/>
        <item x="6"/>
        <item t="default"/>
      </items>
    </pivotField>
    <pivotField name="Payment Gateway Charges" compact="0" outline="0" multipleItemSelectionAllowed="1" showAll="0">
      <items>
        <item x="0"/>
        <item x="1"/>
        <item x="2"/>
        <item t="default"/>
      </items>
    </pivotField>
    <pivotField name="Long Distance Charges %" compact="0" outline="0" multipleItemSelectionAllowed="1" showAll="0">
      <items>
        <item x="0"/>
        <item x="1"/>
        <item x="2"/>
        <item x="3"/>
        <item x="4"/>
        <item x="5"/>
        <item x="6"/>
        <item x="7"/>
        <item x="8"/>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t="default"/>
      </items>
    </pivotField>
    <pivotField name="Legal Entity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t="default"/>
      </items>
    </pivotField>
    <pivotField name="Contact Pers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Phone no."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t="default"/>
      </items>
    </pivotField>
    <pivotField name="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Benficia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t="default"/>
      </items>
    </pivotField>
    <pivotField name="Bank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t="default"/>
      </items>
    </pivotField>
    <pivotField name="IFSC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Account Type" compact="0" outline="0" multipleItemSelectionAllowed="1" showAll="0">
      <items>
        <item x="0"/>
        <item x="1"/>
        <item x="2"/>
        <item x="3"/>
        <item x="4"/>
        <item x="5"/>
        <item x="6"/>
        <item x="7"/>
        <item x="8"/>
        <item t="default"/>
      </items>
    </pivotField>
    <pivotField name="FSSAI" compact="0" outline="0" multipleItemSelectionAllowed="1" showAll="0">
      <items>
        <item x="0"/>
        <item x="1"/>
        <item x="2"/>
        <item t="default"/>
      </items>
    </pivotField>
    <pivotField name="GST" compact="0" outline="0" multipleItemSelectionAllowed="1" showAll="0">
      <items>
        <item x="0"/>
        <item x="1"/>
        <item x="2"/>
        <item x="3"/>
        <item x="4"/>
        <item x="5"/>
        <item t="default"/>
      </items>
    </pivotField>
    <pivotField name="PAN" compact="0" outline="0" multipleItemSelectionAllowed="1" showAll="0">
      <items>
        <item x="0"/>
        <item x="1"/>
        <item x="2"/>
        <item x="3"/>
        <item t="default"/>
      </items>
    </pivotField>
    <pivotField name="CHEQUE" compact="0" outline="0" multipleItemSelectionAllowed="1" showAll="0">
      <items>
        <item x="0"/>
        <item x="1"/>
        <item x="2"/>
        <item x="3"/>
        <item x="4"/>
        <item t="default"/>
      </items>
    </pivotField>
    <pivotField name="MENU" compact="0" outline="0" multipleItemSelectionAllowed="1" showAll="0">
      <items>
        <item x="0"/>
        <item x="1"/>
        <item x="2"/>
        <item x="3"/>
        <item x="4"/>
        <item t="default"/>
      </items>
    </pivotField>
    <pivotField name="LABOUR LINCENSE" compact="0" outline="0" multipleItemSelectionAllowed="1" showAll="0">
      <items>
        <item x="0"/>
        <item x="1"/>
        <item x="2"/>
        <item x="3"/>
        <item t="default"/>
      </items>
    </pivotField>
    <pivotField name="Drive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name="Map Co-ordina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LOCALITY AREA" compact="0" outline="0" multipleItemSelectionAllowed="1" showAll="0">
      <items>
        <item x="0"/>
        <item x="1"/>
        <item x="2"/>
        <item x="3"/>
        <item x="4"/>
        <item x="5"/>
        <item x="6"/>
        <item x="7"/>
        <item x="8"/>
        <item x="9"/>
        <item x="10"/>
        <item x="11"/>
        <item x="12"/>
        <item x="13"/>
        <item x="14"/>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remarks2" compact="0" outline="0" multipleItemSelectionAllowed="1" showAll="0">
      <items>
        <item x="0"/>
        <item x="1"/>
        <item x="2"/>
        <item x="3"/>
        <item x="4"/>
        <item x="5"/>
        <item x="6"/>
        <item x="7"/>
        <item t="default"/>
      </items>
    </pivotField>
    <pivotField name="Column 35" compact="0" outline="0" multipleItemSelectionAllowed="1" showAll="0">
      <items>
        <item x="0"/>
        <item t="default"/>
      </items>
    </pivotField>
    <pivotField name="Column 36" compact="0" outline="0" multipleItemSelectionAllowed="1" showAll="0">
      <items>
        <item x="0"/>
        <item t="default"/>
      </items>
    </pivotField>
    <pivotField name="Column 37" compact="0" outline="0" multipleItemSelectionAllowed="1" showAll="0">
      <items>
        <item x="0"/>
        <item t="default"/>
      </items>
    </pivotField>
    <pivotField name="Column 38" compact="0" outline="0" multipleItemSelectionAllowed="1" showAll="0">
      <items>
        <item x="0"/>
        <item t="default"/>
      </items>
    </pivotField>
    <pivotField name="Column 39" compact="0" outline="0" multipleItemSelectionAllowed="1" showAll="0">
      <items>
        <item x="0"/>
        <item t="default"/>
      </items>
    </pivotField>
    <pivotField name="Column 40" compact="0" outline="0" multipleItemSelectionAllowed="1" showAll="0">
      <items>
        <item x="0"/>
        <item t="default"/>
      </items>
    </pivotField>
    <pivotField name="Column 41" compact="0" outline="0" multipleItemSelectionAllowed="1" showAll="0">
      <items>
        <item x="0"/>
        <item t="default"/>
      </items>
    </pivotField>
    <pivotField name="Column 42" compact="0" outline="0" multipleItemSelectionAllowed="1" showAll="0">
      <items>
        <item x="0"/>
        <item t="default"/>
      </items>
    </pivotField>
    <pivotField name="Column 43" compact="0" outline="0" multipleItemSelectionAllowed="1" showAll="0">
      <items>
        <item x="0"/>
        <item t="default"/>
      </items>
    </pivotField>
  </pivotFields>
  <rowFields>
    <field x="2"/>
  </rowFields>
  <colFields>
    <field x="0"/>
  </colFields>
  <dataFields>
    <dataField name="COUNTA of Date" fld="0" subtotal="count" baseField="0"/>
  </dataFields>
</pivotTableDefinition>
</file>

<file path=xl/tables/table1.xml><?xml version="1.0" encoding="utf-8"?>
<table xmlns="http://schemas.openxmlformats.org/spreadsheetml/2006/main" totalsRowCount="1" ref="A1:AR1005" displayName="Table1" name="Table1" id="1">
  <tableColumns count="44">
    <tableColumn name="Date" id="1"/>
    <tableColumn name="Restaurant Name" id="2"/>
    <tableColumn totalsRowLabel=" " name="RM/KAM" id="3"/>
    <tableColumn name="Type of Ownership" id="4"/>
    <tableColumn name="Address" id="5"/>
    <tableColumn name="Signing Authority" id="6"/>
    <tableColumn name="Pincode" id="7"/>
    <tableColumn name="Locality" id="8"/>
    <tableColumn name="Region" id="9"/>
    <tableColumn name="Zone" id="10"/>
    <tableColumn name="Service fees" id="11"/>
    <tableColumn name="Service Fees Bucket" id="12"/>
    <tableColumn name="Payment Gateway Charges" id="13"/>
    <tableColumn name="Long Distance Charges %" id="14"/>
    <tableColumn name="Legal Entity Name" id="15"/>
    <tableColumn name="Legal Entity Address" id="16"/>
    <tableColumn name="Contact Person" id="17"/>
    <tableColumn name="Phone no." id="18"/>
    <tableColumn name="Email ID" id="19"/>
    <tableColumn name="Benficiary name" id="20"/>
    <tableColumn name="Bank Name" id="21"/>
    <tableColumn name="Account Number" id="22"/>
    <tableColumn name="IFSC Code" id="23"/>
    <tableColumn name="Account Type" id="24"/>
    <tableColumn name="FSSAI" id="25"/>
    <tableColumn name="GST" id="26"/>
    <tableColumn name="PAN" id="27"/>
    <tableColumn name="CHEQUE" id="28"/>
    <tableColumn name="MENU" id="29"/>
    <tableColumn name="LABOUR LINCENSE" id="30"/>
    <tableColumn name="Drive Link" id="31"/>
    <tableColumn name="Map Co-ordinates" id="32"/>
    <tableColumn name="LOCALITY AREA" id="33"/>
    <tableColumn name="Remarks" id="34"/>
    <tableColumn name="Remarks 2" id="35"/>
    <tableColumn name="Column 35" id="36"/>
    <tableColumn name="Column 36" id="37"/>
    <tableColumn name="Column 37" id="38"/>
    <tableColumn name="Column 38" id="39"/>
    <tableColumn name="Column 39" id="40"/>
    <tableColumn name="Column 40" id="41"/>
    <tableColumn name="Column 41" id="42"/>
    <tableColumn name="Column 42" id="43"/>
    <tableColumn name="Column 43" id="44"/>
  </tableColumns>
  <tableStyleInfo name="Sheet1-style" showColumnStripes="0" showFirstColumn="1" showLastColumn="1" showRowStripes="1"/>
</table>
</file>

<file path=xl/tables/table2.xml><?xml version="1.0" encoding="utf-8"?>
<table xmlns="http://schemas.openxmlformats.org/spreadsheetml/2006/main" ref="A1:Z3020" displayName="Table4" name="Table4" id="2">
  <tableColumns count="26">
    <tableColumn name="Date" id="1"/>
    <tableColumn name="Restaurant name" id="2"/>
    <tableColumn name="location " id="3"/>
    <tableColumn name="poc name" id="4"/>
    <tableColumn name="contact no." id="5"/>
    <tableColumn name="person went" id="6"/>
    <tableColumn name="comment" id="7"/>
    <tableColumn name="Follow up date" id="8"/>
    <tableColumn name="Follow up time" id="9"/>
    <tableColumn name="Google links" id="10"/>
    <tableColumn name="Column 11" id="11"/>
    <tableColumn name="Column 12" id="12"/>
    <tableColumn name="Column 13" id="13"/>
    <tableColumn name="Column 14"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s>
  <tableStyleInfo name="whatsapp-style" showColumnStripes="0" showFirstColumn="1" showLastColumn="1" showRowStripes="1"/>
</table>
</file>

<file path=xl/tables/table3.xml><?xml version="1.0" encoding="utf-8"?>
<table xmlns="http://schemas.openxmlformats.org/spreadsheetml/2006/main" totalsRowCount="1" ref="G1:K15" displayName="Table2" name="Table2" id="3">
  <tableColumns count="5">
    <tableColumn name="KAM" id="1"/>
    <tableColumn name="RM/ KAM Name" id="2"/>
    <tableColumn totalsRowFunction="custom" name="Onboarding done on 23rd" id="3"/>
    <tableColumn totalsRowFunction="custom" name="Contract received" id="4"/>
    <tableColumn totalsRowFunction="custom" name="Pending Contracts" id="5"/>
  </tableColumns>
  <tableStyleInfo name="Sheet10-style" showColumnStripes="0" showFirstColumn="1" showLastColumn="1" showRowStripes="1"/>
</table>
</file>

<file path=xl/tables/table4.xml><?xml version="1.0" encoding="utf-8"?>
<table xmlns="http://schemas.openxmlformats.org/spreadsheetml/2006/main" ref="A1:J20" displayName="Table_1" name="Table_1" id="4">
  <tableColumns count="10">
    <tableColumn name="Date" id="1"/>
    <tableColumn name="Restaurant Name" id="2"/>
    <tableColumn name="RM/KAM" id="3"/>
    <tableColumn name="Type of Ownership" id="4"/>
    <tableColumn name="Address" id="5"/>
    <tableColumn name="Signing Authority" id="6"/>
    <tableColumn name="Pincode" id="7"/>
    <tableColumn name="Locality" id="8"/>
    <tableColumn name="Region" id="9"/>
    <tableColumn name="Zone" id="10"/>
  </tableColumns>
  <tableStyleInfo name="Detail12-Zone 4 Hi-tech City-Hi-style" showColumnStripes="0" showFirstColumn="1" showLastColumn="1" showRowStripes="1"/>
</table>
</file>

<file path=xl/tables/table5.xml><?xml version="1.0" encoding="utf-8"?>
<table xmlns="http://schemas.openxmlformats.org/spreadsheetml/2006/main" ref="A1:AP4" displayName="Table_2" name="Table_2" id="5">
  <tableColumns count="42">
    <tableColumn name="Date" id="1"/>
    <tableColumn name="Name of Restaurant " id="2"/>
    <tableColumn name="RM/ KAM" id="3"/>
    <tableColumn name="Type of enity " id="4"/>
    <tableColumn name="Address" id="5"/>
    <tableColumn name="Authorized signatory" id="6"/>
    <tableColumn name="locality" id="7"/>
    <tableColumn name="Zone" id="8"/>
    <tableColumn name="Service Fee in %" id="9"/>
    <tableColumn name="Service Fees Bucket" id="10"/>
    <tableColumn name="Payment Gateway Charges" id="11"/>
    <tableColumn name="Long Distance Charges" id="12"/>
    <tableColumn name="legal entity name" id="13"/>
    <tableColumn name="legal entity address" id="14"/>
    <tableColumn name="contact person" id="15"/>
    <tableColumn name="phone number" id="16"/>
    <tableColumn name="Email" id="17"/>
    <tableColumn name="Benficiary name " id="18"/>
    <tableColumn name="Bank name " id="19"/>
    <tableColumn name="Account number" id="20"/>
    <tableColumn name="IFSC code " id="21"/>
    <tableColumn name="Account type" id="22"/>
    <tableColumn name="FSSAI" id="23"/>
    <tableColumn name="GST" id="24"/>
    <tableColumn name="PAN" id="25"/>
    <tableColumn name="CHEQUE" id="26"/>
    <tableColumn name="MENU" id="27"/>
    <tableColumn name="LABOUR LICENCE" id="28"/>
    <tableColumn name="Drive Link" id="29"/>
    <tableColumn name="Map Co-ordinates" id="30"/>
    <tableColumn name="Column 3" id="31"/>
    <tableColumn name="Column 4" id="32"/>
    <tableColumn name="Column 5" id="33"/>
    <tableColumn name="Column 6" id="34"/>
    <tableColumn name="Column 7" id="35"/>
    <tableColumn name="Column 8" id="36"/>
    <tableColumn name="Column 9" id="37"/>
    <tableColumn name="Column 10" id="38"/>
    <tableColumn name="Column 11" id="39"/>
    <tableColumn name="Column 12" id="40"/>
    <tableColumn name="Column 13" id="41"/>
    <tableColumn name="Column 14" id="42"/>
  </tableColumns>
  <tableStyleInfo name="Detail9-1002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drive/folders/1Xv6LjNqBmzeoppDB0jf4_Eca-MR_jGWC" TargetMode="External"/><Relationship Id="rId194" Type="http://schemas.openxmlformats.org/officeDocument/2006/relationships/hyperlink" Target="https://maps.app.goo.gl/BhG9Vwiybze9Vs3r9" TargetMode="External"/><Relationship Id="rId193" Type="http://schemas.openxmlformats.org/officeDocument/2006/relationships/hyperlink" Target="https://drive.google.com/drive/folders/18OpVC0Xa7xH_SZKbGTcY_bkrUXSTbYxq?usp=sharing" TargetMode="External"/><Relationship Id="rId192" Type="http://schemas.openxmlformats.org/officeDocument/2006/relationships/hyperlink" Target="https://maps.app.goo.gl/kRn1Hr8ez1tcJMgt6" TargetMode="External"/><Relationship Id="rId191" Type="http://schemas.openxmlformats.org/officeDocument/2006/relationships/hyperlink" Target="https://drive.google.com/drive/folders/18Vkamn_9aSiz64mJ4i4uo-7IX7FM4doE?usp=sharing" TargetMode="External"/><Relationship Id="rId187" Type="http://schemas.openxmlformats.org/officeDocument/2006/relationships/hyperlink" Target="http://h.no/" TargetMode="External"/><Relationship Id="rId186" Type="http://schemas.openxmlformats.org/officeDocument/2006/relationships/hyperlink" Target="https://maps.app.goo.gl/fDDfnttedH29Mdq78" TargetMode="External"/><Relationship Id="rId185" Type="http://schemas.openxmlformats.org/officeDocument/2006/relationships/hyperlink" Target="https://drive.google.com/drive/folders/1ypSgX-mZkkb5FwR1x59egKUf6wpnRTu_?usp=drive_link" TargetMode="External"/><Relationship Id="rId184" Type="http://schemas.openxmlformats.org/officeDocument/2006/relationships/hyperlink" Target="https://drive.google.com/drive/folders/1ltWiHDaVWZ5EReOj8YuPp7qCJEvtdxgr" TargetMode="External"/><Relationship Id="rId189" Type="http://schemas.openxmlformats.org/officeDocument/2006/relationships/hyperlink" Target="https://maps.app.goo.gl/n9V7Mfgi4dWv3eCU8" TargetMode="External"/><Relationship Id="rId188" Type="http://schemas.openxmlformats.org/officeDocument/2006/relationships/hyperlink" Target="https://drive.google.com/drive/folders/1pGWsuxPUIzLv7KQ7Yijf30dBf97gIK3N?usp=sharing" TargetMode="External"/><Relationship Id="rId183" Type="http://schemas.openxmlformats.org/officeDocument/2006/relationships/hyperlink" Target="https://drive.google.com/drive/folders/188nldy4XpU1zhZAGouXDMVLnD3YlSe6e?usp=drive_link" TargetMode="External"/><Relationship Id="rId182" Type="http://schemas.openxmlformats.org/officeDocument/2006/relationships/hyperlink" Target="http://h.no:2/17" TargetMode="External"/><Relationship Id="rId181" Type="http://schemas.openxmlformats.org/officeDocument/2006/relationships/hyperlink" Target="https://drive.google.com/drive/folders/1DTAi45bEtiO_tl1QsFPsc9Pqc9bGx17X" TargetMode="External"/><Relationship Id="rId180" Type="http://schemas.openxmlformats.org/officeDocument/2006/relationships/hyperlink" Target="https://drive.google.com/drive/folders/19aGVt24O-BsWXrVVsZEgQU1WzvieiPwy" TargetMode="External"/><Relationship Id="rId176" Type="http://schemas.openxmlformats.org/officeDocument/2006/relationships/hyperlink" Target="http://d.no/" TargetMode="External"/><Relationship Id="rId297" Type="http://schemas.openxmlformats.org/officeDocument/2006/relationships/hyperlink" Target="https://maps.app.goo.gl/oc8kknHPNdFjxcvf9" TargetMode="External"/><Relationship Id="rId175" Type="http://schemas.openxmlformats.org/officeDocument/2006/relationships/hyperlink" Target="http://d.no/" TargetMode="External"/><Relationship Id="rId296" Type="http://schemas.openxmlformats.org/officeDocument/2006/relationships/hyperlink" Target="https://drive.google.com/drive/folders/1jnWt0P8y7gN_LvAxRNe2mJMdYVLi8mHM?usp=sharing" TargetMode="External"/><Relationship Id="rId174" Type="http://schemas.openxmlformats.org/officeDocument/2006/relationships/hyperlink" Target="https://maps.app.goo.gl/ueyVHL37xiGrn47f8" TargetMode="External"/><Relationship Id="rId295" Type="http://schemas.openxmlformats.org/officeDocument/2006/relationships/hyperlink" Target="https://drive.google.com/drive/folders/1g1blutVC6IM_k2KynZjyUnvO3LXTEpB6?usp=sharing" TargetMode="External"/><Relationship Id="rId173" Type="http://schemas.openxmlformats.org/officeDocument/2006/relationships/hyperlink" Target="https://drive.google.com/drive/folders/1QWcGQobuHCgERsb_xAT6hKljOLYnd_-6?usp=sharing" TargetMode="External"/><Relationship Id="rId294" Type="http://schemas.openxmlformats.org/officeDocument/2006/relationships/hyperlink" Target="https://drive.google.com/drive/folders/1jiDmiF4YUcXOyUTOvY3NlMJnOdRXZ6g_?usp=sharing" TargetMode="External"/><Relationship Id="rId179" Type="http://schemas.openxmlformats.org/officeDocument/2006/relationships/hyperlink" Target="https://drive.google.com/drive/folders/1Zin3G8LACrq7KQRRTaP3Q2EBWYsJhoev" TargetMode="External"/><Relationship Id="rId178" Type="http://schemas.openxmlformats.org/officeDocument/2006/relationships/hyperlink" Target="https://maps.app.goo.gl/KJsx42ujFDZc5rk9A" TargetMode="External"/><Relationship Id="rId299" Type="http://schemas.openxmlformats.org/officeDocument/2006/relationships/hyperlink" Target="https://maps.app.goo.gl/UXJjc8j8mKbNVPsd6" TargetMode="External"/><Relationship Id="rId177" Type="http://schemas.openxmlformats.org/officeDocument/2006/relationships/hyperlink" Target="https://drive.google.com/drive/folders/1xpEASj4PU9vB8lYpnBAmjJyuTcErJNrI?usp=sharing" TargetMode="External"/><Relationship Id="rId298" Type="http://schemas.openxmlformats.org/officeDocument/2006/relationships/hyperlink" Target="https://drive.google.com/drive/folders/1aZalfjfDT9UwDZWlkUB5C0znHXVLUPIi?usp=sharing" TargetMode="External"/><Relationship Id="rId198" Type="http://schemas.openxmlformats.org/officeDocument/2006/relationships/hyperlink" Target="https://drive.google.com/drive/folders/1cN3H5awbvM06Beql9Ofjvau2e_c5A33s?usp=sharing" TargetMode="External"/><Relationship Id="rId197" Type="http://schemas.openxmlformats.org/officeDocument/2006/relationships/hyperlink" Target="https://drive.google.com/drive/folders/1weI-DZjKo4mNFEQqfcqluiEMbhxtdD1t" TargetMode="External"/><Relationship Id="rId196" Type="http://schemas.openxmlformats.org/officeDocument/2006/relationships/hyperlink" Target="http://h.no/" TargetMode="External"/><Relationship Id="rId195" Type="http://schemas.openxmlformats.org/officeDocument/2006/relationships/hyperlink" Target="https://drive.google.com/drive/folders/1F5chHSsOpX-3cp_PH91MHBtPBoJQDuth" TargetMode="External"/><Relationship Id="rId199" Type="http://schemas.openxmlformats.org/officeDocument/2006/relationships/hyperlink" Target="https://maps.app.goo.gl/vQDFxtdF8vgmfhDWA" TargetMode="External"/><Relationship Id="rId150" Type="http://schemas.openxmlformats.org/officeDocument/2006/relationships/hyperlink" Target="https://drive.google.com/drive/folders/1aHf2ExbPPUc59fLkesjNJN2JBnS0Uy1Q?usp=sharing" TargetMode="External"/><Relationship Id="rId271" Type="http://schemas.openxmlformats.org/officeDocument/2006/relationships/hyperlink" Target="http://h.no/" TargetMode="External"/><Relationship Id="rId392" Type="http://schemas.openxmlformats.org/officeDocument/2006/relationships/hyperlink" Target="https://maps.app.goo.gl/qTsZsp47bD4YyRvm7" TargetMode="External"/><Relationship Id="rId270" Type="http://schemas.openxmlformats.org/officeDocument/2006/relationships/hyperlink" Target="http://h.no/" TargetMode="External"/><Relationship Id="rId391" Type="http://schemas.openxmlformats.org/officeDocument/2006/relationships/hyperlink" Target="https://drive.google.com/drive/folders/1dXs4RdONe1IEpDzcUXbfJBEBoHdmuYk3?usp=sharing" TargetMode="External"/><Relationship Id="rId390" Type="http://schemas.openxmlformats.org/officeDocument/2006/relationships/hyperlink" Target="https://maps.app.goo.gl/qTsZsp47bD4YyRvm7" TargetMode="External"/><Relationship Id="rId1" Type="http://schemas.openxmlformats.org/officeDocument/2006/relationships/hyperlink" Target="https://drive.google.com/drive/folders/1LEmpLQPhgga4iNmw8DK8oKC7Z9adVo_Z" TargetMode="External"/><Relationship Id="rId2" Type="http://schemas.openxmlformats.org/officeDocument/2006/relationships/hyperlink" Target="https://drive.google.com/drive/folders/1hu60tEHn9OQubLStFBH50kklrc1mSCAQ" TargetMode="External"/><Relationship Id="rId3" Type="http://schemas.openxmlformats.org/officeDocument/2006/relationships/hyperlink" Target="https://drive.google.com/drive/folders/10dJbKX5ksSDh27Q6F7Vv--1oAZHBxtZz?usp=drive_link" TargetMode="External"/><Relationship Id="rId149" Type="http://schemas.openxmlformats.org/officeDocument/2006/relationships/hyperlink" Target="http://h.no/" TargetMode="External"/><Relationship Id="rId4" Type="http://schemas.openxmlformats.org/officeDocument/2006/relationships/hyperlink" Target="https://drive.google.com/drive/folders/1HsJMgJiTpKMJBeM_QGp1o0L2blqry1_p?usp=drive_link" TargetMode="External"/><Relationship Id="rId148" Type="http://schemas.openxmlformats.org/officeDocument/2006/relationships/hyperlink" Target="http://h.no/" TargetMode="External"/><Relationship Id="rId269" Type="http://schemas.openxmlformats.org/officeDocument/2006/relationships/hyperlink" Target="https://drive.google.com/drive/folders/11Vdd0BmSFEeNQRIvOy_xaGxTvAEfZ526?usp=drive_link" TargetMode="External"/><Relationship Id="rId9" Type="http://schemas.openxmlformats.org/officeDocument/2006/relationships/hyperlink" Target="http://h.no/" TargetMode="External"/><Relationship Id="rId143" Type="http://schemas.openxmlformats.org/officeDocument/2006/relationships/hyperlink" Target="https://drive.google.com/drive/folders/1GqMoz5620uZSNOJ3mml6RyVQEDJmVWHm" TargetMode="External"/><Relationship Id="rId264" Type="http://schemas.openxmlformats.org/officeDocument/2006/relationships/hyperlink" Target="https://drive.google.com/drive/folders/1rGePzoP02Nh_hYqbwK7W2s_XTE4a6ZGo?usp=sharing" TargetMode="External"/><Relationship Id="rId385" Type="http://schemas.openxmlformats.org/officeDocument/2006/relationships/hyperlink" Target="https://maps.app.goo.gl/W1FPbJYf2VCjNnqt5" TargetMode="External"/><Relationship Id="rId142" Type="http://schemas.openxmlformats.org/officeDocument/2006/relationships/hyperlink" Target="https://drive.google.com/drive/folders/14gLod5g9ejIgDgoScB7Vcn_7rb662Fqr" TargetMode="External"/><Relationship Id="rId263" Type="http://schemas.openxmlformats.org/officeDocument/2006/relationships/hyperlink" Target="http://h.no/" TargetMode="External"/><Relationship Id="rId384" Type="http://schemas.openxmlformats.org/officeDocument/2006/relationships/hyperlink" Target="https://drive.google.com/drive/folders/1eIHXjd6856E3liNHTYgKFGpwU7z2RxZ_?usp=sharing" TargetMode="External"/><Relationship Id="rId141" Type="http://schemas.openxmlformats.org/officeDocument/2006/relationships/hyperlink" Target="https://drive.google.com/drive/folders/1ywQmsXc-ZPzeIVEY4qw95oG5GpkRx0tz?usp=drive_link" TargetMode="External"/><Relationship Id="rId262" Type="http://schemas.openxmlformats.org/officeDocument/2006/relationships/hyperlink" Target="http://h.no/" TargetMode="External"/><Relationship Id="rId383" Type="http://schemas.openxmlformats.org/officeDocument/2006/relationships/hyperlink" Target="https://maps.app.goo.gl/muL8J3jDFYY2zrR16" TargetMode="External"/><Relationship Id="rId140" Type="http://schemas.openxmlformats.org/officeDocument/2006/relationships/hyperlink" Target="https://maps.app.goo.gl/zpGyfGG1g2oPNdsHA" TargetMode="External"/><Relationship Id="rId261" Type="http://schemas.openxmlformats.org/officeDocument/2006/relationships/hyperlink" Target="https://maps.app.goo.gl/DMWV52m7TT1eoeza9" TargetMode="External"/><Relationship Id="rId382" Type="http://schemas.openxmlformats.org/officeDocument/2006/relationships/hyperlink" Target="https://drive.google.com/drive/folders/1vi7OViOFHRakfieFaVV4ERfHFe-2PwHT?usp=drive_link" TargetMode="External"/><Relationship Id="rId5" Type="http://schemas.openxmlformats.org/officeDocument/2006/relationships/hyperlink" Target="https://drive.google.com/drive/folders/1fCUi5DR9A9LINTfSuXKP6MhAbwgu-JhO?usp=drive_link" TargetMode="External"/><Relationship Id="rId147" Type="http://schemas.openxmlformats.org/officeDocument/2006/relationships/hyperlink" Target="https://drive.google.com/drive/folders/1U13VSi8AdHY1-kfcRQSIsNhtOFIIlglH" TargetMode="External"/><Relationship Id="rId268" Type="http://schemas.openxmlformats.org/officeDocument/2006/relationships/hyperlink" Target="https://drive.google.com/drive/folders/15BwYHjSnPvzYdnyirWqjdTil-X4rzucn" TargetMode="External"/><Relationship Id="rId389" Type="http://schemas.openxmlformats.org/officeDocument/2006/relationships/hyperlink" Target="https://drive.google.com/drive/folders/1SFVEOyxFVDB7U0rj9R0Zvg_of_Q2MKO1?usp=sharing" TargetMode="External"/><Relationship Id="rId6" Type="http://schemas.openxmlformats.org/officeDocument/2006/relationships/hyperlink" Target="https://drive.google.com/drive/folders/1ulPwAwYgA1k4f0sUZ1XbFUA0_rXx2Rcr" TargetMode="External"/><Relationship Id="rId146" Type="http://schemas.openxmlformats.org/officeDocument/2006/relationships/hyperlink" Target="https://drive.google.com/drive/folders/1seQsw5LSW2e0tDBx-adbu1pr_Zk1JZLw?usp=sharing" TargetMode="External"/><Relationship Id="rId267" Type="http://schemas.openxmlformats.org/officeDocument/2006/relationships/hyperlink" Target="http://h.no/" TargetMode="External"/><Relationship Id="rId388" Type="http://schemas.openxmlformats.org/officeDocument/2006/relationships/hyperlink" Target="https://maps.app.goo.gl/qTsZsp47bD4YyRvm7" TargetMode="External"/><Relationship Id="rId7" Type="http://schemas.openxmlformats.org/officeDocument/2006/relationships/hyperlink" Target="https://drive.google.com/drive/folders/1smCsR9G_YgZE_fKEqCXQq0ImYMzTeQTL" TargetMode="External"/><Relationship Id="rId145" Type="http://schemas.openxmlformats.org/officeDocument/2006/relationships/hyperlink" Target="http://h.no/" TargetMode="External"/><Relationship Id="rId266" Type="http://schemas.openxmlformats.org/officeDocument/2006/relationships/hyperlink" Target="http://h.no/" TargetMode="External"/><Relationship Id="rId387" Type="http://schemas.openxmlformats.org/officeDocument/2006/relationships/hyperlink" Target="https://drive.google.com/drive/folders/1UsK1031LCrbpGPlpEeOkLKENF_5MuOUb?usp=sharing" TargetMode="External"/><Relationship Id="rId8" Type="http://schemas.openxmlformats.org/officeDocument/2006/relationships/hyperlink" Target="https://www.google.com/maps/place/Bhojanams+%26+Biryanis/@17.4468252,78.3895983,17z/data=!3m1!4b1!4m6!3m5!1s0x3bcb91687dc6785f:0x9d238a8fc18acf44!8m2!3d17.4468201!4d78.3921732!16s%2Fg%2F11fgjxmc9s?entry=ttu&amp;g_ep=EgoyMDI2MDIxMS4wIKXMDSoASAFQAw%3D%3D" TargetMode="External"/><Relationship Id="rId144" Type="http://schemas.openxmlformats.org/officeDocument/2006/relationships/hyperlink" Target="https://drive.google.com/drive/folders/1On2GNKh6wS0zpO3GoBDYsrEBYzgEtpWb" TargetMode="External"/><Relationship Id="rId265" Type="http://schemas.openxmlformats.org/officeDocument/2006/relationships/hyperlink" Target="https://maps.app.goo.gl/bLpXFEZUecSAaGKYA" TargetMode="External"/><Relationship Id="rId386" Type="http://schemas.openxmlformats.org/officeDocument/2006/relationships/hyperlink" Target="https://drive.google.com/drive/folders/1RQ1pnFVLBRz27A_mF2Ec5PhMM6F9WJND?usp=sharing" TargetMode="External"/><Relationship Id="rId260" Type="http://schemas.openxmlformats.org/officeDocument/2006/relationships/hyperlink" Target="https://drive.google.com/drive/folders/1l1WPTFqsT4FlUtWZ0xmXD2mHxbCj25Vu?usp=sharing" TargetMode="External"/><Relationship Id="rId381" Type="http://schemas.openxmlformats.org/officeDocument/2006/relationships/hyperlink" Target="https://maps.app.goo.gl/qTsZsp47bD4YyRvm7" TargetMode="External"/><Relationship Id="rId380" Type="http://schemas.openxmlformats.org/officeDocument/2006/relationships/hyperlink" Target="https://drive.google.com/drive/folders/1zKwrMLBJOaTlK7PVMdrOAfSTyozzvIw8?usp=sharing" TargetMode="External"/><Relationship Id="rId139" Type="http://schemas.openxmlformats.org/officeDocument/2006/relationships/hyperlink" Target="https://drive.google.com/drive/folders/1NzRFBwHwmcyJ1yEK0wancUroN2xV3sX9?usp=sharing" TargetMode="External"/><Relationship Id="rId138" Type="http://schemas.openxmlformats.org/officeDocument/2006/relationships/hyperlink" Target="https://maps.app.goo.gl/QstQS5vu1gUQxKGt6" TargetMode="External"/><Relationship Id="rId259" Type="http://schemas.openxmlformats.org/officeDocument/2006/relationships/hyperlink" Target="http://h.no/" TargetMode="External"/><Relationship Id="rId137" Type="http://schemas.openxmlformats.org/officeDocument/2006/relationships/hyperlink" Target="https://drive.google.com/drive/folders/1MQgsWkmEkzWZD_VdJHHJO-zw9rMkrIhW?usp=sharing" TargetMode="External"/><Relationship Id="rId258" Type="http://schemas.openxmlformats.org/officeDocument/2006/relationships/hyperlink" Target="https://maps.app.goo.gl/1w5x8Undx3XMVCd39" TargetMode="External"/><Relationship Id="rId379" Type="http://schemas.openxmlformats.org/officeDocument/2006/relationships/hyperlink" Target="https://maps.app.goo.gl/yyaLaYiEtrYcECJU6" TargetMode="External"/><Relationship Id="rId132" Type="http://schemas.openxmlformats.org/officeDocument/2006/relationships/hyperlink" Target="https://drive.google.com/drive/folders/1O255hMRb9Bs_e18IkE82rtizAXPSGzhn" TargetMode="External"/><Relationship Id="rId253" Type="http://schemas.openxmlformats.org/officeDocument/2006/relationships/hyperlink" Target="https://drive.google.com/drive/folders/1crbLWLnQPIV462vFtmDAYe_RXSAiTLZU?usp=sharing" TargetMode="External"/><Relationship Id="rId374" Type="http://schemas.openxmlformats.org/officeDocument/2006/relationships/hyperlink" Target="http://h.no/" TargetMode="External"/><Relationship Id="rId495" Type="http://schemas.openxmlformats.org/officeDocument/2006/relationships/hyperlink" Target="https://drive.google.com/drive/folders/141oWtHDKlk3EkxWEulFpluYYu2cqKw2u?usp=drive_link" TargetMode="External"/><Relationship Id="rId131" Type="http://schemas.openxmlformats.org/officeDocument/2006/relationships/hyperlink" Target="https://drive.google.com/drive/folders/1jbV98BQzIy5aax4E6TPt3kY2XFBwzOGp?usp=drive_link" TargetMode="External"/><Relationship Id="rId252" Type="http://schemas.openxmlformats.org/officeDocument/2006/relationships/hyperlink" Target="https://drive.google.com/drive/folders/1hutovAp34wwO07iA5UeOPeiXF3D-Esg_" TargetMode="External"/><Relationship Id="rId373" Type="http://schemas.openxmlformats.org/officeDocument/2006/relationships/hyperlink" Target="https://maps.app.goo.gl/yyaLaYiEtrYcECJU6" TargetMode="External"/><Relationship Id="rId494" Type="http://schemas.openxmlformats.org/officeDocument/2006/relationships/hyperlink" Target="https://drive.google.com/drive/folders/1ZuunOytbIbyIKC37IPWjg60vPcckmc-E" TargetMode="External"/><Relationship Id="rId130" Type="http://schemas.openxmlformats.org/officeDocument/2006/relationships/hyperlink" Target="https://drive.google.com/drive/folders/1jbV98BQzIy5aax4E6TPt3kY2XFBwzOGp?usp=drive_link" TargetMode="External"/><Relationship Id="rId251" Type="http://schemas.openxmlformats.org/officeDocument/2006/relationships/hyperlink" Target="https://drive.google.com/drive/folders/1y_AghwAl9LKZhbvQ-Izkv6n-beuJrDpW" TargetMode="External"/><Relationship Id="rId372" Type="http://schemas.openxmlformats.org/officeDocument/2006/relationships/hyperlink" Target="https://drive.google.com/drive/folders/1TRosi_xjz_I8Vqtx8HCNGcRX6FoooL_4?usp=sharing" TargetMode="External"/><Relationship Id="rId493" Type="http://schemas.openxmlformats.org/officeDocument/2006/relationships/hyperlink" Target="http://h.no/" TargetMode="External"/><Relationship Id="rId250" Type="http://schemas.openxmlformats.org/officeDocument/2006/relationships/hyperlink" Target="https://maps.app.goo.gl/Ee8frCj9FdrbenAPA" TargetMode="External"/><Relationship Id="rId371" Type="http://schemas.openxmlformats.org/officeDocument/2006/relationships/hyperlink" Target="http://h.no/" TargetMode="External"/><Relationship Id="rId492" Type="http://schemas.openxmlformats.org/officeDocument/2006/relationships/hyperlink" Target="http://h.no/" TargetMode="External"/><Relationship Id="rId136" Type="http://schemas.openxmlformats.org/officeDocument/2006/relationships/hyperlink" Target="https://drive.google.com/drive/folders/1q5m_oIPtx_q6EBqzQVHbpbGSahH2dFcx" TargetMode="External"/><Relationship Id="rId257" Type="http://schemas.openxmlformats.org/officeDocument/2006/relationships/hyperlink" Target="https://drive.google.com/drive/folders/1J-pi2ytNX13vqgN855eE9QX-rGfC2Uuk?usp=drive_link" TargetMode="External"/><Relationship Id="rId378" Type="http://schemas.openxmlformats.org/officeDocument/2006/relationships/hyperlink" Target="https://drive.google.com/drive/folders/1IqLideUw8sJ2Vlqz5TWJiKBKv_5Sx3jY?usp=sharing" TargetMode="External"/><Relationship Id="rId499" Type="http://schemas.openxmlformats.org/officeDocument/2006/relationships/hyperlink" Target="https://drive.google.com/drive/folders/1ohLkhEx6qYHs68na4EDFzBJu56_HPfvj" TargetMode="External"/><Relationship Id="rId135" Type="http://schemas.openxmlformats.org/officeDocument/2006/relationships/hyperlink" Target="http://h.no/" TargetMode="External"/><Relationship Id="rId256" Type="http://schemas.openxmlformats.org/officeDocument/2006/relationships/hyperlink" Target="https://drive.google.com/drive/folders/1gcfnSr_9IHoQAQwn81hq4PKIDQOJA1E-?usp=sharing" TargetMode="External"/><Relationship Id="rId377" Type="http://schemas.openxmlformats.org/officeDocument/2006/relationships/hyperlink" Target="http://h.no/" TargetMode="External"/><Relationship Id="rId498" Type="http://schemas.openxmlformats.org/officeDocument/2006/relationships/hyperlink" Target="http://h.no/" TargetMode="External"/><Relationship Id="rId134" Type="http://schemas.openxmlformats.org/officeDocument/2006/relationships/hyperlink" Target="http://h.no/" TargetMode="External"/><Relationship Id="rId255" Type="http://schemas.openxmlformats.org/officeDocument/2006/relationships/hyperlink" Target="http://h.no/" TargetMode="External"/><Relationship Id="rId376" Type="http://schemas.openxmlformats.org/officeDocument/2006/relationships/hyperlink" Target="https://maps.app.goo.gl/yyaLaYiEtrYcECJU6" TargetMode="External"/><Relationship Id="rId497" Type="http://schemas.openxmlformats.org/officeDocument/2006/relationships/hyperlink" Target="http://h.no/" TargetMode="External"/><Relationship Id="rId133" Type="http://schemas.openxmlformats.org/officeDocument/2006/relationships/hyperlink" Target="https://drive.google.com/drive/folders/1P3phSrvfEDSf9PhVaBz-jexhTOJBQMS1" TargetMode="External"/><Relationship Id="rId254" Type="http://schemas.openxmlformats.org/officeDocument/2006/relationships/hyperlink" Target="http://h.no/" TargetMode="External"/><Relationship Id="rId375" Type="http://schemas.openxmlformats.org/officeDocument/2006/relationships/hyperlink" Target="https://drive.google.com/drive/folders/1iqpcQ5vj7alQfiTEJUmzo7MLtK-ocIS3?usp=sharing" TargetMode="External"/><Relationship Id="rId496" Type="http://schemas.openxmlformats.org/officeDocument/2006/relationships/hyperlink" Target="https://drive.google.com/drive/folders/141oWtHDKlk3EkxWEulFpluYYu2cqKw2u?usp=drive_link" TargetMode="External"/><Relationship Id="rId172" Type="http://schemas.openxmlformats.org/officeDocument/2006/relationships/hyperlink" Target="https://drive.google.com/drive/folders/1m4N2PJVDiX8H3NdIUa4jjRzLaTv7ySG_?usp=sharing" TargetMode="External"/><Relationship Id="rId293" Type="http://schemas.openxmlformats.org/officeDocument/2006/relationships/hyperlink" Target="http://h.no/" TargetMode="External"/><Relationship Id="rId171" Type="http://schemas.openxmlformats.org/officeDocument/2006/relationships/hyperlink" Target="http://h.no/" TargetMode="External"/><Relationship Id="rId292" Type="http://schemas.openxmlformats.org/officeDocument/2006/relationships/hyperlink" Target="http://h.no/" TargetMode="External"/><Relationship Id="rId170" Type="http://schemas.openxmlformats.org/officeDocument/2006/relationships/hyperlink" Target="https://drive.google.com/drive/folders/1F80kBNoOK3wMGQkHgnSRHBgjnZpsBHC8?usp=drive_link" TargetMode="External"/><Relationship Id="rId291" Type="http://schemas.openxmlformats.org/officeDocument/2006/relationships/hyperlink" Target="https://drive.google.com/drive/folders/1g1blutVC6IM_k2KynZjyUnvO3LXTEpB6?usp=sharing" TargetMode="External"/><Relationship Id="rId290" Type="http://schemas.openxmlformats.org/officeDocument/2006/relationships/hyperlink" Target="https://drive.google.com/drive/folders/19uVt0fQevfxr-B1IKMVVumtg7_nUqoxP?usp=drive_link" TargetMode="External"/><Relationship Id="rId165" Type="http://schemas.openxmlformats.org/officeDocument/2006/relationships/hyperlink" Target="https://drive.google.com/drive/folders/1lYLjdCO8l9h3KTnr3-MKj8-qjCYK29uT?usp=sharing" TargetMode="External"/><Relationship Id="rId286" Type="http://schemas.openxmlformats.org/officeDocument/2006/relationships/hyperlink" Target="https://maps.app.goo.gl/ov9jTkpC6RafJUgCA" TargetMode="External"/><Relationship Id="rId164" Type="http://schemas.openxmlformats.org/officeDocument/2006/relationships/hyperlink" Target="https://drive.google.com/drive/folders/10Ix6Ggp0NqgRJ1pLNoj-UiHZkJBg6jrC?usp=drive_link" TargetMode="External"/><Relationship Id="rId285" Type="http://schemas.openxmlformats.org/officeDocument/2006/relationships/hyperlink" Target="https://drive.google.com/drive/folders/1kD_o3T6FsorWK8xmxC-yQjHuL0oacUbD?usp=sharing" TargetMode="External"/><Relationship Id="rId163" Type="http://schemas.openxmlformats.org/officeDocument/2006/relationships/hyperlink" Target="https://maps.app.goo.gl/EPER4FGRaXshqsQs9" TargetMode="External"/><Relationship Id="rId284" Type="http://schemas.openxmlformats.org/officeDocument/2006/relationships/hyperlink" Target="https://maps.app.goo.gl/ov9jTkpC6RafJUgCA" TargetMode="External"/><Relationship Id="rId162" Type="http://schemas.openxmlformats.org/officeDocument/2006/relationships/hyperlink" Target="https://drive.google.com/drive/folders/1LqhDaK2Nkfgl91LymA8Q1MqDZq0x25yF?usp=sharing" TargetMode="External"/><Relationship Id="rId283" Type="http://schemas.openxmlformats.org/officeDocument/2006/relationships/hyperlink" Target="https://drive.google.com/drive/folders/1z4a2uZh1q_TTC808RutUd-SX8iWW5m6m?usp=sharing" TargetMode="External"/><Relationship Id="rId169" Type="http://schemas.openxmlformats.org/officeDocument/2006/relationships/hyperlink" Target="https://drive.google.com/drive/folders/1dTS0kUR8NALwTE7yBbHIzAtGkyg2sqOI" TargetMode="External"/><Relationship Id="rId168" Type="http://schemas.openxmlformats.org/officeDocument/2006/relationships/hyperlink" Target="http://h.no:14/" TargetMode="External"/><Relationship Id="rId289" Type="http://schemas.openxmlformats.org/officeDocument/2006/relationships/hyperlink" Target="https://drive.google.com/drive/folders/1FwtPr1DGQ2TayamqzucX6EiHKyoIIatV?usp=sharing" TargetMode="External"/><Relationship Id="rId167" Type="http://schemas.openxmlformats.org/officeDocument/2006/relationships/hyperlink" Target="https://drive.google.com/drive/folders/1o3BavNI9DdCbKnrrrpHuc6X6BoVb7JRn?usp=sharing" TargetMode="External"/><Relationship Id="rId288" Type="http://schemas.openxmlformats.org/officeDocument/2006/relationships/hyperlink" Target="https://maps.app.goo.gl/ov9jTkpC6RafJUgCA" TargetMode="External"/><Relationship Id="rId166" Type="http://schemas.openxmlformats.org/officeDocument/2006/relationships/hyperlink" Target="https://maps.app.goo.gl/to8ggDnpMWPE7BmU6" TargetMode="External"/><Relationship Id="rId287" Type="http://schemas.openxmlformats.org/officeDocument/2006/relationships/hyperlink" Target="https://drive.google.com/drive/folders/1XxvEfSSpkRQgzhjWHAlNmnLtJvydn-OG?usp=sharing" TargetMode="External"/><Relationship Id="rId161" Type="http://schemas.openxmlformats.org/officeDocument/2006/relationships/hyperlink" Target="https://drive.google.com/drive/folders/1NoK9RFWRs9eBAc-uc5OGV2U5hx2zF9V8" TargetMode="External"/><Relationship Id="rId282" Type="http://schemas.openxmlformats.org/officeDocument/2006/relationships/hyperlink" Target="https://maps.app.goo.gl/ov9jTkpC6RafJUgCA" TargetMode="External"/><Relationship Id="rId160" Type="http://schemas.openxmlformats.org/officeDocument/2006/relationships/hyperlink" Target="https://drive.google.com/drive/folders/1Y4XVfH0he62lVDBe_LdMTnd90sOu6-5o" TargetMode="External"/><Relationship Id="rId281" Type="http://schemas.openxmlformats.org/officeDocument/2006/relationships/hyperlink" Target="https://drive.google.com/drive/folders/10NCjzhqg7OgLlib04kQxiuZc-hTHrprn?usp=sharing" TargetMode="External"/><Relationship Id="rId280" Type="http://schemas.openxmlformats.org/officeDocument/2006/relationships/hyperlink" Target="https://drive.google.com/drive/folders/1xWjqdV_lCsQYYb3NTy3F4IubdxFg7Zm-?usp=drive_link" TargetMode="External"/><Relationship Id="rId159" Type="http://schemas.openxmlformats.org/officeDocument/2006/relationships/hyperlink" Target="https://drive.google.com/drive/folders/13QD9S9A9XKyaIsHMElIz8XGXsJMcHthf?usp=drive_link" TargetMode="External"/><Relationship Id="rId154" Type="http://schemas.openxmlformats.org/officeDocument/2006/relationships/hyperlink" Target="https://maps.app.goo.gl/siByQAuWqSZrMbBF9" TargetMode="External"/><Relationship Id="rId275" Type="http://schemas.openxmlformats.org/officeDocument/2006/relationships/hyperlink" Target="https://drive.google.com/drive/folders/1efnJ75VmzsPvXqtz6QMg0EHKmtCZkDBL?usp=sharing" TargetMode="External"/><Relationship Id="rId396" Type="http://schemas.openxmlformats.org/officeDocument/2006/relationships/hyperlink" Target="https://drive.google.com/drive/folders/1pypXriyPoaCuTefIgFu6okYD9GpZ4cK9" TargetMode="External"/><Relationship Id="rId153" Type="http://schemas.openxmlformats.org/officeDocument/2006/relationships/hyperlink" Target="https://drive.google.com/drive/folders/1i_SPX2pWnUoOUDJBsphumQ87kqWA3S0i?usp=sharing" TargetMode="External"/><Relationship Id="rId274" Type="http://schemas.openxmlformats.org/officeDocument/2006/relationships/hyperlink" Target="https://drive.google.com/drive/folders/1oEICQpTpdFDN7oTZN0hyjmhHclqCLvLi?usp=sharing" TargetMode="External"/><Relationship Id="rId395" Type="http://schemas.openxmlformats.org/officeDocument/2006/relationships/hyperlink" Target="https://drive.google.com/drive/folders/1o9WkuGsuyo3pqZjmQ9WwPhG1Q7hZFAWo" TargetMode="External"/><Relationship Id="rId152" Type="http://schemas.openxmlformats.org/officeDocument/2006/relationships/hyperlink" Target="https://maps.app.goo.gl/CxHkvpX5Divsh58v6" TargetMode="External"/><Relationship Id="rId273" Type="http://schemas.openxmlformats.org/officeDocument/2006/relationships/hyperlink" Target="https://drive.google.com/drive/folders/1o5zjTbzfGpp-9jwka6gfbQnF1TC3vXsH" TargetMode="External"/><Relationship Id="rId394" Type="http://schemas.openxmlformats.org/officeDocument/2006/relationships/hyperlink" Target="https://drive.google.com/drive/folders/1MP29qumV0dDkQUnwm9NXBk0hTcUvLMGx" TargetMode="External"/><Relationship Id="rId151" Type="http://schemas.openxmlformats.org/officeDocument/2006/relationships/hyperlink" Target="https://drive.google.com/drive/folders/195q3llEpmV4UhcSN2pc7hC0PNuT2UlfB?usp=sharing" TargetMode="External"/><Relationship Id="rId272" Type="http://schemas.openxmlformats.org/officeDocument/2006/relationships/hyperlink" Target="https://drive.google.com/drive/folders/146P5cb0Y1pjxIgqP-KQS09YsNPioI6pV?usp=sharing" TargetMode="External"/><Relationship Id="rId393" Type="http://schemas.openxmlformats.org/officeDocument/2006/relationships/hyperlink" Target="https://drive.google.com/drive/folders/1D7vvwcDNPi26kQgLMzJAd0UaIJ4RF6on?usp=sharing" TargetMode="External"/><Relationship Id="rId158" Type="http://schemas.openxmlformats.org/officeDocument/2006/relationships/hyperlink" Target="http://d.no/" TargetMode="External"/><Relationship Id="rId279" Type="http://schemas.openxmlformats.org/officeDocument/2006/relationships/hyperlink" Target="https://drive.google.com/drive/folders/1-Bg57ELrElx4xZdC1S8HDu-uXWcOR2Ig" TargetMode="External"/><Relationship Id="rId157" Type="http://schemas.openxmlformats.org/officeDocument/2006/relationships/hyperlink" Target="https://drive.google.com/drive/folders/1ry4NkINKPYXMKd9jVxYbWCN5YjjETQTV" TargetMode="External"/><Relationship Id="rId278" Type="http://schemas.openxmlformats.org/officeDocument/2006/relationships/hyperlink" Target="https://drive.google.com/drive/folders/1awDT6H5xNM7SRMxXKGzlfQrHhu-RiZqH?usp=drive_link" TargetMode="External"/><Relationship Id="rId399" Type="http://schemas.openxmlformats.org/officeDocument/2006/relationships/hyperlink" Target="https://drive.google.com/drive/folders/1tDiCtk7CUbRaGRm1jguQte10gmLWwcu8" TargetMode="External"/><Relationship Id="rId156" Type="http://schemas.openxmlformats.org/officeDocument/2006/relationships/hyperlink" Target="https://maps.app.goo.gl/uorqGLurZzYFoj9aA" TargetMode="External"/><Relationship Id="rId277" Type="http://schemas.openxmlformats.org/officeDocument/2006/relationships/hyperlink" Target="http://h.no/" TargetMode="External"/><Relationship Id="rId398" Type="http://schemas.openxmlformats.org/officeDocument/2006/relationships/hyperlink" Target="https://drive.google.com/drive/folders/1JYNwylgLMuIt7gJI3LCAIUnmOly6KUWf" TargetMode="External"/><Relationship Id="rId155" Type="http://schemas.openxmlformats.org/officeDocument/2006/relationships/hyperlink" Target="https://drive.google.com/drive/folders/1WwbfBeXVheank7ICP1ksl6fEsvHTgruC?usp=sharing" TargetMode="External"/><Relationship Id="rId276" Type="http://schemas.openxmlformats.org/officeDocument/2006/relationships/hyperlink" Target="https://maps.app.goo.gl/ov9jTkpC6RafJUgCA" TargetMode="External"/><Relationship Id="rId397" Type="http://schemas.openxmlformats.org/officeDocument/2006/relationships/hyperlink" Target="https://drive.google.com/drive/folders/1vR-h7mk1tgx-5c0LK4VB1GazhrKLwpyk" TargetMode="External"/><Relationship Id="rId40" Type="http://schemas.openxmlformats.org/officeDocument/2006/relationships/hyperlink" Target="https://drive.google.com/drive/folders/1tbQKo0BRhM1KMeFlCGTLyg8pB7WVsxpT?usp=sharing" TargetMode="External"/><Relationship Id="rId42" Type="http://schemas.openxmlformats.org/officeDocument/2006/relationships/hyperlink" Target="http://d.no/" TargetMode="External"/><Relationship Id="rId41" Type="http://schemas.openxmlformats.org/officeDocument/2006/relationships/hyperlink" Target="http://d.no/" TargetMode="External"/><Relationship Id="rId44" Type="http://schemas.openxmlformats.org/officeDocument/2006/relationships/hyperlink" Target="https://drive.google.com/drive/folders/1ZhgTUeICe7C_yN0M6r9sIqQsX2RirxEj" TargetMode="External"/><Relationship Id="rId43" Type="http://schemas.openxmlformats.org/officeDocument/2006/relationships/hyperlink" Target="https://drive.google.com/drive/folders/1UWFy24j0VbJy49ZBFd7Md1mSffwvmJFM?usp=sharing" TargetMode="External"/><Relationship Id="rId46" Type="http://schemas.openxmlformats.org/officeDocument/2006/relationships/hyperlink" Target="https://drive.google.com/drive/folders/13RR--Sp7G4RzGdjYpim1KYichrJ67D1q?usp=drive_link" TargetMode="External"/><Relationship Id="rId45" Type="http://schemas.openxmlformats.org/officeDocument/2006/relationships/hyperlink" Target="https://drive.google.com/drive/folders/1r91rV1Plcx98BlVs7U95ATjl8nVQIxPT" TargetMode="External"/><Relationship Id="rId509" Type="http://schemas.openxmlformats.org/officeDocument/2006/relationships/hyperlink" Target="https://drive.google.com/drive/folders/19ZljDLPARdNd98qqzsfjOfba81pRvlqH" TargetMode="External"/><Relationship Id="rId508" Type="http://schemas.openxmlformats.org/officeDocument/2006/relationships/hyperlink" Target="http://h.no/" TargetMode="External"/><Relationship Id="rId629" Type="http://schemas.openxmlformats.org/officeDocument/2006/relationships/hyperlink" Target="https://drive.google.com/drive/folders/1fQHHxSlxho0OTDvdGwB-GlmOPJN4_2QO?usp=drive_link" TargetMode="External"/><Relationship Id="rId503" Type="http://schemas.openxmlformats.org/officeDocument/2006/relationships/hyperlink" Target="https://drive.google.com/drive/folders/1xIxu-rPgK-3j5bcK-s2o4c-Bn2AM1aoU?usp=sharing" TargetMode="External"/><Relationship Id="rId624" Type="http://schemas.openxmlformats.org/officeDocument/2006/relationships/hyperlink" Target="http://h.no/" TargetMode="External"/><Relationship Id="rId502" Type="http://schemas.openxmlformats.org/officeDocument/2006/relationships/hyperlink" Target="https://drive.google.com/drive/folders/1F3FVRh68kWdVVMs0p7m-W2zohZOBrWTg?usp=drive_link" TargetMode="External"/><Relationship Id="rId623" Type="http://schemas.openxmlformats.org/officeDocument/2006/relationships/hyperlink" Target="https://maps.app.goo.gl/ZtYwokMh4bckUTTK7" TargetMode="External"/><Relationship Id="rId501" Type="http://schemas.openxmlformats.org/officeDocument/2006/relationships/hyperlink" Target="https://drive.google.com/drive/folders/1F3FVRh68kWdVVMs0p7m-W2zohZOBrWTg?usp=drive_link" TargetMode="External"/><Relationship Id="rId622" Type="http://schemas.openxmlformats.org/officeDocument/2006/relationships/hyperlink" Target="https://drive.google.com/drive/folders/10ZStieR_BcLRI-enbFQetMcjjkOlhpFO?usp=sharing" TargetMode="External"/><Relationship Id="rId500" Type="http://schemas.openxmlformats.org/officeDocument/2006/relationships/hyperlink" Target="https://drive.google.com/drive/folders/1XPPbdyalpAXLoz1I8G6PrkZH-KGKI2y8" TargetMode="External"/><Relationship Id="rId621" Type="http://schemas.openxmlformats.org/officeDocument/2006/relationships/hyperlink" Target="http://h.no/" TargetMode="External"/><Relationship Id="rId507" Type="http://schemas.openxmlformats.org/officeDocument/2006/relationships/hyperlink" Target="http://h.no/" TargetMode="External"/><Relationship Id="rId628" Type="http://schemas.openxmlformats.org/officeDocument/2006/relationships/hyperlink" Target="http://h.no/" TargetMode="External"/><Relationship Id="rId506" Type="http://schemas.openxmlformats.org/officeDocument/2006/relationships/hyperlink" Target="https://drive.google.com/drive/folders/1X7EDuUfMZA3kObZCWl1HvMISM7j2Ia6x?usp=sharing" TargetMode="External"/><Relationship Id="rId627" Type="http://schemas.openxmlformats.org/officeDocument/2006/relationships/hyperlink" Target="https://drive.google.com/drive/folders/1fQHHxSlxho0OTDvdGwB-GlmOPJN4_2QO?usp=drive_link" TargetMode="External"/><Relationship Id="rId505" Type="http://schemas.openxmlformats.org/officeDocument/2006/relationships/hyperlink" Target="https://drive.google.com/drive/folders/1X7EDuUfMZA3kObZCWl1HvMISM7j2Ia6x?usp=sharing" TargetMode="External"/><Relationship Id="rId626" Type="http://schemas.openxmlformats.org/officeDocument/2006/relationships/hyperlink" Target="http://h.no/" TargetMode="External"/><Relationship Id="rId504" Type="http://schemas.openxmlformats.org/officeDocument/2006/relationships/hyperlink" Target="https://drive.google.com/drive/folders/1WyFaaBFzYOjYLTTJey9n9Henn1IRme_m" TargetMode="External"/><Relationship Id="rId625" Type="http://schemas.openxmlformats.org/officeDocument/2006/relationships/hyperlink" Target="https://drive.google.com/drive/folders/1fQHHxSlxho0OTDvdGwB-GlmOPJN4_2QO?usp=drive_link" TargetMode="External"/><Relationship Id="rId48" Type="http://schemas.openxmlformats.org/officeDocument/2006/relationships/hyperlink" Target="https://drive.google.com/drive/folders/1ZxfxP7ZDdJMqB_X9WyGYytxTQY8uZuDW?usp=drive_link" TargetMode="External"/><Relationship Id="rId47" Type="http://schemas.openxmlformats.org/officeDocument/2006/relationships/hyperlink" Target="http://h.no/" TargetMode="External"/><Relationship Id="rId49" Type="http://schemas.openxmlformats.org/officeDocument/2006/relationships/hyperlink" Target="https://maps.app.goo.gl/ADa8gsjqqrNF45Qg9" TargetMode="External"/><Relationship Id="rId620" Type="http://schemas.openxmlformats.org/officeDocument/2006/relationships/hyperlink" Target="https://drive.google.com/drive/folders/19R0DVL_OX8d9L9DzsD09wE4gW4XKX7xo" TargetMode="External"/><Relationship Id="rId31" Type="http://schemas.openxmlformats.org/officeDocument/2006/relationships/hyperlink" Target="https://drive.google.com/drive/folders/1XNX_PCNBMLG34jK7wyR_ALjgQ6bEz51m" TargetMode="External"/><Relationship Id="rId30" Type="http://schemas.openxmlformats.org/officeDocument/2006/relationships/hyperlink" Target="https://drive.google.com/drive/folders/1feNNzyCdx3sxbzFyqJhVyFJNTvoq8k2G" TargetMode="External"/><Relationship Id="rId33" Type="http://schemas.openxmlformats.org/officeDocument/2006/relationships/hyperlink" Target="https://drive.google.com/drive/folders/1s9cQYCodLGci_eu5hOKUMbv1xL8syNuT?usp=sharing" TargetMode="External"/><Relationship Id="rId32" Type="http://schemas.openxmlformats.org/officeDocument/2006/relationships/hyperlink" Target="https://drive.google.com/drive/folders/1WEpYZjSzuc3cu3dsjnK0dhwMDIyFdwMG" TargetMode="External"/><Relationship Id="rId35" Type="http://schemas.openxmlformats.org/officeDocument/2006/relationships/hyperlink" Target="https://drive.google.com/drive/folders/1jLPstIiQGwHXYF9SbDs4WLQgUwAvIFMx" TargetMode="External"/><Relationship Id="rId34" Type="http://schemas.openxmlformats.org/officeDocument/2006/relationships/hyperlink" Target="https://drive.google.com/drive/folders/103H3SyeCFb1aeW4_nmJsLx1A-k8jd-yJ?usp=sharing" TargetMode="External"/><Relationship Id="rId619" Type="http://schemas.openxmlformats.org/officeDocument/2006/relationships/hyperlink" Target="https://drive.google.com/drive/folders/1OjaURdVDXqH2PqZXgQhYKPYM2PHdaVgV" TargetMode="External"/><Relationship Id="rId618" Type="http://schemas.openxmlformats.org/officeDocument/2006/relationships/hyperlink" Target="https://drive.google.com/drive/folders/153jJPBBAc5J6R6QgL5wAeohQcCs2-h1y?usp=drive_link" TargetMode="External"/><Relationship Id="rId613" Type="http://schemas.openxmlformats.org/officeDocument/2006/relationships/hyperlink" Target="https://drive.google.com/drive/folders/1OjaURdVDXqH2PqZXgQhYKPYM2PHdaVgV" TargetMode="External"/><Relationship Id="rId612" Type="http://schemas.openxmlformats.org/officeDocument/2006/relationships/hyperlink" Target="https://drive.google.com/drive/folders/1NNXMR6wV62PNzSlWdsyW7KkZH_49Ufko?usp=sharing" TargetMode="External"/><Relationship Id="rId611" Type="http://schemas.openxmlformats.org/officeDocument/2006/relationships/hyperlink" Target="https://drive.google.com/drive/folders/1_z4vloq2JCkb2QxaF4T2U_UGS36IOAS6" TargetMode="External"/><Relationship Id="rId610" Type="http://schemas.openxmlformats.org/officeDocument/2006/relationships/hyperlink" Target="https://drive.google.com/drive/folders/1aNS7_BLACWrD06CqafINzO9yQILI4Gd7?usp=sharing" TargetMode="External"/><Relationship Id="rId617" Type="http://schemas.openxmlformats.org/officeDocument/2006/relationships/hyperlink" Target="http://h.no/" TargetMode="External"/><Relationship Id="rId616" Type="http://schemas.openxmlformats.org/officeDocument/2006/relationships/hyperlink" Target="https://drive.google.com/drive/folders/16uIYj4QrQu5CTOeDfqmlaS1Kihgd9-hL?usp=sharing" TargetMode="External"/><Relationship Id="rId615" Type="http://schemas.openxmlformats.org/officeDocument/2006/relationships/hyperlink" Target="https://drive.google.com/drive/folders/1TDoFMFmzD24wTE35QejlYTl1U4JgL7p7?usp=sharing" TargetMode="External"/><Relationship Id="rId614" Type="http://schemas.openxmlformats.org/officeDocument/2006/relationships/hyperlink" Target="https://drive.google.com/drive/folders/1Zd901LhdFDxOryUxC7oSebWz-GcEeJlk?usp=sharing" TargetMode="External"/><Relationship Id="rId37" Type="http://schemas.openxmlformats.org/officeDocument/2006/relationships/hyperlink" Target="http://h.no/" TargetMode="External"/><Relationship Id="rId36" Type="http://schemas.openxmlformats.org/officeDocument/2006/relationships/hyperlink" Target="http://h.no/" TargetMode="External"/><Relationship Id="rId39" Type="http://schemas.openxmlformats.org/officeDocument/2006/relationships/hyperlink" Target="http://h.no/" TargetMode="External"/><Relationship Id="rId38" Type="http://schemas.openxmlformats.org/officeDocument/2006/relationships/hyperlink" Target="https://maps.app.goo.gl/MJ7UedzFq2PJ6SB88" TargetMode="External"/><Relationship Id="rId20" Type="http://schemas.openxmlformats.org/officeDocument/2006/relationships/hyperlink" Target="https://maps.app.goo.gl/M3RPVUT5ssmSKVz17" TargetMode="External"/><Relationship Id="rId22" Type="http://schemas.openxmlformats.org/officeDocument/2006/relationships/hyperlink" Target="https://drive.google.com/drive/folders/1vjzFqzXaDbk0UgQjX9vk9TtWw7QA1ZRo?usp=drive_link" TargetMode="External"/><Relationship Id="rId21" Type="http://schemas.openxmlformats.org/officeDocument/2006/relationships/hyperlink" Target="https://drive.google.com/drive/folders/1UCJPJOZGe8jeYMBocwtl6TwiAGnpIlby?usp=sharing" TargetMode="External"/><Relationship Id="rId24" Type="http://schemas.openxmlformats.org/officeDocument/2006/relationships/hyperlink" Target="http://admin.govindasatiskconattapur.com/" TargetMode="External"/><Relationship Id="rId23" Type="http://schemas.openxmlformats.org/officeDocument/2006/relationships/hyperlink" Target="https://drive.google.com/drive/folders/1vjzFqzXaDbk0UgQjX9vk9TtWw7QA1ZRo?usp=drive_link" TargetMode="External"/><Relationship Id="rId409" Type="http://schemas.openxmlformats.org/officeDocument/2006/relationships/hyperlink" Target="https://drive.google.com/drive/folders/1OyoNoWyyjL1UVLZ4O_B4BQAIwOXQtxNy?usp=sharing" TargetMode="External"/><Relationship Id="rId404" Type="http://schemas.openxmlformats.org/officeDocument/2006/relationships/hyperlink" Target="https://drive.google.com/drive/folders/11Vdd0BmSFEeNQRIvOy_xaGxTvAEfZ526?usp=drive_link" TargetMode="External"/><Relationship Id="rId525" Type="http://schemas.openxmlformats.org/officeDocument/2006/relationships/hyperlink" Target="https://drive.google.com/drive/folders/1ZuDwkIGBI9qAL6sVOKdsFKBguhHROKkW" TargetMode="External"/><Relationship Id="rId646" Type="http://schemas.openxmlformats.org/officeDocument/2006/relationships/hyperlink" Target="http://h.no/" TargetMode="External"/><Relationship Id="rId403" Type="http://schemas.openxmlformats.org/officeDocument/2006/relationships/hyperlink" Target="https://drive.google.com/drive/folders/1DcVdLDNik8t3h4nrqUoGYEkbgvlh-sGj" TargetMode="External"/><Relationship Id="rId524" Type="http://schemas.openxmlformats.org/officeDocument/2006/relationships/hyperlink" Target="http://h.no/" TargetMode="External"/><Relationship Id="rId645" Type="http://schemas.openxmlformats.org/officeDocument/2006/relationships/hyperlink" Target="http://h.no/" TargetMode="External"/><Relationship Id="rId402" Type="http://schemas.openxmlformats.org/officeDocument/2006/relationships/hyperlink" Target="https://drive.google.com/drive/folders/1mQ70ZCt5MHLiv1QjKhiC8b_Ia7Lw48P7" TargetMode="External"/><Relationship Id="rId523" Type="http://schemas.openxmlformats.org/officeDocument/2006/relationships/hyperlink" Target="https://drive.google.com/drive/folders/1aUqj7MSkXbTaBwCOz5adschNXFIhpCuY" TargetMode="External"/><Relationship Id="rId644" Type="http://schemas.openxmlformats.org/officeDocument/2006/relationships/hyperlink" Target="http://h.no/" TargetMode="External"/><Relationship Id="rId401" Type="http://schemas.openxmlformats.org/officeDocument/2006/relationships/hyperlink" Target="https://drive.google.com/drive/folders/1_7YFtbk37Ihid-uHltIsZO1pLxGKCghg" TargetMode="External"/><Relationship Id="rId522" Type="http://schemas.openxmlformats.org/officeDocument/2006/relationships/hyperlink" Target="https://drive.google.com/drive/folders/1aUqj7MSkXbTaBwCOz5adschNXFIhpCuY" TargetMode="External"/><Relationship Id="rId643" Type="http://schemas.openxmlformats.org/officeDocument/2006/relationships/hyperlink" Target="https://drive.google.com/drive/folders/1xAL_mU4tChIozpHADi-67nK0k_6kLD92?usp=sharing" TargetMode="External"/><Relationship Id="rId408" Type="http://schemas.openxmlformats.org/officeDocument/2006/relationships/hyperlink" Target="https://drive.google.com/drive/folders/1wXg_2Mwz9SuhQbgwmk5UncbAIJ-8z_2Q?usp=sharing" TargetMode="External"/><Relationship Id="rId529" Type="http://schemas.openxmlformats.org/officeDocument/2006/relationships/hyperlink" Target="http://h.no/" TargetMode="External"/><Relationship Id="rId407" Type="http://schemas.openxmlformats.org/officeDocument/2006/relationships/hyperlink" Target="https://drive.google.com/drive/folders/1Znvvb3ha4nr4KtUkvajlNfpK3UQU2hYE" TargetMode="External"/><Relationship Id="rId528" Type="http://schemas.openxmlformats.org/officeDocument/2006/relationships/hyperlink" Target="http://h.no/" TargetMode="External"/><Relationship Id="rId649" Type="http://schemas.openxmlformats.org/officeDocument/2006/relationships/hyperlink" Target="https://drive.google.com/drive/folders/1VeZi56ThFhBG3q5txerfMMD7Nowsw21e?usp=sharing" TargetMode="External"/><Relationship Id="rId406" Type="http://schemas.openxmlformats.org/officeDocument/2006/relationships/hyperlink" Target="https://drive.google.com/drive/folders/1ywQmsXc-ZPzeIVEY4qw95oG5GpkRx0tz?usp=drive_link" TargetMode="External"/><Relationship Id="rId527" Type="http://schemas.openxmlformats.org/officeDocument/2006/relationships/hyperlink" Target="https://drive.google.com/drive/folders/1ZuDwkIGBI9qAL6sVOKdsFKBguhHROKkW" TargetMode="External"/><Relationship Id="rId648" Type="http://schemas.openxmlformats.org/officeDocument/2006/relationships/hyperlink" Target="https://drive.google.com/drive/folders/1Ccf9zoq3j3CMZ2gtFexZekXr-nwQXzkB?usp=sharing" TargetMode="External"/><Relationship Id="rId405" Type="http://schemas.openxmlformats.org/officeDocument/2006/relationships/hyperlink" Target="https://drive.google.com/drive/folders/11Vdd0BmSFEeNQRIvOy_xaGxTvAEfZ526?usp=drive_link" TargetMode="External"/><Relationship Id="rId526" Type="http://schemas.openxmlformats.org/officeDocument/2006/relationships/hyperlink" Target="http://h.no/" TargetMode="External"/><Relationship Id="rId647" Type="http://schemas.openxmlformats.org/officeDocument/2006/relationships/hyperlink" Target="http://h.no/" TargetMode="External"/><Relationship Id="rId26" Type="http://schemas.openxmlformats.org/officeDocument/2006/relationships/hyperlink" Target="http://h.no/" TargetMode="External"/><Relationship Id="rId25" Type="http://schemas.openxmlformats.org/officeDocument/2006/relationships/hyperlink" Target="https://drive.google.com/drive/folders/1dSwEyifkPxUG9QNgXPEPSPe9Wz37Yjpx" TargetMode="External"/><Relationship Id="rId28" Type="http://schemas.openxmlformats.org/officeDocument/2006/relationships/hyperlink" Target="http://p.no/" TargetMode="External"/><Relationship Id="rId27" Type="http://schemas.openxmlformats.org/officeDocument/2006/relationships/hyperlink" Target="https://drive.google.com/drive/folders/1O9zT56Qjx_Fn-1HXs44MbW70lNaEY6eu?usp=sharing" TargetMode="External"/><Relationship Id="rId400" Type="http://schemas.openxmlformats.org/officeDocument/2006/relationships/hyperlink" Target="https://drive.google.com/drive/folders/1BHdcDDkcCJv7dgCKmBXXUyFUnbSHifFo?usp=sharing" TargetMode="External"/><Relationship Id="rId521" Type="http://schemas.openxmlformats.org/officeDocument/2006/relationships/hyperlink" Target="https://drive.google.com/drive/folders/1aUqj7MSkXbTaBwCOz5adschNXFIhpCuY" TargetMode="External"/><Relationship Id="rId642" Type="http://schemas.openxmlformats.org/officeDocument/2006/relationships/hyperlink" Target="http://p.no/" TargetMode="External"/><Relationship Id="rId29" Type="http://schemas.openxmlformats.org/officeDocument/2006/relationships/hyperlink" Target="https://drive.google.com/drive/folders/1fMxi-4kuAYVRCumBpHT0cJ0OQJGZKWP9?usp=sharing" TargetMode="External"/><Relationship Id="rId520" Type="http://schemas.openxmlformats.org/officeDocument/2006/relationships/hyperlink" Target="https://drive.google.com/drive/folders/1rSNAn8wbMG3gxG3yP3cMM2Nn5mQrU-tP" TargetMode="External"/><Relationship Id="rId641" Type="http://schemas.openxmlformats.org/officeDocument/2006/relationships/hyperlink" Target="http://p.no/" TargetMode="External"/><Relationship Id="rId640" Type="http://schemas.openxmlformats.org/officeDocument/2006/relationships/hyperlink" Target="https://drive.google.com/drive/folders/1OS2eq5ztA22Y0eoKiIJQiIbde5gOC7l7" TargetMode="External"/><Relationship Id="rId11" Type="http://schemas.openxmlformats.org/officeDocument/2006/relationships/hyperlink" Target="https://drive.google.com/drive/folders/1YsOVORTRLFpXHAUJiIrmFhshAi8DDIee?usp=drive_link" TargetMode="External"/><Relationship Id="rId10" Type="http://schemas.openxmlformats.org/officeDocument/2006/relationships/hyperlink" Target="https://drive.google.com/drive/folders/1KNPeVcsMJ0WDp5KH6nSS-MfsJEjo5gEl" TargetMode="External"/><Relationship Id="rId13" Type="http://schemas.openxmlformats.org/officeDocument/2006/relationships/hyperlink" Target="https://drive.google.com/drive/folders/14K3Gd-3ZW3rqeDHV6aD0ibJLh9LwXqj9?usp=sharing" TargetMode="External"/><Relationship Id="rId12" Type="http://schemas.openxmlformats.org/officeDocument/2006/relationships/hyperlink" Target="https://drive.google.com/drive/folders/16PzSygeOLaXCa7wt2mKHTfEYFJ3Y9ChJ" TargetMode="External"/><Relationship Id="rId519" Type="http://schemas.openxmlformats.org/officeDocument/2006/relationships/hyperlink" Target="http://d.no/" TargetMode="External"/><Relationship Id="rId514" Type="http://schemas.openxmlformats.org/officeDocument/2006/relationships/hyperlink" Target="http://h.no/" TargetMode="External"/><Relationship Id="rId635" Type="http://schemas.openxmlformats.org/officeDocument/2006/relationships/hyperlink" Target="https://drive.google.com/drive/folders/1UTjCK1j8Qr6rQ_C43KNYpCMzxjIHPJtg?usp=sharing" TargetMode="External"/><Relationship Id="rId513" Type="http://schemas.openxmlformats.org/officeDocument/2006/relationships/hyperlink" Target="https://drive.google.com/drive/folders/1EcFNC4da5qA_gfnZpxvqJRxhlMRdu87q" TargetMode="External"/><Relationship Id="rId634" Type="http://schemas.openxmlformats.org/officeDocument/2006/relationships/hyperlink" Target="https://maps.app.goo.gl/4TDTFE6tGGCzyzv48" TargetMode="External"/><Relationship Id="rId512" Type="http://schemas.openxmlformats.org/officeDocument/2006/relationships/hyperlink" Target="https://drive.google.com/drive/folders/1E8JRaYu66cn7CFhIHFgD-0nOgW7OJyXp?usp=drive_link" TargetMode="External"/><Relationship Id="rId633" Type="http://schemas.openxmlformats.org/officeDocument/2006/relationships/hyperlink" Target="https://drive.google.com/drive/folders/1DWy53RJfJfmqo751Ce-wiwFRErU3xbuP?usp=sharing" TargetMode="External"/><Relationship Id="rId511" Type="http://schemas.openxmlformats.org/officeDocument/2006/relationships/hyperlink" Target="http://h.no/" TargetMode="External"/><Relationship Id="rId632" Type="http://schemas.openxmlformats.org/officeDocument/2006/relationships/hyperlink" Target="https://drive.google.com/drive/folders/1emFGBahHwZs1l9_MurvO__HDMIB90uAt?usp=drive_link" TargetMode="External"/><Relationship Id="rId518" Type="http://schemas.openxmlformats.org/officeDocument/2006/relationships/hyperlink" Target="http://d.no/" TargetMode="External"/><Relationship Id="rId639" Type="http://schemas.openxmlformats.org/officeDocument/2006/relationships/hyperlink" Target="https://drive.google.com/drive/folders/15puFhg_dMbumboYY7eEty2LjQwUqgs3Q" TargetMode="External"/><Relationship Id="rId517" Type="http://schemas.openxmlformats.org/officeDocument/2006/relationships/hyperlink" Target="https://drive.google.com/drive/folders/1bUnygrdN92KDvA2L1wFjTXVDPjc7_bKs" TargetMode="External"/><Relationship Id="rId638" Type="http://schemas.openxmlformats.org/officeDocument/2006/relationships/hyperlink" Target="https://drive.google.com/drive/folders/15puFhg_dMbumboYY7eEty2LjQwUqgs3Q" TargetMode="External"/><Relationship Id="rId516" Type="http://schemas.openxmlformats.org/officeDocument/2006/relationships/hyperlink" Target="https://drive.google.com/drive/folders/1I_tSOVQjsdczAnDiiPw7-vKjO8wZsdHL" TargetMode="External"/><Relationship Id="rId637" Type="http://schemas.openxmlformats.org/officeDocument/2006/relationships/hyperlink" Target="https://drive.google.com/drive/folders/1ym7dtu4I7Ex8aqa82MAyU2jPomQe9IP9?usp=sharing" TargetMode="External"/><Relationship Id="rId515" Type="http://schemas.openxmlformats.org/officeDocument/2006/relationships/hyperlink" Target="http://h.no/" TargetMode="External"/><Relationship Id="rId636" Type="http://schemas.openxmlformats.org/officeDocument/2006/relationships/hyperlink" Target="http://h.no/" TargetMode="External"/><Relationship Id="rId15" Type="http://schemas.openxmlformats.org/officeDocument/2006/relationships/hyperlink" Target="http://h.no/" TargetMode="External"/><Relationship Id="rId14" Type="http://schemas.openxmlformats.org/officeDocument/2006/relationships/hyperlink" Target="https://maps.app.goo.gl/7kDCtkQs6d4Hwruc8?g_st=iw" TargetMode="External"/><Relationship Id="rId17" Type="http://schemas.openxmlformats.org/officeDocument/2006/relationships/hyperlink" Target="https://drive.google.com/drive/folders/16Pqgac9j1zbGysD70GA0bsI2nEml5nxG?usp=drive_link" TargetMode="External"/><Relationship Id="rId16" Type="http://schemas.openxmlformats.org/officeDocument/2006/relationships/hyperlink" Target="https://drive.google.com/drive/folders/1Bcpf2nTkRm8vyXXW6mpna2LwmGTtAnVJ" TargetMode="External"/><Relationship Id="rId19" Type="http://schemas.openxmlformats.org/officeDocument/2006/relationships/hyperlink" Target="https://drive.google.com/drive/folders/1vwQBXtrKHjhq6Hi99nyYzoC_ckqUI8ju?usp=sharing" TargetMode="External"/><Relationship Id="rId510" Type="http://schemas.openxmlformats.org/officeDocument/2006/relationships/hyperlink" Target="http://h.no/" TargetMode="External"/><Relationship Id="rId631" Type="http://schemas.openxmlformats.org/officeDocument/2006/relationships/hyperlink" Target="https://drive.google.com/drive/folders/1fQHHxSlxho0OTDvdGwB-GlmOPJN4_2QO?usp=drive_link" TargetMode="External"/><Relationship Id="rId18" Type="http://schemas.openxmlformats.org/officeDocument/2006/relationships/hyperlink" Target="http://h.no:325/2rt" TargetMode="External"/><Relationship Id="rId630" Type="http://schemas.openxmlformats.org/officeDocument/2006/relationships/hyperlink" Target="http://h.no/" TargetMode="External"/><Relationship Id="rId84" Type="http://schemas.openxmlformats.org/officeDocument/2006/relationships/hyperlink" Target="https://drive.google.com/drive/folders/17e5ZoJ64peB0BjuARtUdrR5R8zWWHQuI" TargetMode="External"/><Relationship Id="rId83" Type="http://schemas.openxmlformats.org/officeDocument/2006/relationships/hyperlink" Target="https://drive.google.com/drive/folders/1E9-9yixpt3TDMvd6hro7csptgS61njEI" TargetMode="External"/><Relationship Id="rId86" Type="http://schemas.openxmlformats.org/officeDocument/2006/relationships/hyperlink" Target="http://h.no/" TargetMode="External"/><Relationship Id="rId85" Type="http://schemas.openxmlformats.org/officeDocument/2006/relationships/hyperlink" Target="https://drive.google.com/drive/folders/1f4awwnmjkQ5VpEsLZr8FHC4T73B6cs-e?usp=sharing" TargetMode="External"/><Relationship Id="rId88" Type="http://schemas.openxmlformats.org/officeDocument/2006/relationships/hyperlink" Target="https://drive.google.com/drive/folders/1KkZU6RKi0QkgkyOtEjtz_QuS0voG0ou5" TargetMode="External"/><Relationship Id="rId87" Type="http://schemas.openxmlformats.org/officeDocument/2006/relationships/hyperlink" Target="https://drive.google.com/drive/folders/1z0sETsfH5F3Pi2AvC3G2RfzWuQW8x-4d?usp=drive_link" TargetMode="External"/><Relationship Id="rId89" Type="http://schemas.openxmlformats.org/officeDocument/2006/relationships/hyperlink" Target="http://h.no/" TargetMode="External"/><Relationship Id="rId708" Type="http://schemas.openxmlformats.org/officeDocument/2006/relationships/drawing" Target="../drawings/drawing1.xml"/><Relationship Id="rId707" Type="http://schemas.openxmlformats.org/officeDocument/2006/relationships/hyperlink" Target="http://h.no/" TargetMode="External"/><Relationship Id="rId706" Type="http://schemas.openxmlformats.org/officeDocument/2006/relationships/hyperlink" Target="http://h.no/" TargetMode="External"/><Relationship Id="rId80" Type="http://schemas.openxmlformats.org/officeDocument/2006/relationships/hyperlink" Target="https://drive.google.com/drive/folders/1tqp8TfFW2_AiRzRoXvlt4cRRsEyGUaRx" TargetMode="External"/><Relationship Id="rId82" Type="http://schemas.openxmlformats.org/officeDocument/2006/relationships/hyperlink" Target="https://www.google.com/maps/place/Anu+Archana+Kitchen/@17.4083423,78.3904879,17z/data=!3m1!4b1!4m6!3m5!1s0x3bcb97000c2a71c3:0xf15817e8716a38db!8m2!3d17.4083372!4d78.3930628!16s%2Fg%2F11xr_gtynz?entry=ttu&amp;g_ep=EgoyMDI2MDIxMS4wIKXMDSoASAFQAw%3D%3D" TargetMode="External"/><Relationship Id="rId81" Type="http://schemas.openxmlformats.org/officeDocument/2006/relationships/hyperlink" Target="http://h.no/" TargetMode="External"/><Relationship Id="rId701" Type="http://schemas.openxmlformats.org/officeDocument/2006/relationships/hyperlink" Target="http://h.no/" TargetMode="External"/><Relationship Id="rId700" Type="http://schemas.openxmlformats.org/officeDocument/2006/relationships/hyperlink" Target="http://h.no/" TargetMode="External"/><Relationship Id="rId705" Type="http://schemas.openxmlformats.org/officeDocument/2006/relationships/hyperlink" Target="http://h.no/" TargetMode="External"/><Relationship Id="rId704" Type="http://schemas.openxmlformats.org/officeDocument/2006/relationships/hyperlink" Target="http://h.no/" TargetMode="External"/><Relationship Id="rId703" Type="http://schemas.openxmlformats.org/officeDocument/2006/relationships/hyperlink" Target="http://h.no/" TargetMode="External"/><Relationship Id="rId702" Type="http://schemas.openxmlformats.org/officeDocument/2006/relationships/hyperlink" Target="http://h.no/" TargetMode="External"/><Relationship Id="rId73" Type="http://schemas.openxmlformats.org/officeDocument/2006/relationships/hyperlink" Target="http://h.no/" TargetMode="External"/><Relationship Id="rId72" Type="http://schemas.openxmlformats.org/officeDocument/2006/relationships/hyperlink" Target="https://maps.app.goo.gl/PAzVdsC4RjULPWhx7" TargetMode="External"/><Relationship Id="rId75" Type="http://schemas.openxmlformats.org/officeDocument/2006/relationships/hyperlink" Target="http://h.no/" TargetMode="External"/><Relationship Id="rId74" Type="http://schemas.openxmlformats.org/officeDocument/2006/relationships/hyperlink" Target="https://drive.google.com/drive/folders/1E4Ykj6WozePtfLrLIk_S1m_2LpR40ZCm" TargetMode="External"/><Relationship Id="rId77" Type="http://schemas.openxmlformats.org/officeDocument/2006/relationships/hyperlink" Target="https://drive.google.com/drive/folders/1xZcfj_aVWNi54pSCdPOTDkp-TusuAqYC" TargetMode="External"/><Relationship Id="rId76" Type="http://schemas.openxmlformats.org/officeDocument/2006/relationships/hyperlink" Target="http://h.no/" TargetMode="External"/><Relationship Id="rId79" Type="http://schemas.openxmlformats.org/officeDocument/2006/relationships/hyperlink" Target="https://drive.google.com/drive/folders/1Pxy8lK7igSsskr30ZhKGFIpPz7wV_jBt" TargetMode="External"/><Relationship Id="rId78" Type="http://schemas.openxmlformats.org/officeDocument/2006/relationships/hyperlink" Target="https://drive.google.com/drive/folders/1VOBUtu-z39SH2yaFZY4oZPcdzzygkse8?usp=drive_link" TargetMode="External"/><Relationship Id="rId71" Type="http://schemas.openxmlformats.org/officeDocument/2006/relationships/hyperlink" Target="https://drive.google.com/drive/folders/1daC0qyAzVySEWU869c9UagsLakwduR0b?usp=sharing" TargetMode="External"/><Relationship Id="rId70" Type="http://schemas.openxmlformats.org/officeDocument/2006/relationships/hyperlink" Target="https://maps.app.goo.gl/PAzVdsC4RjULPWhx7" TargetMode="External"/><Relationship Id="rId62" Type="http://schemas.openxmlformats.org/officeDocument/2006/relationships/hyperlink" Target="https://maps.app.goo.gl/Sq2bCzb7zN1sfzjj8" TargetMode="External"/><Relationship Id="rId61" Type="http://schemas.openxmlformats.org/officeDocument/2006/relationships/hyperlink" Target="https://drive.google.com/drive/folders/12xbHGnBhFoKf-waGVxOsBcTneTxTuKiT?usp=sharing" TargetMode="External"/><Relationship Id="rId64" Type="http://schemas.openxmlformats.org/officeDocument/2006/relationships/hyperlink" Target="https://maps.app.goo.gl/Sq2bCzb7zN1sfzjj8" TargetMode="External"/><Relationship Id="rId63" Type="http://schemas.openxmlformats.org/officeDocument/2006/relationships/hyperlink" Target="https://drive.google.com/drive/folders/1HS6oYYSbkZv7kKH5anyoFqV80LyyV9ZL?usp=sharing" TargetMode="External"/><Relationship Id="rId66" Type="http://schemas.openxmlformats.org/officeDocument/2006/relationships/hyperlink" Target="https://drive.google.com/drive/folders/16gfbzzZAYHYsCWvtHbZJvY-ryyLeZfvh" TargetMode="External"/><Relationship Id="rId65" Type="http://schemas.openxmlformats.org/officeDocument/2006/relationships/hyperlink" Target="https://drive.google.com/drive/folders/1kjGHv9fx_gvyji9Qe3xnW2P5yjNLNsOr" TargetMode="External"/><Relationship Id="rId68" Type="http://schemas.openxmlformats.org/officeDocument/2006/relationships/hyperlink" Target="https://maps.app.goo.gl/ASUzZms91egz4edi9" TargetMode="External"/><Relationship Id="rId67" Type="http://schemas.openxmlformats.org/officeDocument/2006/relationships/hyperlink" Target="https://drive.google.com/drive/folders/1kav-cnUobZkWhE8D0_-ZWbXU_SIsOhfl?usp=sharing" TargetMode="External"/><Relationship Id="rId609" Type="http://schemas.openxmlformats.org/officeDocument/2006/relationships/hyperlink" Target="https://drive.google.com/drive/folders/1fj5yHNmi22FHFA4_lBC5P90AtU_7btJD?usp=sharing" TargetMode="External"/><Relationship Id="rId608" Type="http://schemas.openxmlformats.org/officeDocument/2006/relationships/hyperlink" Target="https://drive.google.com/drive/folders/1mUcGNB-msh0RrzzlAHfiyS-869YyUEA9" TargetMode="External"/><Relationship Id="rId607" Type="http://schemas.openxmlformats.org/officeDocument/2006/relationships/hyperlink" Target="http://h.no:106/9/1" TargetMode="External"/><Relationship Id="rId60" Type="http://schemas.openxmlformats.org/officeDocument/2006/relationships/hyperlink" Target="https://drive.google.com/drive/folders/1qqDAuHRUNSZORJNHvCtEG8P1NW_AwUL10" TargetMode="External"/><Relationship Id="rId602" Type="http://schemas.openxmlformats.org/officeDocument/2006/relationships/hyperlink" Target="https://drive.google.com/drive/folders/1uTnWgbeLboqYJjrt4utbp1etKGVawHn2?usp=sharing" TargetMode="External"/><Relationship Id="rId601" Type="http://schemas.openxmlformats.org/officeDocument/2006/relationships/hyperlink" Target="http://h.no:106/9/1" TargetMode="External"/><Relationship Id="rId600" Type="http://schemas.openxmlformats.org/officeDocument/2006/relationships/hyperlink" Target="https://drive.google.com/drive/folders/1mUcGNB-msh0RrzzlAHfiyS-869YyUEA9" TargetMode="External"/><Relationship Id="rId606" Type="http://schemas.openxmlformats.org/officeDocument/2006/relationships/hyperlink" Target="https://drive.google.com/drive/folders/1uTnWgbeLboqYJjrt4utbp1etKGVawHn2?usp=sharing" TargetMode="External"/><Relationship Id="rId605" Type="http://schemas.openxmlformats.org/officeDocument/2006/relationships/hyperlink" Target="http://h.no:106/9/1" TargetMode="External"/><Relationship Id="rId604" Type="http://schemas.openxmlformats.org/officeDocument/2006/relationships/hyperlink" Target="https://drive.google.com/drive/folders/1uTnWgbeLboqYJjrt4utbp1etKGVawHn2?usp=sharing" TargetMode="External"/><Relationship Id="rId603" Type="http://schemas.openxmlformats.org/officeDocument/2006/relationships/hyperlink" Target="http://h.no:106/9/1" TargetMode="External"/><Relationship Id="rId69" Type="http://schemas.openxmlformats.org/officeDocument/2006/relationships/hyperlink" Target="https://drive.google.com/drive/folders/1Yn1GE3TJP8mdVMtdNXeauqePgpgt8Ie1?usp=sharing" TargetMode="External"/><Relationship Id="rId51" Type="http://schemas.openxmlformats.org/officeDocument/2006/relationships/hyperlink" Target="https://drive.google.com/drive/folders/1qqDAuHRUNSZORJNHvCtEG8P1NW_AwUL7" TargetMode="External"/><Relationship Id="rId50" Type="http://schemas.openxmlformats.org/officeDocument/2006/relationships/hyperlink" Target="https://drive.google.com/drive/folders/12SN4-iTB989RjZFQ6mgf4CcnuRI5Bjgs" TargetMode="External"/><Relationship Id="rId53" Type="http://schemas.openxmlformats.org/officeDocument/2006/relationships/hyperlink" Target="https://drive.google.com/drive/folders/1qqDAuHRUNSZORJNHvCtEG8P1NW_AwUL10" TargetMode="External"/><Relationship Id="rId52" Type="http://schemas.openxmlformats.org/officeDocument/2006/relationships/hyperlink" Target="http://d.no/" TargetMode="External"/><Relationship Id="rId55" Type="http://schemas.openxmlformats.org/officeDocument/2006/relationships/hyperlink" Target="http://h.no/" TargetMode="External"/><Relationship Id="rId54" Type="http://schemas.openxmlformats.org/officeDocument/2006/relationships/hyperlink" Target="https://drive.google.com/drive/folders/1qqDAuHRUNSZORJNHvCtEG8P1NW_AwUL7" TargetMode="External"/><Relationship Id="rId57" Type="http://schemas.openxmlformats.org/officeDocument/2006/relationships/hyperlink" Target="https://drive.google.com/drive/folders/1qqDAuHRUNSZORJNHvCtEG8P1NW_AwUL7" TargetMode="External"/><Relationship Id="rId56" Type="http://schemas.openxmlformats.org/officeDocument/2006/relationships/hyperlink" Target="https://drive.google.com/drive/folders/1K6pBmqU93pqRUCSJpntmoI1L3BMw5xgl" TargetMode="External"/><Relationship Id="rId710" Type="http://schemas.openxmlformats.org/officeDocument/2006/relationships/table" Target="../tables/table1.xml"/><Relationship Id="rId59" Type="http://schemas.openxmlformats.org/officeDocument/2006/relationships/hyperlink" Target="https://drive.google.com/drive/folders/15_T7Ws4Hj0dUpZmHv1fPfcXjqwgZ3bqF?usp=drive_link" TargetMode="External"/><Relationship Id="rId58" Type="http://schemas.openxmlformats.org/officeDocument/2006/relationships/hyperlink" Target="http://h.no/" TargetMode="External"/><Relationship Id="rId590" Type="http://schemas.openxmlformats.org/officeDocument/2006/relationships/hyperlink" Target="https://drive.google.com/drive/folders/16r9w-bHtOPEb56oIJBQk8XocLk_zp_ne?usp=drive_link" TargetMode="External"/><Relationship Id="rId107" Type="http://schemas.openxmlformats.org/officeDocument/2006/relationships/hyperlink" Target="https://drive.google.com/drive/folders/1of07CoUVw5AIiP_oNNPANffb51pdKAuT?usp=sharing" TargetMode="External"/><Relationship Id="rId228" Type="http://schemas.openxmlformats.org/officeDocument/2006/relationships/hyperlink" Target="http://d.no/" TargetMode="External"/><Relationship Id="rId349" Type="http://schemas.openxmlformats.org/officeDocument/2006/relationships/hyperlink" Target="https://drive.google.com/drive/folders/1G_ky93niBmaL40jVSzHRR0MVNCTo-gnU" TargetMode="External"/><Relationship Id="rId106" Type="http://schemas.openxmlformats.org/officeDocument/2006/relationships/hyperlink" Target="https://drive.google.com/drive/folders/14dWR2loYkBJGSKHxp4kTMqsqOOtdr2sa?usp=sharing" TargetMode="External"/><Relationship Id="rId227" Type="http://schemas.openxmlformats.org/officeDocument/2006/relationships/hyperlink" Target="http://d.no/" TargetMode="External"/><Relationship Id="rId348" Type="http://schemas.openxmlformats.org/officeDocument/2006/relationships/hyperlink" Target="https://drive.google.com/drive/folders/18p6doDdKQm-sXq4NKmJgqZNVB8YeaJ3M?usp=sharing" TargetMode="External"/><Relationship Id="rId469" Type="http://schemas.openxmlformats.org/officeDocument/2006/relationships/hyperlink" Target="https://maps.app.goo.gl/gZDocm2FaGvWMQXd7" TargetMode="External"/><Relationship Id="rId105" Type="http://schemas.openxmlformats.org/officeDocument/2006/relationships/hyperlink" Target="http://h.no:12/" TargetMode="External"/><Relationship Id="rId226" Type="http://schemas.openxmlformats.org/officeDocument/2006/relationships/hyperlink" Target="https://drive.google.com/drive/folders/10e-FD2lMTrMhkl-PMJbSeP6PhkO2TD2Z?usp=drive_link" TargetMode="External"/><Relationship Id="rId347" Type="http://schemas.openxmlformats.org/officeDocument/2006/relationships/hyperlink" Target="https://drive.google.com/drive/folders/14Gp6EZt8td6kqLeuFRK9bWHdkqJEncnj" TargetMode="External"/><Relationship Id="rId468" Type="http://schemas.openxmlformats.org/officeDocument/2006/relationships/hyperlink" Target="https://drive.google.com/drive/folders/1LpFVob_r4kcmQEUT_uKy1I25GnDJVAwP?usp=sharing" TargetMode="External"/><Relationship Id="rId589" Type="http://schemas.openxmlformats.org/officeDocument/2006/relationships/hyperlink" Target="http://h.no/" TargetMode="External"/><Relationship Id="rId104" Type="http://schemas.openxmlformats.org/officeDocument/2006/relationships/hyperlink" Target="https://drive.google.com/drive/folders/1KuOUXuC2qGOX8IivMWfrHVjxheMyFa1a" TargetMode="External"/><Relationship Id="rId225" Type="http://schemas.openxmlformats.org/officeDocument/2006/relationships/hyperlink" Target="https://drive.google.com/drive/folders/1LbSlZUSrAgRjiWIjCiQxlblX1saAyVF9?usp=drive_link" TargetMode="External"/><Relationship Id="rId346" Type="http://schemas.openxmlformats.org/officeDocument/2006/relationships/hyperlink" Target="https://drive.google.com/drive/folders/1TpUo-klquf21FsZynXsRQJkFKvbRwakN" TargetMode="External"/><Relationship Id="rId467" Type="http://schemas.openxmlformats.org/officeDocument/2006/relationships/hyperlink" Target="https://drive.google.com/drive/folders/1E2CfI3SVY0vFQ_1ehpXYTrNKVBaWy898?usp=sharing" TargetMode="External"/><Relationship Id="rId588" Type="http://schemas.openxmlformats.org/officeDocument/2006/relationships/hyperlink" Target="https://drive.google.com/drive/folders/12KJHOtBmlR_YMQVp613rrKs8D_1VKaUT" TargetMode="External"/><Relationship Id="rId109" Type="http://schemas.openxmlformats.org/officeDocument/2006/relationships/hyperlink" Target="https://drive.google.com/drive/folders/1wVuR9udP0qP8f3UTjVpuQkxYe3JwCCtN?usp=sharing" TargetMode="External"/><Relationship Id="rId108" Type="http://schemas.openxmlformats.org/officeDocument/2006/relationships/hyperlink" Target="https://maps.app.goo.gl/zmzP1F2bP47tVvYU7" TargetMode="External"/><Relationship Id="rId229" Type="http://schemas.openxmlformats.org/officeDocument/2006/relationships/hyperlink" Target="https://drive.google.com/drive/folders/1zGiFryCv814QmdTCuiyeggpt5Z9ErX6W?usp=drive_link" TargetMode="External"/><Relationship Id="rId220" Type="http://schemas.openxmlformats.org/officeDocument/2006/relationships/hyperlink" Target="https://drive.google.com/drive/folders/1GR-UG90j7C2quoVQcTZszanRIJM9YpI6" TargetMode="External"/><Relationship Id="rId341" Type="http://schemas.openxmlformats.org/officeDocument/2006/relationships/hyperlink" Target="https://drive.google.com/drive/folders/11oJ7kbIgAhhqQ62zQFIqimxulI6uU4uj?usp=sharing" TargetMode="External"/><Relationship Id="rId462" Type="http://schemas.openxmlformats.org/officeDocument/2006/relationships/hyperlink" Target="https://drive.google.com/drive/folders/1qvC62ZNra1OmUgd9ExakOOPS1uKd1nr6?usp=sharing" TargetMode="External"/><Relationship Id="rId583" Type="http://schemas.openxmlformats.org/officeDocument/2006/relationships/hyperlink" Target="https://drive.google.com/drive/folders/1OjaURdVDXqH2PqZXgQhYKPYM2PHdaVgV" TargetMode="External"/><Relationship Id="rId340" Type="http://schemas.openxmlformats.org/officeDocument/2006/relationships/hyperlink" Target="https://drive.google.com/drive/folders/1OQqv3XSOMcO46lZY1qCrhIA7FmGo1DBT?usp=sharing" TargetMode="External"/><Relationship Id="rId461" Type="http://schemas.openxmlformats.org/officeDocument/2006/relationships/hyperlink" Target="http://h.no/" TargetMode="External"/><Relationship Id="rId582" Type="http://schemas.openxmlformats.org/officeDocument/2006/relationships/hyperlink" Target="https://drive.google.com/drive/folders/1OM8WzyC_xGTQr4IkWQuMWzlxnSo6tw-S?usp=drive_link" TargetMode="External"/><Relationship Id="rId460" Type="http://schemas.openxmlformats.org/officeDocument/2006/relationships/hyperlink" Target="https://drive.google.com/drive/folders/1pogsK5-PXtHNeT9p1A_GFM_hqvyuV5r4" TargetMode="External"/><Relationship Id="rId581" Type="http://schemas.openxmlformats.org/officeDocument/2006/relationships/hyperlink" Target="https://drive.google.com/drive/folders/1OM8WzyC_xGTQr4IkWQuMWzlxnSo6tw-S?usp=drive_link" TargetMode="External"/><Relationship Id="rId580" Type="http://schemas.openxmlformats.org/officeDocument/2006/relationships/hyperlink" Target="https://drive.google.com/drive/folders/1OM8WzyC_xGTQr4IkWQuMWzlxnSo6tw-S?usp=drive_link" TargetMode="External"/><Relationship Id="rId103" Type="http://schemas.openxmlformats.org/officeDocument/2006/relationships/hyperlink" Target="https://maps.app.goo.gl/zmzP1F2bP47tVvYU7" TargetMode="External"/><Relationship Id="rId224" Type="http://schemas.openxmlformats.org/officeDocument/2006/relationships/hyperlink" Target="https://drive.google.com/drive/folders/1kXpRrgaHWEjNLxQ_bb9FjgVz6OExoqIg" TargetMode="External"/><Relationship Id="rId345" Type="http://schemas.openxmlformats.org/officeDocument/2006/relationships/hyperlink" Target="https://maps.app.goo.gl/rE7xevTqH8xhxufS9" TargetMode="External"/><Relationship Id="rId466" Type="http://schemas.openxmlformats.org/officeDocument/2006/relationships/hyperlink" Target="http://h.no/" TargetMode="External"/><Relationship Id="rId587" Type="http://schemas.openxmlformats.org/officeDocument/2006/relationships/hyperlink" Target="https://drive.google.com/drive/folders/12KJHOtBmlR_YMQVp613rrKs8D_1VKaUT" TargetMode="External"/><Relationship Id="rId102" Type="http://schemas.openxmlformats.org/officeDocument/2006/relationships/hyperlink" Target="https://drive.google.com/drive/folders/1SwRlE6HUg8D6LKQ927pKMOvDKeWSD4-0?usp=sharing" TargetMode="External"/><Relationship Id="rId223" Type="http://schemas.openxmlformats.org/officeDocument/2006/relationships/hyperlink" Target="https://drive.google.com/drive/folders/1vCpm3qMxifko_SQQeMj_t2zOwBoe6lNE?usp=sharing" TargetMode="External"/><Relationship Id="rId344" Type="http://schemas.openxmlformats.org/officeDocument/2006/relationships/hyperlink" Target="https://drive.google.com/drive/folders/1yFHcqd_zL1Sns5-z15VxkeJuRAHj5Dkj?usp=sharing" TargetMode="External"/><Relationship Id="rId465" Type="http://schemas.openxmlformats.org/officeDocument/2006/relationships/hyperlink" Target="https://drive.google.com/drive/folders/1wE1Y76I28ZtyZNKKlz8yMtXtNe3deUQR?usp=sharing" TargetMode="External"/><Relationship Id="rId586" Type="http://schemas.openxmlformats.org/officeDocument/2006/relationships/hyperlink" Target="https://drive.google.com/drive/folders/12KJHOtBmlR_YMQVp613rrKs8D_1VKaUT" TargetMode="External"/><Relationship Id="rId101" Type="http://schemas.openxmlformats.org/officeDocument/2006/relationships/hyperlink" Target="https://maps.app.goo.gl/zmzP1F2bP47tVvYU7" TargetMode="External"/><Relationship Id="rId222" Type="http://schemas.openxmlformats.org/officeDocument/2006/relationships/hyperlink" Target="http://p.no/" TargetMode="External"/><Relationship Id="rId343" Type="http://schemas.openxmlformats.org/officeDocument/2006/relationships/hyperlink" Target="https://drive.google.com/drive/folders/1ISrBU0FLBTh_Xu1e1kDHoKE886k9J9uF?usp=drive_link" TargetMode="External"/><Relationship Id="rId464" Type="http://schemas.openxmlformats.org/officeDocument/2006/relationships/hyperlink" Target="http://h.no/" TargetMode="External"/><Relationship Id="rId585" Type="http://schemas.openxmlformats.org/officeDocument/2006/relationships/hyperlink" Target="https://maps.app.goo.gl/2wradvXpcq5BqgrCA" TargetMode="External"/><Relationship Id="rId100" Type="http://schemas.openxmlformats.org/officeDocument/2006/relationships/hyperlink" Target="https://drive.google.com/drive/folders/1AhQAQX2wjq8IoC1x5Qb4e4-cDHSQ2TYB?usp=sharing" TargetMode="External"/><Relationship Id="rId221" Type="http://schemas.openxmlformats.org/officeDocument/2006/relationships/hyperlink" Target="http://p.no/" TargetMode="External"/><Relationship Id="rId342" Type="http://schemas.openxmlformats.org/officeDocument/2006/relationships/hyperlink" Target="https://maps.app.goo.gl/rE7xevTqH8xhxufS9" TargetMode="External"/><Relationship Id="rId463" Type="http://schemas.openxmlformats.org/officeDocument/2006/relationships/hyperlink" Target="https://maps.app.goo.gl/yWw2wQT97SkCbQMK8" TargetMode="External"/><Relationship Id="rId584" Type="http://schemas.openxmlformats.org/officeDocument/2006/relationships/hyperlink" Target="https://drive.google.com/drive/folders/1znIL9kowwDC-G9mGANRJrDJeGeEoSbIV?usp=sharing" TargetMode="External"/><Relationship Id="rId217" Type="http://schemas.openxmlformats.org/officeDocument/2006/relationships/hyperlink" Target="http://h.no/" TargetMode="External"/><Relationship Id="rId338" Type="http://schemas.openxmlformats.org/officeDocument/2006/relationships/hyperlink" Target="http://h.no/" TargetMode="External"/><Relationship Id="rId459" Type="http://schemas.openxmlformats.org/officeDocument/2006/relationships/hyperlink" Target="http://d.no/" TargetMode="External"/><Relationship Id="rId216" Type="http://schemas.openxmlformats.org/officeDocument/2006/relationships/hyperlink" Target="http://h.no/" TargetMode="External"/><Relationship Id="rId337" Type="http://schemas.openxmlformats.org/officeDocument/2006/relationships/hyperlink" Target="http://h.no/" TargetMode="External"/><Relationship Id="rId458" Type="http://schemas.openxmlformats.org/officeDocument/2006/relationships/hyperlink" Target="https://drive.google.com/drive/folders/193aEDwzsy_aMRJyjG_y-u9sXzoevxyUB?usp=sharing" TargetMode="External"/><Relationship Id="rId579" Type="http://schemas.openxmlformats.org/officeDocument/2006/relationships/hyperlink" Target="https://drive.google.com/drive/folders/1-HJ1jL1YM28Ts6V0Axg18KyglAMIcgxf?usp=drive_link" TargetMode="External"/><Relationship Id="rId215" Type="http://schemas.openxmlformats.org/officeDocument/2006/relationships/hyperlink" Target="https://drive.google.com/drive/folders/1L3_cpB25gbYgd5XGSgEX7_lz_gBBsjkK?usp=drive_link" TargetMode="External"/><Relationship Id="rId336" Type="http://schemas.openxmlformats.org/officeDocument/2006/relationships/hyperlink" Target="https://maps.app.goo.gl/obUTnQHKazH9tTxb9" TargetMode="External"/><Relationship Id="rId457" Type="http://schemas.openxmlformats.org/officeDocument/2006/relationships/hyperlink" Target="http://h.no:304/2/64" TargetMode="External"/><Relationship Id="rId578" Type="http://schemas.openxmlformats.org/officeDocument/2006/relationships/hyperlink" Target="https://drive.google.com/drive/folders/1gsRP_llDBdgVHHQuAncpIEnMDxUMQ7Po?usp=sharing" TargetMode="External"/><Relationship Id="rId699" Type="http://schemas.openxmlformats.org/officeDocument/2006/relationships/hyperlink" Target="https://drive.google.com/drive/folders/1f9-zDVyxhcKYsd9eaYMjbK6_FUq9zxFC?usp=drive_link" TargetMode="External"/><Relationship Id="rId214" Type="http://schemas.openxmlformats.org/officeDocument/2006/relationships/hyperlink" Target="http://h.no/" TargetMode="External"/><Relationship Id="rId335" Type="http://schemas.openxmlformats.org/officeDocument/2006/relationships/hyperlink" Target="https://drive.google.com/drive/folders/1yC7oL87KtJebaft_6bO5Az6OYGlE2GOn?usp=sharing" TargetMode="External"/><Relationship Id="rId456" Type="http://schemas.openxmlformats.org/officeDocument/2006/relationships/hyperlink" Target="http://h.no:304/2/64" TargetMode="External"/><Relationship Id="rId577" Type="http://schemas.openxmlformats.org/officeDocument/2006/relationships/hyperlink" Target="https://drive.google.com/drive/folders/1PI4dgBlt2xoJcBBWPJhld9zZTHuDlQeB?usp=sharing" TargetMode="External"/><Relationship Id="rId698" Type="http://schemas.openxmlformats.org/officeDocument/2006/relationships/hyperlink" Target="https://drive.google.com/drive/folders/1pKLJme-tVhwtkJCFs6PPmYMT6UBHFANe" TargetMode="External"/><Relationship Id="rId219" Type="http://schemas.openxmlformats.org/officeDocument/2006/relationships/hyperlink" Target="http://h.no/" TargetMode="External"/><Relationship Id="rId218" Type="http://schemas.openxmlformats.org/officeDocument/2006/relationships/hyperlink" Target="https://drive.google.com/drive/folders/1iCC4LdpKxTdf4mXURVvoLUoPo9L617vd?usp=drive_link" TargetMode="External"/><Relationship Id="rId339" Type="http://schemas.openxmlformats.org/officeDocument/2006/relationships/hyperlink" Target="https://drive.google.com/drive/folders/1H2L0OLXryJitPqdT3cUvQ03DeZU7C5wX?usp=sharing" TargetMode="External"/><Relationship Id="rId330" Type="http://schemas.openxmlformats.org/officeDocument/2006/relationships/hyperlink" Target="https://drive.google.com/drive/folders/1TDGTkjgN8AV4VWnj9BFSNZ1yd8sKs4Tz?usp=drive_link" TargetMode="External"/><Relationship Id="rId451" Type="http://schemas.openxmlformats.org/officeDocument/2006/relationships/hyperlink" Target="https://drive.google.com/drive/folders/1TwvLvrvDKJlFXvwjzNhaXQpohsGCwWo6?usp=sharing" TargetMode="External"/><Relationship Id="rId572" Type="http://schemas.openxmlformats.org/officeDocument/2006/relationships/hyperlink" Target="https://drive.google.com/drive/folders/1hVcz0cxaHIgC5rkk7ErVuicPVUuxb9rc?usp=sharing" TargetMode="External"/><Relationship Id="rId693" Type="http://schemas.openxmlformats.org/officeDocument/2006/relationships/hyperlink" Target="https://drive.google.com/drive/folders/1y2259SfsRT55cWDxllsqLcwVb0aCu5zU?usp=sharing" TargetMode="External"/><Relationship Id="rId450" Type="http://schemas.openxmlformats.org/officeDocument/2006/relationships/hyperlink" Target="https://maps.app.goo.gl/hphFNfVdDY4pHtkG9" TargetMode="External"/><Relationship Id="rId571" Type="http://schemas.openxmlformats.org/officeDocument/2006/relationships/hyperlink" Target="https://drive.google.com/drive/folders/1mnk7kGXBo_V5L12OUDfiRjsZqJ8DuHxG?usp=drive_link" TargetMode="External"/><Relationship Id="rId692" Type="http://schemas.openxmlformats.org/officeDocument/2006/relationships/hyperlink" Target="http://mondayhotels.com/" TargetMode="External"/><Relationship Id="rId570" Type="http://schemas.openxmlformats.org/officeDocument/2006/relationships/hyperlink" Target="http://h.no/" TargetMode="External"/><Relationship Id="rId691" Type="http://schemas.openxmlformats.org/officeDocument/2006/relationships/hyperlink" Target="https://maps.app.goo.gl/ce7FRSF6goJEtu2P7" TargetMode="External"/><Relationship Id="rId690" Type="http://schemas.openxmlformats.org/officeDocument/2006/relationships/hyperlink" Target="https://drive.google.com/drive/folders/1q2f7zyLiUcBdBhNHpWdPATRTYwzKy7u8?usp=sharing" TargetMode="External"/><Relationship Id="rId213" Type="http://schemas.openxmlformats.org/officeDocument/2006/relationships/hyperlink" Target="http://h.no/" TargetMode="External"/><Relationship Id="rId334" Type="http://schemas.openxmlformats.org/officeDocument/2006/relationships/hyperlink" Target="https://maps.app.goo.gl/Poy4P6VsexDRpvWv5" TargetMode="External"/><Relationship Id="rId455" Type="http://schemas.openxmlformats.org/officeDocument/2006/relationships/hyperlink" Target="https://drive.google.com/drive/folders/1e-m6A_mbsgZDnRcx5fuor5vkPnr4mkCB?usp=sharing" TargetMode="External"/><Relationship Id="rId576" Type="http://schemas.openxmlformats.org/officeDocument/2006/relationships/hyperlink" Target="https://drive.google.com/drive/folders/10q2tzUQREXDA0tttRxtjlcDTCsRqedR4?usp=sharing" TargetMode="External"/><Relationship Id="rId697" Type="http://schemas.openxmlformats.org/officeDocument/2006/relationships/hyperlink" Target="https://drive.google.com/drive/folders/1o6hYRIHqj8mwR90M6Mn0yWWaja0SjwlL?usp=sharing" TargetMode="External"/><Relationship Id="rId212" Type="http://schemas.openxmlformats.org/officeDocument/2006/relationships/hyperlink" Target="https://drive.google.com/drive/folders/1vCpm3qMxifko_SQQeMj_t2zOwBoe6lNE?usp=sharing" TargetMode="External"/><Relationship Id="rId333" Type="http://schemas.openxmlformats.org/officeDocument/2006/relationships/hyperlink" Target="https://drive.google.com/drive/folders/1f88528mBgPr5TLs9mrUITgDKkjL1XRpy?usp=sharing" TargetMode="External"/><Relationship Id="rId454" Type="http://schemas.openxmlformats.org/officeDocument/2006/relationships/hyperlink" Target="http://h.no/" TargetMode="External"/><Relationship Id="rId575" Type="http://schemas.openxmlformats.org/officeDocument/2006/relationships/hyperlink" Target="https://drive.google.com/drive/folders/1ttBxcCBo1M1E-pQhRwfkQu9h4S6-sosg" TargetMode="External"/><Relationship Id="rId696" Type="http://schemas.openxmlformats.org/officeDocument/2006/relationships/hyperlink" Target="http://p.no:897/" TargetMode="External"/><Relationship Id="rId211" Type="http://schemas.openxmlformats.org/officeDocument/2006/relationships/hyperlink" Target="https://drive.google.com/drive/folders/1vCpm3qMxifko_SQQeMj_t2zOwBoe6lNE?usp=sharing" TargetMode="External"/><Relationship Id="rId332" Type="http://schemas.openxmlformats.org/officeDocument/2006/relationships/hyperlink" Target="https://maps.app.goo.gl/pW9XwoBitEbqpSdW8" TargetMode="External"/><Relationship Id="rId453" Type="http://schemas.openxmlformats.org/officeDocument/2006/relationships/hyperlink" Target="http://h.no/" TargetMode="External"/><Relationship Id="rId574" Type="http://schemas.openxmlformats.org/officeDocument/2006/relationships/hyperlink" Target="http://h.no/" TargetMode="External"/><Relationship Id="rId695" Type="http://schemas.openxmlformats.org/officeDocument/2006/relationships/hyperlink" Target="http://p.no:897/" TargetMode="External"/><Relationship Id="rId210" Type="http://schemas.openxmlformats.org/officeDocument/2006/relationships/hyperlink" Target="http://p.no/" TargetMode="External"/><Relationship Id="rId331" Type="http://schemas.openxmlformats.org/officeDocument/2006/relationships/hyperlink" Target="https://drive.google.com/drive/folders/1o9iUo_CxVqMhIFqfNW_dsWeuC8oRh_rO?usp=drive_link" TargetMode="External"/><Relationship Id="rId452" Type="http://schemas.openxmlformats.org/officeDocument/2006/relationships/hyperlink" Target="https://maps.app.goo.gl/hphFNfVdDY4pHtkG9" TargetMode="External"/><Relationship Id="rId573" Type="http://schemas.openxmlformats.org/officeDocument/2006/relationships/hyperlink" Target="http://h.no/" TargetMode="External"/><Relationship Id="rId694" Type="http://schemas.openxmlformats.org/officeDocument/2006/relationships/hyperlink" Target="https://maps.app.goo.gl/XZTTpPx1B7BxCaAE7" TargetMode="External"/><Relationship Id="rId370" Type="http://schemas.openxmlformats.org/officeDocument/2006/relationships/hyperlink" Target="https://maps.app.goo.gl/yyaLaYiEtrYcECJU6" TargetMode="External"/><Relationship Id="rId491" Type="http://schemas.openxmlformats.org/officeDocument/2006/relationships/hyperlink" Target="https://drive.google.com/drive/folders/1Oj6rwRmvtkuhLa9tOWy-6mn4w2vFhveQ?usp=sharing" TargetMode="External"/><Relationship Id="rId490" Type="http://schemas.openxmlformats.org/officeDocument/2006/relationships/hyperlink" Target="https://drive.google.com/drive/folders/1mtrcV4enefSXdg5VSo2irVr94_6WAY2y?usp=drive_link" TargetMode="External"/><Relationship Id="rId129" Type="http://schemas.openxmlformats.org/officeDocument/2006/relationships/hyperlink" Target="https://drive.google.com/drive/folders/1iGkq5x63L9MzLTFtbpSSdoRb2Z16w-QN" TargetMode="External"/><Relationship Id="rId128" Type="http://schemas.openxmlformats.org/officeDocument/2006/relationships/hyperlink" Target="http://h.no/" TargetMode="External"/><Relationship Id="rId249" Type="http://schemas.openxmlformats.org/officeDocument/2006/relationships/hyperlink" Target="https://drive.google.com/drive/folders/1ntfU6Or1RXYkkjHCy7vSRHmN5RX0Uxgd?usp=drive_link" TargetMode="External"/><Relationship Id="rId127" Type="http://schemas.openxmlformats.org/officeDocument/2006/relationships/hyperlink" Target="https://drive.google.com/drive/folders/1wj1STRyWLksx3sLrcUKwC3FpyEaJB7LV" TargetMode="External"/><Relationship Id="rId248" Type="http://schemas.openxmlformats.org/officeDocument/2006/relationships/hyperlink" Target="https://maps.app.goo.gl/fxSyMWBjHL2CGamTA" TargetMode="External"/><Relationship Id="rId369" Type="http://schemas.openxmlformats.org/officeDocument/2006/relationships/hyperlink" Target="https://drive.google.com/drive/folders/1yOL5qpuydNLeQDF309ooYTvumBJs3o0j?usp=drive_link" TargetMode="External"/><Relationship Id="rId126" Type="http://schemas.openxmlformats.org/officeDocument/2006/relationships/hyperlink" Target="https://maps.app.goo.gl/7C1uYtpj9cKUR4qt7" TargetMode="External"/><Relationship Id="rId247" Type="http://schemas.openxmlformats.org/officeDocument/2006/relationships/hyperlink" Target="https://drive.google.com/drive/folders/1DB6N6iBVeY6mKqhrcq0Hbu8jB7dhLYff?usp=sharing" TargetMode="External"/><Relationship Id="rId368" Type="http://schemas.openxmlformats.org/officeDocument/2006/relationships/hyperlink" Target="http://h.no/" TargetMode="External"/><Relationship Id="rId489" Type="http://schemas.openxmlformats.org/officeDocument/2006/relationships/hyperlink" Target="https://drive.google.com/drive/folders/1mtrcV4enefSXdg5VSo2irVr94_6WAY2y?usp=drive_link" TargetMode="External"/><Relationship Id="rId121" Type="http://schemas.openxmlformats.org/officeDocument/2006/relationships/hyperlink" Target="http://h.no/" TargetMode="External"/><Relationship Id="rId242" Type="http://schemas.openxmlformats.org/officeDocument/2006/relationships/hyperlink" Target="https://drive.google.com/drive/folders/1aHf2ExbPPUc59fLkesjNJN2JBnS0Uy1Q?usp=sharing" TargetMode="External"/><Relationship Id="rId363" Type="http://schemas.openxmlformats.org/officeDocument/2006/relationships/hyperlink" Target="https://drive.google.com/drive/folders/1rgE6TiCyfdq4tV32zeWB_ZnfAjpWfoBY?usp=drive_link" TargetMode="External"/><Relationship Id="rId484" Type="http://schemas.openxmlformats.org/officeDocument/2006/relationships/hyperlink" Target="https://maps.app.goo.gl/1bfNeGtMemUkBwoy6" TargetMode="External"/><Relationship Id="rId120" Type="http://schemas.openxmlformats.org/officeDocument/2006/relationships/hyperlink" Target="http://h.no/" TargetMode="External"/><Relationship Id="rId241" Type="http://schemas.openxmlformats.org/officeDocument/2006/relationships/hyperlink" Target="https://drive.google.com/drive/folders/1llIbrhchyJeTK44W6Ej52Gq9r2ytLAHW?usp=drive_link" TargetMode="External"/><Relationship Id="rId362" Type="http://schemas.openxmlformats.org/officeDocument/2006/relationships/hyperlink" Target="https://drive.google.com/drive/folders/1rgE6TiCyfdq4tV32zeWB_ZnfAjpWfoBY?usp=drive_link" TargetMode="External"/><Relationship Id="rId483" Type="http://schemas.openxmlformats.org/officeDocument/2006/relationships/hyperlink" Target="https://drive.google.com/drive/folders/1ColzOpP02dy9n3VGfNNhivXcSw87g1UR?usp=drive_link" TargetMode="External"/><Relationship Id="rId240" Type="http://schemas.openxmlformats.org/officeDocument/2006/relationships/hyperlink" Target="https://drive.google.com/drive/folders/1ERLRlQH5cBVNKhL_y0J-cilFrPuYDboF?usp=drive_link" TargetMode="External"/><Relationship Id="rId361" Type="http://schemas.openxmlformats.org/officeDocument/2006/relationships/hyperlink" Target="https://maps.app.goo.gl/vvYsmJF5K1QmQUr16" TargetMode="External"/><Relationship Id="rId482" Type="http://schemas.openxmlformats.org/officeDocument/2006/relationships/hyperlink" Target="https://maps.app.goo.gl/1bfNeGtMemUkBwoy6" TargetMode="External"/><Relationship Id="rId360" Type="http://schemas.openxmlformats.org/officeDocument/2006/relationships/hyperlink" Target="https://drive.google.com/drive/folders/1ybkBsRKs8dXeHqy01cCVvXWM5cLGHo8N?usp=sharing" TargetMode="External"/><Relationship Id="rId481" Type="http://schemas.openxmlformats.org/officeDocument/2006/relationships/hyperlink" Target="https://drive.google.com/drive/folders/1HNwH-_wuEEJABokqh3Tc1L3FZyN-6Lzd?usp=sharing" TargetMode="External"/><Relationship Id="rId125" Type="http://schemas.openxmlformats.org/officeDocument/2006/relationships/hyperlink" Target="https://drive.google.com/drive/folders/1hwS8e9J7eu_zAk9WXO-_Rpc6Q--Y4dGL?usp=sharing" TargetMode="External"/><Relationship Id="rId246" Type="http://schemas.openxmlformats.org/officeDocument/2006/relationships/hyperlink" Target="https://drive.google.com/drive/folders/1SaTfyf3skIpsD9YuzOx08isGUMGbDEvQ" TargetMode="External"/><Relationship Id="rId367" Type="http://schemas.openxmlformats.org/officeDocument/2006/relationships/hyperlink" Target="https://maps.app.goo.gl/yyaLaYiEtrYcECJU6" TargetMode="External"/><Relationship Id="rId488" Type="http://schemas.openxmlformats.org/officeDocument/2006/relationships/hyperlink" Target="https://drive.google.com/drive/folders/1ERLRlQH5cBVNKhL_y0J-cilFrPuYDboF?usp=drive_link" TargetMode="External"/><Relationship Id="rId124" Type="http://schemas.openxmlformats.org/officeDocument/2006/relationships/hyperlink" Target="http://h.no/" TargetMode="External"/><Relationship Id="rId245" Type="http://schemas.openxmlformats.org/officeDocument/2006/relationships/hyperlink" Target="https://maps.app.goo.gl/XmKzaEksajZUJrq79" TargetMode="External"/><Relationship Id="rId366" Type="http://schemas.openxmlformats.org/officeDocument/2006/relationships/hyperlink" Target="https://drive.google.com/drive/folders/146ZJE1lWlOywPMZ24xZWg5Zfl1cchtBM?usp=sharing" TargetMode="External"/><Relationship Id="rId487" Type="http://schemas.openxmlformats.org/officeDocument/2006/relationships/hyperlink" Target="https://drive.google.com/drive/folders/1ERLRlQH5cBVNKhL_y0J-cilFrPuYDboF?usp=drive_link" TargetMode="External"/><Relationship Id="rId123" Type="http://schemas.openxmlformats.org/officeDocument/2006/relationships/hyperlink" Target="http://h.no/" TargetMode="External"/><Relationship Id="rId244" Type="http://schemas.openxmlformats.org/officeDocument/2006/relationships/hyperlink" Target="https://drive.google.com/drive/folders/1DBepF4J8T4YI0yrAdtl5_HCxGl0c9Tq6?usp=drive_link" TargetMode="External"/><Relationship Id="rId365" Type="http://schemas.openxmlformats.org/officeDocument/2006/relationships/hyperlink" Target="http://h.no/" TargetMode="External"/><Relationship Id="rId486" Type="http://schemas.openxmlformats.org/officeDocument/2006/relationships/hyperlink" Target="https://drive.google.com/drive/folders/1ERLRlQH5cBVNKhL_y0J-cilFrPuYDboF?usp=drive_link" TargetMode="External"/><Relationship Id="rId122" Type="http://schemas.openxmlformats.org/officeDocument/2006/relationships/hyperlink" Target="https://drive.google.com/drive/folders/1KcwZz915JQlYso88EWcAtaDyCS3hyNy7" TargetMode="External"/><Relationship Id="rId243" Type="http://schemas.openxmlformats.org/officeDocument/2006/relationships/hyperlink" Target="https://drive.google.com/drive/folders/1YleF3SKypXSBkLYs9XDsJCYPpuvL46-G?usp=drive_link" TargetMode="External"/><Relationship Id="rId364" Type="http://schemas.openxmlformats.org/officeDocument/2006/relationships/hyperlink" Target="https://drive.google.com/drive/folders/1HwRsI1zSxQFLedtpqh3GoMVCb5vzc1dy" TargetMode="External"/><Relationship Id="rId485" Type="http://schemas.openxmlformats.org/officeDocument/2006/relationships/hyperlink" Target="https://drive.google.com/drive/folders/1ERLRlQH5cBVNKhL_y0J-cilFrPuYDboF?usp=drive_link" TargetMode="External"/><Relationship Id="rId95" Type="http://schemas.openxmlformats.org/officeDocument/2006/relationships/hyperlink" Target="https://drive.google.com/drive/folders/1GMrm6hNE3NcScsAd5MRRrIprzaL7Ncr8?usp=sharing" TargetMode="External"/><Relationship Id="rId94" Type="http://schemas.openxmlformats.org/officeDocument/2006/relationships/hyperlink" Target="https://maps.app.goo.gl/ttL1dBpZxVv8XNDr6" TargetMode="External"/><Relationship Id="rId97" Type="http://schemas.openxmlformats.org/officeDocument/2006/relationships/hyperlink" Target="https://drive.google.com/drive/folders/1jY18Gb0ePhg4wvMBYJkKmTzIMPRamBJO?usp=sharing" TargetMode="External"/><Relationship Id="rId96" Type="http://schemas.openxmlformats.org/officeDocument/2006/relationships/hyperlink" Target="https://maps.app.goo.gl/zmzP1F2bP47tVvYU7" TargetMode="External"/><Relationship Id="rId99" Type="http://schemas.openxmlformats.org/officeDocument/2006/relationships/hyperlink" Target="https://drive.google.com/drive/folders/1qqGSu3p0OVLxVrQcgpXnUrmht0w0OURK" TargetMode="External"/><Relationship Id="rId480" Type="http://schemas.openxmlformats.org/officeDocument/2006/relationships/hyperlink" Target="https://maps.app.goo.gl/1bfNeGtMemUkBwoy6" TargetMode="External"/><Relationship Id="rId98" Type="http://schemas.openxmlformats.org/officeDocument/2006/relationships/hyperlink" Target="https://maps.app.goo.gl/zmzP1F2bP47tVvYU7" TargetMode="External"/><Relationship Id="rId91" Type="http://schemas.openxmlformats.org/officeDocument/2006/relationships/hyperlink" Target="https://drive.google.com/drive/folders/1lwnoJfXa3KkWswaN1pg1EuD4LTJyD5En?usp=sharing" TargetMode="External"/><Relationship Id="rId90" Type="http://schemas.openxmlformats.org/officeDocument/2006/relationships/hyperlink" Target="http://h.no/" TargetMode="External"/><Relationship Id="rId93" Type="http://schemas.openxmlformats.org/officeDocument/2006/relationships/hyperlink" Target="https://drive.google.com/drive/folders/1eYbl1H2TDHaHXb4ee-4rSm517n0jQe8C?usp=sharing" TargetMode="External"/><Relationship Id="rId92" Type="http://schemas.openxmlformats.org/officeDocument/2006/relationships/hyperlink" Target="http://h.no/" TargetMode="External"/><Relationship Id="rId118" Type="http://schemas.openxmlformats.org/officeDocument/2006/relationships/hyperlink" Target="https://drive.google.com/drive/folders/1rmhQ_lZDAnRsbd2gdGPdwddiXsEBnkxe?usp=drive_link" TargetMode="External"/><Relationship Id="rId239" Type="http://schemas.openxmlformats.org/officeDocument/2006/relationships/hyperlink" Target="https://drive.google.com/drive/folders/15UHO6kmicCW9vnN6myvd_upidjd7Lw-7" TargetMode="External"/><Relationship Id="rId117" Type="http://schemas.openxmlformats.org/officeDocument/2006/relationships/hyperlink" Target="http://h.no:8/1" TargetMode="External"/><Relationship Id="rId238" Type="http://schemas.openxmlformats.org/officeDocument/2006/relationships/hyperlink" Target="https://drive.google.com/drive/folders/1P7G5VhQMdQOr-nZ8QMRUk6ZeRelNh1sm" TargetMode="External"/><Relationship Id="rId359" Type="http://schemas.openxmlformats.org/officeDocument/2006/relationships/hyperlink" Target="http://h.no/" TargetMode="External"/><Relationship Id="rId116" Type="http://schemas.openxmlformats.org/officeDocument/2006/relationships/hyperlink" Target="https://drive.google.com/drive/folders/1145tVUDZf_FIW0FsugIqK0IjD23RxzfY?usp=sharing" TargetMode="External"/><Relationship Id="rId237" Type="http://schemas.openxmlformats.org/officeDocument/2006/relationships/hyperlink" Target="https://drive.google.com/drive/folders/1FqUin4hqvIZl72PCfBw98PGsEjh-yBdJ?usp=drive_link" TargetMode="External"/><Relationship Id="rId358" Type="http://schemas.openxmlformats.org/officeDocument/2006/relationships/hyperlink" Target="http://h.no/" TargetMode="External"/><Relationship Id="rId479" Type="http://schemas.openxmlformats.org/officeDocument/2006/relationships/hyperlink" Target="https://drive.google.com/drive/folders/1LuSf0aWzDh-Bj2U2xDR_8qHZtInDhaUG?usp=sharing" TargetMode="External"/><Relationship Id="rId115" Type="http://schemas.openxmlformats.org/officeDocument/2006/relationships/hyperlink" Target="http://h.no/" TargetMode="External"/><Relationship Id="rId236" Type="http://schemas.openxmlformats.org/officeDocument/2006/relationships/hyperlink" Target="http://neeruoinky.neeraja172gmail.com/" TargetMode="External"/><Relationship Id="rId357" Type="http://schemas.openxmlformats.org/officeDocument/2006/relationships/hyperlink" Target="https://drive.google.com/drive/folders/1SiRVQA2LbArGXGV8EORPi4nOZloYVdsk?usp=sharing" TargetMode="External"/><Relationship Id="rId478" Type="http://schemas.openxmlformats.org/officeDocument/2006/relationships/hyperlink" Target="http://h.no/" TargetMode="External"/><Relationship Id="rId599" Type="http://schemas.openxmlformats.org/officeDocument/2006/relationships/hyperlink" Target="http://h.no:106/9/1" TargetMode="External"/><Relationship Id="rId119" Type="http://schemas.openxmlformats.org/officeDocument/2006/relationships/hyperlink" Target="https://drive.google.com/drive/folders/1eP2mhLyzu7U0Ldw8ueLsjOCBg_MBeYyr" TargetMode="External"/><Relationship Id="rId110" Type="http://schemas.openxmlformats.org/officeDocument/2006/relationships/hyperlink" Target="https://maps.app.goo.gl/zmzP1F2bP47tVvYU7" TargetMode="External"/><Relationship Id="rId231" Type="http://schemas.openxmlformats.org/officeDocument/2006/relationships/hyperlink" Target="https://drive.google.com/drive/folders/1hi7PMSsUqFKeMP_LU-JgY6G-cpf5a1t8" TargetMode="External"/><Relationship Id="rId352" Type="http://schemas.openxmlformats.org/officeDocument/2006/relationships/hyperlink" Target="https://drive.google.com/drive/folders/19y8lAY0XDQMK9FbVoJXfmatv8ozU2C7U" TargetMode="External"/><Relationship Id="rId473" Type="http://schemas.openxmlformats.org/officeDocument/2006/relationships/hyperlink" Target="https://drive.google.com/drive/folders/1wruSaKVdU89oJrpGW9xNPglkL3hScvCz?usp=drive_link" TargetMode="External"/><Relationship Id="rId594" Type="http://schemas.openxmlformats.org/officeDocument/2006/relationships/hyperlink" Target="https://drive.google.com/drive/folders/1mUcGNB-msh0RrzzlAHfiyS-869YyUEA9" TargetMode="External"/><Relationship Id="rId230" Type="http://schemas.openxmlformats.org/officeDocument/2006/relationships/hyperlink" Target="https://drive.google.com/drive/folders/1gohRLrQvHzM3fYz34d2k8CZNZLlB7vqN" TargetMode="External"/><Relationship Id="rId351" Type="http://schemas.openxmlformats.org/officeDocument/2006/relationships/hyperlink" Target="https://maps.app.goo.gl/rE7xevTqH8xhxufS9" TargetMode="External"/><Relationship Id="rId472" Type="http://schemas.openxmlformats.org/officeDocument/2006/relationships/hyperlink" Target="http://h.no/" TargetMode="External"/><Relationship Id="rId593" Type="http://schemas.openxmlformats.org/officeDocument/2006/relationships/hyperlink" Target="http://h.no:106/9/1" TargetMode="External"/><Relationship Id="rId350" Type="http://schemas.openxmlformats.org/officeDocument/2006/relationships/hyperlink" Target="https://drive.google.com/drive/folders/1I6PtrWcJIUXoGbTjfxAnDjPl3eCEcUwq?usp=sharing" TargetMode="External"/><Relationship Id="rId471" Type="http://schemas.openxmlformats.org/officeDocument/2006/relationships/hyperlink" Target="https://maps.app.goo.gl/gZDocm2FaGvWMQXd7" TargetMode="External"/><Relationship Id="rId592" Type="http://schemas.openxmlformats.org/officeDocument/2006/relationships/hyperlink" Target="https://drive.google.com/drive/folders/1mUcGNB-msh0RrzzlAHfiyS-869YyUEA9" TargetMode="External"/><Relationship Id="rId470" Type="http://schemas.openxmlformats.org/officeDocument/2006/relationships/hyperlink" Target="https://drive.google.com/drive/folders/10seYxoRW1S1F5XkPXp4HGzbpzUmxi9qL?usp=sharing" TargetMode="External"/><Relationship Id="rId591" Type="http://schemas.openxmlformats.org/officeDocument/2006/relationships/hyperlink" Target="http://h.no:106/9/1" TargetMode="External"/><Relationship Id="rId114" Type="http://schemas.openxmlformats.org/officeDocument/2006/relationships/hyperlink" Target="http://h.no/" TargetMode="External"/><Relationship Id="rId235" Type="http://schemas.openxmlformats.org/officeDocument/2006/relationships/hyperlink" Target="https://drive.google.com/drive/folders/1Unu3wU1bORkMQXtFIeU6fCA3Em_1n92N" TargetMode="External"/><Relationship Id="rId356" Type="http://schemas.openxmlformats.org/officeDocument/2006/relationships/hyperlink" Target="https://drive.google.com/drive/folders/11I8R1DR_Jn8VRg8y-vZyv_Zm_70sqneU?usp=drive_link" TargetMode="External"/><Relationship Id="rId477" Type="http://schemas.openxmlformats.org/officeDocument/2006/relationships/hyperlink" Target="https://maps.app.goo.gl/1bfNeGtMemUkBwoy6" TargetMode="External"/><Relationship Id="rId598" Type="http://schemas.openxmlformats.org/officeDocument/2006/relationships/hyperlink" Target="https://drive.google.com/drive/folders/1uTnWgbeLboqYJjrt4utbp1etKGVawHn2?usp=sharing" TargetMode="External"/><Relationship Id="rId113" Type="http://schemas.openxmlformats.org/officeDocument/2006/relationships/hyperlink" Target="https://maps.app.goo.gl/6ffnivoZPfXFAQqR6" TargetMode="External"/><Relationship Id="rId234" Type="http://schemas.openxmlformats.org/officeDocument/2006/relationships/hyperlink" Target="https://drive.google.com/drive/folders/1bVbYDnHXAF5z2Gh1G42X8KDeZWe8iPnR" TargetMode="External"/><Relationship Id="rId355" Type="http://schemas.openxmlformats.org/officeDocument/2006/relationships/hyperlink" Target="https://drive.google.com/drive/folders/1CYVvWZYBbQk2ThPlpELGy8j4CArNdBrw" TargetMode="External"/><Relationship Id="rId476" Type="http://schemas.openxmlformats.org/officeDocument/2006/relationships/hyperlink" Target="https://drive.google.com/drive/folders/1aiDOFrZjhSZO3dvh_fNGy2bnizRo2_V2?usp=drive_link" TargetMode="External"/><Relationship Id="rId597" Type="http://schemas.openxmlformats.org/officeDocument/2006/relationships/hyperlink" Target="http://h.no:106/9/1" TargetMode="External"/><Relationship Id="rId112" Type="http://schemas.openxmlformats.org/officeDocument/2006/relationships/hyperlink" Target="https://drive.google.com/drive/folders/1xljGVUxfMTVlYxvCnDj7nhh1NNA-dill?usp=sharing" TargetMode="External"/><Relationship Id="rId233" Type="http://schemas.openxmlformats.org/officeDocument/2006/relationships/hyperlink" Target="https://drive.google.com/drive/folders/1frBF37bh59l809SqnrUSJtFHHjGhWlbf" TargetMode="External"/><Relationship Id="rId354" Type="http://schemas.openxmlformats.org/officeDocument/2006/relationships/hyperlink" Target="https://drive.google.com/drive/folders/1xUSMmrAXAuVsBbV5E7GFJhdECj8W_Xbd" TargetMode="External"/><Relationship Id="rId475" Type="http://schemas.openxmlformats.org/officeDocument/2006/relationships/hyperlink" Target="http://h.no/" TargetMode="External"/><Relationship Id="rId596" Type="http://schemas.openxmlformats.org/officeDocument/2006/relationships/hyperlink" Target="https://drive.google.com/drive/folders/1uTnWgbeLboqYJjrt4utbp1etKGVawHn2?usp=sharing" TargetMode="External"/><Relationship Id="rId111" Type="http://schemas.openxmlformats.org/officeDocument/2006/relationships/hyperlink" Target="http://h.no/" TargetMode="External"/><Relationship Id="rId232" Type="http://schemas.openxmlformats.org/officeDocument/2006/relationships/hyperlink" Target="https://drive.google.com/drive/folders/1HBMP98c20eM8AnyU4HvOCH1ugHw4Bz3h" TargetMode="External"/><Relationship Id="rId353" Type="http://schemas.openxmlformats.org/officeDocument/2006/relationships/hyperlink" Target="https://drive.google.com/drive/folders/1NCZe63ZgVZfOwmax02-xtsw36zzp3ZiC?usp=sharing" TargetMode="External"/><Relationship Id="rId474" Type="http://schemas.openxmlformats.org/officeDocument/2006/relationships/hyperlink" Target="https://maps.app.goo.gl/1bfNeGtMemUkBwoy6" TargetMode="External"/><Relationship Id="rId595" Type="http://schemas.openxmlformats.org/officeDocument/2006/relationships/hyperlink" Target="http://h.no:106/9/1" TargetMode="External"/><Relationship Id="rId305" Type="http://schemas.openxmlformats.org/officeDocument/2006/relationships/hyperlink" Target="https://drive.google.com/drive/folders/1o9iUo_CxVqMhIFqfNW_dsWeuC8oRh_rO?usp=drive_link" TargetMode="External"/><Relationship Id="rId426" Type="http://schemas.openxmlformats.org/officeDocument/2006/relationships/hyperlink" Target="https://drive.google.com/drive/folders/1KNk4vNX0ZABsIZWLiv1omzYre8jK0xS3?usp=sharing" TargetMode="External"/><Relationship Id="rId547" Type="http://schemas.openxmlformats.org/officeDocument/2006/relationships/hyperlink" Target="http://h.no/" TargetMode="External"/><Relationship Id="rId668" Type="http://schemas.openxmlformats.org/officeDocument/2006/relationships/hyperlink" Target="https://drive.google.com/drive/folders/1QXaQd62CjQ0IlI9fWw_2HB3kmiX7q87M?usp=sharing" TargetMode="External"/><Relationship Id="rId304" Type="http://schemas.openxmlformats.org/officeDocument/2006/relationships/hyperlink" Target="https://drive.google.com/drive/folders/1hzVDTdS8M0l-ry7H5ZN3yyJve-VveP-p" TargetMode="External"/><Relationship Id="rId425" Type="http://schemas.openxmlformats.org/officeDocument/2006/relationships/hyperlink" Target="https://drive.google.com/drive/folders/1RZHZgNYOYvHOpDJ0PPGejPemPE0ZpKUA" TargetMode="External"/><Relationship Id="rId546" Type="http://schemas.openxmlformats.org/officeDocument/2006/relationships/hyperlink" Target="https://drive.google.com/drive/folders/1gPUeYv_CBOdqQXjWbcgxyku9dlUuCwMq?usp=sharing" TargetMode="External"/><Relationship Id="rId667" Type="http://schemas.openxmlformats.org/officeDocument/2006/relationships/hyperlink" Target="https://drive.google.com/drive/folders/1RZPi-oKUaQwWCSPz9y_-sTGuZRe54rj0?usp=drive_link" TargetMode="External"/><Relationship Id="rId303" Type="http://schemas.openxmlformats.org/officeDocument/2006/relationships/hyperlink" Target="http://h.no/" TargetMode="External"/><Relationship Id="rId424" Type="http://schemas.openxmlformats.org/officeDocument/2006/relationships/hyperlink" Target="http://h.no/" TargetMode="External"/><Relationship Id="rId545" Type="http://schemas.openxmlformats.org/officeDocument/2006/relationships/hyperlink" Target="http://h.no/" TargetMode="External"/><Relationship Id="rId666" Type="http://schemas.openxmlformats.org/officeDocument/2006/relationships/hyperlink" Target="https://drive.google.com/drive/folders/1cPlVj7Ug6j6sJxzTV94u50omK-xjjdxJ?usp=drive_link" TargetMode="External"/><Relationship Id="rId302" Type="http://schemas.openxmlformats.org/officeDocument/2006/relationships/hyperlink" Target="http://h.no/" TargetMode="External"/><Relationship Id="rId423" Type="http://schemas.openxmlformats.org/officeDocument/2006/relationships/hyperlink" Target="http://h.no/" TargetMode="External"/><Relationship Id="rId544" Type="http://schemas.openxmlformats.org/officeDocument/2006/relationships/hyperlink" Target="http://h.no/" TargetMode="External"/><Relationship Id="rId665" Type="http://schemas.openxmlformats.org/officeDocument/2006/relationships/hyperlink" Target="http://p.no:7/3/4" TargetMode="External"/><Relationship Id="rId309" Type="http://schemas.openxmlformats.org/officeDocument/2006/relationships/hyperlink" Target="http://h.no/" TargetMode="External"/><Relationship Id="rId308" Type="http://schemas.openxmlformats.org/officeDocument/2006/relationships/hyperlink" Target="https://drive.google.com/drive/folders/1D6ABY-wJcIGqRhaWsbxv8e-Gp35t-zin?usp=drive_link" TargetMode="External"/><Relationship Id="rId429" Type="http://schemas.openxmlformats.org/officeDocument/2006/relationships/hyperlink" Target="http://h.no/" TargetMode="External"/><Relationship Id="rId307" Type="http://schemas.openxmlformats.org/officeDocument/2006/relationships/hyperlink" Target="https://drive.google.com/drive/folders/1HuYxw4VAjfY00qs4hwHt-P_34_9m9z6Q" TargetMode="External"/><Relationship Id="rId428" Type="http://schemas.openxmlformats.org/officeDocument/2006/relationships/hyperlink" Target="https://drive.google.com/drive/folders/1KNk4vNX0ZABsIZWLiv1omzYre8jK0xS3?usp=sharing" TargetMode="External"/><Relationship Id="rId549" Type="http://schemas.openxmlformats.org/officeDocument/2006/relationships/hyperlink" Target="https://drive.google.com/drive/folders/14oX5qzGPY-Fh2ar8zSRaXg8k583apCoi?usp=sharing" TargetMode="External"/><Relationship Id="rId306" Type="http://schemas.openxmlformats.org/officeDocument/2006/relationships/hyperlink" Target="https://maps.app.goo.gl/pW9XwoBitEbqpSdW8" TargetMode="External"/><Relationship Id="rId427" Type="http://schemas.openxmlformats.org/officeDocument/2006/relationships/hyperlink" Target="https://drive.google.com/drive/folders/1KNk4vNX0ZABsIZWLiv1omzYre8jK0xS3?usp=sharing" TargetMode="External"/><Relationship Id="rId548" Type="http://schemas.openxmlformats.org/officeDocument/2006/relationships/hyperlink" Target="http://h.no/" TargetMode="External"/><Relationship Id="rId669" Type="http://schemas.openxmlformats.org/officeDocument/2006/relationships/hyperlink" Target="https://maps.app.goo.gl/gUz4XDs3wXM1Fz6MA" TargetMode="External"/><Relationship Id="rId660" Type="http://schemas.openxmlformats.org/officeDocument/2006/relationships/hyperlink" Target="https://drive.google.com/drive/folders/1KuZFGPWjWYmp4trjr-DfiNx0krE8yiGo?usp=drive_link" TargetMode="External"/><Relationship Id="rId301" Type="http://schemas.openxmlformats.org/officeDocument/2006/relationships/hyperlink" Target="https://maps.app.goo.gl/UXJjc8j8mKbNVPsd6" TargetMode="External"/><Relationship Id="rId422" Type="http://schemas.openxmlformats.org/officeDocument/2006/relationships/hyperlink" Target="https://drive.google.com/drive/folders/1KNk4vNX0ZABsIZWLiv1omzYre8jK0xS3?usp=sharing" TargetMode="External"/><Relationship Id="rId543" Type="http://schemas.openxmlformats.org/officeDocument/2006/relationships/hyperlink" Target="https://drive.google.com/drive/folders/1nbJM9hIGI25SGmNzV4Xm1OXaz5EpihRR?usp=drive_link" TargetMode="External"/><Relationship Id="rId664" Type="http://schemas.openxmlformats.org/officeDocument/2006/relationships/hyperlink" Target="https://drive.google.com/drive/folders/1CwYRsFbLxC01wP1H0WwPdjPAObGzdyip?usp=sharing" TargetMode="External"/><Relationship Id="rId300" Type="http://schemas.openxmlformats.org/officeDocument/2006/relationships/hyperlink" Target="https://drive.google.com/drive/folders/1aZalfjfDT9UwDZWlkUB5C0znHXVLUPIi?usp=sharing" TargetMode="External"/><Relationship Id="rId421" Type="http://schemas.openxmlformats.org/officeDocument/2006/relationships/hyperlink" Target="https://drive.google.com/drive/folders/10qR_JemDKbdInAVrBoMflJbViaHxfmk6?usp=sharing" TargetMode="External"/><Relationship Id="rId542" Type="http://schemas.openxmlformats.org/officeDocument/2006/relationships/hyperlink" Target="https://drive.google.com/drive/folders/1flpE45zjQEEX1xFYQIVx73ifd2jwpOHO?usp=sharing" TargetMode="External"/><Relationship Id="rId663" Type="http://schemas.openxmlformats.org/officeDocument/2006/relationships/hyperlink" Target="https://maps.app.goo.gl/jk9XsZoy96VnsqxC7" TargetMode="External"/><Relationship Id="rId420" Type="http://schemas.openxmlformats.org/officeDocument/2006/relationships/hyperlink" Target="https://maps.app.goo.gl/gZDocm2FaGvWMQXd7" TargetMode="External"/><Relationship Id="rId541" Type="http://schemas.openxmlformats.org/officeDocument/2006/relationships/hyperlink" Target="https://drive.google.com/drive/folders/1_bYBHkhs3EZjkz4-6qfMtRRJb0GpzPrW" TargetMode="External"/><Relationship Id="rId662" Type="http://schemas.openxmlformats.org/officeDocument/2006/relationships/hyperlink" Target="https://drive.google.com/drive/folders/15n4rrTjzyHuM84BKJ3UyUKTgIVmLxmyu?usp=sharing" TargetMode="External"/><Relationship Id="rId540" Type="http://schemas.openxmlformats.org/officeDocument/2006/relationships/hyperlink" Target="https://drive.google.com/drive/folders/138S7kTUrJvuZPvFcl8fIgiNKngF3vzwj" TargetMode="External"/><Relationship Id="rId661" Type="http://schemas.openxmlformats.org/officeDocument/2006/relationships/hyperlink" Target="https://maps.app.goo.gl/LRtSYDs8uT6EVLyx7" TargetMode="External"/><Relationship Id="rId415" Type="http://schemas.openxmlformats.org/officeDocument/2006/relationships/hyperlink" Target="https://drive.google.com/drive/folders/1Xr3ORWnbqT-bcymgvf0XzBqPDmW6R7iN" TargetMode="External"/><Relationship Id="rId536" Type="http://schemas.openxmlformats.org/officeDocument/2006/relationships/hyperlink" Target="https://drive.google.com/drive/folders/11gcG6fYUbVG55MFfUbxmOOFESBK9F7QY" TargetMode="External"/><Relationship Id="rId657" Type="http://schemas.openxmlformats.org/officeDocument/2006/relationships/hyperlink" Target="http://h.no/" TargetMode="External"/><Relationship Id="rId414" Type="http://schemas.openxmlformats.org/officeDocument/2006/relationships/hyperlink" Target="https://drive.google.com/drive/folders/1QKRLIeiaLBqT7fAC1kUJjOLLy_kyItmP" TargetMode="External"/><Relationship Id="rId535" Type="http://schemas.openxmlformats.org/officeDocument/2006/relationships/hyperlink" Target="https://drive.google.com/drive/folders/1Yv_jzvYn8P0cowoQjEiffaLl9IAH9cuN?usp=sharing" TargetMode="External"/><Relationship Id="rId656" Type="http://schemas.openxmlformats.org/officeDocument/2006/relationships/hyperlink" Target="https://drive.google.com/drive/folders/1rJ3AqHsRWgZGUFMJHxs7B-OJJRUz2voh?usp=sharing" TargetMode="External"/><Relationship Id="rId413" Type="http://schemas.openxmlformats.org/officeDocument/2006/relationships/hyperlink" Target="https://drive.google.com/drive/folders/1WHdhu8E5KLUFUJEP-4Qux5rC4mYpqvl_" TargetMode="External"/><Relationship Id="rId534" Type="http://schemas.openxmlformats.org/officeDocument/2006/relationships/hyperlink" Target="http://h.no/" TargetMode="External"/><Relationship Id="rId655" Type="http://schemas.openxmlformats.org/officeDocument/2006/relationships/hyperlink" Target="https://drive.google.com/drive/folders/1vnW_s1NoUdHVwyVKe2Kjtcv4FBbNjxfe?usp=sharing" TargetMode="External"/><Relationship Id="rId412" Type="http://schemas.openxmlformats.org/officeDocument/2006/relationships/hyperlink" Target="https://drive.google.com/drive/folders/1dl735FRgk9S5yYlgpzJe9x0Tqj_LaJLg" TargetMode="External"/><Relationship Id="rId533" Type="http://schemas.openxmlformats.org/officeDocument/2006/relationships/hyperlink" Target="https://drive.google.com/drive/folders/1ypn3AV0U8JSXUHqKMWOVCcx-wZckVuBH" TargetMode="External"/><Relationship Id="rId654" Type="http://schemas.openxmlformats.org/officeDocument/2006/relationships/hyperlink" Target="https://drive.google.com/drive/folders/1FS215BYHgZheiOilYgt2S-KGS6jYT2Jb?usp=sharing" TargetMode="External"/><Relationship Id="rId419" Type="http://schemas.openxmlformats.org/officeDocument/2006/relationships/hyperlink" Target="https://drive.google.com/drive/folders/1hor5egtaz40IIwuL0lC4vyFHmhuIcIOX?usp=sharing" TargetMode="External"/><Relationship Id="rId418" Type="http://schemas.openxmlformats.org/officeDocument/2006/relationships/hyperlink" Target="https://maps.app.goo.gl/gZDocm2FaGvWMQXd7" TargetMode="External"/><Relationship Id="rId539" Type="http://schemas.openxmlformats.org/officeDocument/2006/relationships/hyperlink" Target="https://drive.google.com/drive/folders/1P4F01iWyp-_yyPql3ubZ7AldsMEJYbmO" TargetMode="External"/><Relationship Id="rId417" Type="http://schemas.openxmlformats.org/officeDocument/2006/relationships/hyperlink" Target="https://drive.google.com/drive/folders/17wJVp1hXygo_XzUbNChdPOdwy18Hfr6-?usp=sharing" TargetMode="External"/><Relationship Id="rId538" Type="http://schemas.openxmlformats.org/officeDocument/2006/relationships/hyperlink" Target="https://drive.google.com/drive/folders/1IdblWCIs_-c8q_oYuoyNrzXsyWyPF6Kg?usp=sharing" TargetMode="External"/><Relationship Id="rId659" Type="http://schemas.openxmlformats.org/officeDocument/2006/relationships/hyperlink" Target="https://drive.google.com/drive/folders/1zfywuGVp3JnYdQ2_fX4coasmzkdzM4Vp" TargetMode="External"/><Relationship Id="rId416" Type="http://schemas.openxmlformats.org/officeDocument/2006/relationships/hyperlink" Target="https://drive.google.com/drive/folders/17iZlXjrl-a78j7bzmVn_qEdESs1kQ1fk" TargetMode="External"/><Relationship Id="rId537" Type="http://schemas.openxmlformats.org/officeDocument/2006/relationships/hyperlink" Target="https://drive.google.com/drive/folders/1Tu24kKTKiAXgbPwv0_kqy7DFYNBCYUVW" TargetMode="External"/><Relationship Id="rId658" Type="http://schemas.openxmlformats.org/officeDocument/2006/relationships/hyperlink" Target="http://h.no/" TargetMode="External"/><Relationship Id="rId411" Type="http://schemas.openxmlformats.org/officeDocument/2006/relationships/hyperlink" Target="https://drive.google.com/drive/folders/1-QkiG04iDyX3SQI6wvy7t-s5XLjDzHdE" TargetMode="External"/><Relationship Id="rId532" Type="http://schemas.openxmlformats.org/officeDocument/2006/relationships/hyperlink" Target="http://h.no/" TargetMode="External"/><Relationship Id="rId653" Type="http://schemas.openxmlformats.org/officeDocument/2006/relationships/hyperlink" Target="https://drive.google.com/drive/folders/1k9-zjiVXVWIzMjkxjX0L9CnUeFZYZIIb?usp=sharing" TargetMode="External"/><Relationship Id="rId410" Type="http://schemas.openxmlformats.org/officeDocument/2006/relationships/hyperlink" Target="https://drive.google.com/drive/folders/103H3SyeCFb1aeW4_nmJsLx1A-k8jd-yJ?usp=sharing" TargetMode="External"/><Relationship Id="rId531" Type="http://schemas.openxmlformats.org/officeDocument/2006/relationships/hyperlink" Target="http://h.no/" TargetMode="External"/><Relationship Id="rId652" Type="http://schemas.openxmlformats.org/officeDocument/2006/relationships/hyperlink" Target="http://h.no/" TargetMode="External"/><Relationship Id="rId530" Type="http://schemas.openxmlformats.org/officeDocument/2006/relationships/hyperlink" Target="https://drive.google.com/drive/folders/1ZuDwkIGBI9qAL6sVOKdsFKBguhHROKkW" TargetMode="External"/><Relationship Id="rId651" Type="http://schemas.openxmlformats.org/officeDocument/2006/relationships/hyperlink" Target="http://h.no/" TargetMode="External"/><Relationship Id="rId650" Type="http://schemas.openxmlformats.org/officeDocument/2006/relationships/hyperlink" Target="https://maps.app.goo.gl/4TDTFE6tGGCzyzv48" TargetMode="External"/><Relationship Id="rId206" Type="http://schemas.openxmlformats.org/officeDocument/2006/relationships/hyperlink" Target="http://h.no/" TargetMode="External"/><Relationship Id="rId327" Type="http://schemas.openxmlformats.org/officeDocument/2006/relationships/hyperlink" Target="https://drive.google.com/drive/folders/1VZj4TVwdlk6PvQtXFIOGTE1VFpy-qDEF?usp=sharing" TargetMode="External"/><Relationship Id="rId448" Type="http://schemas.openxmlformats.org/officeDocument/2006/relationships/hyperlink" Target="https://maps.app.goo.gl/hphFNfVdDY4pHtkG9" TargetMode="External"/><Relationship Id="rId569" Type="http://schemas.openxmlformats.org/officeDocument/2006/relationships/hyperlink" Target="https://drive.google.com/drive/folders/1mnk7kGXBo_V5L12OUDfiRjsZqJ8DuHxG?usp=drive_link" TargetMode="External"/><Relationship Id="rId205" Type="http://schemas.openxmlformats.org/officeDocument/2006/relationships/hyperlink" Target="https://drive.google.com/drive/folders/1Wkavl_hgYXeUYK_rzCr0prN85ZK_L2g5?usp=drive_link" TargetMode="External"/><Relationship Id="rId326" Type="http://schemas.openxmlformats.org/officeDocument/2006/relationships/hyperlink" Target="https://drive.google.com/drive/folders/15s6wZSxk9l_GyCQRrweygRiPAO5LbhIH?usp=sharing" TargetMode="External"/><Relationship Id="rId447" Type="http://schemas.openxmlformats.org/officeDocument/2006/relationships/hyperlink" Target="https://drive.google.com/drive/folders/1CtWilq4XPvtdrEXBxjVgueZBDHgCrMaq?usp=sharing" TargetMode="External"/><Relationship Id="rId568" Type="http://schemas.openxmlformats.org/officeDocument/2006/relationships/hyperlink" Target="http://h.no/" TargetMode="External"/><Relationship Id="rId689" Type="http://schemas.openxmlformats.org/officeDocument/2006/relationships/hyperlink" Target="http://mondayhotels.com/" TargetMode="External"/><Relationship Id="rId204" Type="http://schemas.openxmlformats.org/officeDocument/2006/relationships/hyperlink" Target="http://h.no:37/4" TargetMode="External"/><Relationship Id="rId325" Type="http://schemas.openxmlformats.org/officeDocument/2006/relationships/hyperlink" Target="http://h.no/" TargetMode="External"/><Relationship Id="rId446" Type="http://schemas.openxmlformats.org/officeDocument/2006/relationships/hyperlink" Target="https://maps.app.goo.gl/hphFNfVdDY4pHtkG9" TargetMode="External"/><Relationship Id="rId567" Type="http://schemas.openxmlformats.org/officeDocument/2006/relationships/hyperlink" Target="https://drive.google.com/drive/folders/1f85Ck-sDA3v26z1kzz8pC-yyZzqT6888?usp=sharing" TargetMode="External"/><Relationship Id="rId688" Type="http://schemas.openxmlformats.org/officeDocument/2006/relationships/hyperlink" Target="https://maps.app.goo.gl/ce7FRSF6goJEtu2P7" TargetMode="External"/><Relationship Id="rId203" Type="http://schemas.openxmlformats.org/officeDocument/2006/relationships/hyperlink" Target="https://drive.google.com/drive/folders/148iESv4zc3tFe4YmYrnGG51eXgJ9kTRM" TargetMode="External"/><Relationship Id="rId324" Type="http://schemas.openxmlformats.org/officeDocument/2006/relationships/hyperlink" Target="http://h.no/" TargetMode="External"/><Relationship Id="rId445" Type="http://schemas.openxmlformats.org/officeDocument/2006/relationships/hyperlink" Target="https://drive.google.com/drive/folders/1MK76gGxxi9S1kiotXEKnh8nu3iBYz70q?usp=sharing" TargetMode="External"/><Relationship Id="rId566" Type="http://schemas.openxmlformats.org/officeDocument/2006/relationships/hyperlink" Target="https://drive.google.com/drive/folders/1EL0lKlZTCIr1OH3aoYgxcLVoZHlTbEgR?usp=sharing" TargetMode="External"/><Relationship Id="rId687" Type="http://schemas.openxmlformats.org/officeDocument/2006/relationships/hyperlink" Target="https://drive.google.com/drive/folders/1EHvhWmR8P72SeFp6yAPd7BrAfeGAe2Rl?usp=sharing" TargetMode="External"/><Relationship Id="rId209" Type="http://schemas.openxmlformats.org/officeDocument/2006/relationships/hyperlink" Target="https://drive.google.com/drive/folders/1aHf2ExbPPUc59fLkesjNJN2JBnS0Uy1Q?usp=sharing" TargetMode="External"/><Relationship Id="rId208" Type="http://schemas.openxmlformats.org/officeDocument/2006/relationships/hyperlink" Target="https://drive.google.com/drive/folders/1diN7skbrMSWYjP7Rvn4Zc4emPAaut_T0?usp=drive_link" TargetMode="External"/><Relationship Id="rId329" Type="http://schemas.openxmlformats.org/officeDocument/2006/relationships/hyperlink" Target="https://drive.google.com/drive/folders/1ptGqmobNv-AF9wklOrwpiATBWB2I1d-i" TargetMode="External"/><Relationship Id="rId207" Type="http://schemas.openxmlformats.org/officeDocument/2006/relationships/hyperlink" Target="https://drive.google.com/drive/folders/1glngCKOO93-NehocMIKTPeJ4gi3eZFjZ?usp=drive_link" TargetMode="External"/><Relationship Id="rId328" Type="http://schemas.openxmlformats.org/officeDocument/2006/relationships/hyperlink" Target="https://drive.google.com/drive/folders/1VZj4TVwdlk6PvQtXFIOGTE1VFpy-qDEF?usp=sharing" TargetMode="External"/><Relationship Id="rId449" Type="http://schemas.openxmlformats.org/officeDocument/2006/relationships/hyperlink" Target="https://drive.google.com/drive/folders/16iGtPNYC30EMfMdQi_wmd6znccE1tMda?usp=sharing" TargetMode="External"/><Relationship Id="rId440" Type="http://schemas.openxmlformats.org/officeDocument/2006/relationships/hyperlink" Target="https://drive.google.com/drive/folders/1KNk4vNX0ZABsIZWLiv1omzYre8jK0xS3?usp=sharing" TargetMode="External"/><Relationship Id="rId561" Type="http://schemas.openxmlformats.org/officeDocument/2006/relationships/hyperlink" Target="https://drive.google.com/drive/folders/1WZiWegZi8vhEJMGw7zqO3WLTVgjtD-4i?usp=drive_link" TargetMode="External"/><Relationship Id="rId682" Type="http://schemas.openxmlformats.org/officeDocument/2006/relationships/hyperlink" Target="https://maps.app.goo.gl/M9XEAMwmSSXaX4X6A" TargetMode="External"/><Relationship Id="rId560" Type="http://schemas.openxmlformats.org/officeDocument/2006/relationships/hyperlink" Target="https://drive.google.com/drive/folders/1-9_XV3zbx6PJUEA-kTFMyHPpJs-qbnEZ?usp=sharing" TargetMode="External"/><Relationship Id="rId681" Type="http://schemas.openxmlformats.org/officeDocument/2006/relationships/hyperlink" Target="https://drive.google.com/drive/folders/1MNNeqp7pLrK3Lp26ufHIFWvzcoLOhpBW?usp=sharing" TargetMode="External"/><Relationship Id="rId680" Type="http://schemas.openxmlformats.org/officeDocument/2006/relationships/hyperlink" Target="http://mondayhotels.com/" TargetMode="External"/><Relationship Id="rId202" Type="http://schemas.openxmlformats.org/officeDocument/2006/relationships/hyperlink" Target="https://maps.app.goo.gl/jLsyvQaRHEvnUupz9" TargetMode="External"/><Relationship Id="rId323" Type="http://schemas.openxmlformats.org/officeDocument/2006/relationships/hyperlink" Target="https://drive.google.com/drive/folders/1GXCRnnUn9YZPM14H0wBzRyTBXEvtt_IR?usp=sharing" TargetMode="External"/><Relationship Id="rId444" Type="http://schemas.openxmlformats.org/officeDocument/2006/relationships/hyperlink" Target="https://maps.app.goo.gl/hphFNfVdDY4pHtkG9" TargetMode="External"/><Relationship Id="rId565" Type="http://schemas.openxmlformats.org/officeDocument/2006/relationships/hyperlink" Target="https://drive.google.com/drive/folders/1JPP61XTZhMtO0hhxR7R3y25F5LqOSd2j?usp=sharing" TargetMode="External"/><Relationship Id="rId686" Type="http://schemas.openxmlformats.org/officeDocument/2006/relationships/hyperlink" Target="http://mondayhotels.com/" TargetMode="External"/><Relationship Id="rId201" Type="http://schemas.openxmlformats.org/officeDocument/2006/relationships/hyperlink" Target="https://drive.google.com/drive/folders/1sE7HuSagZObZXvW9XlxdGqbOcw9gYGaE?usp=drive_link" TargetMode="External"/><Relationship Id="rId322" Type="http://schemas.openxmlformats.org/officeDocument/2006/relationships/hyperlink" Target="https://drive.google.com/drive/folders/175Gn_vQ0vcl39sGalSlqwT7zQxEiljFf?usp=sharing" TargetMode="External"/><Relationship Id="rId443" Type="http://schemas.openxmlformats.org/officeDocument/2006/relationships/hyperlink" Target="https://drive.google.com/drive/folders/1wVco_R_UY7o_gyBf3IH2cbu3o_ep-9ds?usp=sharing" TargetMode="External"/><Relationship Id="rId564" Type="http://schemas.openxmlformats.org/officeDocument/2006/relationships/hyperlink" Target="https://drive.google.com/drive/folders/1XBNX_TDaQH1rYVPDv1yG1J0endNZiFO_?usp=drive_link" TargetMode="External"/><Relationship Id="rId685" Type="http://schemas.openxmlformats.org/officeDocument/2006/relationships/hyperlink" Target="https://maps.app.goo.gl/s1mQ2ZvFWVm4EyMZA" TargetMode="External"/><Relationship Id="rId200" Type="http://schemas.openxmlformats.org/officeDocument/2006/relationships/hyperlink" Target="https://drive.google.com/drive/folders/18YrIVLCVPITeKdR7kOJEh-1SCF6Tcx-s?usp=sharing" TargetMode="External"/><Relationship Id="rId321" Type="http://schemas.openxmlformats.org/officeDocument/2006/relationships/hyperlink" Target="https://drive.google.com/drive/folders/1AWPj3jFQTJKQwPNFIMj9TNytLcVXaciU?usp=drive_link" TargetMode="External"/><Relationship Id="rId442" Type="http://schemas.openxmlformats.org/officeDocument/2006/relationships/hyperlink" Target="https://drive.google.com/drive/folders/1ljeb_TY4E9Ja4YNOa2fi7TVbxpEJrpGe" TargetMode="External"/><Relationship Id="rId563" Type="http://schemas.openxmlformats.org/officeDocument/2006/relationships/hyperlink" Target="http://d.no/" TargetMode="External"/><Relationship Id="rId684" Type="http://schemas.openxmlformats.org/officeDocument/2006/relationships/hyperlink" Target="https://drive.google.com/drive/folders/1KSSZTOhf5CIvGKKT4IFyakItf13KzbBL?usp=sharing" TargetMode="External"/><Relationship Id="rId320" Type="http://schemas.openxmlformats.org/officeDocument/2006/relationships/hyperlink" Target="https://drive.google.com/drive/folders/1Kepl_u93pfPDORdvRicM5A0iiIwbp-3G?usp=sharing" TargetMode="External"/><Relationship Id="rId441" Type="http://schemas.openxmlformats.org/officeDocument/2006/relationships/hyperlink" Target="https://drive.google.com/drive/folders/1rkDNGF-Erc2YOHJiq5qMY1bUxf0R9Mha?usp=drive_link" TargetMode="External"/><Relationship Id="rId562" Type="http://schemas.openxmlformats.org/officeDocument/2006/relationships/hyperlink" Target="https://maps.app.goo.gl/FtdVCdfmUyrvjyp4A" TargetMode="External"/><Relationship Id="rId683" Type="http://schemas.openxmlformats.org/officeDocument/2006/relationships/hyperlink" Target="http://muslie.com/" TargetMode="External"/><Relationship Id="rId316" Type="http://schemas.openxmlformats.org/officeDocument/2006/relationships/hyperlink" Target="https://maps.app.goo.gl/A5eUDgavtTwQ5NJK6" TargetMode="External"/><Relationship Id="rId437" Type="http://schemas.openxmlformats.org/officeDocument/2006/relationships/hyperlink" Target="https://maps.app.goo.gl/gZDocm2FaGvWMQXd7" TargetMode="External"/><Relationship Id="rId558" Type="http://schemas.openxmlformats.org/officeDocument/2006/relationships/hyperlink" Target="http://d.no/" TargetMode="External"/><Relationship Id="rId679" Type="http://schemas.openxmlformats.org/officeDocument/2006/relationships/hyperlink" Target="http://pt.no/" TargetMode="External"/><Relationship Id="rId315" Type="http://schemas.openxmlformats.org/officeDocument/2006/relationships/hyperlink" Target="https://drive.google.com/drive/folders/1paPi-C-5P35mNZTzR8a9_GtU8N3UsTuf?usp=sharing" TargetMode="External"/><Relationship Id="rId436" Type="http://schemas.openxmlformats.org/officeDocument/2006/relationships/hyperlink" Target="https://drive.google.com/drive/folders/1ZxYEbGHJBJ1LqL3_j6UpJGM4CW2awChz?usp=sharing" TargetMode="External"/><Relationship Id="rId557" Type="http://schemas.openxmlformats.org/officeDocument/2006/relationships/hyperlink" Target="https://drive.google.com/drive/folders/1SiRVQA2LbArGXGV8EORPi4nOZloYVdsk?usp=sharing" TargetMode="External"/><Relationship Id="rId678" Type="http://schemas.openxmlformats.org/officeDocument/2006/relationships/hyperlink" Target="http://pt.no/" TargetMode="External"/><Relationship Id="rId314" Type="http://schemas.openxmlformats.org/officeDocument/2006/relationships/hyperlink" Target="https://maps.app.goo.gl/qssaSpwHfwx8WR7H7" TargetMode="External"/><Relationship Id="rId435" Type="http://schemas.openxmlformats.org/officeDocument/2006/relationships/hyperlink" Target="https://drive.google.com/drive/folders/19ma5o56uR2rOP3Xstkh04kZCutwT955P?usp=drive_link" TargetMode="External"/><Relationship Id="rId556" Type="http://schemas.openxmlformats.org/officeDocument/2006/relationships/hyperlink" Target="https://drive.google.com/drive/folders/1ecARZ7Loel2T5Yx-LAw6sj8BzufpTGBG?usp=sharing" TargetMode="External"/><Relationship Id="rId677" Type="http://schemas.openxmlformats.org/officeDocument/2006/relationships/hyperlink" Target="https://drive.google.com/drive/folders/1celxmQz1C2smYZDKCQ8kVd4xCzzODd-W?usp=drive_link" TargetMode="External"/><Relationship Id="rId313" Type="http://schemas.openxmlformats.org/officeDocument/2006/relationships/hyperlink" Target="https://drive.google.com/drive/folders/1m2XaB9CBwdFjJdopCJ9Zs0ekuLGh-wSS?usp=sharing" TargetMode="External"/><Relationship Id="rId434" Type="http://schemas.openxmlformats.org/officeDocument/2006/relationships/hyperlink" Target="https://drive.google.com/drive/folders/1-KSmOTbX2Vt3MR7WouOkO7yh4rBY1-Zl?usp=sharing" TargetMode="External"/><Relationship Id="rId555" Type="http://schemas.openxmlformats.org/officeDocument/2006/relationships/hyperlink" Target="https://drive.google.com/drive/folders/1YsLka-4z-1FissFHsf9t7H-BwEWLGyLq" TargetMode="External"/><Relationship Id="rId676" Type="http://schemas.openxmlformats.org/officeDocument/2006/relationships/hyperlink" Target="http://h.no/" TargetMode="External"/><Relationship Id="rId319" Type="http://schemas.openxmlformats.org/officeDocument/2006/relationships/hyperlink" Target="https://maps.app.goo.gl/E5xhqBiRDxNfMXBD8" TargetMode="External"/><Relationship Id="rId318" Type="http://schemas.openxmlformats.org/officeDocument/2006/relationships/hyperlink" Target="https://drive.google.com/drive/folders/1YlFzsi2BBHh1HI_d2ec-JQ_Ey5kEbm-O?usp=sharing" TargetMode="External"/><Relationship Id="rId439" Type="http://schemas.openxmlformats.org/officeDocument/2006/relationships/hyperlink" Target="https://maps.app.goo.gl/gZDocm2FaGvWMQXd7" TargetMode="External"/><Relationship Id="rId317" Type="http://schemas.openxmlformats.org/officeDocument/2006/relationships/hyperlink" Target="https://drive.google.com/drive/folders/1wGKQl8bK8Rrz8H23b5SRyYeFBMPv9DIL?usp=drive_link" TargetMode="External"/><Relationship Id="rId438" Type="http://schemas.openxmlformats.org/officeDocument/2006/relationships/hyperlink" Target="https://drive.google.com/drive/folders/1FYoy-pZkPrcZ9kgCJhld5GDVBGOQnDlC?usp=sharing" TargetMode="External"/><Relationship Id="rId559" Type="http://schemas.openxmlformats.org/officeDocument/2006/relationships/hyperlink" Target="http://d.no/" TargetMode="External"/><Relationship Id="rId550" Type="http://schemas.openxmlformats.org/officeDocument/2006/relationships/hyperlink" Target="https://drive.google.com/drive/folders/114UP2-3PTfk4i9-rw04RTToa_xTdCq6k?usp=sharing" TargetMode="External"/><Relationship Id="rId671" Type="http://schemas.openxmlformats.org/officeDocument/2006/relationships/hyperlink" Target="https://maps.app.goo.gl/d5iSsQWpfK3si4t47" TargetMode="External"/><Relationship Id="rId670" Type="http://schemas.openxmlformats.org/officeDocument/2006/relationships/hyperlink" Target="https://drive.google.com/drive/folders/1zsWWxQem_O2c9FQega5tC9BUcb2oJhne?usp=sharing" TargetMode="External"/><Relationship Id="rId312" Type="http://schemas.openxmlformats.org/officeDocument/2006/relationships/hyperlink" Target="http://h.no/" TargetMode="External"/><Relationship Id="rId433" Type="http://schemas.openxmlformats.org/officeDocument/2006/relationships/hyperlink" Target="https://drive.google.com/drive/folders/1XdPT9XqQwqU_bmkQ6YgTiv-7QOY_uSy_?usp=drive_link" TargetMode="External"/><Relationship Id="rId554" Type="http://schemas.openxmlformats.org/officeDocument/2006/relationships/hyperlink" Target="https://drive.google.com/drive/folders/1aw7_v78KzDJNL_ONPaGdj-BaelJ6hyrS" TargetMode="External"/><Relationship Id="rId675" Type="http://schemas.openxmlformats.org/officeDocument/2006/relationships/hyperlink" Target="http://h.no/" TargetMode="External"/><Relationship Id="rId311" Type="http://schemas.openxmlformats.org/officeDocument/2006/relationships/hyperlink" Target="https://maps.app.goo.gl/qssaSpwHfwx8WR7H7" TargetMode="External"/><Relationship Id="rId432" Type="http://schemas.openxmlformats.org/officeDocument/2006/relationships/hyperlink" Target="http://sy.no/" TargetMode="External"/><Relationship Id="rId553" Type="http://schemas.openxmlformats.org/officeDocument/2006/relationships/hyperlink" Target="https://drive.google.com/drive/folders/1oVGNLk0-cTm_FjM80H1KcMoS7Ev-YqYc?usp=drive_link" TargetMode="External"/><Relationship Id="rId674" Type="http://schemas.openxmlformats.org/officeDocument/2006/relationships/hyperlink" Target="https://drive.google.com/drive/folders/1J4xwanAmEh-myQuZqJLBwlE3kNlZHogt?usp=drive_link" TargetMode="External"/><Relationship Id="rId310" Type="http://schemas.openxmlformats.org/officeDocument/2006/relationships/hyperlink" Target="https://drive.google.com/drive/folders/1VXdeB6x8ObMJIQZ2bmieAv--UI4qllDz?usp=sharing" TargetMode="External"/><Relationship Id="rId431" Type="http://schemas.openxmlformats.org/officeDocument/2006/relationships/hyperlink" Target="https://maps.app.goo.gl/yWw2wQT97SkCbQMK8" TargetMode="External"/><Relationship Id="rId552" Type="http://schemas.openxmlformats.org/officeDocument/2006/relationships/hyperlink" Target="https://drive.google.com/drive/folders/1oVGNLk0-cTm_FjM80H1KcMoS7Ev-YqYc?usp=drive_link" TargetMode="External"/><Relationship Id="rId673" Type="http://schemas.openxmlformats.org/officeDocument/2006/relationships/hyperlink" Target="http://h.no/" TargetMode="External"/><Relationship Id="rId430" Type="http://schemas.openxmlformats.org/officeDocument/2006/relationships/hyperlink" Target="https://drive.google.com/drive/folders/1PaW8q7LK0LGH0Gmh_F0dHUs4eyEU21ex?usp=sharing" TargetMode="External"/><Relationship Id="rId551" Type="http://schemas.openxmlformats.org/officeDocument/2006/relationships/hyperlink" Target="https://drive.google.com/drive/folders/1oVGNLk0-cTm_FjM80H1KcMoS7Ev-YqYc?usp=drive_link" TargetMode="External"/><Relationship Id="rId672" Type="http://schemas.openxmlformats.org/officeDocument/2006/relationships/hyperlink" Target="http://h.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ps.app.goo.gl/Ev9KDQw9qfZ3BM63A?g_st=ic" TargetMode="External"/><Relationship Id="rId2" Type="http://schemas.openxmlformats.org/officeDocument/2006/relationships/hyperlink" Target="https://maps.app.goo.gl/efi6qLMEqREDYvo87" TargetMode="External"/><Relationship Id="rId3" Type="http://schemas.openxmlformats.org/officeDocument/2006/relationships/hyperlink" Target="https://maps.app.goo.gl/YSVyzPRLzKR4C9ea6" TargetMode="External"/><Relationship Id="rId4" Type="http://schemas.openxmlformats.org/officeDocument/2006/relationships/hyperlink" Target="https://maps.app.goo.gl/pPKXKgijRbJbL1Fk6" TargetMode="External"/><Relationship Id="rId9" Type="http://schemas.openxmlformats.org/officeDocument/2006/relationships/hyperlink" Target="https://maps.app.goo.gl/Lqm7AfXexrTbV5Gn8" TargetMode="External"/><Relationship Id="rId5" Type="http://schemas.openxmlformats.org/officeDocument/2006/relationships/hyperlink" Target="https://maps.app.goo.gl/1CNy6yWPo9nmBafh6" TargetMode="External"/><Relationship Id="rId6" Type="http://schemas.openxmlformats.org/officeDocument/2006/relationships/hyperlink" Target="https://maps.app.goo.gl/rq2WEYYPKoDaM16A6" TargetMode="External"/><Relationship Id="rId7" Type="http://schemas.openxmlformats.org/officeDocument/2006/relationships/hyperlink" Target="https://maps.app.goo.gl/wYHfHtsTYczZ3B656" TargetMode="External"/><Relationship Id="rId8" Type="http://schemas.openxmlformats.org/officeDocument/2006/relationships/hyperlink" Target="https://maps.app.goo.gl/8RQNvbSwPC2oDTZR6" TargetMode="External"/><Relationship Id="rId40" Type="http://schemas.openxmlformats.org/officeDocument/2006/relationships/hyperlink" Target="https://www.google.com/maps?q=Shop+no+1,+Gottipati+Military+Hotel,+beside+Karachi+bakery,+Phase+2,+HITEC+City,+Hyderabad,+Telangana+500081&amp;ftid=0x3bcb9375687c150f:0x262b48a61ddb74ee&amp;entry=gps&amp;shh=CAE&amp;lucs=,94297699,94284481,94231188,94280568,47071704,94266210,94218641,94282134,94286869&amp;g_st=ic" TargetMode="External"/><Relationship Id="rId42" Type="http://schemas.openxmlformats.org/officeDocument/2006/relationships/hyperlink" Target="https://maps.app.goo.gl/njfWbADBpRd5g5bE8?g_st=ic" TargetMode="External"/><Relationship Id="rId41" Type="http://schemas.openxmlformats.org/officeDocument/2006/relationships/hyperlink" Target="https://maps.app.goo.gl/HH6V3728whxfwAA8A" TargetMode="External"/><Relationship Id="rId44" Type="http://schemas.openxmlformats.org/officeDocument/2006/relationships/hyperlink" Target="https://www.google.com/maps?q=Prince+House+Family+Restaurant,+2-22105/BC,+Allwyn+Colony+Rd,+Vijaya+Nagar+Colony,+Kukatpally,+Hyderabad,+Telangana+500072&amp;ftid=0x3bcb91c1500b5169:0xc032e1c6219a5597&amp;entry=gps&amp;shh=CAE&amp;lucs=,94297699,94284481,94231188,94280568,47071704,94266210,94218641,94282134,94286869&amp;g_ep=CAISEjI2LjA4LjIuODcwOTc4MTE2MBgAINeCAypRLDk0Mjk3Njk5LDk0Mjg0NDgxLDk0MjMxMTg4LDk0MjgwNTY4LDQ3MDcxNzA0LDk0MjY2MjEwLDk0MjE4NjQxLDk0MjgyMTM0LDk0Mjg2ODY5QgJJTg%3D%3D&amp;skid=f8ed5330-5de1-495c-a3a4-55234374bd43&amp;g_st=ic" TargetMode="External"/><Relationship Id="rId43" Type="http://schemas.openxmlformats.org/officeDocument/2006/relationships/hyperlink" Target="https://maps.app.goo.gl/QZtpXd2JFEQnyrc49?g_st=ic" TargetMode="External"/><Relationship Id="rId46" Type="http://schemas.openxmlformats.org/officeDocument/2006/relationships/hyperlink" Target="https://www.google.com/maps?q=FCX8+W68+Athithi+Biryani+ruchulu,+beside+allwyn+colony,+near+S.S.D+,+grammer+high+school,+Allwyn+Colony,+Kukatpally,+Hyderabad,+Telangana+500072&amp;ftid=0x3bcb91e6c2325f13:0xac52cc886db0242c&amp;entry=gps&amp;shh=CAE&amp;lucs=,94297699,94284481,94231188,94280568,47071704,94266210,94218641,94282134,94286869&amp;g_ep=CAISEjI2LjA4LjIuODcwOTc4MTE2MBgAINeCAypRLDk0Mjk3Njk5LDk0Mjg0NDgxLDk0MjMxMTg4LDk0MjgwNTY4LDQ3MDcxNzA0LDk0MjY2MjEwLDk0MjE4NjQxLDk0MjgyMTM0LDk0Mjg2ODY5QgJJTg%3D%3D&amp;skid=2de67173-7843-41e5-b8a9-9ef8d8763f0e&amp;g_st=ic" TargetMode="External"/><Relationship Id="rId45" Type="http://schemas.openxmlformats.org/officeDocument/2006/relationships/hyperlink" Target="https://maps.app.goo.gl/j1UZoduu6UcAE7aw7?g_st=iw" TargetMode="External"/><Relationship Id="rId48" Type="http://schemas.openxmlformats.org/officeDocument/2006/relationships/hyperlink" Target="https://maps.app.goo.gl/tDeHfjCyNH32Yxzt8?g_st=ic" TargetMode="External"/><Relationship Id="rId47" Type="http://schemas.openxmlformats.org/officeDocument/2006/relationships/hyperlink" Target="https://www.google.com/maps?q=pillar+no+817,+Chitti+Babu+Biryani+-+Kukatpally,+beside+B+J+P+Office,+Bjp+Office,+Shanthi+Nagar,+Kukatpally,+Hyderabad,+Telangana+500072&amp;ftid=0x3bcb9100782d4229:0x993419f5d130087f&amp;entry=gps&amp;shh=CAE&amp;lucs=,94297699,94284481,94231188,94280568,47071704,94266210,94218641,94282134,94286869&amp;g_ep=CAISEjI2LjA4LjIuODcwOTc4MTE2MBgAINeCAypRLDk0Mjk3Njk5LDk0Mjg0NDgxLDk0MjMxMTg4LDk0MjgwNTY4LDQ3MDcxNzA0LDk0MjY2MjEwLDk0MjE4NjQxLDk0MjgyMTM0LDk0Mjg2ODY5QgJJTg%3D%3D&amp;skid=bdd55704-1b02-43ef-8afd-950e26def1d2&amp;g_st=ic" TargetMode="External"/><Relationship Id="rId49" Type="http://schemas.openxmlformats.org/officeDocument/2006/relationships/hyperlink" Target="https://www.google.com/maps/search/By%20The%20Bay/@17.421875,78.4652099609375,17z?hl=en" TargetMode="External"/><Relationship Id="rId31" Type="http://schemas.openxmlformats.org/officeDocument/2006/relationships/hyperlink" Target="https://maps.app.goo.gl/WjEaEbXB9XDNeY216" TargetMode="External"/><Relationship Id="rId30" Type="http://schemas.openxmlformats.org/officeDocument/2006/relationships/hyperlink" Target="https://maps.app.goo.gl/uTsNmD3mcXP3czaY6" TargetMode="External"/><Relationship Id="rId33" Type="http://schemas.openxmlformats.org/officeDocument/2006/relationships/hyperlink" Target="https://maps.app.goo.gl/MHWyqhfs3KcH5r8V6" TargetMode="External"/><Relationship Id="rId32" Type="http://schemas.openxmlformats.org/officeDocument/2006/relationships/hyperlink" Target="https://www.google.com/maps/search/Kritunga+Restaurant/@17.3475323,78.39151,648m/data=!3m1!1e3?hl=en&amp;entry=ttu&amp;g_ep=EgoyMDI2MDIxOC4wIKXMDSoASAFQAw%3D%3D" TargetMode="External"/><Relationship Id="rId35" Type="http://schemas.openxmlformats.org/officeDocument/2006/relationships/hyperlink" Target="https://www.google.com/maps/place/Joharfa/@17.4253177,78.4385058,669m/data=!3m2!1e3!4b1!4m6!3m5!1s0x3bcb917684bb45ff:0xce7b50397dd20a06!8m2!3d17.4253177!4d78.4385058!16s%2Fg%2F11ydz3pw7n!18m1!1e1?entry=ttu&amp;g_ep=EgoyMDI2MDIyMy4wIKXMDSoASAFQAw%3D%3D" TargetMode="External"/><Relationship Id="rId34" Type="http://schemas.openxmlformats.org/officeDocument/2006/relationships/hyperlink" Target="https://www.google.com/maps?q=Road+No+:+3,+Haji+Ali+Fresh+Fruit+Juices,+8-2,+277/12,+UBI+Colony,+Banjara+Hills,+Hyderabad,+Telangana+500034&amp;ftid=0x3bcb973710775149:0xe3e44e6609611d11&amp;entry=gps&amp;shh=CAE&amp;lucs=,94297699,94284481,94231188,94280568,47071704,94266210,94218641,94282134,94286869&amp;g_ep=CAISEjI2LjA3LjIuODY3NTgxNDQ4MBgAINeCAypRLDk0Mjk3Njk5LDk0Mjg0NDgxLDk0MjMxMTg4LDk0MjgwNTY4LDQ3MDcxNzA0LDk0MjY2MjEwLDk0MjE4NjQxLDk0MjgyMTM0LDk0Mjg2ODY5QgJJTg%3D%3D&amp;skid=dd52eb4b-fe2d-4bb9-8ea2-653ebdf4d534&amp;g_st=ic" TargetMode="External"/><Relationship Id="rId37" Type="http://schemas.openxmlformats.org/officeDocument/2006/relationships/hyperlink" Target="https://maps.app.goo.gl/36hT8DmTcuyXcE4c7?g_st=ic" TargetMode="External"/><Relationship Id="rId36" Type="http://schemas.openxmlformats.org/officeDocument/2006/relationships/hyperlink" Target="https://maps.app.goo.gl/NSaZABdnzdMy6eUn9?g_st=ic" TargetMode="External"/><Relationship Id="rId39" Type="http://schemas.openxmlformats.org/officeDocument/2006/relationships/hyperlink" Target="https://maps.app.goo.gl/6KjkBYHkRTrS4q538?g_st=ic" TargetMode="External"/><Relationship Id="rId38" Type="http://schemas.openxmlformats.org/officeDocument/2006/relationships/hyperlink" Target="https://maps.app.goo.gl/ke4AruaeQ3QL7R8QA?g_st=ic" TargetMode="External"/><Relationship Id="rId20" Type="http://schemas.openxmlformats.org/officeDocument/2006/relationships/hyperlink" Target="https://www.google.com/maps/place/Saiko+Sushi+House/@17.4338176,78.3346259,3a,75y,90t/data=!3m8!1e2!3m6!1sCIHM0ogKEICAgMCg5vXYvAE!2e10!3e12!6shttps:%2F%2Flh3.googleusercontent.com%2Fgps-cs-s%2FAHVAweoaS9kd6JXygFdwBjyPCoeDM5ejLYT3za-30DbH8UgH8aDobGOOE3rMSCTZv0rKVWM8gCp9rb1D4TtT5Xb50L4B4GTUXU5CSBJyZ28PxnfQG9VguZJYgzvUMXRT8lcp1Q5VpzKU8w%3Dw86-h114-k-no!7i3072!8i4096!4m11!1m2!2m1!1ssaiko!3m7!1s0x3bcb913a278bcf27:0x423fb80852e570b1!8m2!3d17.4337578!4d78.3346972!10e5!15sCgVzYWlrb1oHIgVzYWlrb5IBE2phcGFuZXNlX3Jlc3RhdXJhbnTgAQA!16s%2Fg%2F11trhvjcb0?entry=ttu&amp;g_ep=EgoyMDI2MDIxOC4wIKXMDSoASAFQAw%3D%3D" TargetMode="External"/><Relationship Id="rId22" Type="http://schemas.openxmlformats.org/officeDocument/2006/relationships/hyperlink" Target="https://www.google.com/maps/place/Pakka+Local/@17.4186497,78.4449692,17z/data=!4m10!1m2!2m1!1sPakka+Local!3m6!1s0x3bcb97409f40ad13:0xe16af1c020e182f4!8m2!3d17.4185316!4d78.4449637!15sCgtQYWtrYSBMb2NhbFoNIgtwYWtrYSBsb2NhbJIBCnJlc3RhdXJhbnTgAQA!16s%2Fg%2F11fb0k1jn4?hl=en&amp;entry=ttu&amp;g_ep=EgoyMDI2MDIxOC4wIKXMDSoASAFQAw%3D%3D" TargetMode="External"/><Relationship Id="rId21" Type="http://schemas.openxmlformats.org/officeDocument/2006/relationships/hyperlink" Target="https://www.google.com/maps/place/Radisson+Hotel+Hyderabad+Hitec+City/@17.4475997,78.2831349,12z/data=!4m13!1m2!2m1!1sRadisson+Blu!3m9!1s0x3bcb93c0f34ab693:0x84f906f2a716e6c3!5m2!4m1!1i2!8m2!3d17.4472705!4d78.3628044!15sCgxSYWRpc3NvbiBCbHUiA4gBAVoOIgxyYWRpc3NvbiBibHWSAQVob3RlbOABAA!16s%2Fg%2F1tghblhv?hl=en&amp;entry=ttu&amp;g_ep=EgoyMDI2MDIxOC4wIKXMDSoASAFQAw%3D%3D" TargetMode="External"/><Relationship Id="rId24" Type="http://schemas.openxmlformats.org/officeDocument/2006/relationships/hyperlink" Target="https://www.google.com/maps/place/Exotica+Banjara+Hills/@17.4104255,78.4333373,17z/data=!3m1!5s0x3bcb9724f5ba28ed:0xd75b956d6963d5b!4m10!1m2!2m1!1sExotica!3m6!1s0x3bcb97614e0b460b:0x1f0e1cd374621396!8m2!3d17.4104255!4d78.4374572!15sCgdFeG90aWNhWgkiB2V4b3RpY2GSARdub3J0aF9pbmRpYW5fcmVzdGF1cmFudOABAA!16s%2Fg%2F11btvl7c4b?hl=en&amp;entry=ttu&amp;g_ep=EgoyMDI2MDIxOC4wIKXMDSoASAFQAw%3D%3D" TargetMode="External"/><Relationship Id="rId23" Type="http://schemas.openxmlformats.org/officeDocument/2006/relationships/hyperlink" Target="https://www.google.com/maps/search/Seasons%20Xprs/@17.425067901611328,78.43833923339844,17z?hl=en" TargetMode="External"/><Relationship Id="rId26" Type="http://schemas.openxmlformats.org/officeDocument/2006/relationships/hyperlink" Target="https://www.google.com/maps/place/The+Gallery+Cafe/@17.4160442,78.4433594,17z/data=!4m10!1m2!2m1!1sThe+Gallery+Cafe!3m6!1s0x3bcb973045ec8b77:0xaa096ab720ecf6d2!8m2!3d17.4202728!4d78.446649!15sChBUaGUgR2FsbGVyeSBDYWZlWhIiEHRoZSBnYWxsZXJ5IGNhZmWSAQhhcnRfY2FmZeABAA!16s%2Fg%2F11bc7r9sly?hl=en&amp;entry=ttu&amp;g_ep=EgoyMDI2MDIxOC4wIKXMDSoASAFQAw%3D%3D" TargetMode="External"/><Relationship Id="rId25" Type="http://schemas.openxmlformats.org/officeDocument/2006/relationships/hyperlink" Target="https://www.google.com/maps/place/Hummus+House+-+Hyderabad/@17.4081135,78.4423904,17z/data=!4m6!3m5!1s0x3bcb911288871781:0xf4aee9512773b144!8m2!3d17.4081158!4d78.4423958!16s%2Fg%2F11khrtcdqc?hl=en&amp;entry=ttu&amp;g_ep=EgoyMDI2MDIxOC4wIKXMDSoASAFQAw%3D%3D" TargetMode="External"/><Relationship Id="rId28" Type="http://schemas.openxmlformats.org/officeDocument/2006/relationships/hyperlink" Target="https://www.google.com/maps/place/Mataam+Al+Yamani+Tolichowki/@17.4027805,78.4058427,17z/data=!4m10!1m2!2m1!1sMataam+Al+Yamani!3m6!1s0x3bcb979eacf058bd:0x3f6e4f2284c144f1!8m2!3d17.4027805!4d78.4099626!15sChBNYXRhYW0gQWwgWWFtYW5pWhIiEG1hdGFhbSBhbCB5YW1hbmmSARN5ZW1lbml0ZV9yZXN0YXVyYW504AEA!16s%2Fg%2F11c2rbd9jq?hl=en&amp;entry=ttu&amp;g_ep=EgoyMDI2MDIxOC4wIKXMDSoASAFQAw%3D%3D" TargetMode="External"/><Relationship Id="rId27" Type="http://schemas.openxmlformats.org/officeDocument/2006/relationships/hyperlink" Target="https://www.google.com/maps/place/Kapoor's+Cafe/@17.4121442,78.4453907,17z/data=!4m10!1m2!2m1!1sKapoor's+Cafe!3m6!1s0x3bcb97c0c93c36e7:0x2f6d13e0000ebe7a!8m2!3d17.4121442!4d78.4495106!15sCg1LYXBvb3IncyBDYWZlWg8iDWthcG9vcidzIGNhZmWSARV2ZWdldGFyaWFuX3Jlc3RhdXJhbnTgAQA!16s%2Fg%2F11s4_mk10n?hl=en&amp;entry=ttu&amp;g_ep=EgoyMDI2MDIxOC4wIKXMDSoASAFQAw%3D%3D" TargetMode="External"/><Relationship Id="rId29" Type="http://schemas.openxmlformats.org/officeDocument/2006/relationships/hyperlink" Target="https://www.google.com/maps/search/Dream%20Land%20Bakers%20and%20Confectioneries/@17.412179946899414,78.39535522460938,17z?hl=en" TargetMode="External"/><Relationship Id="rId11" Type="http://schemas.openxmlformats.org/officeDocument/2006/relationships/hyperlink" Target="https://www.google.com/maps/place/Sri+Gowra's+kitchen/@17.4918475,78.3955367,17z/data=!3m1!4b1!4m6!3m5!1s0x3bcb8fb9d435de61:0x5f72cef3b4517368!8m2!3d17.4918424!4d78.398117!16s%2Fg%2F11wh__g1zj?hl=en&amp;entry=ttu&amp;g_ep=EgoyMDI2MDIxOC4wIKXMDSoASAFQAw%3D%3D" TargetMode="External"/><Relationship Id="rId10" Type="http://schemas.openxmlformats.org/officeDocument/2006/relationships/hyperlink" Target="https://maps.app.goo.gl/Cbid88qAB5NfcMiaA" TargetMode="External"/><Relationship Id="rId13" Type="http://schemas.openxmlformats.org/officeDocument/2006/relationships/hyperlink" Target="https://www.google.com/maps/place/Midland+Bakery/@17.4508167,78.4163364,16z/data=!4m10!1m2!2m1!1smiland+bakers!3m6!1s0x3bcb911ed65f362d:0x4b1612a127362273!8m2!3d17.4508167!4d78.4245761!15sCg5taWRsYW5kIGJha2VycyIDiAEBWhAiDm1pZGxhbmQgYmFrZXJzkgEGYmFrZXJ54AEA!16s%2Fg%2F1td_fpm4?hl=en&amp;entry=ttu&amp;g_ep=EgoyMDI2MDIxOC4wIKXMDSoASAFQAw%3D%3D" TargetMode="External"/><Relationship Id="rId12" Type="http://schemas.openxmlformats.org/officeDocument/2006/relationships/hyperlink" Target="https://www.google.com/maps/place/Morine+Bakery/@17.3846998,78.2264247,12z/data=!4m10!1m2!2m1!1smorine+bakers!3m6!1s0x3bcb95cfff4fd455:0xae50c6301ef43714!8m2!3d17.3846998!4d78.3582606!15sCg1tb3JpbmUgYmFrZXJzWg8iDW1vcmluZSBiYWtlcnOSAQZiYWtlcnngAQA!16s%2Fg%2F11qnjhfg05?hl=en&amp;entry=ttu&amp;g_ep=EgoyMDI2MDIxOC4wIKXMDSoASAFQAw%3D%3D" TargetMode="External"/><Relationship Id="rId15" Type="http://schemas.openxmlformats.org/officeDocument/2006/relationships/hyperlink" Target="https://www.google.com/maps/place/Blue+Star+Restaurant/@17.4508873,78.4197916,16z/data=!4m10!1m2!2m1!1sBlue+star+restaurant+!3m6!1s0x3bcb9188749e7ebb:0x258171eb9b83b771!8m2!3d17.4508899!4d78.4245505!15sChRCbHVlIHN0YXIgcmVzdGF1cmFudFoWIhRibHVlIHN0YXIgcmVzdGF1cmFudJIBCnJlc3RhdXJhbnTgAQA!16s%2Fg%2F11mtjyssyc?hl=en&amp;entry=ttu&amp;g_ep=EgoyMDI2MDIxOC4wIKXMDSoASAFQAw%3D%3D" TargetMode="External"/><Relationship Id="rId14" Type="http://schemas.openxmlformats.org/officeDocument/2006/relationships/hyperlink" Target="https://www.google.com/maps/place/17%C2%B029'31.5%22N+78%C2%B023'50.9%22E/@17.4920833,78.3968285,19z/data=!3m1!4b1!4m4!3m3!8m2!3d17.4920833!4d78.3974722?hl=en&amp;entry=ttu&amp;g_ep=EgoyMDI2MDIxOC4wIKXMDSoASAFQAw%3D%3D" TargetMode="External"/><Relationship Id="rId17" Type="http://schemas.openxmlformats.org/officeDocument/2006/relationships/hyperlink" Target="https://www.google.com/maps/place/Rayudu's+Kitchen/@17.4333496,78.4441904,17z/data=!3m1!4b1!4m6!3m5!1s0x3bcb914955d011ff:0x661b97e6bb096a21!8m2!3d17.4333496!4d78.4467653!16s%2Fg%2F11vz2djgcg?entry=ttu&amp;g_ep=EgoyMDI2MDIxOC4wIKXMDSoASAFQAw%3D%3D" TargetMode="External"/><Relationship Id="rId16" Type="http://schemas.openxmlformats.org/officeDocument/2006/relationships/hyperlink" Target="https://www.google.com/maps/place/My+Friend+Circle/@17.3853039,78.3553971,-32a,55.4y/data=!3m8!1e2!3m6!1sCIHM0ogKEICAgIDftKeV3gE!2e10!3e12!6shttps:%2F%2Flh3.googleusercontent.com%2Fgps-cs-s%2FAHVAweoS4mUpoR772RhURMTdEJI5VGb_crk6WtJNm3CKPpWSm9wDA1fY0XLexucfDZwhjeDcjATviDVRdfmXdFNJgKcdlNjhxHbgaMA4UaB2Jj1EIhsHg16zJl-iOvvQqCQQ8SJxR98x4g%3Dw114-h86-k-no!7i1280!8i960!4m11!1m2!2m1!1smy+friend+circle+and+kitchen!3m7!1s0x3bcb9584f1901667:0x1a3a33505b096dbc!8m2!3d17.3852147!4d78.355735!10e5!15sChxteSBmcmllbmQgY2lyY2xlIGFuZCBraXRjaGVuWh4iHG15IGZyaWVuZCBjaXJjbGUgYW5kIGtpdGNoZW6SAQpmb29kX2NvdXJ0mgFEQ2k5RFFVbFJRVU52WkVOb2RIbGpSamx2VDJ4S2NrNUZkM3BPYmtJeFdYa3hWR1ZHYUZCTlZrVjNWRlpHYmxreFJSQULgAQD6AQQIABAc!16s%2Fg%2F11wvd39p_5?entry=ttu&amp;g_ep=EgoyMDI2MDIxOC4wIKXMDSoASAFQAw%3D%3D" TargetMode="External"/><Relationship Id="rId19" Type="http://schemas.openxmlformats.org/officeDocument/2006/relationships/hyperlink" Target="https://www.google.com/maps/place/Habitat+Cafe/@17.4211674,78.4430847,17z/data=!4m6!3m5!1s0x3bcb9713ea5dce4d:0x55d66161e9f00e11!8m2!3d17.4211614!4d78.4430845!16s%2Fg%2F11ld53yyby?hl=en&amp;entry=ttu&amp;g_ep=EgoyMDI2MDIxOC4wIKXMDSoASAFQAw%3D%3D" TargetMode="External"/><Relationship Id="rId18" Type="http://schemas.openxmlformats.org/officeDocument/2006/relationships/hyperlink" Target="https://www.google.com/maps/place/Tasty+Flavours/@17.4652668,78.3434805,3a,75y,90t/data=!3m8!1e2!3m6!1sAF1QipPfV5LKpV5t2rgznEmlSSzoj7InMJTZoFfDKy4U!2e10!3e12!6shttps:%2F%2Flh3.googleusercontent.com%2Fp%2FAF1QipPfV5LKpV5t2rgznEmlSSzoj7InMJTZoFfDKy4U%3Dw203-h142-k-no!7i1120!8i787!4m7!3m6!1s0x3bcb938875a3f2f1:0x1c0df37a1d92c233!8m2!3d17.465276!4d78.3434163!10e5!16s%2Fg%2F11x71lps8y?entry=ttu&amp;g_ep=EgoyMDI2MDIxOC4wIKXMDSoASAFQAw%3D%3D" TargetMode="External"/><Relationship Id="rId84" Type="http://schemas.openxmlformats.org/officeDocument/2006/relationships/hyperlink" Target="https://share.google/eqDBmosz3VHSZ7rBw" TargetMode="External"/><Relationship Id="rId83" Type="http://schemas.openxmlformats.org/officeDocument/2006/relationships/hyperlink" Target="https://www.google.com/maps/search/Punjabi%20Affair/@17.442533493041992,78.38795471191406,17z?hl=en" TargetMode="External"/><Relationship Id="rId85" Type="http://schemas.openxmlformats.org/officeDocument/2006/relationships/drawing" Target="../drawings/drawing2.xml"/><Relationship Id="rId87" Type="http://schemas.openxmlformats.org/officeDocument/2006/relationships/table" Target="../tables/table2.xml"/><Relationship Id="rId80" Type="http://schemas.openxmlformats.org/officeDocument/2006/relationships/hyperlink" Target="https://www.google.com/maps/search/Sri+Thirumala+Bakery/@17.5124378,78.4472733,669m/data=!3m1!1e3?hl=en&amp;entry=ttu&amp;g_ep=EgoyMDI2MDMwOC4wIKXMDSoASAFQAw%3D%3D" TargetMode="External"/><Relationship Id="rId82" Type="http://schemas.openxmlformats.org/officeDocument/2006/relationships/hyperlink" Target="https://www.google.com/maps/search/Telugu%20Medium/@17.427873611450195,78.40385437011719,17z?hl=en" TargetMode="External"/><Relationship Id="rId81" Type="http://schemas.openxmlformats.org/officeDocument/2006/relationships/hyperlink" Target="https://maps.app.goo.gl/AJYH1SDDgRViDKHJ6" TargetMode="External"/><Relationship Id="rId73" Type="http://schemas.openxmlformats.org/officeDocument/2006/relationships/hyperlink" Target="https://maps.app.goo.gl/wX4AUSkYBSAYc6uz7?g_st=ic" TargetMode="External"/><Relationship Id="rId72" Type="http://schemas.openxmlformats.org/officeDocument/2006/relationships/hyperlink" Target="https://www.google.com/maps/search/Udipis%20Upahar/@17.470069885253906,78.36566162109375,17z?hl=en" TargetMode="External"/><Relationship Id="rId75" Type="http://schemas.openxmlformats.org/officeDocument/2006/relationships/hyperlink" Target="https://maps.app.goo.gl/wX4AUSkYBSAYc6uz7?g_st=ic" TargetMode="External"/><Relationship Id="rId74" Type="http://schemas.openxmlformats.org/officeDocument/2006/relationships/hyperlink" Target="https://maps.app.goo.gl/wX4AUSkYBSAYc6uz7?g_st=ic" TargetMode="External"/><Relationship Id="rId77" Type="http://schemas.openxmlformats.org/officeDocument/2006/relationships/hyperlink" Target="https://share.google/Qts6V2SVTLdOyy43P" TargetMode="External"/><Relationship Id="rId76" Type="http://schemas.openxmlformats.org/officeDocument/2006/relationships/hyperlink" Target="https://maps.app.goo.gl/wX4AUSkYBSAYc6uz7?g_st=ic" TargetMode="External"/><Relationship Id="rId79" Type="http://schemas.openxmlformats.org/officeDocument/2006/relationships/hyperlink" Target="https://www.google.com/maps/search/Baburao%20Gari%20Biryani/@17.498565673828125,78.410400390625,17z?hl=en" TargetMode="External"/><Relationship Id="rId78" Type="http://schemas.openxmlformats.org/officeDocument/2006/relationships/hyperlink" Target="https://maps.app.goo.gl/jtBCVj1vJzXwjKFLA?g_st=ic" TargetMode="External"/><Relationship Id="rId71" Type="http://schemas.openxmlformats.org/officeDocument/2006/relationships/hyperlink" Target="https://maps.app.goo.gl/8WL28aMavMBGkY9B9?g_st=aw" TargetMode="External"/><Relationship Id="rId70" Type="http://schemas.openxmlformats.org/officeDocument/2006/relationships/hyperlink" Target="https://maps.app.goo.gl/GvAV3FXgpnof16CY9" TargetMode="External"/><Relationship Id="rId62" Type="http://schemas.openxmlformats.org/officeDocument/2006/relationships/hyperlink" Target="https://www.google.com/maps?q=Sri+Vengamamba+deluxe+mess,+Plot+1271,+Rd+Number+63,+opp.+Bharath+Petrol+pump,+Checkpost,+Jubilee+Hills,+Hyderabad,+Telangana+500033&amp;ftid=0x3bcb91002834b9d7:0x23bc39f12cf7c58c&amp;entry=gps&amp;shh=CAE&amp;lucs=,94297699,100795625,94284469,94231188,94280568,47071704,94266210,94218641,94282134,94286869&amp;g_ep=CAISEjI2LjA1LjEuODYxMzIyMjEwMBgAIIgnKlssOTQyOTc2OTksMTAwNzk1NjI1LDk0Mjg0NDY5LDk0MjMxMTg4LDk0MjgwNTY4LDQ3MDcxNzA0LDk0MjY2MjEwLDk0MjE4NjQxLDk0MjgyMTM0LDk0Mjg2ODY5QgJJTg%3D%3D&amp;skid=7f8dd25e-6865-4ab2-9172-772291139233&amp;g_st=ic" TargetMode="External"/><Relationship Id="rId61" Type="http://schemas.openxmlformats.org/officeDocument/2006/relationships/hyperlink" Target="https://www.google.com/maps?q=Sri+Vengamamba+deluxe+mess,+Plot+1271,+Rd+Number+63,+opp.+Bharath+Petrol+pump,+Checkpost,+Jubilee+Hills,+Hyderabad,+Telangana+500033&amp;ftid=0x3bcb91002834b9d7:0x23bc39f12cf7c58c&amp;entry=gps&amp;shh=CAE&amp;lucs=,94297699,100795625,94284469,94231188,94280568,47071704,94266210,94218641,94282134,94286869&amp;g_ep=CAISEjI2LjA1LjEuODYxMzIyMjEwMBgAIIgnKlssOTQyOTc2OTksMTAwNzk1NjI1LDk0Mjg0NDY5LDk0MjMxMTg4LDk0MjgwNTY4LDQ3MDcxNzA0LDk0MjY2MjEwLDk0MjE4NjQxLDk0MjgyMTM0LDk0Mjg2ODY5QgJJTg%3D%3D&amp;skid=7f8dd25e-6865-4ab2-9172-772291139233&amp;g_st=ic" TargetMode="External"/><Relationship Id="rId64" Type="http://schemas.openxmlformats.org/officeDocument/2006/relationships/hyperlink" Target="https://www.google.com/maps/search/The%20Hole%20In%20The%20Wall%20Cafe/@17.43601417541504,78.40055847167969,17z?hl=en" TargetMode="External"/><Relationship Id="rId63" Type="http://schemas.openxmlformats.org/officeDocument/2006/relationships/hyperlink" Target="https://www.google.com/maps?q=Sri+Vengamamba+deluxe+mess,+Plot+1271,+Rd+Number+63,+opp.+Bharath+Petrol+pump,+Checkpost,+Jubilee+Hills,+Hyderabad,+Telangana+500033&amp;ftid=0x3bcb91002834b9d7:0x23bc39f12cf7c58c&amp;entry=gps&amp;shh=CAE&amp;lucs=,94297699,100795625,94284469,94231188,94280568,47071704,94266210,94218641,94282134,94286869&amp;g_ep=CAISEjI2LjA1LjEuODYxMzIyMjEwMBgAIIgnKlssOTQyOTc2OTksMTAwNzk1NjI1LDk0Mjg0NDY5LDk0MjMxMTg4LDk0MjgwNTY4LDQ3MDcxNzA0LDk0MjY2MjEwLDk0MjE4NjQxLDk0MjgyMTM0LDk0Mjg2ODY5QgJJTg%3D%3D&amp;skid=7f8dd25e-6865-4ab2-9172-772291139233&amp;g_st=ic" TargetMode="External"/><Relationship Id="rId66" Type="http://schemas.openxmlformats.org/officeDocument/2006/relationships/hyperlink" Target="https://maps.app.goo.gl/KMm16naoPYSM9WCV6" TargetMode="External"/><Relationship Id="rId65" Type="http://schemas.openxmlformats.org/officeDocument/2006/relationships/hyperlink" Target="https://maps.app.goo.gl/gRgAKdYqJX9PRVGk8" TargetMode="External"/><Relationship Id="rId68" Type="http://schemas.openxmlformats.org/officeDocument/2006/relationships/hyperlink" Target="https://maps.app.goo.gl/YzsbZ6NbDBK2YrMc6" TargetMode="External"/><Relationship Id="rId67" Type="http://schemas.openxmlformats.org/officeDocument/2006/relationships/hyperlink" Target="https://maps.app.goo.gl/hXgcnnitynwMnroy9" TargetMode="External"/><Relationship Id="rId60" Type="http://schemas.openxmlformats.org/officeDocument/2006/relationships/hyperlink" Target="https://www.google.com/maps?geocode=FfYjCgEdxv-sBA%3D%3D;FZYfCgEdOwatBCmFX_1xAJHLOzEMtYqLsVExPQ%3D%3D&amp;daddr=Pulao%27s+%26+Bagara,+Satyam+Theatre+Road,+Kumar+Basti,+Srinivasa+Nagar,+Ameerpet,+Hyderabad,+Telangana&amp;saddr=17.4417820,78.4465340&amp;dirflg=d&amp;ftid=0x3bcb910071fd5f85:0x3d3151b18b8ab50c&amp;lucs=,94297699,94284454,94231188,94280568,47071704,94218641,94282134,100799872,94286869&amp;g_st=ic" TargetMode="External"/><Relationship Id="rId69" Type="http://schemas.openxmlformats.org/officeDocument/2006/relationships/hyperlink" Target="https://maps.app.goo.gl/BCZcGSRXBw65e5aMA?g_st=iw" TargetMode="External"/><Relationship Id="rId51" Type="http://schemas.openxmlformats.org/officeDocument/2006/relationships/hyperlink" Target="https://www.google.com/maps/search/Chicha's/@17.40321922302246,78.46006774902344,17z?hl=en" TargetMode="External"/><Relationship Id="rId50" Type="http://schemas.openxmlformats.org/officeDocument/2006/relationships/hyperlink" Target="https://www.google.com/maps?q=Pakka+Telangana,+25/3RT,+SR+Nagar+Main+Rd,+opp.+SBI+Bank,+Sanjeeva+Reddy+Nagar+Office+Area,+Sanjeeva+Reddy+Nagar,+Hyderabad,+Telangana+500038&amp;ftid=0x3bcb918d90dbae7d:0x53a771b8befc0bf7&amp;entry=gps&amp;shh=CAE&amp;lucs=,94297699,94284481,94231188,94280568,47071704,94266210,94218641,94282134,94286869&amp;g_ep=CAISEjI2LjA4LjIuODcwOTc4MTE2MBgAINeCAypRLDk0Mjk3Njk5LDk0Mjg0NDgxLDk0MjMxMTg4LDk0MjgwNTY4LDQ3MDcxNzA0LDk0MjY2MjEwLDk0MjE4NjQxLDk0MjgyMTM0LDk0Mjg2ODY5QgJJTg%3D%3D&amp;skid=32be1842-32fd-4f82-82d3-41b9e8e109a5&amp;g_st=ic" TargetMode="External"/><Relationship Id="rId53" Type="http://schemas.openxmlformats.org/officeDocument/2006/relationships/hyperlink" Target="https://www.google.com/maps/search/IDV%20kitchen/@17.5010098,78.33519844,17z?hl=en" TargetMode="External"/><Relationship Id="rId52" Type="http://schemas.openxmlformats.org/officeDocument/2006/relationships/hyperlink" Target="https://www.google.com/maps?geocode=FbU2CgEdb-GsBA%3D%3D;FWdHCgEdiNmsBCn95OujVJHLOzFVp3KS06CKWQ%3D%3D&amp;daddr=Arya+Bhavan,+society+of+Jesus+Marry+Charch,+Erragadda+Main+Road,+Surender+Nagar,+Sundar+Nagar,+Erragadda,+Hyderabad,+Telangana&amp;saddr=17.4465810,78.4387670&amp;dirflg=d&amp;ftid=0x3bcb9154a3ebe4fd:0x598aa0d39272a755&amp;lucs=,94297699,94284454,94231188,94280568,47071704,94218641,94282134,100799872,94286869&amp;g_ep=CAISEjI2LjA4LjIuODcwOTc4MTE2MBgAILq3CypSLDk0Mjk3Njk5LDk0Mjg0NDU0LDk0MjMxMTg4LDk0MjgwNTY4LDQ3MDcxNzA0LDk0MjE4NjQxLDk0MjgyMTM0LDEwMDc5OTg3Miw5NDI4Njg2OUICSU4%3D&amp;skid=500f81c4-84c9-41bb-94fc-c8543518db93&amp;g_st=ic" TargetMode="External"/><Relationship Id="rId55" Type="http://schemas.openxmlformats.org/officeDocument/2006/relationships/hyperlink" Target="https://www.google.com/maps/place/Udipi+Upahar+Chandanagar/@17.5062084,78.3180953,669m/data=!3m1!1e3!4m6!3m5!1s0x3bcb93c32ba51ccf:0xc6f37f989bc601d6!8m2!3d17.5062079!4d78.3180919!16s%2Fg%2F11kq8qsplq?hl=en&amp;entry=ttu&amp;g_ep=EgoyMDI2MDIyNS4wIKXMDSoASAFQAw%3D%3D" TargetMode="External"/><Relationship Id="rId54" Type="http://schemas.openxmlformats.org/officeDocument/2006/relationships/hyperlink" Target="https://maps.app.goo.gl/SsXMp4Ua3cFqU8QH7?g_st=ic" TargetMode="External"/><Relationship Id="rId57" Type="http://schemas.openxmlformats.org/officeDocument/2006/relationships/hyperlink" Target="https://www.google.com/maps/search/Rajahmundry%20Vaari%20Real%20Rose%20Milk/@17.5076447,78.31819013,17z?hl=en" TargetMode="External"/><Relationship Id="rId56" Type="http://schemas.openxmlformats.org/officeDocument/2006/relationships/hyperlink" Target="https://www.google.com/maps/search/Chicha's/@17.40321922302246,78.46006774902344,17z?hl=en" TargetMode="External"/><Relationship Id="rId59" Type="http://schemas.openxmlformats.org/officeDocument/2006/relationships/hyperlink" Target="https://maps.app.goo.gl/cP2Df882bvi8bJut7?g_st=ic" TargetMode="External"/><Relationship Id="rId58" Type="http://schemas.openxmlformats.org/officeDocument/2006/relationships/hyperlink" Target="https://maps.app.goo.gl/cP2Df882bvi8bJut7?g_st=ic"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rive.google.com/drive/folders/1iGkq5x63L9MzLTFtbpSSdoRb2Z16w-QN" TargetMode="External"/><Relationship Id="rId2" Type="http://schemas.openxmlformats.org/officeDocument/2006/relationships/hyperlink" Target="https://drive.google.com/drive/folders/1q5m_oIPtx_q6EBqzQVHbpbGSahH2dFcx" TargetMode="External"/><Relationship Id="rId3" Type="http://schemas.openxmlformats.org/officeDocument/2006/relationships/hyperlink" Target="https://drive.google.com/drive/folders/14gLod5g9ejIgDgoScB7Vcn_7rb662Fqr" TargetMode="External"/><Relationship Id="rId4" Type="http://schemas.openxmlformats.org/officeDocument/2006/relationships/hyperlink" Target="https://drive.google.com/drive/folders/1U13VSi8AdHY1-kfcRQSIsNhtOFIIlglH" TargetMode="External"/><Relationship Id="rId5"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4.0"/>
    <col customWidth="1" min="2" max="2" width="33.63"/>
    <col customWidth="1" min="3" max="3" width="28.0"/>
    <col customWidth="1" min="4" max="4" width="18.5"/>
    <col customWidth="1" min="5" max="5" width="37.63"/>
    <col customWidth="1" min="6" max="6" width="21.13"/>
    <col customWidth="1" min="7" max="8" width="28.0"/>
    <col customWidth="1" min="9" max="10" width="20.88"/>
    <col customWidth="1" min="11" max="11" width="18.0"/>
    <col customWidth="1" min="12" max="12" width="14.5"/>
    <col customWidth="1" min="13" max="13" width="10.38"/>
    <col customWidth="1" min="14" max="14" width="14.25"/>
    <col customWidth="1" min="15" max="15" width="27.0"/>
    <col customWidth="1" min="16" max="16" width="20.13"/>
    <col customWidth="1" min="17" max="17" width="16.75"/>
    <col customWidth="1" min="18" max="18" width="19.63"/>
    <col customWidth="1" min="19" max="19" width="21.13"/>
    <col customWidth="1" min="20" max="20" width="18.0"/>
    <col customWidth="1" min="21" max="21" width="14.13"/>
    <col customWidth="1" min="22" max="22" width="21.38"/>
    <col customWidth="1" min="23" max="23" width="15.38"/>
    <col customWidth="1" min="24" max="24" width="15.13"/>
    <col customWidth="1" min="25" max="29" width="13.0"/>
    <col customWidth="1" min="30" max="30" width="19.0"/>
    <col customWidth="1" min="31" max="31" width="58.5"/>
    <col customWidth="1" min="32" max="32" width="19.0"/>
    <col customWidth="1" min="34" max="34" width="26.5"/>
    <col customWidth="1" min="35" max="35" width="27.63"/>
  </cols>
  <sheetData>
    <row r="1" ht="35.25" customHeight="1">
      <c r="A1" s="1" t="s">
        <v>0</v>
      </c>
      <c r="B1" s="2" t="s">
        <v>1</v>
      </c>
      <c r="C1" s="2" t="s">
        <v>2</v>
      </c>
      <c r="D1" s="3" t="s">
        <v>3</v>
      </c>
      <c r="E1" s="3" t="s">
        <v>4</v>
      </c>
      <c r="F1" s="3" t="s">
        <v>5</v>
      </c>
      <c r="G1" s="3" t="s">
        <v>6</v>
      </c>
      <c r="H1" s="3" t="s">
        <v>7</v>
      </c>
      <c r="I1" s="4" t="s">
        <v>8</v>
      </c>
      <c r="J1" s="4" t="s">
        <v>9</v>
      </c>
      <c r="K1" s="3" t="s">
        <v>10</v>
      </c>
      <c r="L1" s="5" t="s">
        <v>11</v>
      </c>
      <c r="M1" s="5"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row>
    <row r="2" ht="35.25" customHeight="1">
      <c r="A2" s="6">
        <v>46054.0</v>
      </c>
      <c r="B2" s="7" t="s">
        <v>44</v>
      </c>
      <c r="C2" s="8" t="s">
        <v>45</v>
      </c>
      <c r="D2" s="9" t="s">
        <v>46</v>
      </c>
      <c r="E2" s="9" t="s">
        <v>47</v>
      </c>
      <c r="F2" s="9" t="s">
        <v>48</v>
      </c>
      <c r="G2" s="10">
        <v>500057.0</v>
      </c>
      <c r="H2" s="9" t="s">
        <v>49</v>
      </c>
      <c r="I2" s="11" t="str">
        <f>VLOOKUP(H2,Mapping!D:E,2,0)</f>
        <v>masab tank</v>
      </c>
      <c r="J2" s="9" t="s">
        <v>50</v>
      </c>
      <c r="K2" s="12">
        <v>0.22</v>
      </c>
      <c r="L2" s="13" t="str">
        <f t="shared" ref="L2:L104" si="1">if(K2=0,"0",(if(K2&lt;15%,"&lt;15%",if(K2&lt;17%,"&lt;17%",IF(K2&lt;20%,"&lt;20%","20%+")))))</f>
        <v>20%+</v>
      </c>
      <c r="M2" s="13">
        <v>0.018</v>
      </c>
      <c r="N2" s="14"/>
      <c r="O2" s="9" t="s">
        <v>48</v>
      </c>
      <c r="P2" s="15" t="s">
        <v>51</v>
      </c>
      <c r="Q2" s="9" t="s">
        <v>48</v>
      </c>
      <c r="R2" s="16" t="s">
        <v>52</v>
      </c>
      <c r="S2" s="9" t="s">
        <v>53</v>
      </c>
      <c r="T2" s="9" t="s">
        <v>48</v>
      </c>
      <c r="U2" s="9" t="s">
        <v>54</v>
      </c>
      <c r="V2" s="17">
        <v>7.5540100010283E13</v>
      </c>
      <c r="W2" s="9" t="s">
        <v>55</v>
      </c>
      <c r="X2" s="9" t="s">
        <v>56</v>
      </c>
      <c r="Y2" s="18" t="s">
        <v>57</v>
      </c>
      <c r="Z2" s="18" t="s">
        <v>58</v>
      </c>
      <c r="AA2" s="18" t="s">
        <v>57</v>
      </c>
      <c r="AB2" s="18" t="s">
        <v>58</v>
      </c>
      <c r="AC2" s="18" t="s">
        <v>58</v>
      </c>
      <c r="AD2" s="18" t="s">
        <v>58</v>
      </c>
      <c r="AE2" s="19"/>
      <c r="AF2" s="14"/>
      <c r="AG2" s="14" t="str">
        <f t="shared" ref="AG2:AG36" si="2">VLOOKUP(H:H,'Pivot Table 8'!B:C,2,0)</f>
        <v>#REF!</v>
      </c>
      <c r="AH2" s="14"/>
      <c r="AI2" s="20"/>
      <c r="AJ2" s="14"/>
      <c r="AK2" s="14"/>
      <c r="AL2" s="14"/>
      <c r="AM2" s="14"/>
      <c r="AN2" s="14"/>
      <c r="AO2" s="14"/>
      <c r="AP2" s="14"/>
      <c r="AQ2" s="14"/>
      <c r="AR2" s="14"/>
    </row>
    <row r="3" ht="22.5" customHeight="1">
      <c r="A3" s="6">
        <v>46054.0</v>
      </c>
      <c r="B3" s="21" t="s">
        <v>59</v>
      </c>
      <c r="C3" s="8" t="s">
        <v>60</v>
      </c>
      <c r="D3" s="9" t="s">
        <v>61</v>
      </c>
      <c r="E3" s="9" t="s">
        <v>62</v>
      </c>
      <c r="F3" s="9" t="s">
        <v>63</v>
      </c>
      <c r="G3" s="22">
        <v>500028.0</v>
      </c>
      <c r="H3" s="9" t="s">
        <v>64</v>
      </c>
      <c r="I3" s="11" t="str">
        <f>VLOOKUP(H3,Mapping!D:E,2,0)</f>
        <v>mehdipatnam</v>
      </c>
      <c r="J3" s="9" t="s">
        <v>50</v>
      </c>
      <c r="K3" s="12">
        <v>0.24</v>
      </c>
      <c r="L3" s="13" t="str">
        <f t="shared" si="1"/>
        <v>20%+</v>
      </c>
      <c r="M3" s="13">
        <v>0.018</v>
      </c>
      <c r="N3" s="14"/>
      <c r="O3" s="15" t="s">
        <v>65</v>
      </c>
      <c r="P3" s="9" t="s">
        <v>62</v>
      </c>
      <c r="Q3" s="9" t="s">
        <v>63</v>
      </c>
      <c r="R3" s="16" t="s">
        <v>66</v>
      </c>
      <c r="S3" s="9" t="s">
        <v>67</v>
      </c>
      <c r="T3" s="9" t="s">
        <v>68</v>
      </c>
      <c r="U3" s="9" t="s">
        <v>68</v>
      </c>
      <c r="V3" s="9" t="s">
        <v>68</v>
      </c>
      <c r="W3" s="9" t="s">
        <v>68</v>
      </c>
      <c r="X3" s="18" t="s">
        <v>58</v>
      </c>
      <c r="Y3" s="23" t="s">
        <v>58</v>
      </c>
      <c r="Z3" s="24" t="s">
        <v>58</v>
      </c>
      <c r="AA3" s="23" t="s">
        <v>58</v>
      </c>
      <c r="AB3" s="23" t="s">
        <v>58</v>
      </c>
      <c r="AC3" s="24" t="s">
        <v>58</v>
      </c>
      <c r="AD3" s="24" t="s">
        <v>69</v>
      </c>
      <c r="AE3" s="25" t="s">
        <v>70</v>
      </c>
      <c r="AF3" s="14"/>
      <c r="AG3" s="14" t="str">
        <f t="shared" si="2"/>
        <v>#REF!</v>
      </c>
      <c r="AH3" s="9"/>
      <c r="AI3" s="8" t="s">
        <v>71</v>
      </c>
      <c r="AJ3" s="14"/>
      <c r="AK3" s="14"/>
      <c r="AL3" s="14"/>
      <c r="AM3" s="14"/>
      <c r="AN3" s="14"/>
      <c r="AO3" s="14"/>
      <c r="AP3" s="14"/>
      <c r="AQ3" s="14"/>
      <c r="AR3" s="14"/>
    </row>
    <row r="4" ht="22.5" customHeight="1">
      <c r="A4" s="6">
        <v>46054.0</v>
      </c>
      <c r="B4" s="26" t="s">
        <v>72</v>
      </c>
      <c r="C4" s="8" t="s">
        <v>73</v>
      </c>
      <c r="D4" s="9" t="s">
        <v>46</v>
      </c>
      <c r="E4" s="9" t="s">
        <v>74</v>
      </c>
      <c r="F4" s="9" t="s">
        <v>75</v>
      </c>
      <c r="G4" s="10">
        <v>500006.0</v>
      </c>
      <c r="H4" s="9" t="s">
        <v>64</v>
      </c>
      <c r="I4" s="11" t="str">
        <f>VLOOKUP(H4,Mapping!D:E,2,0)</f>
        <v>mehdipatnam</v>
      </c>
      <c r="J4" s="9" t="s">
        <v>50</v>
      </c>
      <c r="K4" s="12">
        <v>0.2</v>
      </c>
      <c r="L4" s="13" t="str">
        <f t="shared" si="1"/>
        <v>20%+</v>
      </c>
      <c r="M4" s="13">
        <v>0.018</v>
      </c>
      <c r="N4" s="13"/>
      <c r="O4" s="9" t="s">
        <v>72</v>
      </c>
      <c r="P4" s="9" t="s">
        <v>74</v>
      </c>
      <c r="Q4" s="9" t="s">
        <v>75</v>
      </c>
      <c r="R4" s="16" t="s">
        <v>76</v>
      </c>
      <c r="S4" s="9" t="s">
        <v>77</v>
      </c>
      <c r="T4" s="9" t="s">
        <v>75</v>
      </c>
      <c r="U4" s="9" t="s">
        <v>78</v>
      </c>
      <c r="V4" s="17">
        <v>8.686561072E9</v>
      </c>
      <c r="W4" s="9" t="s">
        <v>79</v>
      </c>
      <c r="X4" s="9" t="s">
        <v>80</v>
      </c>
      <c r="Y4" s="27" t="s">
        <v>57</v>
      </c>
      <c r="Z4" s="28" t="s">
        <v>58</v>
      </c>
      <c r="AA4" s="27" t="s">
        <v>57</v>
      </c>
      <c r="AB4" s="27" t="s">
        <v>57</v>
      </c>
      <c r="AC4" s="28" t="s">
        <v>58</v>
      </c>
      <c r="AD4" s="28" t="s">
        <v>58</v>
      </c>
      <c r="AE4" s="29"/>
      <c r="AF4" s="9"/>
      <c r="AG4" s="14" t="str">
        <f t="shared" si="2"/>
        <v>#REF!</v>
      </c>
      <c r="AH4" s="9" t="s">
        <v>81</v>
      </c>
      <c r="AI4" s="20"/>
      <c r="AJ4" s="14"/>
      <c r="AK4" s="14"/>
      <c r="AL4" s="14"/>
      <c r="AM4" s="14"/>
      <c r="AN4" s="14"/>
      <c r="AO4" s="14"/>
      <c r="AP4" s="14"/>
      <c r="AQ4" s="14"/>
      <c r="AR4" s="14"/>
    </row>
    <row r="5" ht="22.5" customHeight="1">
      <c r="A5" s="6">
        <v>46055.0</v>
      </c>
      <c r="B5" s="26" t="s">
        <v>82</v>
      </c>
      <c r="C5" s="8" t="s">
        <v>60</v>
      </c>
      <c r="D5" s="9" t="s">
        <v>46</v>
      </c>
      <c r="E5" s="9" t="s">
        <v>83</v>
      </c>
      <c r="F5" s="9" t="s">
        <v>84</v>
      </c>
      <c r="G5" s="10">
        <v>500086.0</v>
      </c>
      <c r="H5" s="9" t="s">
        <v>85</v>
      </c>
      <c r="I5" s="11" t="str">
        <f>VLOOKUP(H5,Mapping!D:E,2,0)</f>
        <v>Langar Houz</v>
      </c>
      <c r="J5" s="9" t="s">
        <v>86</v>
      </c>
      <c r="K5" s="12">
        <v>0.22</v>
      </c>
      <c r="L5" s="13" t="str">
        <f t="shared" si="1"/>
        <v>20%+</v>
      </c>
      <c r="M5" s="13">
        <v>0.018</v>
      </c>
      <c r="N5" s="14"/>
      <c r="O5" s="15" t="s">
        <v>87</v>
      </c>
      <c r="P5" s="15" t="s">
        <v>88</v>
      </c>
      <c r="Q5" s="9" t="s">
        <v>84</v>
      </c>
      <c r="R5" s="16" t="s">
        <v>89</v>
      </c>
      <c r="S5" s="9" t="s">
        <v>90</v>
      </c>
      <c r="T5" s="15" t="s">
        <v>87</v>
      </c>
      <c r="U5" s="9" t="s">
        <v>91</v>
      </c>
      <c r="V5" s="17">
        <v>5.0200096500839E13</v>
      </c>
      <c r="W5" s="9" t="s">
        <v>92</v>
      </c>
      <c r="X5" s="9" t="s">
        <v>80</v>
      </c>
      <c r="Y5" s="30" t="s">
        <v>57</v>
      </c>
      <c r="Z5" s="24" t="s">
        <v>57</v>
      </c>
      <c r="AA5" s="30" t="s">
        <v>57</v>
      </c>
      <c r="AB5" s="23" t="s">
        <v>58</v>
      </c>
      <c r="AC5" s="24" t="s">
        <v>58</v>
      </c>
      <c r="AD5" s="24" t="s">
        <v>69</v>
      </c>
      <c r="AE5" s="25" t="s">
        <v>93</v>
      </c>
      <c r="AF5" s="14"/>
      <c r="AG5" s="14" t="str">
        <f t="shared" si="2"/>
        <v>#REF!</v>
      </c>
      <c r="AH5" s="9" t="s">
        <v>94</v>
      </c>
      <c r="AI5" s="20"/>
      <c r="AJ5" s="14"/>
      <c r="AK5" s="14"/>
      <c r="AL5" s="14"/>
      <c r="AM5" s="14"/>
      <c r="AN5" s="14"/>
      <c r="AO5" s="14"/>
      <c r="AP5" s="14"/>
      <c r="AQ5" s="14"/>
      <c r="AR5" s="14"/>
    </row>
    <row r="6" ht="22.5" customHeight="1">
      <c r="A6" s="31">
        <v>46055.0</v>
      </c>
      <c r="B6" s="32" t="s">
        <v>95</v>
      </c>
      <c r="C6" s="8" t="s">
        <v>96</v>
      </c>
      <c r="D6" s="9" t="s">
        <v>46</v>
      </c>
      <c r="E6" s="9" t="s">
        <v>97</v>
      </c>
      <c r="F6" s="9" t="s">
        <v>98</v>
      </c>
      <c r="G6" s="22">
        <v>500048.0</v>
      </c>
      <c r="H6" s="9" t="s">
        <v>99</v>
      </c>
      <c r="I6" s="11" t="str">
        <f>VLOOKUP(H6,Mapping!D:E,2,0)</f>
        <v>mehdipatnam</v>
      </c>
      <c r="J6" s="9" t="s">
        <v>50</v>
      </c>
      <c r="K6" s="12">
        <v>0.22</v>
      </c>
      <c r="L6" s="13" t="str">
        <f t="shared" si="1"/>
        <v>20%+</v>
      </c>
      <c r="M6" s="13">
        <v>0.018</v>
      </c>
      <c r="N6" s="14"/>
      <c r="O6" s="9" t="s">
        <v>100</v>
      </c>
      <c r="P6" s="9" t="s">
        <v>101</v>
      </c>
      <c r="Q6" s="9" t="s">
        <v>98</v>
      </c>
      <c r="R6" s="16" t="s">
        <v>102</v>
      </c>
      <c r="S6" s="9" t="s">
        <v>103</v>
      </c>
      <c r="T6" s="9" t="s">
        <v>104</v>
      </c>
      <c r="U6" s="9" t="s">
        <v>105</v>
      </c>
      <c r="V6" s="17">
        <v>6.049069572E9</v>
      </c>
      <c r="W6" s="9" t="s">
        <v>106</v>
      </c>
      <c r="X6" s="9" t="s">
        <v>56</v>
      </c>
      <c r="Y6" s="18" t="s">
        <v>57</v>
      </c>
      <c r="Z6" s="18" t="s">
        <v>69</v>
      </c>
      <c r="AA6" s="18" t="s">
        <v>57</v>
      </c>
      <c r="AB6" s="18" t="s">
        <v>57</v>
      </c>
      <c r="AC6" s="18" t="s">
        <v>58</v>
      </c>
      <c r="AD6" s="18" t="s">
        <v>69</v>
      </c>
      <c r="AE6" s="33" t="s">
        <v>107</v>
      </c>
      <c r="AF6" s="9"/>
      <c r="AG6" s="14" t="str">
        <f t="shared" si="2"/>
        <v>#REF!</v>
      </c>
      <c r="AH6" s="9" t="s">
        <v>108</v>
      </c>
      <c r="AI6" s="20"/>
      <c r="AJ6" s="14"/>
      <c r="AK6" s="14"/>
      <c r="AL6" s="14"/>
      <c r="AM6" s="14"/>
      <c r="AN6" s="14"/>
      <c r="AO6" s="14"/>
      <c r="AP6" s="14"/>
      <c r="AQ6" s="14"/>
      <c r="AR6" s="14"/>
    </row>
    <row r="7" ht="22.5" customHeight="1">
      <c r="A7" s="6">
        <v>46055.0</v>
      </c>
      <c r="B7" s="34" t="s">
        <v>109</v>
      </c>
      <c r="C7" s="8" t="s">
        <v>73</v>
      </c>
      <c r="D7" s="9" t="s">
        <v>46</v>
      </c>
      <c r="E7" s="9" t="s">
        <v>97</v>
      </c>
      <c r="F7" s="9" t="s">
        <v>104</v>
      </c>
      <c r="G7" s="22">
        <v>500048.0</v>
      </c>
      <c r="H7" s="9" t="s">
        <v>99</v>
      </c>
      <c r="I7" s="11" t="str">
        <f>VLOOKUP(H7,Mapping!D:E,2,0)</f>
        <v>mehdipatnam</v>
      </c>
      <c r="J7" s="9" t="s">
        <v>50</v>
      </c>
      <c r="K7" s="12">
        <v>0.22</v>
      </c>
      <c r="L7" s="13" t="str">
        <f t="shared" si="1"/>
        <v>20%+</v>
      </c>
      <c r="M7" s="13">
        <v>0.018</v>
      </c>
      <c r="N7" s="14"/>
      <c r="O7" s="15" t="s">
        <v>110</v>
      </c>
      <c r="P7" s="9" t="s">
        <v>111</v>
      </c>
      <c r="Q7" s="9" t="s">
        <v>104</v>
      </c>
      <c r="R7" s="16" t="s">
        <v>112</v>
      </c>
      <c r="S7" s="9" t="s">
        <v>113</v>
      </c>
      <c r="T7" s="9" t="s">
        <v>104</v>
      </c>
      <c r="U7" s="9" t="s">
        <v>105</v>
      </c>
      <c r="V7" s="17">
        <v>6.049069572E9</v>
      </c>
      <c r="W7" s="9" t="s">
        <v>106</v>
      </c>
      <c r="X7" s="9" t="s">
        <v>56</v>
      </c>
      <c r="Y7" s="18" t="s">
        <v>57</v>
      </c>
      <c r="Z7" s="18" t="s">
        <v>69</v>
      </c>
      <c r="AA7" s="18" t="s">
        <v>57</v>
      </c>
      <c r="AB7" s="18" t="s">
        <v>57</v>
      </c>
      <c r="AC7" s="18" t="s">
        <v>57</v>
      </c>
      <c r="AD7" s="18" t="s">
        <v>69</v>
      </c>
      <c r="AE7" s="35" t="s">
        <v>114</v>
      </c>
      <c r="AF7" s="14"/>
      <c r="AG7" s="14" t="str">
        <f t="shared" si="2"/>
        <v>#REF!</v>
      </c>
      <c r="AH7" s="14"/>
      <c r="AI7" s="20"/>
      <c r="AJ7" s="14"/>
      <c r="AK7" s="14"/>
      <c r="AL7" s="14"/>
      <c r="AM7" s="14"/>
      <c r="AN7" s="14"/>
      <c r="AO7" s="14"/>
      <c r="AP7" s="14"/>
      <c r="AQ7" s="14"/>
      <c r="AR7" s="14"/>
    </row>
    <row r="8" ht="22.5" customHeight="1">
      <c r="A8" s="6">
        <v>46055.0</v>
      </c>
      <c r="B8" s="26" t="s">
        <v>115</v>
      </c>
      <c r="C8" s="8" t="s">
        <v>73</v>
      </c>
      <c r="D8" s="9" t="s">
        <v>46</v>
      </c>
      <c r="E8" s="9" t="s">
        <v>116</v>
      </c>
      <c r="F8" s="9" t="s">
        <v>98</v>
      </c>
      <c r="G8" s="10">
        <v>500091.0</v>
      </c>
      <c r="H8" s="9" t="s">
        <v>117</v>
      </c>
      <c r="I8" s="11" t="str">
        <f>VLOOKUP(H8,Mapping!D:E,2,0)</f>
        <v>mehdipatnam</v>
      </c>
      <c r="J8" s="9" t="s">
        <v>50</v>
      </c>
      <c r="K8" s="12">
        <v>0.22</v>
      </c>
      <c r="L8" s="13" t="str">
        <f t="shared" si="1"/>
        <v>20%+</v>
      </c>
      <c r="M8" s="13">
        <v>0.018</v>
      </c>
      <c r="N8" s="14"/>
      <c r="O8" s="9" t="s">
        <v>115</v>
      </c>
      <c r="P8" s="9" t="s">
        <v>118</v>
      </c>
      <c r="Q8" s="9" t="s">
        <v>98</v>
      </c>
      <c r="R8" s="16" t="s">
        <v>102</v>
      </c>
      <c r="S8" s="9" t="s">
        <v>103</v>
      </c>
      <c r="T8" s="9" t="s">
        <v>100</v>
      </c>
      <c r="U8" s="9" t="s">
        <v>119</v>
      </c>
      <c r="V8" s="17">
        <v>9.21002005488252E15</v>
      </c>
      <c r="W8" s="9" t="s">
        <v>120</v>
      </c>
      <c r="X8" s="9" t="s">
        <v>121</v>
      </c>
      <c r="Y8" s="18" t="s">
        <v>57</v>
      </c>
      <c r="Z8" s="18" t="s">
        <v>69</v>
      </c>
      <c r="AA8" s="18" t="s">
        <v>57</v>
      </c>
      <c r="AB8" s="18" t="s">
        <v>57</v>
      </c>
      <c r="AC8" s="18" t="s">
        <v>58</v>
      </c>
      <c r="AD8" s="18" t="s">
        <v>69</v>
      </c>
      <c r="AE8" s="35" t="s">
        <v>122</v>
      </c>
      <c r="AF8" s="14"/>
      <c r="AG8" s="14" t="str">
        <f t="shared" si="2"/>
        <v>#REF!</v>
      </c>
      <c r="AH8" s="14"/>
      <c r="AI8" s="20"/>
      <c r="AJ8" s="14"/>
      <c r="AK8" s="14"/>
      <c r="AL8" s="14"/>
      <c r="AM8" s="14"/>
      <c r="AN8" s="14"/>
      <c r="AO8" s="14"/>
      <c r="AP8" s="14"/>
      <c r="AQ8" s="14"/>
      <c r="AR8" s="14"/>
    </row>
    <row r="9" ht="22.5" customHeight="1">
      <c r="A9" s="6">
        <v>46055.0</v>
      </c>
      <c r="B9" s="36" t="s">
        <v>123</v>
      </c>
      <c r="C9" s="8" t="s">
        <v>60</v>
      </c>
      <c r="D9" s="9" t="s">
        <v>46</v>
      </c>
      <c r="E9" s="9" t="s">
        <v>124</v>
      </c>
      <c r="F9" s="9" t="s">
        <v>125</v>
      </c>
      <c r="G9" s="10">
        <v>500091.0</v>
      </c>
      <c r="H9" s="9" t="s">
        <v>126</v>
      </c>
      <c r="I9" s="11" t="str">
        <f>VLOOKUP(H9,Mapping!D:E,2,0)</f>
        <v>Langar Houz</v>
      </c>
      <c r="J9" s="9" t="s">
        <v>86</v>
      </c>
      <c r="K9" s="12">
        <v>0.2</v>
      </c>
      <c r="L9" s="13" t="str">
        <f t="shared" si="1"/>
        <v>20%+</v>
      </c>
      <c r="M9" s="13">
        <v>0.018</v>
      </c>
      <c r="N9" s="14"/>
      <c r="O9" s="15" t="s">
        <v>127</v>
      </c>
      <c r="P9" s="15" t="s">
        <v>128</v>
      </c>
      <c r="Q9" s="9" t="s">
        <v>125</v>
      </c>
      <c r="R9" s="16" t="s">
        <v>129</v>
      </c>
      <c r="S9" s="9" t="s">
        <v>130</v>
      </c>
      <c r="T9" s="9" t="s">
        <v>125</v>
      </c>
      <c r="U9" s="9" t="s">
        <v>131</v>
      </c>
      <c r="V9" s="17">
        <v>2.0308200989E10</v>
      </c>
      <c r="W9" s="9" t="s">
        <v>132</v>
      </c>
      <c r="X9" s="9" t="s">
        <v>56</v>
      </c>
      <c r="Y9" s="37" t="s">
        <v>58</v>
      </c>
      <c r="Z9" s="28" t="s">
        <v>58</v>
      </c>
      <c r="AA9" s="27" t="s">
        <v>57</v>
      </c>
      <c r="AB9" s="27" t="s">
        <v>57</v>
      </c>
      <c r="AC9" s="28" t="s">
        <v>57</v>
      </c>
      <c r="AD9" s="28" t="s">
        <v>69</v>
      </c>
      <c r="AE9" s="38" t="s">
        <v>133</v>
      </c>
      <c r="AF9" s="14"/>
      <c r="AG9" s="14" t="str">
        <f t="shared" si="2"/>
        <v>#REF!</v>
      </c>
      <c r="AH9" s="9" t="s">
        <v>94</v>
      </c>
      <c r="AI9" s="20"/>
      <c r="AJ9" s="14"/>
      <c r="AK9" s="14"/>
      <c r="AL9" s="14"/>
      <c r="AM9" s="14"/>
      <c r="AN9" s="14"/>
      <c r="AO9" s="14"/>
      <c r="AP9" s="14"/>
      <c r="AQ9" s="14"/>
      <c r="AR9" s="14"/>
    </row>
    <row r="10" ht="22.5" customHeight="1">
      <c r="A10" s="6">
        <v>46056.0</v>
      </c>
      <c r="B10" s="34" t="s">
        <v>134</v>
      </c>
      <c r="C10" s="8" t="s">
        <v>96</v>
      </c>
      <c r="D10" s="9" t="s">
        <v>46</v>
      </c>
      <c r="E10" s="9" t="s">
        <v>135</v>
      </c>
      <c r="F10" s="9" t="s">
        <v>136</v>
      </c>
      <c r="G10" s="10">
        <v>500008.0</v>
      </c>
      <c r="H10" s="9" t="s">
        <v>137</v>
      </c>
      <c r="I10" s="11" t="str">
        <f>VLOOKUP(H10,Mapping!D:E,2,0)</f>
        <v>tolichowki</v>
      </c>
      <c r="J10" s="9" t="s">
        <v>86</v>
      </c>
      <c r="K10" s="12">
        <v>0.22</v>
      </c>
      <c r="L10" s="13" t="str">
        <f t="shared" si="1"/>
        <v>20%+</v>
      </c>
      <c r="M10" s="13">
        <v>0.018</v>
      </c>
      <c r="N10" s="14"/>
      <c r="O10" s="15" t="s">
        <v>134</v>
      </c>
      <c r="P10" s="15" t="s">
        <v>135</v>
      </c>
      <c r="Q10" s="9" t="s">
        <v>138</v>
      </c>
      <c r="R10" s="16" t="s">
        <v>139</v>
      </c>
      <c r="S10" s="9" t="s">
        <v>140</v>
      </c>
      <c r="T10" s="9" t="s">
        <v>136</v>
      </c>
      <c r="U10" s="9" t="s">
        <v>131</v>
      </c>
      <c r="V10" s="17">
        <v>4.254554867E10</v>
      </c>
      <c r="W10" s="9" t="s">
        <v>141</v>
      </c>
      <c r="X10" s="9" t="s">
        <v>56</v>
      </c>
      <c r="Y10" s="18" t="s">
        <v>57</v>
      </c>
      <c r="Z10" s="18" t="s">
        <v>58</v>
      </c>
      <c r="AA10" s="18" t="s">
        <v>57</v>
      </c>
      <c r="AB10" s="18" t="s">
        <v>58</v>
      </c>
      <c r="AC10" s="18" t="s">
        <v>57</v>
      </c>
      <c r="AD10" s="18" t="s">
        <v>58</v>
      </c>
      <c r="AE10" s="33" t="s">
        <v>142</v>
      </c>
      <c r="AF10" s="14"/>
      <c r="AG10" s="14" t="str">
        <f t="shared" si="2"/>
        <v>#REF!</v>
      </c>
      <c r="AH10" s="14"/>
      <c r="AI10" s="20"/>
      <c r="AJ10" s="14"/>
      <c r="AK10" s="14"/>
      <c r="AL10" s="14"/>
      <c r="AM10" s="14"/>
      <c r="AN10" s="14"/>
      <c r="AO10" s="14"/>
      <c r="AP10" s="14"/>
      <c r="AQ10" s="14"/>
      <c r="AR10" s="14"/>
    </row>
    <row r="11" ht="22.5" customHeight="1">
      <c r="A11" s="6">
        <v>46056.0</v>
      </c>
      <c r="B11" s="26" t="s">
        <v>143</v>
      </c>
      <c r="C11" s="8" t="s">
        <v>144</v>
      </c>
      <c r="D11" s="9" t="s">
        <v>46</v>
      </c>
      <c r="E11" s="9" t="s">
        <v>145</v>
      </c>
      <c r="F11" s="9" t="s">
        <v>146</v>
      </c>
      <c r="G11" s="10">
        <v>500085.0</v>
      </c>
      <c r="H11" s="9" t="s">
        <v>147</v>
      </c>
      <c r="I11" s="11" t="str">
        <f>VLOOKUP(H11,Mapping!D:E,2,0)</f>
        <v>madhapur</v>
      </c>
      <c r="J11" s="9" t="s">
        <v>148</v>
      </c>
      <c r="K11" s="12">
        <v>0.19</v>
      </c>
      <c r="L11" s="13" t="str">
        <f t="shared" si="1"/>
        <v>&lt;20%</v>
      </c>
      <c r="M11" s="13">
        <v>0.018</v>
      </c>
      <c r="N11" s="14"/>
      <c r="O11" s="15" t="s">
        <v>149</v>
      </c>
      <c r="P11" s="15" t="s">
        <v>150</v>
      </c>
      <c r="Q11" s="9" t="s">
        <v>146</v>
      </c>
      <c r="R11" s="16" t="s">
        <v>151</v>
      </c>
      <c r="S11" s="9" t="s">
        <v>152</v>
      </c>
      <c r="T11" s="9" t="s">
        <v>153</v>
      </c>
      <c r="U11" s="9" t="s">
        <v>154</v>
      </c>
      <c r="V11" s="17">
        <v>1.0192341683E10</v>
      </c>
      <c r="W11" s="9" t="s">
        <v>155</v>
      </c>
      <c r="X11" s="9" t="s">
        <v>80</v>
      </c>
      <c r="Y11" s="18" t="s">
        <v>57</v>
      </c>
      <c r="Z11" s="18" t="s">
        <v>57</v>
      </c>
      <c r="AA11" s="18" t="s">
        <v>57</v>
      </c>
      <c r="AB11" s="18" t="s">
        <v>57</v>
      </c>
      <c r="AC11" s="18" t="s">
        <v>58</v>
      </c>
      <c r="AD11" s="18" t="s">
        <v>58</v>
      </c>
      <c r="AE11" s="14"/>
      <c r="AF11" s="35" t="s">
        <v>156</v>
      </c>
      <c r="AG11" s="14" t="str">
        <f t="shared" si="2"/>
        <v>#REF!</v>
      </c>
      <c r="AH11" s="14"/>
      <c r="AI11" s="20"/>
      <c r="AJ11" s="14"/>
      <c r="AK11" s="14"/>
      <c r="AL11" s="14"/>
      <c r="AM11" s="14"/>
      <c r="AN11" s="14"/>
      <c r="AO11" s="14"/>
      <c r="AP11" s="14"/>
      <c r="AQ11" s="14"/>
      <c r="AR11" s="14"/>
    </row>
    <row r="12" ht="22.5" customHeight="1">
      <c r="A12" s="6">
        <v>46056.0</v>
      </c>
      <c r="B12" s="26" t="s">
        <v>157</v>
      </c>
      <c r="C12" s="8" t="s">
        <v>60</v>
      </c>
      <c r="D12" s="9" t="s">
        <v>46</v>
      </c>
      <c r="E12" s="39" t="s">
        <v>158</v>
      </c>
      <c r="F12" s="9" t="s">
        <v>159</v>
      </c>
      <c r="G12" s="10">
        <v>500082.0</v>
      </c>
      <c r="H12" s="9" t="s">
        <v>160</v>
      </c>
      <c r="I12" s="11" t="str">
        <f>VLOOKUP(H12,Mapping!D:E,2,0)</f>
        <v>ameerpet</v>
      </c>
      <c r="J12" s="9" t="s">
        <v>161</v>
      </c>
      <c r="K12" s="12">
        <v>0.2</v>
      </c>
      <c r="L12" s="13" t="str">
        <f t="shared" si="1"/>
        <v>20%+</v>
      </c>
      <c r="M12" s="13">
        <v>0.018</v>
      </c>
      <c r="N12" s="14"/>
      <c r="O12" s="15" t="s">
        <v>157</v>
      </c>
      <c r="P12" s="15" t="s">
        <v>162</v>
      </c>
      <c r="Q12" s="9" t="s">
        <v>159</v>
      </c>
      <c r="R12" s="16" t="s">
        <v>163</v>
      </c>
      <c r="S12" s="9" t="s">
        <v>164</v>
      </c>
      <c r="T12" s="9" t="s">
        <v>165</v>
      </c>
      <c r="U12" s="9" t="s">
        <v>91</v>
      </c>
      <c r="V12" s="17">
        <v>5.0200102000231E13</v>
      </c>
      <c r="W12" s="9" t="s">
        <v>166</v>
      </c>
      <c r="X12" s="9" t="s">
        <v>80</v>
      </c>
      <c r="Y12" s="30" t="s">
        <v>57</v>
      </c>
      <c r="Z12" s="24" t="s">
        <v>58</v>
      </c>
      <c r="AA12" s="30" t="s">
        <v>57</v>
      </c>
      <c r="AB12" s="30" t="s">
        <v>57</v>
      </c>
      <c r="AC12" s="24" t="s">
        <v>58</v>
      </c>
      <c r="AD12" s="24" t="s">
        <v>69</v>
      </c>
      <c r="AE12" s="25" t="s">
        <v>167</v>
      </c>
      <c r="AF12" s="14"/>
      <c r="AG12" s="14" t="str">
        <f t="shared" si="2"/>
        <v>#REF!</v>
      </c>
      <c r="AH12" s="9" t="s">
        <v>94</v>
      </c>
      <c r="AI12" s="20"/>
      <c r="AJ12" s="14"/>
      <c r="AK12" s="14"/>
      <c r="AL12" s="14"/>
      <c r="AM12" s="14"/>
      <c r="AN12" s="14"/>
      <c r="AO12" s="14"/>
      <c r="AP12" s="14"/>
      <c r="AQ12" s="14"/>
      <c r="AR12" s="14"/>
    </row>
    <row r="13" ht="22.5" customHeight="1">
      <c r="A13" s="6">
        <v>46056.0</v>
      </c>
      <c r="B13" s="21" t="s">
        <v>168</v>
      </c>
      <c r="C13" s="8" t="s">
        <v>73</v>
      </c>
      <c r="D13" s="9" t="s">
        <v>61</v>
      </c>
      <c r="E13" s="9" t="s">
        <v>169</v>
      </c>
      <c r="F13" s="9" t="s">
        <v>170</v>
      </c>
      <c r="G13" s="10">
        <v>500008.0</v>
      </c>
      <c r="H13" s="9" t="s">
        <v>171</v>
      </c>
      <c r="I13" s="11" t="str">
        <f>VLOOKUP(H13,Mapping!D:E,2,0)</f>
        <v>Langar Houz</v>
      </c>
      <c r="J13" s="9" t="s">
        <v>86</v>
      </c>
      <c r="K13" s="12">
        <v>0.22</v>
      </c>
      <c r="L13" s="13" t="str">
        <f t="shared" si="1"/>
        <v>20%+</v>
      </c>
      <c r="M13" s="13">
        <v>0.018</v>
      </c>
      <c r="N13" s="14"/>
      <c r="O13" s="15" t="s">
        <v>168</v>
      </c>
      <c r="P13" s="15" t="s">
        <v>169</v>
      </c>
      <c r="Q13" s="9" t="s">
        <v>170</v>
      </c>
      <c r="R13" s="16" t="s">
        <v>172</v>
      </c>
      <c r="S13" s="9" t="s">
        <v>173</v>
      </c>
      <c r="T13" s="9" t="s">
        <v>68</v>
      </c>
      <c r="U13" s="9" t="s">
        <v>68</v>
      </c>
      <c r="V13" s="9" t="s">
        <v>68</v>
      </c>
      <c r="W13" s="9" t="s">
        <v>68</v>
      </c>
      <c r="X13" s="9" t="s">
        <v>68</v>
      </c>
      <c r="Y13" s="18" t="s">
        <v>57</v>
      </c>
      <c r="Z13" s="18" t="s">
        <v>69</v>
      </c>
      <c r="AA13" s="18" t="s">
        <v>57</v>
      </c>
      <c r="AB13" s="18" t="s">
        <v>58</v>
      </c>
      <c r="AC13" s="18" t="s">
        <v>57</v>
      </c>
      <c r="AD13" s="18" t="s">
        <v>69</v>
      </c>
      <c r="AE13" s="35" t="s">
        <v>174</v>
      </c>
      <c r="AF13" s="14"/>
      <c r="AG13" s="14" t="str">
        <f t="shared" si="2"/>
        <v>#REF!</v>
      </c>
      <c r="AH13" s="9"/>
      <c r="AI13" s="8" t="s">
        <v>71</v>
      </c>
      <c r="AJ13" s="14"/>
      <c r="AK13" s="14"/>
      <c r="AL13" s="14"/>
      <c r="AM13" s="14"/>
      <c r="AN13" s="14"/>
      <c r="AO13" s="14"/>
      <c r="AP13" s="14"/>
      <c r="AQ13" s="14"/>
      <c r="AR13" s="14"/>
    </row>
    <row r="14" ht="22.5" customHeight="1">
      <c r="A14" s="6">
        <v>46056.0</v>
      </c>
      <c r="B14" s="36" t="s">
        <v>175</v>
      </c>
      <c r="C14" s="8" t="s">
        <v>60</v>
      </c>
      <c r="D14" s="9" t="s">
        <v>46</v>
      </c>
      <c r="E14" s="9" t="s">
        <v>176</v>
      </c>
      <c r="F14" s="9" t="s">
        <v>177</v>
      </c>
      <c r="G14" s="10">
        <v>500016.0</v>
      </c>
      <c r="H14" s="9" t="s">
        <v>160</v>
      </c>
      <c r="I14" s="11" t="str">
        <f>VLOOKUP(H14,Mapping!D:E,2,0)</f>
        <v>ameerpet</v>
      </c>
      <c r="J14" s="9" t="s">
        <v>161</v>
      </c>
      <c r="K14" s="12">
        <v>0.2</v>
      </c>
      <c r="L14" s="13" t="str">
        <f t="shared" si="1"/>
        <v>20%+</v>
      </c>
      <c r="M14" s="13">
        <v>0.018</v>
      </c>
      <c r="N14" s="14"/>
      <c r="O14" s="15" t="s">
        <v>175</v>
      </c>
      <c r="P14" s="15" t="s">
        <v>178</v>
      </c>
      <c r="Q14" s="9" t="s">
        <v>177</v>
      </c>
      <c r="R14" s="16" t="s">
        <v>179</v>
      </c>
      <c r="S14" s="9" t="s">
        <v>180</v>
      </c>
      <c r="T14" s="9" t="s">
        <v>181</v>
      </c>
      <c r="U14" s="9" t="s">
        <v>182</v>
      </c>
      <c r="V14" s="17">
        <v>9.91111800000003E14</v>
      </c>
      <c r="W14" s="9" t="s">
        <v>183</v>
      </c>
      <c r="X14" s="9" t="s">
        <v>80</v>
      </c>
      <c r="Y14" s="27" t="s">
        <v>57</v>
      </c>
      <c r="Z14" s="28" t="s">
        <v>69</v>
      </c>
      <c r="AA14" s="27" t="s">
        <v>57</v>
      </c>
      <c r="AB14" s="27" t="s">
        <v>57</v>
      </c>
      <c r="AC14" s="28" t="s">
        <v>57</v>
      </c>
      <c r="AD14" s="28" t="s">
        <v>69</v>
      </c>
      <c r="AE14" s="38" t="s">
        <v>184</v>
      </c>
      <c r="AF14" s="14"/>
      <c r="AG14" s="14" t="str">
        <f t="shared" si="2"/>
        <v>#REF!</v>
      </c>
      <c r="AH14" s="14"/>
      <c r="AI14" s="20"/>
      <c r="AJ14" s="14"/>
      <c r="AK14" s="14"/>
      <c r="AL14" s="14"/>
      <c r="AM14" s="14"/>
      <c r="AN14" s="14"/>
      <c r="AO14" s="14"/>
      <c r="AP14" s="14"/>
      <c r="AQ14" s="14"/>
      <c r="AR14" s="14"/>
    </row>
    <row r="15" ht="22.5" customHeight="1">
      <c r="A15" s="6">
        <v>46056.0</v>
      </c>
      <c r="B15" s="21" t="s">
        <v>185</v>
      </c>
      <c r="C15" s="8" t="s">
        <v>186</v>
      </c>
      <c r="D15" s="9" t="s">
        <v>61</v>
      </c>
      <c r="E15" s="9" t="s">
        <v>187</v>
      </c>
      <c r="F15" s="9" t="s">
        <v>188</v>
      </c>
      <c r="G15" s="10">
        <v>500081.0</v>
      </c>
      <c r="H15" s="9" t="s">
        <v>147</v>
      </c>
      <c r="I15" s="11" t="str">
        <f>VLOOKUP(H15,Mapping!D:E,2,0)</f>
        <v>madhapur</v>
      </c>
      <c r="J15" s="9" t="s">
        <v>148</v>
      </c>
      <c r="K15" s="12">
        <v>0.15</v>
      </c>
      <c r="L15" s="13" t="str">
        <f t="shared" si="1"/>
        <v>&lt;17%</v>
      </c>
      <c r="M15" s="13">
        <v>0.018</v>
      </c>
      <c r="N15" s="14"/>
      <c r="O15" s="9" t="s">
        <v>185</v>
      </c>
      <c r="P15" s="9" t="s">
        <v>189</v>
      </c>
      <c r="Q15" s="9" t="s">
        <v>190</v>
      </c>
      <c r="R15" s="16" t="s">
        <v>191</v>
      </c>
      <c r="S15" s="9" t="s">
        <v>192</v>
      </c>
      <c r="T15" s="9" t="s">
        <v>193</v>
      </c>
      <c r="U15" s="9" t="s">
        <v>194</v>
      </c>
      <c r="V15" s="17">
        <v>1.12005003328E11</v>
      </c>
      <c r="W15" s="9" t="s">
        <v>195</v>
      </c>
      <c r="X15" s="9" t="s">
        <v>80</v>
      </c>
      <c r="Y15" s="18" t="s">
        <v>57</v>
      </c>
      <c r="Z15" s="18" t="s">
        <v>57</v>
      </c>
      <c r="AA15" s="18" t="s">
        <v>57</v>
      </c>
      <c r="AB15" s="18" t="s">
        <v>57</v>
      </c>
      <c r="AC15" s="18" t="s">
        <v>57</v>
      </c>
      <c r="AD15" s="18" t="s">
        <v>58</v>
      </c>
      <c r="AE15" s="40" t="s">
        <v>196</v>
      </c>
      <c r="AF15" s="33" t="s">
        <v>197</v>
      </c>
      <c r="AG15" s="14" t="str">
        <f t="shared" si="2"/>
        <v>#REF!</v>
      </c>
      <c r="AH15" s="9" t="s">
        <v>198</v>
      </c>
      <c r="AI15" s="20"/>
      <c r="AJ15" s="14"/>
      <c r="AK15" s="14"/>
      <c r="AL15" s="14"/>
      <c r="AM15" s="14"/>
      <c r="AN15" s="14"/>
      <c r="AO15" s="14"/>
      <c r="AP15" s="14"/>
      <c r="AQ15" s="14"/>
      <c r="AR15" s="14"/>
    </row>
    <row r="16" ht="22.5" customHeight="1">
      <c r="A16" s="6">
        <v>46056.0</v>
      </c>
      <c r="B16" s="36" t="s">
        <v>199</v>
      </c>
      <c r="C16" s="41" t="s">
        <v>200</v>
      </c>
      <c r="D16" s="9" t="s">
        <v>46</v>
      </c>
      <c r="E16" s="39" t="s">
        <v>201</v>
      </c>
      <c r="F16" s="9" t="s">
        <v>202</v>
      </c>
      <c r="G16" s="10">
        <v>500016.0</v>
      </c>
      <c r="H16" s="9" t="s">
        <v>203</v>
      </c>
      <c r="I16" s="11" t="str">
        <f>VLOOKUP(H16,Mapping!D:E,2,0)</f>
        <v>panjagutta</v>
      </c>
      <c r="J16" s="9" t="s">
        <v>161</v>
      </c>
      <c r="K16" s="12">
        <v>0.22</v>
      </c>
      <c r="L16" s="13" t="str">
        <f t="shared" si="1"/>
        <v>20%+</v>
      </c>
      <c r="M16" s="13">
        <v>0.018</v>
      </c>
      <c r="N16" s="14"/>
      <c r="O16" s="15" t="s">
        <v>204</v>
      </c>
      <c r="P16" s="15" t="s">
        <v>205</v>
      </c>
      <c r="Q16" s="9" t="s">
        <v>202</v>
      </c>
      <c r="R16" s="16" t="s">
        <v>206</v>
      </c>
      <c r="S16" s="9" t="s">
        <v>207</v>
      </c>
      <c r="T16" s="9" t="s">
        <v>202</v>
      </c>
      <c r="U16" s="9" t="s">
        <v>131</v>
      </c>
      <c r="V16" s="17">
        <v>2.0297710024E10</v>
      </c>
      <c r="W16" s="9" t="s">
        <v>208</v>
      </c>
      <c r="X16" s="9" t="s">
        <v>56</v>
      </c>
      <c r="Y16" s="14"/>
      <c r="Z16" s="14"/>
      <c r="AA16" s="14"/>
      <c r="AB16" s="14"/>
      <c r="AC16" s="14"/>
      <c r="AD16" s="14"/>
      <c r="AE16" s="14"/>
      <c r="AF16" s="14"/>
      <c r="AG16" s="14" t="str">
        <f t="shared" si="2"/>
        <v>#REF!</v>
      </c>
      <c r="AH16" s="14"/>
      <c r="AI16" s="20"/>
      <c r="AJ16" s="14"/>
      <c r="AK16" s="14"/>
      <c r="AL16" s="14"/>
      <c r="AM16" s="14"/>
      <c r="AN16" s="14"/>
      <c r="AO16" s="14"/>
      <c r="AP16" s="14"/>
      <c r="AQ16" s="14"/>
      <c r="AR16" s="14"/>
    </row>
    <row r="17" ht="22.5" customHeight="1">
      <c r="A17" s="6">
        <v>46056.0</v>
      </c>
      <c r="B17" s="6" t="s">
        <v>209</v>
      </c>
      <c r="C17" s="8" t="s">
        <v>60</v>
      </c>
      <c r="D17" s="9" t="s">
        <v>46</v>
      </c>
      <c r="E17" s="9" t="s">
        <v>210</v>
      </c>
      <c r="F17" s="9" t="s">
        <v>211</v>
      </c>
      <c r="G17" s="10">
        <v>500003.0</v>
      </c>
      <c r="H17" s="9" t="s">
        <v>160</v>
      </c>
      <c r="I17" s="11" t="str">
        <f>VLOOKUP(H17,Mapping!D:E,2,0)</f>
        <v>ameerpet</v>
      </c>
      <c r="J17" s="9" t="s">
        <v>161</v>
      </c>
      <c r="K17" s="12">
        <v>0.22</v>
      </c>
      <c r="L17" s="13" t="str">
        <f t="shared" si="1"/>
        <v>20%+</v>
      </c>
      <c r="M17" s="13">
        <v>0.018</v>
      </c>
      <c r="N17" s="14"/>
      <c r="O17" s="15" t="s">
        <v>209</v>
      </c>
      <c r="P17" s="15" t="s">
        <v>212</v>
      </c>
      <c r="Q17" s="9" t="s">
        <v>211</v>
      </c>
      <c r="R17" s="16" t="s">
        <v>213</v>
      </c>
      <c r="S17" s="9" t="s">
        <v>214</v>
      </c>
      <c r="T17" s="15" t="s">
        <v>209</v>
      </c>
      <c r="U17" s="9" t="s">
        <v>215</v>
      </c>
      <c r="V17" s="17">
        <v>1.00126900000171E14</v>
      </c>
      <c r="W17" s="9" t="s">
        <v>216</v>
      </c>
      <c r="X17" s="9" t="s">
        <v>80</v>
      </c>
      <c r="Y17" s="30" t="s">
        <v>57</v>
      </c>
      <c r="Z17" s="24" t="s">
        <v>57</v>
      </c>
      <c r="AA17" s="30" t="s">
        <v>57</v>
      </c>
      <c r="AB17" s="30" t="s">
        <v>57</v>
      </c>
      <c r="AC17" s="24" t="s">
        <v>57</v>
      </c>
      <c r="AD17" s="24" t="s">
        <v>69</v>
      </c>
      <c r="AE17" s="25" t="s">
        <v>217</v>
      </c>
      <c r="AF17" s="14"/>
      <c r="AG17" s="14" t="str">
        <f t="shared" si="2"/>
        <v>#REF!</v>
      </c>
      <c r="AH17" s="9" t="s">
        <v>94</v>
      </c>
      <c r="AI17" s="20"/>
      <c r="AJ17" s="14"/>
      <c r="AK17" s="14"/>
      <c r="AL17" s="14"/>
      <c r="AM17" s="14"/>
      <c r="AN17" s="14"/>
      <c r="AO17" s="14"/>
      <c r="AP17" s="14"/>
      <c r="AQ17" s="14"/>
      <c r="AR17" s="14"/>
    </row>
    <row r="18" ht="22.5" customHeight="1">
      <c r="A18" s="42">
        <v>46056.0</v>
      </c>
      <c r="B18" s="21" t="s">
        <v>218</v>
      </c>
      <c r="C18" s="8" t="s">
        <v>73</v>
      </c>
      <c r="D18" s="9" t="s">
        <v>46</v>
      </c>
      <c r="E18" s="9" t="s">
        <v>219</v>
      </c>
      <c r="F18" s="9" t="s">
        <v>220</v>
      </c>
      <c r="G18" s="10">
        <v>500057.0</v>
      </c>
      <c r="H18" s="9" t="s">
        <v>64</v>
      </c>
      <c r="I18" s="11" t="str">
        <f>VLOOKUP(H18,Mapping!D:E,2,0)</f>
        <v>mehdipatnam</v>
      </c>
      <c r="J18" s="9" t="s">
        <v>50</v>
      </c>
      <c r="K18" s="12">
        <v>0.22</v>
      </c>
      <c r="L18" s="13" t="str">
        <f t="shared" si="1"/>
        <v>20%+</v>
      </c>
      <c r="M18" s="13">
        <v>0.018</v>
      </c>
      <c r="N18" s="14"/>
      <c r="O18" s="9" t="s">
        <v>220</v>
      </c>
      <c r="P18" s="15" t="s">
        <v>221</v>
      </c>
      <c r="Q18" s="9" t="s">
        <v>222</v>
      </c>
      <c r="R18" s="16" t="s">
        <v>223</v>
      </c>
      <c r="S18" s="9" t="s">
        <v>224</v>
      </c>
      <c r="T18" s="9" t="s">
        <v>220</v>
      </c>
      <c r="U18" s="9" t="s">
        <v>225</v>
      </c>
      <c r="V18" s="17">
        <v>3.269632568E9</v>
      </c>
      <c r="W18" s="9" t="s">
        <v>226</v>
      </c>
      <c r="X18" s="9" t="s">
        <v>56</v>
      </c>
      <c r="Y18" s="18" t="s">
        <v>57</v>
      </c>
      <c r="Z18" s="18" t="s">
        <v>69</v>
      </c>
      <c r="AA18" s="18" t="s">
        <v>57</v>
      </c>
      <c r="AB18" s="18" t="s">
        <v>58</v>
      </c>
      <c r="AC18" s="18" t="s">
        <v>57</v>
      </c>
      <c r="AD18" s="18" t="s">
        <v>69</v>
      </c>
      <c r="AE18" s="35" t="s">
        <v>227</v>
      </c>
      <c r="AF18" s="14"/>
      <c r="AG18" s="14" t="str">
        <f t="shared" si="2"/>
        <v>#REF!</v>
      </c>
      <c r="AH18" s="14"/>
      <c r="AI18" s="20"/>
      <c r="AJ18" s="14"/>
      <c r="AK18" s="14"/>
      <c r="AL18" s="14"/>
      <c r="AM18" s="14"/>
      <c r="AN18" s="14"/>
      <c r="AO18" s="14"/>
      <c r="AP18" s="14"/>
      <c r="AQ18" s="14"/>
      <c r="AR18" s="14"/>
    </row>
    <row r="19" ht="22.5" customHeight="1">
      <c r="A19" s="42">
        <v>46056.0</v>
      </c>
      <c r="B19" s="21" t="s">
        <v>228</v>
      </c>
      <c r="C19" s="8" t="s">
        <v>186</v>
      </c>
      <c r="D19" s="9" t="s">
        <v>46</v>
      </c>
      <c r="E19" s="39" t="s">
        <v>229</v>
      </c>
      <c r="F19" s="9" t="s">
        <v>230</v>
      </c>
      <c r="G19" s="10">
        <v>500038.0</v>
      </c>
      <c r="H19" s="9" t="s">
        <v>231</v>
      </c>
      <c r="I19" s="11" t="str">
        <f>VLOOKUP(H19,Mapping!D:E,2,0)</f>
        <v>panjagutta</v>
      </c>
      <c r="J19" s="9" t="s">
        <v>161</v>
      </c>
      <c r="K19" s="12">
        <v>0.17</v>
      </c>
      <c r="L19" s="13" t="str">
        <f t="shared" si="1"/>
        <v>&lt;20%</v>
      </c>
      <c r="M19" s="13">
        <v>0.018</v>
      </c>
      <c r="N19" s="14"/>
      <c r="O19" s="15" t="s">
        <v>232</v>
      </c>
      <c r="P19" s="15" t="s">
        <v>233</v>
      </c>
      <c r="Q19" s="9" t="s">
        <v>230</v>
      </c>
      <c r="R19" s="16" t="s">
        <v>234</v>
      </c>
      <c r="S19" s="9" t="s">
        <v>235</v>
      </c>
      <c r="T19" s="9" t="s">
        <v>236</v>
      </c>
      <c r="U19" s="9" t="s">
        <v>194</v>
      </c>
      <c r="V19" s="17">
        <v>8.03705000004E11</v>
      </c>
      <c r="W19" s="9" t="s">
        <v>237</v>
      </c>
      <c r="X19" s="9" t="s">
        <v>80</v>
      </c>
      <c r="Y19" s="18" t="s">
        <v>57</v>
      </c>
      <c r="Z19" s="18" t="s">
        <v>57</v>
      </c>
      <c r="AA19" s="18" t="s">
        <v>57</v>
      </c>
      <c r="AB19" s="18" t="s">
        <v>57</v>
      </c>
      <c r="AC19" s="18" t="s">
        <v>57</v>
      </c>
      <c r="AD19" s="18" t="s">
        <v>58</v>
      </c>
      <c r="AE19" s="40" t="s">
        <v>238</v>
      </c>
      <c r="AF19" s="40" t="s">
        <v>239</v>
      </c>
      <c r="AG19" s="14" t="str">
        <f t="shared" si="2"/>
        <v>#REF!</v>
      </c>
      <c r="AH19" s="9" t="s">
        <v>198</v>
      </c>
      <c r="AI19" s="20"/>
      <c r="AJ19" s="14"/>
      <c r="AK19" s="14"/>
      <c r="AL19" s="14"/>
      <c r="AM19" s="14"/>
      <c r="AN19" s="14"/>
      <c r="AO19" s="14"/>
      <c r="AP19" s="14"/>
      <c r="AQ19" s="14"/>
      <c r="AR19" s="14"/>
    </row>
    <row r="20" ht="22.5" customHeight="1">
      <c r="A20" s="42">
        <v>46056.0</v>
      </c>
      <c r="B20" s="21" t="s">
        <v>240</v>
      </c>
      <c r="C20" s="8" t="s">
        <v>241</v>
      </c>
      <c r="D20" s="9" t="s">
        <v>46</v>
      </c>
      <c r="E20" s="9" t="s">
        <v>242</v>
      </c>
      <c r="F20" s="9" t="s">
        <v>243</v>
      </c>
      <c r="G20" s="10">
        <v>500081.0</v>
      </c>
      <c r="H20" s="9" t="s">
        <v>147</v>
      </c>
      <c r="I20" s="11" t="str">
        <f>VLOOKUP(H20,Mapping!D:E,2,0)</f>
        <v>madhapur</v>
      </c>
      <c r="J20" s="9" t="s">
        <v>148</v>
      </c>
      <c r="K20" s="12">
        <v>0.22</v>
      </c>
      <c r="L20" s="13" t="str">
        <f t="shared" si="1"/>
        <v>20%+</v>
      </c>
      <c r="M20" s="13">
        <v>0.018</v>
      </c>
      <c r="N20" s="14"/>
      <c r="O20" s="9" t="s">
        <v>68</v>
      </c>
      <c r="P20" s="9" t="s">
        <v>242</v>
      </c>
      <c r="Q20" s="9" t="s">
        <v>244</v>
      </c>
      <c r="R20" s="16" t="s">
        <v>245</v>
      </c>
      <c r="S20" s="9" t="s">
        <v>68</v>
      </c>
      <c r="T20" s="9" t="s">
        <v>68</v>
      </c>
      <c r="U20" s="9" t="s">
        <v>68</v>
      </c>
      <c r="V20" s="9" t="s">
        <v>68</v>
      </c>
      <c r="W20" s="9" t="s">
        <v>68</v>
      </c>
      <c r="X20" s="9" t="s">
        <v>68</v>
      </c>
      <c r="Y20" s="18" t="s">
        <v>58</v>
      </c>
      <c r="Z20" s="18" t="s">
        <v>58</v>
      </c>
      <c r="AA20" s="18" t="s">
        <v>58</v>
      </c>
      <c r="AB20" s="18" t="s">
        <v>58</v>
      </c>
      <c r="AC20" s="18" t="s">
        <v>58</v>
      </c>
      <c r="AD20" s="18" t="s">
        <v>69</v>
      </c>
      <c r="AE20" s="14"/>
      <c r="AF20" s="14"/>
      <c r="AG20" s="14" t="str">
        <f t="shared" si="2"/>
        <v>#REF!</v>
      </c>
      <c r="AH20" s="9" t="s">
        <v>246</v>
      </c>
      <c r="AI20" s="20"/>
      <c r="AJ20" s="14"/>
      <c r="AK20" s="14"/>
      <c r="AL20" s="14"/>
      <c r="AM20" s="14"/>
      <c r="AN20" s="14"/>
      <c r="AO20" s="14"/>
      <c r="AP20" s="14"/>
      <c r="AQ20" s="14"/>
      <c r="AR20" s="14"/>
    </row>
    <row r="21" ht="22.5" customHeight="1">
      <c r="A21" s="42">
        <v>46056.0</v>
      </c>
      <c r="B21" s="21" t="s">
        <v>247</v>
      </c>
      <c r="C21" s="8" t="s">
        <v>248</v>
      </c>
      <c r="D21" s="9" t="s">
        <v>46</v>
      </c>
      <c r="E21" s="9" t="s">
        <v>249</v>
      </c>
      <c r="F21" s="9" t="s">
        <v>250</v>
      </c>
      <c r="G21" s="10">
        <v>500081.0</v>
      </c>
      <c r="H21" s="9" t="s">
        <v>147</v>
      </c>
      <c r="I21" s="11" t="str">
        <f>VLOOKUP(H21,Mapping!D:E,2,0)</f>
        <v>madhapur</v>
      </c>
      <c r="J21" s="9" t="s">
        <v>148</v>
      </c>
      <c r="K21" s="12">
        <v>0.18</v>
      </c>
      <c r="L21" s="13" t="str">
        <f t="shared" si="1"/>
        <v>&lt;20%</v>
      </c>
      <c r="M21" s="13">
        <v>0.018</v>
      </c>
      <c r="N21" s="14"/>
      <c r="O21" s="9" t="s">
        <v>250</v>
      </c>
      <c r="P21" s="15" t="s">
        <v>251</v>
      </c>
      <c r="Q21" s="9" t="s">
        <v>250</v>
      </c>
      <c r="R21" s="16" t="s">
        <v>252</v>
      </c>
      <c r="S21" s="9" t="s">
        <v>253</v>
      </c>
      <c r="T21" s="15" t="s">
        <v>247</v>
      </c>
      <c r="U21" s="9" t="s">
        <v>254</v>
      </c>
      <c r="V21" s="17">
        <v>6.450935473E9</v>
      </c>
      <c r="W21" s="9" t="s">
        <v>255</v>
      </c>
      <c r="X21" s="9" t="s">
        <v>80</v>
      </c>
      <c r="Y21" s="18" t="s">
        <v>57</v>
      </c>
      <c r="Z21" s="18" t="s">
        <v>57</v>
      </c>
      <c r="AA21" s="18" t="s">
        <v>57</v>
      </c>
      <c r="AB21" s="18" t="s">
        <v>57</v>
      </c>
      <c r="AC21" s="18" t="s">
        <v>57</v>
      </c>
      <c r="AD21" s="18" t="s">
        <v>58</v>
      </c>
      <c r="AE21" s="39" t="s">
        <v>256</v>
      </c>
      <c r="AF21" s="14"/>
      <c r="AG21" s="14" t="str">
        <f t="shared" si="2"/>
        <v>#REF!</v>
      </c>
      <c r="AH21" s="14"/>
      <c r="AI21" s="20"/>
      <c r="AJ21" s="14"/>
      <c r="AK21" s="14"/>
      <c r="AL21" s="14"/>
      <c r="AM21" s="14"/>
      <c r="AN21" s="14"/>
      <c r="AO21" s="14"/>
      <c r="AP21" s="14"/>
      <c r="AQ21" s="14"/>
      <c r="AR21" s="14"/>
    </row>
    <row r="22" ht="22.5" customHeight="1">
      <c r="A22" s="42">
        <v>46057.0</v>
      </c>
      <c r="B22" s="21" t="s">
        <v>257</v>
      </c>
      <c r="C22" s="8" t="s">
        <v>248</v>
      </c>
      <c r="D22" s="9" t="s">
        <v>258</v>
      </c>
      <c r="E22" s="9" t="s">
        <v>259</v>
      </c>
      <c r="F22" s="43" t="s">
        <v>260</v>
      </c>
      <c r="G22" s="10">
        <v>500081.0</v>
      </c>
      <c r="H22" s="9" t="s">
        <v>147</v>
      </c>
      <c r="I22" s="11" t="str">
        <f>VLOOKUP(H22,Mapping!D:E,2,0)</f>
        <v>madhapur</v>
      </c>
      <c r="J22" s="9" t="s">
        <v>148</v>
      </c>
      <c r="K22" s="12">
        <v>0.2</v>
      </c>
      <c r="L22" s="14" t="str">
        <f t="shared" si="1"/>
        <v>20%+</v>
      </c>
      <c r="M22" s="13">
        <v>0.018</v>
      </c>
      <c r="N22" s="14"/>
      <c r="O22" s="43" t="s">
        <v>260</v>
      </c>
      <c r="P22" s="9" t="s">
        <v>261</v>
      </c>
      <c r="Q22" s="15" t="s">
        <v>260</v>
      </c>
      <c r="R22" s="16" t="s">
        <v>262</v>
      </c>
      <c r="S22" s="9" t="s">
        <v>263</v>
      </c>
      <c r="T22" s="43" t="s">
        <v>257</v>
      </c>
      <c r="U22" s="9" t="s">
        <v>54</v>
      </c>
      <c r="V22" s="17">
        <v>6.5980200001283E13</v>
      </c>
      <c r="W22" s="9" t="s">
        <v>264</v>
      </c>
      <c r="X22" s="9" t="s">
        <v>80</v>
      </c>
      <c r="Y22" s="18" t="s">
        <v>57</v>
      </c>
      <c r="Z22" s="18" t="s">
        <v>58</v>
      </c>
      <c r="AA22" s="18" t="s">
        <v>57</v>
      </c>
      <c r="AB22" s="18" t="s">
        <v>57</v>
      </c>
      <c r="AC22" s="18" t="s">
        <v>58</v>
      </c>
      <c r="AD22" s="18" t="s">
        <v>58</v>
      </c>
      <c r="AE22" s="35" t="s">
        <v>265</v>
      </c>
      <c r="AF22" s="14"/>
      <c r="AG22" s="14" t="str">
        <f t="shared" si="2"/>
        <v>#REF!</v>
      </c>
      <c r="AH22" s="14"/>
      <c r="AI22" s="20"/>
      <c r="AJ22" s="14"/>
      <c r="AK22" s="14"/>
      <c r="AL22" s="14"/>
      <c r="AM22" s="14"/>
      <c r="AN22" s="14"/>
      <c r="AO22" s="14"/>
      <c r="AP22" s="14"/>
      <c r="AQ22" s="14"/>
      <c r="AR22" s="14"/>
    </row>
    <row r="23" ht="22.5" customHeight="1">
      <c r="A23" s="42">
        <v>46057.0</v>
      </c>
      <c r="B23" s="21" t="s">
        <v>266</v>
      </c>
      <c r="C23" s="8" t="s">
        <v>248</v>
      </c>
      <c r="D23" s="9" t="s">
        <v>46</v>
      </c>
      <c r="E23" s="9" t="s">
        <v>267</v>
      </c>
      <c r="F23" s="9" t="s">
        <v>268</v>
      </c>
      <c r="G23" s="10">
        <v>500081.0</v>
      </c>
      <c r="H23" s="9" t="s">
        <v>147</v>
      </c>
      <c r="I23" s="11" t="str">
        <f>VLOOKUP(H23,Mapping!D:E,2,0)</f>
        <v>madhapur</v>
      </c>
      <c r="J23" s="9" t="s">
        <v>148</v>
      </c>
      <c r="K23" s="12">
        <v>0.2</v>
      </c>
      <c r="L23" s="13" t="str">
        <f t="shared" si="1"/>
        <v>20%+</v>
      </c>
      <c r="M23" s="13">
        <v>0.018</v>
      </c>
      <c r="N23" s="14"/>
      <c r="O23" s="9" t="s">
        <v>268</v>
      </c>
      <c r="P23" s="15" t="s">
        <v>269</v>
      </c>
      <c r="Q23" s="9" t="s">
        <v>268</v>
      </c>
      <c r="R23" s="16" t="s">
        <v>262</v>
      </c>
      <c r="S23" s="9" t="s">
        <v>263</v>
      </c>
      <c r="T23" s="15" t="s">
        <v>266</v>
      </c>
      <c r="U23" s="9" t="s">
        <v>54</v>
      </c>
      <c r="V23" s="17">
        <v>6.5980200001283E13</v>
      </c>
      <c r="W23" s="9" t="s">
        <v>264</v>
      </c>
      <c r="X23" s="9" t="s">
        <v>80</v>
      </c>
      <c r="Y23" s="18" t="s">
        <v>57</v>
      </c>
      <c r="Z23" s="18" t="s">
        <v>58</v>
      </c>
      <c r="AA23" s="18" t="s">
        <v>57</v>
      </c>
      <c r="AB23" s="18" t="s">
        <v>57</v>
      </c>
      <c r="AC23" s="18" t="s">
        <v>58</v>
      </c>
      <c r="AD23" s="18" t="s">
        <v>58</v>
      </c>
      <c r="AE23" s="35" t="s">
        <v>265</v>
      </c>
      <c r="AF23" s="14"/>
      <c r="AG23" s="14" t="str">
        <f t="shared" si="2"/>
        <v>#REF!</v>
      </c>
      <c r="AH23" s="14"/>
      <c r="AI23" s="20"/>
      <c r="AJ23" s="14"/>
      <c r="AK23" s="14"/>
      <c r="AL23" s="14"/>
      <c r="AM23" s="14"/>
      <c r="AN23" s="14"/>
      <c r="AO23" s="14"/>
      <c r="AP23" s="14"/>
      <c r="AQ23" s="14"/>
      <c r="AR23" s="14"/>
    </row>
    <row r="24" ht="22.5" customHeight="1">
      <c r="A24" s="6">
        <v>46057.0</v>
      </c>
      <c r="B24" s="36" t="s">
        <v>270</v>
      </c>
      <c r="C24" s="8" t="s">
        <v>45</v>
      </c>
      <c r="D24" s="9"/>
      <c r="E24" s="16"/>
      <c r="F24" s="9"/>
      <c r="G24" s="10"/>
      <c r="H24" s="9"/>
      <c r="I24" s="11" t="str">
        <f>VLOOKUP(H24,Mapping!D:E,2,0)</f>
        <v>#N/A</v>
      </c>
      <c r="J24" s="9"/>
      <c r="K24" s="12"/>
      <c r="L24" s="13" t="str">
        <f t="shared" si="1"/>
        <v>0</v>
      </c>
      <c r="M24" s="13"/>
      <c r="N24" s="14"/>
      <c r="O24" s="15"/>
      <c r="P24" s="15"/>
      <c r="Q24" s="15"/>
      <c r="R24" s="16"/>
      <c r="S24" s="9"/>
      <c r="T24" s="9"/>
      <c r="U24" s="9"/>
      <c r="V24" s="17"/>
      <c r="W24" s="9"/>
      <c r="X24" s="9"/>
      <c r="Y24" s="18" t="s">
        <v>58</v>
      </c>
      <c r="Z24" s="18" t="s">
        <v>58</v>
      </c>
      <c r="AA24" s="18" t="s">
        <v>58</v>
      </c>
      <c r="AB24" s="18" t="s">
        <v>58</v>
      </c>
      <c r="AC24" s="18" t="s">
        <v>58</v>
      </c>
      <c r="AD24" s="18" t="s">
        <v>58</v>
      </c>
      <c r="AE24" s="14"/>
      <c r="AF24" s="14"/>
      <c r="AG24" s="14" t="str">
        <f t="shared" si="2"/>
        <v>#REF!</v>
      </c>
      <c r="AH24" s="9" t="s">
        <v>271</v>
      </c>
      <c r="AI24" s="20"/>
      <c r="AJ24" s="14"/>
      <c r="AK24" s="14"/>
      <c r="AL24" s="14"/>
      <c r="AM24" s="14"/>
      <c r="AN24" s="14"/>
      <c r="AO24" s="14"/>
      <c r="AP24" s="14"/>
      <c r="AQ24" s="14"/>
      <c r="AR24" s="14"/>
    </row>
    <row r="25" ht="22.5" customHeight="1">
      <c r="A25" s="6">
        <v>46057.0</v>
      </c>
      <c r="B25" s="36" t="s">
        <v>272</v>
      </c>
      <c r="C25" s="44" t="s">
        <v>45</v>
      </c>
      <c r="D25" s="32" t="s">
        <v>273</v>
      </c>
      <c r="E25" s="32" t="s">
        <v>274</v>
      </c>
      <c r="F25" s="45" t="s">
        <v>275</v>
      </c>
      <c r="G25" s="46">
        <v>500081.0</v>
      </c>
      <c r="H25" s="32" t="s">
        <v>147</v>
      </c>
      <c r="I25" s="32" t="str">
        <f>VLOOKUP(H25,Mapping!D:E,2,0)</f>
        <v>madhapur</v>
      </c>
      <c r="J25" s="32" t="s">
        <v>148</v>
      </c>
      <c r="K25" s="47">
        <v>0.15</v>
      </c>
      <c r="L25" s="32" t="str">
        <f t="shared" si="1"/>
        <v>&lt;17%</v>
      </c>
      <c r="M25" s="32">
        <v>0.018</v>
      </c>
      <c r="N25" s="32"/>
      <c r="O25" s="32" t="s">
        <v>275</v>
      </c>
      <c r="P25" s="32" t="s">
        <v>276</v>
      </c>
      <c r="Q25" s="32" t="s">
        <v>277</v>
      </c>
      <c r="R25" s="48" t="s">
        <v>278</v>
      </c>
      <c r="S25" s="32" t="s">
        <v>279</v>
      </c>
      <c r="T25" s="32" t="s">
        <v>280</v>
      </c>
      <c r="U25" s="32" t="s">
        <v>91</v>
      </c>
      <c r="V25" s="49">
        <v>5.0200029920971E13</v>
      </c>
      <c r="W25" s="32" t="s">
        <v>281</v>
      </c>
      <c r="X25" s="50" t="s">
        <v>80</v>
      </c>
      <c r="Y25" s="18" t="s">
        <v>58</v>
      </c>
      <c r="Z25" s="18" t="s">
        <v>58</v>
      </c>
      <c r="AA25" s="18" t="s">
        <v>58</v>
      </c>
      <c r="AB25" s="18" t="s">
        <v>58</v>
      </c>
      <c r="AC25" s="18" t="s">
        <v>58</v>
      </c>
      <c r="AD25" s="18" t="s">
        <v>58</v>
      </c>
      <c r="AE25" s="51"/>
      <c r="AF25" s="32"/>
      <c r="AG25" s="52" t="str">
        <f t="shared" si="2"/>
        <v>#REF!</v>
      </c>
      <c r="AH25" s="9" t="s">
        <v>271</v>
      </c>
      <c r="AI25" s="53"/>
      <c r="AJ25" s="36"/>
      <c r="AK25" s="36"/>
      <c r="AL25" s="36"/>
      <c r="AM25" s="36"/>
      <c r="AN25" s="36"/>
      <c r="AO25" s="36"/>
      <c r="AP25" s="36"/>
      <c r="AQ25" s="36"/>
      <c r="AR25" s="36"/>
    </row>
    <row r="26" ht="22.5" customHeight="1">
      <c r="A26" s="6">
        <v>46057.0</v>
      </c>
      <c r="B26" s="6" t="s">
        <v>282</v>
      </c>
      <c r="C26" s="8" t="s">
        <v>45</v>
      </c>
      <c r="D26" s="9" t="s">
        <v>273</v>
      </c>
      <c r="E26" s="9" t="s">
        <v>283</v>
      </c>
      <c r="F26" s="9" t="s">
        <v>275</v>
      </c>
      <c r="G26" s="10">
        <v>500075.0</v>
      </c>
      <c r="H26" s="9" t="s">
        <v>126</v>
      </c>
      <c r="I26" s="11" t="str">
        <f>VLOOKUP(H26,Mapping!D:E,2,0)</f>
        <v>Langar Houz</v>
      </c>
      <c r="J26" s="9" t="s">
        <v>86</v>
      </c>
      <c r="K26" s="12">
        <v>0.15</v>
      </c>
      <c r="L26" s="13" t="str">
        <f t="shared" si="1"/>
        <v>&lt;17%</v>
      </c>
      <c r="M26" s="13">
        <v>0.018</v>
      </c>
      <c r="N26" s="14"/>
      <c r="O26" s="9" t="s">
        <v>284</v>
      </c>
      <c r="P26" s="9" t="s">
        <v>285</v>
      </c>
      <c r="Q26" s="9" t="s">
        <v>286</v>
      </c>
      <c r="R26" s="16" t="s">
        <v>287</v>
      </c>
      <c r="S26" s="15" t="s">
        <v>68</v>
      </c>
      <c r="T26" s="9" t="s">
        <v>288</v>
      </c>
      <c r="U26" s="9" t="s">
        <v>91</v>
      </c>
      <c r="V26" s="17">
        <v>5.020009320867E13</v>
      </c>
      <c r="W26" s="9" t="s">
        <v>289</v>
      </c>
      <c r="X26" s="9" t="s">
        <v>80</v>
      </c>
      <c r="Y26" s="18" t="s">
        <v>58</v>
      </c>
      <c r="Z26" s="18" t="s">
        <v>58</v>
      </c>
      <c r="AA26" s="18" t="s">
        <v>58</v>
      </c>
      <c r="AB26" s="18" t="s">
        <v>58</v>
      </c>
      <c r="AC26" s="18" t="s">
        <v>58</v>
      </c>
      <c r="AD26" s="18" t="s">
        <v>58</v>
      </c>
      <c r="AE26" s="14"/>
      <c r="AF26" s="14"/>
      <c r="AG26" s="14" t="str">
        <f t="shared" si="2"/>
        <v>#REF!</v>
      </c>
      <c r="AH26" s="9" t="s">
        <v>271</v>
      </c>
      <c r="AI26" s="20"/>
      <c r="AJ26" s="14"/>
      <c r="AK26" s="14"/>
      <c r="AL26" s="14"/>
      <c r="AM26" s="14"/>
      <c r="AN26" s="14"/>
      <c r="AO26" s="14"/>
      <c r="AP26" s="14"/>
      <c r="AQ26" s="14"/>
      <c r="AR26" s="14"/>
    </row>
    <row r="27" ht="22.5" customHeight="1">
      <c r="A27" s="42">
        <v>46057.0</v>
      </c>
      <c r="B27" s="21" t="s">
        <v>290</v>
      </c>
      <c r="C27" s="8" t="s">
        <v>96</v>
      </c>
      <c r="D27" s="9" t="s">
        <v>291</v>
      </c>
      <c r="E27" s="9" t="s">
        <v>292</v>
      </c>
      <c r="F27" s="9" t="s">
        <v>293</v>
      </c>
      <c r="G27" s="22">
        <v>500048.0</v>
      </c>
      <c r="H27" s="9" t="s">
        <v>99</v>
      </c>
      <c r="I27" s="11" t="str">
        <f>VLOOKUP(H27,Mapping!D:E,2,0)</f>
        <v>mehdipatnam</v>
      </c>
      <c r="J27" s="9" t="s">
        <v>50</v>
      </c>
      <c r="K27" s="12">
        <v>0.21</v>
      </c>
      <c r="L27" s="13" t="str">
        <f t="shared" si="1"/>
        <v>20%+</v>
      </c>
      <c r="M27" s="13">
        <v>0.018</v>
      </c>
      <c r="N27" s="14"/>
      <c r="O27" s="15" t="s">
        <v>290</v>
      </c>
      <c r="P27" s="15" t="s">
        <v>294</v>
      </c>
      <c r="Q27" s="9" t="s">
        <v>293</v>
      </c>
      <c r="R27" s="16" t="s">
        <v>295</v>
      </c>
      <c r="S27" s="33" t="s">
        <v>296</v>
      </c>
      <c r="T27" s="9" t="s">
        <v>297</v>
      </c>
      <c r="U27" s="9" t="s">
        <v>119</v>
      </c>
      <c r="V27" s="17">
        <v>9.24010053814296E14</v>
      </c>
      <c r="W27" s="9" t="s">
        <v>120</v>
      </c>
      <c r="X27" s="9" t="s">
        <v>80</v>
      </c>
      <c r="Y27" s="18" t="s">
        <v>57</v>
      </c>
      <c r="Z27" s="18" t="s">
        <v>57</v>
      </c>
      <c r="AA27" s="18" t="s">
        <v>57</v>
      </c>
      <c r="AB27" s="18" t="s">
        <v>57</v>
      </c>
      <c r="AC27" s="18" t="s">
        <v>57</v>
      </c>
      <c r="AD27" s="18" t="s">
        <v>58</v>
      </c>
      <c r="AE27" s="39" t="s">
        <v>298</v>
      </c>
      <c r="AF27" s="14"/>
      <c r="AG27" s="14" t="str">
        <f t="shared" si="2"/>
        <v>#REF!</v>
      </c>
      <c r="AH27" s="14"/>
      <c r="AI27" s="20"/>
      <c r="AJ27" s="14"/>
      <c r="AK27" s="14"/>
      <c r="AL27" s="14"/>
      <c r="AM27" s="14"/>
      <c r="AN27" s="14"/>
      <c r="AO27" s="14"/>
      <c r="AP27" s="14"/>
      <c r="AQ27" s="14"/>
      <c r="AR27" s="14"/>
    </row>
    <row r="28" ht="22.5" customHeight="1">
      <c r="A28" s="42">
        <v>46057.0</v>
      </c>
      <c r="B28" s="34" t="s">
        <v>299</v>
      </c>
      <c r="C28" s="8" t="s">
        <v>241</v>
      </c>
      <c r="D28" s="9" t="s">
        <v>258</v>
      </c>
      <c r="E28" s="9" t="s">
        <v>300</v>
      </c>
      <c r="F28" s="9" t="s">
        <v>301</v>
      </c>
      <c r="G28" s="10">
        <v>500081.0</v>
      </c>
      <c r="H28" s="9" t="s">
        <v>302</v>
      </c>
      <c r="I28" s="11" t="str">
        <f>VLOOKUP(H28,Mapping!D:E,2,0)</f>
        <v>manikonda</v>
      </c>
      <c r="J28" s="9" t="s">
        <v>303</v>
      </c>
      <c r="K28" s="12">
        <v>0.22</v>
      </c>
      <c r="L28" s="14" t="str">
        <f t="shared" si="1"/>
        <v>20%+</v>
      </c>
      <c r="M28" s="13">
        <v>0.018</v>
      </c>
      <c r="N28" s="14"/>
      <c r="O28" s="9" t="s">
        <v>68</v>
      </c>
      <c r="P28" s="9" t="s">
        <v>68</v>
      </c>
      <c r="Q28" s="9" t="s">
        <v>301</v>
      </c>
      <c r="R28" s="16" t="s">
        <v>304</v>
      </c>
      <c r="S28" s="9" t="s">
        <v>305</v>
      </c>
      <c r="T28" s="9" t="s">
        <v>306</v>
      </c>
      <c r="U28" s="9" t="s">
        <v>307</v>
      </c>
      <c r="V28" s="17">
        <v>1.35610011001804E14</v>
      </c>
      <c r="W28" s="9" t="s">
        <v>308</v>
      </c>
      <c r="X28" s="9" t="s">
        <v>56</v>
      </c>
      <c r="Y28" s="18" t="s">
        <v>58</v>
      </c>
      <c r="Z28" s="18" t="s">
        <v>58</v>
      </c>
      <c r="AA28" s="18" t="s">
        <v>58</v>
      </c>
      <c r="AB28" s="18" t="s">
        <v>58</v>
      </c>
      <c r="AC28" s="18" t="s">
        <v>58</v>
      </c>
      <c r="AD28" s="18" t="s">
        <v>69</v>
      </c>
      <c r="AE28" s="9" t="s">
        <v>309</v>
      </c>
      <c r="AF28" s="14"/>
      <c r="AG28" s="14" t="str">
        <f t="shared" si="2"/>
        <v>#REF!</v>
      </c>
      <c r="AH28" s="9" t="s">
        <v>310</v>
      </c>
      <c r="AI28" s="20"/>
      <c r="AJ28" s="14"/>
      <c r="AK28" s="14"/>
      <c r="AL28" s="14"/>
      <c r="AM28" s="14"/>
      <c r="AN28" s="14"/>
      <c r="AO28" s="14"/>
      <c r="AP28" s="14"/>
      <c r="AQ28" s="14"/>
      <c r="AR28" s="14"/>
    </row>
    <row r="29" ht="22.5" customHeight="1">
      <c r="A29" s="54">
        <v>46057.0</v>
      </c>
      <c r="B29" s="34" t="s">
        <v>311</v>
      </c>
      <c r="C29" s="55" t="s">
        <v>96</v>
      </c>
      <c r="D29" s="15" t="s">
        <v>46</v>
      </c>
      <c r="E29" s="15" t="s">
        <v>312</v>
      </c>
      <c r="F29" s="15" t="s">
        <v>313</v>
      </c>
      <c r="G29" s="56">
        <v>500047.0</v>
      </c>
      <c r="H29" s="15" t="s">
        <v>126</v>
      </c>
      <c r="I29" s="57" t="str">
        <f>VLOOKUP(H29,Mapping!D:E,2,0)</f>
        <v>Langar Houz</v>
      </c>
      <c r="J29" s="15" t="s">
        <v>86</v>
      </c>
      <c r="K29" s="58"/>
      <c r="L29" s="59" t="str">
        <f t="shared" si="1"/>
        <v>0</v>
      </c>
      <c r="M29" s="59">
        <v>0.018</v>
      </c>
      <c r="O29" s="15" t="s">
        <v>311</v>
      </c>
      <c r="P29" s="15" t="s">
        <v>314</v>
      </c>
      <c r="Q29" s="15" t="s">
        <v>315</v>
      </c>
      <c r="R29" s="60" t="s">
        <v>316</v>
      </c>
      <c r="S29" s="15" t="s">
        <v>317</v>
      </c>
      <c r="T29" s="15" t="s">
        <v>68</v>
      </c>
      <c r="U29" s="15" t="s">
        <v>68</v>
      </c>
      <c r="V29" s="15" t="s">
        <v>68</v>
      </c>
      <c r="W29" s="15" t="s">
        <v>68</v>
      </c>
      <c r="X29" s="15" t="s">
        <v>68</v>
      </c>
      <c r="Y29" s="18" t="s">
        <v>57</v>
      </c>
      <c r="Z29" s="18" t="s">
        <v>58</v>
      </c>
      <c r="AA29" s="18" t="s">
        <v>57</v>
      </c>
      <c r="AB29" s="18" t="s">
        <v>58</v>
      </c>
      <c r="AC29" s="18" t="s">
        <v>58</v>
      </c>
      <c r="AD29" s="18" t="s">
        <v>58</v>
      </c>
      <c r="AE29" s="14"/>
      <c r="AG29" s="61" t="str">
        <f t="shared" si="2"/>
        <v>#REF!</v>
      </c>
      <c r="AI29" s="62"/>
    </row>
    <row r="30" ht="22.5" customHeight="1">
      <c r="A30" s="42">
        <v>46057.0</v>
      </c>
      <c r="B30" s="21" t="s">
        <v>311</v>
      </c>
      <c r="C30" s="63" t="s">
        <v>45</v>
      </c>
      <c r="D30" s="64" t="s">
        <v>273</v>
      </c>
      <c r="E30" s="65" t="s">
        <v>318</v>
      </c>
      <c r="F30" s="15" t="s">
        <v>319</v>
      </c>
      <c r="G30" s="56">
        <v>500075.0</v>
      </c>
      <c r="H30" s="15" t="s">
        <v>147</v>
      </c>
      <c r="I30" s="57" t="str">
        <f>VLOOKUP(H30,Mapping!D:E,2,0)</f>
        <v>madhapur</v>
      </c>
      <c r="J30" s="15" t="s">
        <v>148</v>
      </c>
      <c r="K30" s="66">
        <v>0.15</v>
      </c>
      <c r="L30" s="59" t="str">
        <f t="shared" si="1"/>
        <v>&lt;17%</v>
      </c>
      <c r="M30" s="59">
        <v>0.018</v>
      </c>
      <c r="N30" s="14"/>
      <c r="O30" s="15" t="s">
        <v>320</v>
      </c>
      <c r="P30" s="15" t="s">
        <v>321</v>
      </c>
      <c r="Q30" s="9" t="s">
        <v>319</v>
      </c>
      <c r="R30" s="16" t="s">
        <v>322</v>
      </c>
      <c r="S30" s="9" t="s">
        <v>279</v>
      </c>
      <c r="T30" s="9" t="s">
        <v>323</v>
      </c>
      <c r="U30" s="9" t="s">
        <v>91</v>
      </c>
      <c r="V30" s="17">
        <v>5.020002991824E13</v>
      </c>
      <c r="W30" s="9" t="s">
        <v>281</v>
      </c>
      <c r="X30" s="9" t="s">
        <v>80</v>
      </c>
      <c r="Y30" s="18" t="s">
        <v>58</v>
      </c>
      <c r="Z30" s="18" t="s">
        <v>58</v>
      </c>
      <c r="AA30" s="18" t="s">
        <v>58</v>
      </c>
      <c r="AB30" s="18" t="s">
        <v>58</v>
      </c>
      <c r="AC30" s="18" t="s">
        <v>58</v>
      </c>
      <c r="AD30" s="18" t="s">
        <v>58</v>
      </c>
      <c r="AE30" s="14"/>
      <c r="AF30" s="14"/>
      <c r="AG30" s="14" t="str">
        <f t="shared" si="2"/>
        <v>#REF!</v>
      </c>
      <c r="AH30" s="9" t="s">
        <v>271</v>
      </c>
      <c r="AI30" s="20"/>
      <c r="AJ30" s="14"/>
      <c r="AK30" s="14"/>
      <c r="AL30" s="14"/>
      <c r="AM30" s="14"/>
      <c r="AN30" s="14"/>
      <c r="AO30" s="14"/>
      <c r="AP30" s="14"/>
      <c r="AQ30" s="14"/>
      <c r="AR30" s="14"/>
    </row>
    <row r="31" ht="22.5" customHeight="1">
      <c r="A31" s="42">
        <v>46057.0</v>
      </c>
      <c r="B31" s="42" t="s">
        <v>324</v>
      </c>
      <c r="C31" s="55" t="s">
        <v>241</v>
      </c>
      <c r="D31" s="15" t="s">
        <v>61</v>
      </c>
      <c r="E31" s="15" t="s">
        <v>325</v>
      </c>
      <c r="F31" s="15" t="s">
        <v>68</v>
      </c>
      <c r="G31" s="56">
        <v>500084.0</v>
      </c>
      <c r="H31" s="15" t="s">
        <v>147</v>
      </c>
      <c r="I31" s="57" t="str">
        <f>VLOOKUP(H31,Mapping!D:E,2,0)</f>
        <v>madhapur</v>
      </c>
      <c r="J31" s="15" t="s">
        <v>148</v>
      </c>
      <c r="K31" s="66">
        <v>0.2</v>
      </c>
      <c r="L31" s="59" t="str">
        <f t="shared" si="1"/>
        <v>20%+</v>
      </c>
      <c r="M31" s="59">
        <v>0.018</v>
      </c>
      <c r="O31" s="15" t="s">
        <v>326</v>
      </c>
      <c r="P31" s="15" t="s">
        <v>327</v>
      </c>
      <c r="Q31" s="15" t="s">
        <v>328</v>
      </c>
      <c r="R31" s="60" t="s">
        <v>329</v>
      </c>
      <c r="S31" s="15" t="s">
        <v>330</v>
      </c>
      <c r="T31" s="15" t="s">
        <v>326</v>
      </c>
      <c r="U31" s="15" t="s">
        <v>194</v>
      </c>
      <c r="V31" s="67">
        <v>4.005030744E9</v>
      </c>
      <c r="W31" s="15" t="s">
        <v>331</v>
      </c>
      <c r="X31" s="15" t="s">
        <v>80</v>
      </c>
      <c r="Y31" s="18" t="s">
        <v>57</v>
      </c>
      <c r="Z31" s="18" t="s">
        <v>57</v>
      </c>
      <c r="AA31" s="18" t="s">
        <v>57</v>
      </c>
      <c r="AB31" s="18" t="s">
        <v>57</v>
      </c>
      <c r="AC31" s="18" t="s">
        <v>57</v>
      </c>
      <c r="AD31" s="18" t="s">
        <v>69</v>
      </c>
      <c r="AE31" s="19"/>
      <c r="AG31" s="61" t="str">
        <f t="shared" si="2"/>
        <v>#REF!</v>
      </c>
      <c r="AH31" s="15" t="s">
        <v>332</v>
      </c>
      <c r="AI31" s="62"/>
    </row>
    <row r="32" ht="22.5" customHeight="1">
      <c r="A32" s="68">
        <v>46057.0</v>
      </c>
      <c r="B32" s="69" t="s">
        <v>333</v>
      </c>
      <c r="C32" s="55" t="s">
        <v>248</v>
      </c>
      <c r="D32" s="15" t="s">
        <v>46</v>
      </c>
      <c r="E32" s="15" t="s">
        <v>334</v>
      </c>
      <c r="F32" s="15" t="s">
        <v>335</v>
      </c>
      <c r="G32" s="56">
        <v>500081.0</v>
      </c>
      <c r="H32" s="15" t="s">
        <v>147</v>
      </c>
      <c r="I32" s="57" t="str">
        <f>VLOOKUP(H32,Mapping!D:E,2,0)</f>
        <v>madhapur</v>
      </c>
      <c r="J32" s="15" t="s">
        <v>148</v>
      </c>
      <c r="K32" s="66">
        <v>0.18</v>
      </c>
      <c r="L32" s="59" t="str">
        <f t="shared" si="1"/>
        <v>&lt;20%</v>
      </c>
      <c r="M32" s="59">
        <v>0.018</v>
      </c>
      <c r="O32" s="15" t="s">
        <v>335</v>
      </c>
      <c r="P32" s="15" t="s">
        <v>336</v>
      </c>
      <c r="Q32" s="15" t="s">
        <v>337</v>
      </c>
      <c r="R32" s="60" t="s">
        <v>338</v>
      </c>
      <c r="S32" s="15" t="s">
        <v>339</v>
      </c>
      <c r="T32" s="15" t="s">
        <v>333</v>
      </c>
      <c r="U32" s="15" t="s">
        <v>340</v>
      </c>
      <c r="V32" s="67">
        <v>2.0100061259823E13</v>
      </c>
      <c r="W32" s="15" t="s">
        <v>341</v>
      </c>
      <c r="X32" s="15" t="s">
        <v>80</v>
      </c>
      <c r="Y32" s="18" t="s">
        <v>58</v>
      </c>
      <c r="Z32" s="18" t="s">
        <v>58</v>
      </c>
      <c r="AA32" s="18" t="s">
        <v>57</v>
      </c>
      <c r="AB32" s="18" t="s">
        <v>58</v>
      </c>
      <c r="AC32" s="18" t="s">
        <v>58</v>
      </c>
      <c r="AD32" s="18" t="s">
        <v>58</v>
      </c>
      <c r="AE32" s="35" t="s">
        <v>342</v>
      </c>
      <c r="AG32" s="61" t="str">
        <f t="shared" si="2"/>
        <v>#REF!</v>
      </c>
      <c r="AH32" s="15" t="s">
        <v>343</v>
      </c>
      <c r="AI32" s="62"/>
    </row>
    <row r="33" ht="22.5" customHeight="1">
      <c r="A33" s="68">
        <v>46057.0</v>
      </c>
      <c r="B33" s="36" t="s">
        <v>344</v>
      </c>
      <c r="C33" s="8" t="s">
        <v>248</v>
      </c>
      <c r="D33" s="9" t="s">
        <v>61</v>
      </c>
      <c r="E33" s="39" t="s">
        <v>345</v>
      </c>
      <c r="F33" s="9" t="s">
        <v>346</v>
      </c>
      <c r="G33" s="10">
        <v>500081.0</v>
      </c>
      <c r="H33" s="9" t="s">
        <v>147</v>
      </c>
      <c r="I33" s="11" t="str">
        <f>VLOOKUP(H33,Mapping!D:E,2,0)</f>
        <v>madhapur</v>
      </c>
      <c r="J33" s="9" t="s">
        <v>148</v>
      </c>
      <c r="K33" s="12">
        <v>0.17</v>
      </c>
      <c r="L33" s="13" t="str">
        <f t="shared" si="1"/>
        <v>&lt;20%</v>
      </c>
      <c r="M33" s="13">
        <v>0.018</v>
      </c>
      <c r="N33" s="14"/>
      <c r="O33" s="15" t="s">
        <v>347</v>
      </c>
      <c r="P33" s="15" t="s">
        <v>348</v>
      </c>
      <c r="Q33" s="9" t="s">
        <v>346</v>
      </c>
      <c r="R33" s="16" t="s">
        <v>349</v>
      </c>
      <c r="S33" s="9" t="s">
        <v>350</v>
      </c>
      <c r="T33" s="9" t="s">
        <v>351</v>
      </c>
      <c r="U33" s="9" t="s">
        <v>352</v>
      </c>
      <c r="V33" s="17">
        <v>5.684056323E9</v>
      </c>
      <c r="W33" s="9" t="s">
        <v>353</v>
      </c>
      <c r="X33" s="9" t="s">
        <v>80</v>
      </c>
      <c r="Y33" s="18" t="s">
        <v>57</v>
      </c>
      <c r="Z33" s="18" t="s">
        <v>57</v>
      </c>
      <c r="AA33" s="18" t="s">
        <v>57</v>
      </c>
      <c r="AB33" s="18" t="s">
        <v>57</v>
      </c>
      <c r="AC33" s="18" t="s">
        <v>58</v>
      </c>
      <c r="AD33" s="18" t="s">
        <v>58</v>
      </c>
      <c r="AE33" s="35" t="s">
        <v>354</v>
      </c>
      <c r="AF33" s="14"/>
      <c r="AG33" s="14" t="str">
        <f t="shared" si="2"/>
        <v>#REF!</v>
      </c>
      <c r="AH33" s="14"/>
      <c r="AI33" s="20"/>
      <c r="AJ33" s="14"/>
      <c r="AK33" s="14"/>
      <c r="AL33" s="14"/>
      <c r="AM33" s="14"/>
      <c r="AN33" s="14"/>
      <c r="AO33" s="14"/>
      <c r="AP33" s="14"/>
      <c r="AQ33" s="14"/>
      <c r="AR33" s="14"/>
    </row>
    <row r="34" ht="22.5" customHeight="1">
      <c r="A34" s="68">
        <v>46057.0</v>
      </c>
      <c r="B34" s="34" t="s">
        <v>355</v>
      </c>
      <c r="C34" s="8" t="s">
        <v>73</v>
      </c>
      <c r="D34" s="9" t="s">
        <v>46</v>
      </c>
      <c r="E34" s="9" t="s">
        <v>356</v>
      </c>
      <c r="F34" s="9" t="s">
        <v>357</v>
      </c>
      <c r="G34" s="10">
        <v>500081.0</v>
      </c>
      <c r="H34" s="9" t="s">
        <v>358</v>
      </c>
      <c r="I34" s="11" t="str">
        <f>VLOOKUP(H34,Mapping!D:E,2,0)</f>
        <v>mehdipatnam</v>
      </c>
      <c r="J34" s="9" t="s">
        <v>50</v>
      </c>
      <c r="K34" s="12">
        <v>0.22</v>
      </c>
      <c r="L34" s="13" t="str">
        <f t="shared" si="1"/>
        <v>20%+</v>
      </c>
      <c r="M34" s="13">
        <v>0.018</v>
      </c>
      <c r="N34" s="14"/>
      <c r="O34" s="15" t="s">
        <v>355</v>
      </c>
      <c r="P34" s="15" t="s">
        <v>359</v>
      </c>
      <c r="Q34" s="9" t="s">
        <v>357</v>
      </c>
      <c r="R34" s="16" t="s">
        <v>360</v>
      </c>
      <c r="S34" s="9" t="s">
        <v>361</v>
      </c>
      <c r="T34" s="9" t="s">
        <v>357</v>
      </c>
      <c r="U34" s="9" t="s">
        <v>54</v>
      </c>
      <c r="V34" s="17">
        <v>8.0980100003622E13</v>
      </c>
      <c r="W34" s="9" t="s">
        <v>362</v>
      </c>
      <c r="X34" s="9" t="s">
        <v>56</v>
      </c>
      <c r="Y34" s="18" t="s">
        <v>57</v>
      </c>
      <c r="Z34" s="18" t="s">
        <v>69</v>
      </c>
      <c r="AA34" s="18" t="s">
        <v>57</v>
      </c>
      <c r="AB34" s="18" t="s">
        <v>57</v>
      </c>
      <c r="AC34" s="18" t="s">
        <v>57</v>
      </c>
      <c r="AD34" s="18" t="s">
        <v>69</v>
      </c>
      <c r="AE34" s="9"/>
      <c r="AF34" s="14"/>
      <c r="AG34" s="14" t="str">
        <f t="shared" si="2"/>
        <v>#REF!</v>
      </c>
      <c r="AH34" s="14"/>
      <c r="AI34" s="20"/>
      <c r="AJ34" s="14"/>
      <c r="AK34" s="14"/>
      <c r="AL34" s="14"/>
      <c r="AM34" s="14"/>
      <c r="AN34" s="14"/>
      <c r="AO34" s="14"/>
      <c r="AP34" s="14"/>
      <c r="AQ34" s="14"/>
      <c r="AR34" s="14"/>
    </row>
    <row r="35" ht="22.5" customHeight="1">
      <c r="A35" s="68">
        <v>46057.0</v>
      </c>
      <c r="B35" s="34" t="s">
        <v>363</v>
      </c>
      <c r="C35" s="8" t="s">
        <v>73</v>
      </c>
      <c r="D35" s="15" t="s">
        <v>46</v>
      </c>
      <c r="E35" s="9" t="s">
        <v>364</v>
      </c>
      <c r="F35" s="9" t="s">
        <v>365</v>
      </c>
      <c r="G35" s="10">
        <v>500028.0</v>
      </c>
      <c r="H35" s="9" t="s">
        <v>366</v>
      </c>
      <c r="I35" s="11" t="str">
        <f>VLOOKUP(H35,Mapping!D:E,2,0)</f>
        <v>masab tank</v>
      </c>
      <c r="J35" s="9" t="s">
        <v>50</v>
      </c>
      <c r="K35" s="12">
        <v>0.22</v>
      </c>
      <c r="L35" s="14" t="str">
        <f t="shared" si="1"/>
        <v>20%+</v>
      </c>
      <c r="M35" s="13">
        <v>0.018</v>
      </c>
      <c r="N35" s="14"/>
      <c r="O35" s="15" t="s">
        <v>363</v>
      </c>
      <c r="P35" s="9" t="s">
        <v>367</v>
      </c>
      <c r="Q35" s="9" t="s">
        <v>368</v>
      </c>
      <c r="R35" s="16" t="s">
        <v>369</v>
      </c>
      <c r="S35" s="9" t="s">
        <v>370</v>
      </c>
      <c r="T35" s="9" t="s">
        <v>371</v>
      </c>
      <c r="U35" s="9" t="s">
        <v>372</v>
      </c>
      <c r="V35" s="9" t="s">
        <v>373</v>
      </c>
      <c r="W35" s="9" t="s">
        <v>374</v>
      </c>
      <c r="X35" s="9" t="s">
        <v>56</v>
      </c>
      <c r="Y35" s="18" t="s">
        <v>57</v>
      </c>
      <c r="Z35" s="18" t="s">
        <v>69</v>
      </c>
      <c r="AA35" s="18" t="s">
        <v>57</v>
      </c>
      <c r="AB35" s="18" t="s">
        <v>57</v>
      </c>
      <c r="AC35" s="18" t="s">
        <v>57</v>
      </c>
      <c r="AD35" s="18" t="s">
        <v>57</v>
      </c>
      <c r="AE35" s="9"/>
      <c r="AF35" s="14"/>
      <c r="AG35" s="14" t="str">
        <f t="shared" si="2"/>
        <v>#REF!</v>
      </c>
      <c r="AH35" s="14"/>
      <c r="AI35" s="20"/>
      <c r="AJ35" s="14"/>
      <c r="AK35" s="14"/>
      <c r="AL35" s="14"/>
      <c r="AM35" s="14"/>
      <c r="AN35" s="14"/>
      <c r="AO35" s="14"/>
      <c r="AP35" s="14"/>
      <c r="AQ35" s="14"/>
      <c r="AR35" s="14"/>
    </row>
    <row r="36" ht="22.5" customHeight="1">
      <c r="A36" s="68">
        <v>46057.0</v>
      </c>
      <c r="B36" s="34" t="s">
        <v>375</v>
      </c>
      <c r="C36" s="8" t="s">
        <v>96</v>
      </c>
      <c r="D36" s="9" t="s">
        <v>258</v>
      </c>
      <c r="E36" s="9" t="s">
        <v>376</v>
      </c>
      <c r="F36" s="9" t="s">
        <v>377</v>
      </c>
      <c r="G36" s="10">
        <v>500028.0</v>
      </c>
      <c r="H36" s="9" t="s">
        <v>366</v>
      </c>
      <c r="I36" s="11" t="str">
        <f>VLOOKUP(H36,Mapping!D:E,2,0)</f>
        <v>masab tank</v>
      </c>
      <c r="J36" s="9" t="s">
        <v>50</v>
      </c>
      <c r="K36" s="12">
        <v>0.22</v>
      </c>
      <c r="L36" s="13" t="str">
        <f t="shared" si="1"/>
        <v>20%+</v>
      </c>
      <c r="M36" s="13">
        <v>0.018</v>
      </c>
      <c r="N36" s="14"/>
      <c r="O36" s="15" t="s">
        <v>375</v>
      </c>
      <c r="P36" s="15" t="s">
        <v>378</v>
      </c>
      <c r="Q36" s="9" t="s">
        <v>377</v>
      </c>
      <c r="R36" s="16" t="s">
        <v>379</v>
      </c>
      <c r="S36" s="9" t="s">
        <v>380</v>
      </c>
      <c r="T36" s="9" t="s">
        <v>381</v>
      </c>
      <c r="U36" s="9" t="s">
        <v>382</v>
      </c>
      <c r="V36" s="17">
        <v>5.00101013048225E14</v>
      </c>
      <c r="W36" s="9" t="s">
        <v>383</v>
      </c>
      <c r="X36" s="9" t="s">
        <v>56</v>
      </c>
      <c r="Y36" s="18" t="s">
        <v>57</v>
      </c>
      <c r="Z36" s="18" t="s">
        <v>58</v>
      </c>
      <c r="AA36" s="18" t="s">
        <v>57</v>
      </c>
      <c r="AB36" s="18" t="s">
        <v>57</v>
      </c>
      <c r="AC36" s="18" t="s">
        <v>57</v>
      </c>
      <c r="AD36" s="18" t="s">
        <v>58</v>
      </c>
      <c r="AE36" s="39" t="s">
        <v>384</v>
      </c>
      <c r="AF36" s="14"/>
      <c r="AG36" s="14" t="str">
        <f t="shared" si="2"/>
        <v>#REF!</v>
      </c>
      <c r="AH36" s="14"/>
      <c r="AI36" s="20"/>
      <c r="AJ36" s="14"/>
      <c r="AK36" s="14"/>
      <c r="AL36" s="14"/>
      <c r="AM36" s="14"/>
      <c r="AN36" s="14"/>
      <c r="AO36" s="14"/>
      <c r="AP36" s="14"/>
      <c r="AQ36" s="14"/>
      <c r="AR36" s="14"/>
    </row>
    <row r="37" ht="22.5" customHeight="1">
      <c r="A37" s="68">
        <v>46057.0</v>
      </c>
      <c r="B37" s="36" t="s">
        <v>385</v>
      </c>
      <c r="C37" s="8" t="s">
        <v>241</v>
      </c>
      <c r="D37" s="9" t="s">
        <v>386</v>
      </c>
      <c r="E37" s="9" t="s">
        <v>387</v>
      </c>
      <c r="F37" s="9" t="s">
        <v>388</v>
      </c>
      <c r="G37" s="10">
        <v>500019.0</v>
      </c>
      <c r="H37" s="9" t="s">
        <v>389</v>
      </c>
      <c r="I37" s="11" t="str">
        <f>VLOOKUP(H37,Mapping!D:E,2,0)</f>
        <v>Kondapur</v>
      </c>
      <c r="J37" s="9" t="s">
        <v>390</v>
      </c>
      <c r="K37" s="12">
        <v>0.22</v>
      </c>
      <c r="L37" s="13" t="str">
        <f t="shared" si="1"/>
        <v>20%+</v>
      </c>
      <c r="M37" s="13">
        <v>0.018</v>
      </c>
      <c r="N37" s="14"/>
      <c r="O37" s="15" t="s">
        <v>391</v>
      </c>
      <c r="P37" s="15" t="s">
        <v>392</v>
      </c>
      <c r="Q37" s="9" t="s">
        <v>393</v>
      </c>
      <c r="R37" s="16" t="s">
        <v>394</v>
      </c>
      <c r="S37" s="9" t="s">
        <v>395</v>
      </c>
      <c r="T37" s="15" t="s">
        <v>391</v>
      </c>
      <c r="U37" s="9" t="s">
        <v>307</v>
      </c>
      <c r="V37" s="17">
        <v>2.26711010000044E14</v>
      </c>
      <c r="W37" s="9" t="s">
        <v>396</v>
      </c>
      <c r="X37" s="9" t="s">
        <v>80</v>
      </c>
      <c r="Y37" s="18" t="s">
        <v>57</v>
      </c>
      <c r="Z37" s="18" t="s">
        <v>57</v>
      </c>
      <c r="AA37" s="18" t="s">
        <v>57</v>
      </c>
      <c r="AB37" s="18" t="s">
        <v>57</v>
      </c>
      <c r="AC37" s="18" t="s">
        <v>57</v>
      </c>
      <c r="AD37" s="18" t="s">
        <v>69</v>
      </c>
      <c r="AE37" s="19"/>
      <c r="AF37" s="14"/>
      <c r="AG37" s="9" t="s">
        <v>397</v>
      </c>
      <c r="AH37" s="9" t="s">
        <v>398</v>
      </c>
      <c r="AI37" s="20"/>
      <c r="AJ37" s="14"/>
      <c r="AK37" s="14"/>
      <c r="AL37" s="14"/>
      <c r="AM37" s="14"/>
      <c r="AN37" s="14"/>
      <c r="AO37" s="14"/>
      <c r="AP37" s="14"/>
      <c r="AQ37" s="14"/>
      <c r="AR37" s="14"/>
    </row>
    <row r="38" ht="22.5" customHeight="1">
      <c r="A38" s="68">
        <v>46057.0</v>
      </c>
      <c r="B38" s="34" t="s">
        <v>399</v>
      </c>
      <c r="C38" s="8" t="s">
        <v>241</v>
      </c>
      <c r="D38" s="9" t="s">
        <v>46</v>
      </c>
      <c r="E38" s="9" t="s">
        <v>400</v>
      </c>
      <c r="F38" s="9" t="s">
        <v>401</v>
      </c>
      <c r="G38" s="10">
        <v>500084.0</v>
      </c>
      <c r="H38" s="9" t="s">
        <v>389</v>
      </c>
      <c r="I38" s="11" t="str">
        <f>VLOOKUP(H38,Mapping!D:E,2,0)</f>
        <v>Kondapur</v>
      </c>
      <c r="J38" s="9" t="s">
        <v>390</v>
      </c>
      <c r="K38" s="12">
        <v>0.22</v>
      </c>
      <c r="L38" s="13" t="str">
        <f t="shared" si="1"/>
        <v>20%+</v>
      </c>
      <c r="M38" s="13">
        <v>0.018</v>
      </c>
      <c r="N38" s="14"/>
      <c r="O38" s="15" t="s">
        <v>399</v>
      </c>
      <c r="P38" s="15" t="s">
        <v>400</v>
      </c>
      <c r="Q38" s="9" t="s">
        <v>401</v>
      </c>
      <c r="R38" s="16" t="s">
        <v>402</v>
      </c>
      <c r="S38" s="9" t="s">
        <v>403</v>
      </c>
      <c r="T38" s="9" t="s">
        <v>404</v>
      </c>
      <c r="U38" s="9" t="s">
        <v>405</v>
      </c>
      <c r="V38" s="17">
        <v>3.09005434613E11</v>
      </c>
      <c r="W38" s="9" t="s">
        <v>406</v>
      </c>
      <c r="X38" s="9" t="s">
        <v>56</v>
      </c>
      <c r="Y38" s="18" t="s">
        <v>57</v>
      </c>
      <c r="Z38" s="18" t="s">
        <v>58</v>
      </c>
      <c r="AA38" s="18" t="s">
        <v>57</v>
      </c>
      <c r="AB38" s="18" t="s">
        <v>57</v>
      </c>
      <c r="AC38" s="18" t="s">
        <v>57</v>
      </c>
      <c r="AD38" s="18" t="s">
        <v>69</v>
      </c>
      <c r="AE38" s="9"/>
      <c r="AF38" s="14"/>
      <c r="AG38" s="9" t="s">
        <v>397</v>
      </c>
      <c r="AH38" s="9" t="s">
        <v>407</v>
      </c>
      <c r="AI38" s="20"/>
      <c r="AJ38" s="14"/>
      <c r="AK38" s="14"/>
      <c r="AL38" s="14"/>
      <c r="AM38" s="14"/>
      <c r="AN38" s="14"/>
      <c r="AO38" s="14"/>
      <c r="AP38" s="14"/>
      <c r="AQ38" s="14"/>
      <c r="AR38" s="14"/>
    </row>
    <row r="39" ht="22.5" customHeight="1">
      <c r="A39" s="68">
        <v>46058.0</v>
      </c>
      <c r="B39" s="34" t="s">
        <v>408</v>
      </c>
      <c r="C39" s="8" t="s">
        <v>241</v>
      </c>
      <c r="D39" s="9" t="s">
        <v>61</v>
      </c>
      <c r="E39" s="9" t="s">
        <v>409</v>
      </c>
      <c r="F39" s="9" t="s">
        <v>410</v>
      </c>
      <c r="G39" s="10">
        <v>500081.0</v>
      </c>
      <c r="H39" s="9" t="s">
        <v>147</v>
      </c>
      <c r="I39" s="11" t="str">
        <f>VLOOKUP(H39,Mapping!D:E,2,0)</f>
        <v>madhapur</v>
      </c>
      <c r="J39" s="9" t="s">
        <v>148</v>
      </c>
      <c r="K39" s="12">
        <v>0.2</v>
      </c>
      <c r="L39" s="13" t="str">
        <f t="shared" si="1"/>
        <v>20%+</v>
      </c>
      <c r="M39" s="13">
        <v>0.018</v>
      </c>
      <c r="N39" s="14"/>
      <c r="O39" s="9" t="s">
        <v>408</v>
      </c>
      <c r="P39" s="9" t="s">
        <v>411</v>
      </c>
      <c r="Q39" s="9" t="s">
        <v>412</v>
      </c>
      <c r="R39" s="16" t="s">
        <v>413</v>
      </c>
      <c r="S39" s="9" t="s">
        <v>414</v>
      </c>
      <c r="T39" s="9" t="s">
        <v>408</v>
      </c>
      <c r="U39" s="9" t="s">
        <v>415</v>
      </c>
      <c r="V39" s="17">
        <v>2.59849975158E11</v>
      </c>
      <c r="W39" s="9" t="s">
        <v>416</v>
      </c>
      <c r="X39" s="9" t="s">
        <v>68</v>
      </c>
      <c r="Y39" s="18" t="s">
        <v>57</v>
      </c>
      <c r="Z39" s="18" t="s">
        <v>57</v>
      </c>
      <c r="AA39" s="18" t="s">
        <v>57</v>
      </c>
      <c r="AB39" s="18" t="s">
        <v>57</v>
      </c>
      <c r="AC39" s="18" t="s">
        <v>58</v>
      </c>
      <c r="AD39" s="18" t="s">
        <v>57</v>
      </c>
      <c r="AE39" s="19"/>
      <c r="AF39" s="14"/>
      <c r="AG39" s="14" t="str">
        <f t="shared" ref="AG39:AG50" si="3">VLOOKUP(H:H,'Pivot Table 8'!B:C,2,0)</f>
        <v>#REF!</v>
      </c>
      <c r="AH39" s="9" t="s">
        <v>417</v>
      </c>
      <c r="AI39" s="20"/>
      <c r="AJ39" s="14"/>
      <c r="AK39" s="14"/>
      <c r="AL39" s="14"/>
      <c r="AM39" s="14"/>
      <c r="AN39" s="14"/>
      <c r="AO39" s="14"/>
      <c r="AP39" s="14"/>
      <c r="AQ39" s="14"/>
      <c r="AR39" s="14"/>
    </row>
    <row r="40" ht="22.5" customHeight="1">
      <c r="A40" s="68">
        <v>46058.0</v>
      </c>
      <c r="B40" s="34" t="s">
        <v>418</v>
      </c>
      <c r="C40" s="8" t="s">
        <v>96</v>
      </c>
      <c r="D40" s="9" t="s">
        <v>46</v>
      </c>
      <c r="E40" s="9" t="s">
        <v>419</v>
      </c>
      <c r="F40" s="9" t="s">
        <v>420</v>
      </c>
      <c r="G40" s="10">
        <v>500004.0</v>
      </c>
      <c r="H40" s="9" t="s">
        <v>421</v>
      </c>
      <c r="I40" s="11" t="str">
        <f>VLOOKUP(H40,Mapping!D:E,2,0)</f>
        <v>Khairathabad</v>
      </c>
      <c r="J40" s="9" t="s">
        <v>50</v>
      </c>
      <c r="K40" s="12">
        <v>0.22</v>
      </c>
      <c r="L40" s="13" t="str">
        <f t="shared" si="1"/>
        <v>20%+</v>
      </c>
      <c r="M40" s="13">
        <v>0.018</v>
      </c>
      <c r="N40" s="14"/>
      <c r="O40" s="15" t="s">
        <v>420</v>
      </c>
      <c r="P40" s="15" t="s">
        <v>422</v>
      </c>
      <c r="Q40" s="15" t="s">
        <v>420</v>
      </c>
      <c r="R40" s="16" t="s">
        <v>423</v>
      </c>
      <c r="S40" s="9" t="s">
        <v>424</v>
      </c>
      <c r="T40" s="9" t="s">
        <v>425</v>
      </c>
      <c r="U40" s="9" t="s">
        <v>426</v>
      </c>
      <c r="V40" s="17">
        <v>6.414081002E9</v>
      </c>
      <c r="W40" s="9" t="s">
        <v>427</v>
      </c>
      <c r="X40" s="9" t="s">
        <v>56</v>
      </c>
      <c r="Y40" s="18" t="s">
        <v>57</v>
      </c>
      <c r="Z40" s="18" t="s">
        <v>58</v>
      </c>
      <c r="AA40" s="18" t="s">
        <v>57</v>
      </c>
      <c r="AB40" s="18" t="s">
        <v>57</v>
      </c>
      <c r="AC40" s="18" t="s">
        <v>57</v>
      </c>
      <c r="AD40" s="18" t="s">
        <v>58</v>
      </c>
      <c r="AE40" s="39" t="s">
        <v>428</v>
      </c>
      <c r="AF40" s="14"/>
      <c r="AG40" s="14" t="str">
        <f t="shared" si="3"/>
        <v>#REF!</v>
      </c>
      <c r="AH40" s="14"/>
      <c r="AI40" s="20"/>
      <c r="AJ40" s="14"/>
      <c r="AK40" s="14"/>
      <c r="AL40" s="14"/>
      <c r="AM40" s="14"/>
      <c r="AN40" s="14"/>
      <c r="AO40" s="14"/>
      <c r="AP40" s="14"/>
      <c r="AQ40" s="14"/>
      <c r="AR40" s="14"/>
    </row>
    <row r="41" ht="22.5" customHeight="1">
      <c r="A41" s="68">
        <v>46058.0</v>
      </c>
      <c r="B41" s="34" t="s">
        <v>429</v>
      </c>
      <c r="C41" s="8" t="s">
        <v>96</v>
      </c>
      <c r="D41" s="9" t="s">
        <v>46</v>
      </c>
      <c r="E41" s="9" t="s">
        <v>430</v>
      </c>
      <c r="F41" s="9" t="s">
        <v>431</v>
      </c>
      <c r="G41" s="10">
        <v>500006.0</v>
      </c>
      <c r="H41" s="9" t="s">
        <v>432</v>
      </c>
      <c r="I41" s="11" t="str">
        <f>VLOOKUP(H41,Mapping!D:E,2,0)</f>
        <v>mehdipatnam</v>
      </c>
      <c r="J41" s="9" t="s">
        <v>50</v>
      </c>
      <c r="K41" s="12">
        <v>0.2</v>
      </c>
      <c r="L41" s="13" t="str">
        <f t="shared" si="1"/>
        <v>20%+</v>
      </c>
      <c r="M41" s="13">
        <v>0.018</v>
      </c>
      <c r="N41" s="14"/>
      <c r="O41" s="9" t="s">
        <v>431</v>
      </c>
      <c r="P41" s="15" t="s">
        <v>433</v>
      </c>
      <c r="Q41" s="9" t="s">
        <v>431</v>
      </c>
      <c r="R41" s="16" t="s">
        <v>76</v>
      </c>
      <c r="S41" s="9" t="s">
        <v>77</v>
      </c>
      <c r="T41" s="9" t="s">
        <v>75</v>
      </c>
      <c r="U41" s="9" t="s">
        <v>78</v>
      </c>
      <c r="V41" s="17">
        <v>8.686561072E9</v>
      </c>
      <c r="W41" s="9" t="s">
        <v>79</v>
      </c>
      <c r="X41" s="9" t="s">
        <v>80</v>
      </c>
      <c r="Y41" s="18" t="s">
        <v>57</v>
      </c>
      <c r="Z41" s="18" t="s">
        <v>58</v>
      </c>
      <c r="AA41" s="18" t="s">
        <v>57</v>
      </c>
      <c r="AB41" s="18" t="s">
        <v>57</v>
      </c>
      <c r="AC41" s="18" t="s">
        <v>58</v>
      </c>
      <c r="AD41" s="18" t="s">
        <v>58</v>
      </c>
      <c r="AE41" s="39" t="s">
        <v>434</v>
      </c>
      <c r="AF41" s="14"/>
      <c r="AG41" s="14" t="str">
        <f t="shared" si="3"/>
        <v>#REF!</v>
      </c>
      <c r="AH41" s="14"/>
      <c r="AI41" s="20"/>
      <c r="AJ41" s="14"/>
      <c r="AK41" s="14"/>
      <c r="AL41" s="14"/>
      <c r="AM41" s="14"/>
      <c r="AN41" s="14"/>
      <c r="AO41" s="14"/>
      <c r="AP41" s="14"/>
      <c r="AQ41" s="14"/>
      <c r="AR41" s="14"/>
    </row>
    <row r="42" ht="22.5" customHeight="1">
      <c r="A42" s="68">
        <v>46058.0</v>
      </c>
      <c r="B42" s="26" t="s">
        <v>435</v>
      </c>
      <c r="C42" s="8" t="s">
        <v>248</v>
      </c>
      <c r="D42" s="9" t="s">
        <v>46</v>
      </c>
      <c r="E42" s="9" t="s">
        <v>436</v>
      </c>
      <c r="F42" s="9" t="s">
        <v>437</v>
      </c>
      <c r="G42" s="10">
        <v>500081.0</v>
      </c>
      <c r="H42" s="9" t="s">
        <v>147</v>
      </c>
      <c r="I42" s="11" t="str">
        <f>VLOOKUP(H42,Mapping!D:E,2,0)</f>
        <v>madhapur</v>
      </c>
      <c r="J42" s="9" t="s">
        <v>148</v>
      </c>
      <c r="K42" s="12">
        <v>0.2</v>
      </c>
      <c r="L42" s="13" t="str">
        <f t="shared" si="1"/>
        <v>20%+</v>
      </c>
      <c r="M42" s="13">
        <v>0.018</v>
      </c>
      <c r="N42" s="14"/>
      <c r="O42" s="9" t="s">
        <v>438</v>
      </c>
      <c r="P42" s="9" t="s">
        <v>439</v>
      </c>
      <c r="Q42" s="9" t="s">
        <v>440</v>
      </c>
      <c r="R42" s="16" t="s">
        <v>441</v>
      </c>
      <c r="S42" s="9" t="s">
        <v>442</v>
      </c>
      <c r="T42" s="9" t="s">
        <v>435</v>
      </c>
      <c r="U42" s="9" t="s">
        <v>254</v>
      </c>
      <c r="V42" s="17">
        <v>1.548257253E9</v>
      </c>
      <c r="W42" s="9" t="s">
        <v>443</v>
      </c>
      <c r="X42" s="9" t="s">
        <v>68</v>
      </c>
      <c r="Y42" s="18" t="s">
        <v>57</v>
      </c>
      <c r="Z42" s="18" t="s">
        <v>58</v>
      </c>
      <c r="AA42" s="18" t="s">
        <v>57</v>
      </c>
      <c r="AB42" s="18" t="s">
        <v>57</v>
      </c>
      <c r="AC42" s="18" t="s">
        <v>58</v>
      </c>
      <c r="AD42" s="18" t="s">
        <v>58</v>
      </c>
      <c r="AE42" s="35" t="s">
        <v>444</v>
      </c>
      <c r="AF42" s="14"/>
      <c r="AG42" s="14" t="str">
        <f t="shared" si="3"/>
        <v>#REF!</v>
      </c>
      <c r="AH42" s="14"/>
      <c r="AI42" s="8" t="s">
        <v>71</v>
      </c>
      <c r="AJ42" s="14"/>
      <c r="AK42" s="14"/>
      <c r="AL42" s="14"/>
      <c r="AM42" s="14"/>
      <c r="AN42" s="14"/>
      <c r="AO42" s="14"/>
      <c r="AP42" s="14"/>
      <c r="AQ42" s="14"/>
      <c r="AR42" s="14"/>
    </row>
    <row r="43" ht="22.5" customHeight="1">
      <c r="A43" s="68">
        <v>46058.0</v>
      </c>
      <c r="B43" s="36" t="s">
        <v>445</v>
      </c>
      <c r="C43" s="8" t="s">
        <v>241</v>
      </c>
      <c r="D43" s="9" t="s">
        <v>61</v>
      </c>
      <c r="E43" s="9" t="s">
        <v>446</v>
      </c>
      <c r="F43" s="9" t="s">
        <v>447</v>
      </c>
      <c r="G43" s="10">
        <v>500081.0</v>
      </c>
      <c r="H43" s="9" t="s">
        <v>147</v>
      </c>
      <c r="I43" s="11" t="str">
        <f>VLOOKUP(H43,Mapping!D:E,2,0)</f>
        <v>madhapur</v>
      </c>
      <c r="J43" s="9" t="s">
        <v>148</v>
      </c>
      <c r="K43" s="12">
        <v>0.18</v>
      </c>
      <c r="L43" s="13" t="str">
        <f t="shared" si="1"/>
        <v>&lt;20%</v>
      </c>
      <c r="M43" s="13">
        <v>0.018</v>
      </c>
      <c r="N43" s="14"/>
      <c r="O43" s="9" t="s">
        <v>447</v>
      </c>
      <c r="P43" s="9" t="s">
        <v>448</v>
      </c>
      <c r="Q43" s="9" t="s">
        <v>449</v>
      </c>
      <c r="R43" s="16" t="s">
        <v>450</v>
      </c>
      <c r="S43" s="9" t="s">
        <v>451</v>
      </c>
      <c r="T43" s="9" t="s">
        <v>68</v>
      </c>
      <c r="U43" s="9" t="s">
        <v>68</v>
      </c>
      <c r="V43" s="9" t="s">
        <v>452</v>
      </c>
      <c r="W43" s="9" t="s">
        <v>68</v>
      </c>
      <c r="X43" s="9" t="s">
        <v>68</v>
      </c>
      <c r="Y43" s="18" t="s">
        <v>57</v>
      </c>
      <c r="Z43" s="18" t="s">
        <v>69</v>
      </c>
      <c r="AA43" s="18" t="s">
        <v>58</v>
      </c>
      <c r="AB43" s="18" t="s">
        <v>58</v>
      </c>
      <c r="AC43" s="18" t="s">
        <v>58</v>
      </c>
      <c r="AD43" s="18" t="s">
        <v>69</v>
      </c>
      <c r="AE43" s="9"/>
      <c r="AF43" s="14"/>
      <c r="AG43" s="14" t="str">
        <f t="shared" si="3"/>
        <v>#REF!</v>
      </c>
      <c r="AH43" s="9" t="s">
        <v>453</v>
      </c>
      <c r="AI43" s="20"/>
      <c r="AJ43" s="14"/>
      <c r="AK43" s="14"/>
      <c r="AL43" s="14"/>
      <c r="AM43" s="14"/>
      <c r="AN43" s="14"/>
      <c r="AO43" s="14"/>
      <c r="AP43" s="14"/>
      <c r="AQ43" s="14"/>
      <c r="AR43" s="14"/>
    </row>
    <row r="44" ht="22.5" customHeight="1">
      <c r="A44" s="68">
        <v>46058.0</v>
      </c>
      <c r="B44" s="26" t="s">
        <v>454</v>
      </c>
      <c r="C44" s="8" t="s">
        <v>248</v>
      </c>
      <c r="D44" s="9" t="s">
        <v>46</v>
      </c>
      <c r="E44" s="9" t="s">
        <v>455</v>
      </c>
      <c r="F44" s="9" t="s">
        <v>456</v>
      </c>
      <c r="G44" s="10">
        <v>500081.0</v>
      </c>
      <c r="H44" s="9" t="s">
        <v>147</v>
      </c>
      <c r="I44" s="11" t="str">
        <f>VLOOKUP(H44,Mapping!D:E,2,0)</f>
        <v>madhapur</v>
      </c>
      <c r="J44" s="9" t="s">
        <v>148</v>
      </c>
      <c r="K44" s="12">
        <v>0.15</v>
      </c>
      <c r="L44" s="13" t="str">
        <f t="shared" si="1"/>
        <v>&lt;17%</v>
      </c>
      <c r="M44" s="13">
        <v>0.018</v>
      </c>
      <c r="N44" s="14"/>
      <c r="O44" s="9" t="s">
        <v>457</v>
      </c>
      <c r="P44" s="9" t="s">
        <v>455</v>
      </c>
      <c r="Q44" s="9" t="s">
        <v>456</v>
      </c>
      <c r="R44" s="60" t="s">
        <v>458</v>
      </c>
      <c r="S44" s="9" t="s">
        <v>459</v>
      </c>
      <c r="T44" s="9" t="s">
        <v>460</v>
      </c>
      <c r="U44" s="9" t="s">
        <v>91</v>
      </c>
      <c r="V44" s="17">
        <v>5.0200064899781E13</v>
      </c>
      <c r="W44" s="9" t="s">
        <v>461</v>
      </c>
      <c r="X44" s="9" t="s">
        <v>80</v>
      </c>
      <c r="Y44" s="18" t="s">
        <v>57</v>
      </c>
      <c r="Z44" s="18" t="s">
        <v>57</v>
      </c>
      <c r="AA44" s="18" t="s">
        <v>57</v>
      </c>
      <c r="AB44" s="18" t="s">
        <v>57</v>
      </c>
      <c r="AC44" s="18" t="s">
        <v>58</v>
      </c>
      <c r="AD44" s="18" t="s">
        <v>58</v>
      </c>
      <c r="AE44" s="33" t="s">
        <v>462</v>
      </c>
      <c r="AF44" s="14"/>
      <c r="AG44" s="14" t="str">
        <f t="shared" si="3"/>
        <v>#REF!</v>
      </c>
      <c r="AH44" s="14"/>
      <c r="AI44" s="20"/>
      <c r="AJ44" s="14"/>
      <c r="AK44" s="14"/>
      <c r="AL44" s="14"/>
      <c r="AM44" s="14"/>
      <c r="AN44" s="14"/>
      <c r="AO44" s="14"/>
      <c r="AP44" s="14"/>
      <c r="AQ44" s="14"/>
      <c r="AR44" s="14"/>
    </row>
    <row r="45" ht="22.5" customHeight="1">
      <c r="A45" s="68">
        <v>46058.0</v>
      </c>
      <c r="B45" s="26" t="s">
        <v>463</v>
      </c>
      <c r="C45" s="8" t="s">
        <v>60</v>
      </c>
      <c r="D45" s="9" t="s">
        <v>46</v>
      </c>
      <c r="E45" s="9" t="s">
        <v>464</v>
      </c>
      <c r="F45" s="9" t="s">
        <v>465</v>
      </c>
      <c r="G45" s="10">
        <v>500006.0</v>
      </c>
      <c r="H45" s="9" t="s">
        <v>432</v>
      </c>
      <c r="I45" s="11" t="str">
        <f>VLOOKUP(H45,Mapping!D:E,2,0)</f>
        <v>mehdipatnam</v>
      </c>
      <c r="J45" s="9" t="s">
        <v>50</v>
      </c>
      <c r="K45" s="12">
        <v>0.2</v>
      </c>
      <c r="L45" s="13" t="str">
        <f t="shared" si="1"/>
        <v>20%+</v>
      </c>
      <c r="M45" s="13">
        <v>0.018</v>
      </c>
      <c r="N45" s="14"/>
      <c r="O45" s="9" t="s">
        <v>72</v>
      </c>
      <c r="P45" s="9" t="s">
        <v>466</v>
      </c>
      <c r="Q45" s="9" t="s">
        <v>467</v>
      </c>
      <c r="R45" s="16" t="s">
        <v>468</v>
      </c>
      <c r="S45" s="9" t="s">
        <v>469</v>
      </c>
      <c r="T45" s="9" t="s">
        <v>470</v>
      </c>
      <c r="U45" s="9" t="s">
        <v>415</v>
      </c>
      <c r="V45" s="17">
        <v>1.57097949648E11</v>
      </c>
      <c r="W45" s="9" t="s">
        <v>471</v>
      </c>
      <c r="X45" s="9" t="s">
        <v>56</v>
      </c>
      <c r="Y45" s="70" t="s">
        <v>58</v>
      </c>
      <c r="Z45" s="71" t="s">
        <v>58</v>
      </c>
      <c r="AA45" s="71" t="s">
        <v>58</v>
      </c>
      <c r="AB45" s="71" t="s">
        <v>58</v>
      </c>
      <c r="AC45" s="71" t="s">
        <v>58</v>
      </c>
      <c r="AD45" s="71" t="s">
        <v>69</v>
      </c>
      <c r="AE45" s="72"/>
      <c r="AF45" s="14"/>
      <c r="AG45" s="14" t="str">
        <f t="shared" si="3"/>
        <v>#REF!</v>
      </c>
      <c r="AH45" s="14"/>
      <c r="AI45" s="20"/>
      <c r="AJ45" s="14"/>
      <c r="AK45" s="14"/>
      <c r="AL45" s="14"/>
      <c r="AM45" s="14"/>
      <c r="AN45" s="14"/>
      <c r="AO45" s="14"/>
      <c r="AP45" s="14"/>
      <c r="AQ45" s="14"/>
      <c r="AR45" s="14"/>
    </row>
    <row r="46" ht="22.5" customHeight="1">
      <c r="A46" s="68">
        <v>46058.0</v>
      </c>
      <c r="B46" s="36" t="s">
        <v>472</v>
      </c>
      <c r="C46" s="8" t="s">
        <v>96</v>
      </c>
      <c r="D46" s="9" t="s">
        <v>46</v>
      </c>
      <c r="E46" s="9" t="s">
        <v>473</v>
      </c>
      <c r="F46" s="9" t="s">
        <v>474</v>
      </c>
      <c r="G46" s="10">
        <v>500006.0</v>
      </c>
      <c r="H46" s="9" t="s">
        <v>432</v>
      </c>
      <c r="I46" s="11" t="str">
        <f>VLOOKUP(H46,Mapping!D:E,2,0)</f>
        <v>mehdipatnam</v>
      </c>
      <c r="J46" s="9" t="s">
        <v>50</v>
      </c>
      <c r="K46" s="12">
        <v>0.2</v>
      </c>
      <c r="L46" s="13" t="str">
        <f t="shared" si="1"/>
        <v>20%+</v>
      </c>
      <c r="M46" s="13">
        <v>0.018</v>
      </c>
      <c r="N46" s="14"/>
      <c r="O46" s="15" t="s">
        <v>475</v>
      </c>
      <c r="P46" s="15" t="s">
        <v>476</v>
      </c>
      <c r="Q46" s="9" t="s">
        <v>474</v>
      </c>
      <c r="R46" s="16" t="s">
        <v>468</v>
      </c>
      <c r="S46" s="9" t="s">
        <v>469</v>
      </c>
      <c r="T46" s="9" t="s">
        <v>474</v>
      </c>
      <c r="U46" s="9" t="s">
        <v>415</v>
      </c>
      <c r="V46" s="17">
        <v>1.57097949648E11</v>
      </c>
      <c r="W46" s="9" t="s">
        <v>471</v>
      </c>
      <c r="X46" s="9" t="s">
        <v>56</v>
      </c>
      <c r="Y46" s="18" t="s">
        <v>57</v>
      </c>
      <c r="Z46" s="18" t="s">
        <v>58</v>
      </c>
      <c r="AA46" s="18" t="s">
        <v>57</v>
      </c>
      <c r="AB46" s="18" t="s">
        <v>57</v>
      </c>
      <c r="AC46" s="18" t="s">
        <v>58</v>
      </c>
      <c r="AD46" s="18" t="s">
        <v>58</v>
      </c>
      <c r="AE46" s="35" t="s">
        <v>477</v>
      </c>
      <c r="AF46" s="14"/>
      <c r="AG46" s="14" t="str">
        <f t="shared" si="3"/>
        <v>#REF!</v>
      </c>
      <c r="AH46" s="14"/>
      <c r="AI46" s="20"/>
      <c r="AJ46" s="14"/>
      <c r="AK46" s="14"/>
      <c r="AL46" s="14"/>
      <c r="AM46" s="14"/>
      <c r="AN46" s="14"/>
      <c r="AO46" s="14"/>
      <c r="AP46" s="14"/>
      <c r="AQ46" s="14"/>
      <c r="AR46" s="14"/>
    </row>
    <row r="47" ht="22.5" customHeight="1">
      <c r="A47" s="68">
        <v>46058.0</v>
      </c>
      <c r="B47" s="34" t="s">
        <v>478</v>
      </c>
      <c r="C47" s="8" t="s">
        <v>186</v>
      </c>
      <c r="D47" s="9" t="s">
        <v>46</v>
      </c>
      <c r="E47" s="39" t="s">
        <v>479</v>
      </c>
      <c r="F47" s="9" t="s">
        <v>480</v>
      </c>
      <c r="G47" s="10">
        <v>500081.0</v>
      </c>
      <c r="H47" s="9" t="s">
        <v>147</v>
      </c>
      <c r="I47" s="11" t="str">
        <f>VLOOKUP(H47,Mapping!D:E,2,0)</f>
        <v>madhapur</v>
      </c>
      <c r="J47" s="9" t="s">
        <v>148</v>
      </c>
      <c r="K47" s="12">
        <v>0.17</v>
      </c>
      <c r="L47" s="13" t="str">
        <f t="shared" si="1"/>
        <v>&lt;20%</v>
      </c>
      <c r="M47" s="13">
        <v>0.018</v>
      </c>
      <c r="N47" s="14"/>
      <c r="O47" s="9" t="s">
        <v>68</v>
      </c>
      <c r="P47" s="39" t="s">
        <v>481</v>
      </c>
      <c r="Q47" s="9" t="s">
        <v>480</v>
      </c>
      <c r="R47" s="16" t="s">
        <v>482</v>
      </c>
      <c r="S47" s="9" t="s">
        <v>483</v>
      </c>
      <c r="T47" s="9" t="s">
        <v>484</v>
      </c>
      <c r="U47" s="9" t="s">
        <v>254</v>
      </c>
      <c r="V47" s="67">
        <v>3.049366762E9</v>
      </c>
      <c r="W47" s="9" t="s">
        <v>443</v>
      </c>
      <c r="X47" s="9" t="s">
        <v>56</v>
      </c>
      <c r="Y47" s="18" t="s">
        <v>57</v>
      </c>
      <c r="Z47" s="18" t="s">
        <v>58</v>
      </c>
      <c r="AA47" s="18" t="s">
        <v>57</v>
      </c>
      <c r="AB47" s="18" t="s">
        <v>58</v>
      </c>
      <c r="AC47" s="18" t="s">
        <v>57</v>
      </c>
      <c r="AD47" s="18" t="s">
        <v>58</v>
      </c>
      <c r="AE47" s="14"/>
      <c r="AF47" s="39" t="s">
        <v>485</v>
      </c>
      <c r="AG47" s="14" t="str">
        <f t="shared" si="3"/>
        <v>#REF!</v>
      </c>
      <c r="AH47" s="14"/>
      <c r="AI47" s="20"/>
      <c r="AJ47" s="14"/>
      <c r="AK47" s="14"/>
      <c r="AL47" s="14"/>
      <c r="AM47" s="14"/>
      <c r="AN47" s="14"/>
      <c r="AO47" s="14"/>
      <c r="AP47" s="14"/>
      <c r="AQ47" s="14"/>
      <c r="AR47" s="14"/>
    </row>
    <row r="48" ht="22.5" customHeight="1">
      <c r="A48" s="68">
        <v>46059.0</v>
      </c>
      <c r="B48" s="21" t="s">
        <v>486</v>
      </c>
      <c r="C48" s="73" t="s">
        <v>200</v>
      </c>
      <c r="D48" s="9" t="s">
        <v>68</v>
      </c>
      <c r="E48" s="9" t="s">
        <v>68</v>
      </c>
      <c r="F48" s="9" t="s">
        <v>487</v>
      </c>
      <c r="G48" s="10">
        <v>500038.0</v>
      </c>
      <c r="H48" s="9" t="s">
        <v>487</v>
      </c>
      <c r="I48" s="11" t="str">
        <f>VLOOKUP(H48,Mapping!D:E,2,0)</f>
        <v>ameerpet</v>
      </c>
      <c r="J48" s="9" t="s">
        <v>161</v>
      </c>
      <c r="K48" s="12">
        <v>0.17</v>
      </c>
      <c r="L48" s="14" t="str">
        <f t="shared" si="1"/>
        <v>&lt;20%</v>
      </c>
      <c r="M48" s="13">
        <v>0.018</v>
      </c>
      <c r="N48" s="14"/>
      <c r="O48" s="9" t="s">
        <v>68</v>
      </c>
      <c r="P48" s="9" t="s">
        <v>68</v>
      </c>
      <c r="Q48" s="9" t="s">
        <v>68</v>
      </c>
      <c r="R48" s="9" t="s">
        <v>68</v>
      </c>
      <c r="S48" s="9" t="s">
        <v>68</v>
      </c>
      <c r="T48" s="9" t="s">
        <v>68</v>
      </c>
      <c r="U48" s="9" t="s">
        <v>68</v>
      </c>
      <c r="V48" s="9" t="s">
        <v>68</v>
      </c>
      <c r="W48" s="9" t="s">
        <v>68</v>
      </c>
      <c r="X48" s="9" t="s">
        <v>68</v>
      </c>
      <c r="Y48" s="14"/>
      <c r="Z48" s="14"/>
      <c r="AA48" s="14"/>
      <c r="AB48" s="14"/>
      <c r="AC48" s="14"/>
      <c r="AD48" s="14"/>
      <c r="AE48" s="14"/>
      <c r="AF48" s="14"/>
      <c r="AG48" s="14" t="str">
        <f t="shared" si="3"/>
        <v>#REF!</v>
      </c>
      <c r="AH48" s="14"/>
      <c r="AI48" s="20"/>
      <c r="AJ48" s="14"/>
      <c r="AK48" s="14"/>
      <c r="AL48" s="14"/>
      <c r="AM48" s="14"/>
      <c r="AN48" s="14"/>
      <c r="AO48" s="14"/>
      <c r="AP48" s="14"/>
      <c r="AQ48" s="14"/>
      <c r="AR48" s="14"/>
    </row>
    <row r="49" ht="22.5" customHeight="1">
      <c r="A49" s="68">
        <v>46059.0</v>
      </c>
      <c r="B49" s="36" t="s">
        <v>488</v>
      </c>
      <c r="C49" s="8" t="s">
        <v>248</v>
      </c>
      <c r="D49" s="9" t="s">
        <v>61</v>
      </c>
      <c r="E49" s="39" t="s">
        <v>489</v>
      </c>
      <c r="F49" s="9" t="s">
        <v>490</v>
      </c>
      <c r="G49" s="10">
        <v>500081.0</v>
      </c>
      <c r="H49" s="9" t="s">
        <v>147</v>
      </c>
      <c r="I49" s="11" t="str">
        <f>VLOOKUP(H49,Mapping!D:E,2,0)</f>
        <v>madhapur</v>
      </c>
      <c r="J49" s="9" t="s">
        <v>148</v>
      </c>
      <c r="K49" s="12">
        <v>0.2</v>
      </c>
      <c r="L49" s="13" t="str">
        <f t="shared" si="1"/>
        <v>20%+</v>
      </c>
      <c r="M49" s="13">
        <v>0.018</v>
      </c>
      <c r="N49" s="14"/>
      <c r="O49" s="9" t="s">
        <v>490</v>
      </c>
      <c r="P49" s="15" t="s">
        <v>491</v>
      </c>
      <c r="Q49" s="9" t="s">
        <v>492</v>
      </c>
      <c r="R49" s="16" t="s">
        <v>493</v>
      </c>
      <c r="S49" s="9" t="s">
        <v>494</v>
      </c>
      <c r="T49" s="15" t="s">
        <v>495</v>
      </c>
      <c r="U49" s="9" t="s">
        <v>215</v>
      </c>
      <c r="V49" s="17">
        <v>1.836190000605E13</v>
      </c>
      <c r="W49" s="9" t="s">
        <v>496</v>
      </c>
      <c r="X49" s="9" t="s">
        <v>80</v>
      </c>
      <c r="Y49" s="18" t="s">
        <v>57</v>
      </c>
      <c r="Z49" s="18" t="s">
        <v>58</v>
      </c>
      <c r="AA49" s="18" t="s">
        <v>57</v>
      </c>
      <c r="AB49" s="18" t="s">
        <v>57</v>
      </c>
      <c r="AC49" s="18" t="s">
        <v>58</v>
      </c>
      <c r="AD49" s="18" t="s">
        <v>58</v>
      </c>
      <c r="AE49" s="35" t="s">
        <v>497</v>
      </c>
      <c r="AF49" s="9" t="s">
        <v>498</v>
      </c>
      <c r="AG49" s="14" t="str">
        <f t="shared" si="3"/>
        <v>#REF!</v>
      </c>
      <c r="AH49" s="14"/>
      <c r="AI49" s="20"/>
      <c r="AJ49" s="14"/>
      <c r="AK49" s="14"/>
      <c r="AL49" s="14"/>
      <c r="AM49" s="14"/>
      <c r="AN49" s="14"/>
      <c r="AO49" s="14"/>
      <c r="AP49" s="14"/>
      <c r="AQ49" s="14"/>
      <c r="AR49" s="14"/>
    </row>
    <row r="50" ht="22.5" customHeight="1">
      <c r="A50" s="68">
        <v>46059.0</v>
      </c>
      <c r="B50" s="34" t="s">
        <v>499</v>
      </c>
      <c r="C50" s="8" t="s">
        <v>144</v>
      </c>
      <c r="D50" s="9" t="s">
        <v>46</v>
      </c>
      <c r="E50" s="9" t="s">
        <v>500</v>
      </c>
      <c r="F50" s="9" t="s">
        <v>501</v>
      </c>
      <c r="G50" s="10">
        <v>500081.0</v>
      </c>
      <c r="H50" s="9" t="s">
        <v>147</v>
      </c>
      <c r="I50" s="11" t="str">
        <f>VLOOKUP(H50,Mapping!D:E,2,0)</f>
        <v>madhapur</v>
      </c>
      <c r="J50" s="9" t="s">
        <v>148</v>
      </c>
      <c r="K50" s="12">
        <v>0.2</v>
      </c>
      <c r="L50" s="13" t="str">
        <f t="shared" si="1"/>
        <v>20%+</v>
      </c>
      <c r="M50" s="13">
        <v>0.018</v>
      </c>
      <c r="N50" s="14"/>
      <c r="O50" s="9" t="s">
        <v>501</v>
      </c>
      <c r="P50" s="15" t="s">
        <v>502</v>
      </c>
      <c r="Q50" s="9" t="s">
        <v>503</v>
      </c>
      <c r="R50" s="16" t="s">
        <v>504</v>
      </c>
      <c r="S50" s="9" t="s">
        <v>505</v>
      </c>
      <c r="T50" s="15" t="s">
        <v>499</v>
      </c>
      <c r="U50" s="9" t="s">
        <v>131</v>
      </c>
      <c r="V50" s="17">
        <v>4.4866997013E10</v>
      </c>
      <c r="W50" s="9" t="s">
        <v>506</v>
      </c>
      <c r="X50" s="9" t="s">
        <v>80</v>
      </c>
      <c r="Y50" s="18" t="s">
        <v>57</v>
      </c>
      <c r="Z50" s="18" t="s">
        <v>57</v>
      </c>
      <c r="AA50" s="18" t="s">
        <v>57</v>
      </c>
      <c r="AB50" s="18" t="s">
        <v>58</v>
      </c>
      <c r="AC50" s="18" t="s">
        <v>58</v>
      </c>
      <c r="AD50" s="18"/>
      <c r="AE50" s="14"/>
      <c r="AF50" s="14"/>
      <c r="AG50" s="14" t="str">
        <f t="shared" si="3"/>
        <v>#REF!</v>
      </c>
      <c r="AH50" s="14"/>
      <c r="AI50" s="20"/>
      <c r="AJ50" s="14"/>
      <c r="AK50" s="14"/>
      <c r="AL50" s="14"/>
      <c r="AM50" s="14"/>
      <c r="AN50" s="14"/>
      <c r="AO50" s="14"/>
      <c r="AP50" s="14"/>
      <c r="AQ50" s="14"/>
      <c r="AR50" s="14"/>
    </row>
    <row r="51" ht="22.5" customHeight="1">
      <c r="A51" s="68">
        <v>46059.0</v>
      </c>
      <c r="B51" s="34" t="s">
        <v>507</v>
      </c>
      <c r="C51" s="8" t="s">
        <v>144</v>
      </c>
      <c r="D51" s="9" t="s">
        <v>68</v>
      </c>
      <c r="E51" s="9" t="s">
        <v>508</v>
      </c>
      <c r="F51" s="9" t="s">
        <v>68</v>
      </c>
      <c r="G51" s="10" t="s">
        <v>68</v>
      </c>
      <c r="H51" s="10" t="s">
        <v>147</v>
      </c>
      <c r="I51" s="10" t="str">
        <f>VLOOKUP(H51,Mapping!D:E,2,0)</f>
        <v>madhapur</v>
      </c>
      <c r="J51" s="11" t="str">
        <f>VLOOKUP(I51,Mapping!A:B,2,0)</f>
        <v>Zone 4 Hi-tech City</v>
      </c>
      <c r="K51" s="12">
        <v>0.22</v>
      </c>
      <c r="L51" s="14" t="str">
        <f t="shared" si="1"/>
        <v>20%+</v>
      </c>
      <c r="M51" s="13">
        <v>0.018</v>
      </c>
      <c r="N51" s="9"/>
      <c r="O51" s="10" t="s">
        <v>68</v>
      </c>
      <c r="P51" s="10" t="s">
        <v>68</v>
      </c>
      <c r="Q51" s="10" t="s">
        <v>68</v>
      </c>
      <c r="R51" s="10" t="s">
        <v>68</v>
      </c>
      <c r="S51" s="10" t="s">
        <v>68</v>
      </c>
      <c r="T51" s="10" t="s">
        <v>68</v>
      </c>
      <c r="U51" s="10" t="s">
        <v>68</v>
      </c>
      <c r="V51" s="10" t="s">
        <v>68</v>
      </c>
      <c r="W51" s="10" t="s">
        <v>68</v>
      </c>
      <c r="X51" s="10" t="s">
        <v>68</v>
      </c>
      <c r="Y51" s="14"/>
      <c r="Z51" s="18" t="s">
        <v>58</v>
      </c>
      <c r="AA51" s="18" t="s">
        <v>58</v>
      </c>
      <c r="AB51" s="18" t="s">
        <v>58</v>
      </c>
      <c r="AC51" s="18" t="s">
        <v>58</v>
      </c>
      <c r="AD51" s="18" t="s">
        <v>58</v>
      </c>
      <c r="AE51" s="14"/>
      <c r="AF51" s="14"/>
      <c r="AH51" s="14"/>
      <c r="AI51" s="20"/>
      <c r="AJ51" s="14"/>
      <c r="AK51" s="14"/>
      <c r="AL51" s="14"/>
      <c r="AM51" s="14"/>
      <c r="AN51" s="14"/>
      <c r="AO51" s="14"/>
      <c r="AP51" s="14"/>
      <c r="AQ51" s="14"/>
      <c r="AR51" s="14"/>
    </row>
    <row r="52" ht="22.5" customHeight="1">
      <c r="A52" s="68">
        <v>46059.0</v>
      </c>
      <c r="B52" s="26" t="s">
        <v>509</v>
      </c>
      <c r="C52" s="8" t="s">
        <v>241</v>
      </c>
      <c r="D52" s="9" t="s">
        <v>46</v>
      </c>
      <c r="E52" s="39" t="s">
        <v>510</v>
      </c>
      <c r="F52" s="9" t="s">
        <v>511</v>
      </c>
      <c r="G52" s="10">
        <v>500081.0</v>
      </c>
      <c r="H52" s="9" t="s">
        <v>512</v>
      </c>
      <c r="I52" s="11" t="str">
        <f>VLOOKUP(H52,Mapping!D:E,2,0)</f>
        <v>miyapur</v>
      </c>
      <c r="J52" s="9" t="s">
        <v>390</v>
      </c>
      <c r="K52" s="12">
        <v>0.2</v>
      </c>
      <c r="L52" s="13" t="str">
        <f t="shared" si="1"/>
        <v>20%+</v>
      </c>
      <c r="M52" s="13">
        <v>0.018</v>
      </c>
      <c r="N52" s="14"/>
      <c r="O52" s="9" t="s">
        <v>68</v>
      </c>
      <c r="P52" s="39" t="s">
        <v>513</v>
      </c>
      <c r="Q52" s="9" t="s">
        <v>511</v>
      </c>
      <c r="R52" s="16" t="s">
        <v>514</v>
      </c>
      <c r="S52" s="9" t="s">
        <v>515</v>
      </c>
      <c r="T52" s="9" t="s">
        <v>68</v>
      </c>
      <c r="U52" s="9" t="s">
        <v>68</v>
      </c>
      <c r="V52" s="9" t="s">
        <v>68</v>
      </c>
      <c r="W52" s="9" t="s">
        <v>68</v>
      </c>
      <c r="X52" s="9" t="s">
        <v>68</v>
      </c>
      <c r="Y52" s="18" t="s">
        <v>57</v>
      </c>
      <c r="Z52" s="18" t="s">
        <v>69</v>
      </c>
      <c r="AA52" s="18" t="s">
        <v>58</v>
      </c>
      <c r="AB52" s="18" t="s">
        <v>58</v>
      </c>
      <c r="AC52" s="18" t="s">
        <v>58</v>
      </c>
      <c r="AD52" s="18" t="s">
        <v>69</v>
      </c>
      <c r="AE52" s="39" t="s">
        <v>516</v>
      </c>
      <c r="AF52" s="14"/>
      <c r="AG52" s="14" t="str">
        <f t="shared" ref="AG52:AG56" si="4">VLOOKUP(H:H,'Pivot Table 8'!B:C,2,0)</f>
        <v>#REF!</v>
      </c>
      <c r="AH52" s="9" t="s">
        <v>517</v>
      </c>
      <c r="AI52" s="8" t="s">
        <v>71</v>
      </c>
      <c r="AJ52" s="14"/>
      <c r="AK52" s="14"/>
      <c r="AL52" s="14"/>
      <c r="AM52" s="14"/>
      <c r="AN52" s="14"/>
      <c r="AO52" s="14"/>
      <c r="AP52" s="14"/>
      <c r="AQ52" s="14"/>
      <c r="AR52" s="14"/>
    </row>
    <row r="53" ht="22.5" customHeight="1">
      <c r="A53" s="68">
        <v>46059.0</v>
      </c>
      <c r="B53" s="26" t="s">
        <v>518</v>
      </c>
      <c r="C53" s="8" t="s">
        <v>96</v>
      </c>
      <c r="D53" s="9" t="s">
        <v>46</v>
      </c>
      <c r="E53" s="9" t="s">
        <v>519</v>
      </c>
      <c r="F53" s="9" t="s">
        <v>520</v>
      </c>
      <c r="G53" s="10">
        <v>500028.0</v>
      </c>
      <c r="H53" s="9" t="s">
        <v>64</v>
      </c>
      <c r="I53" s="11" t="str">
        <f>VLOOKUP(H53,Mapping!D:E,2,0)</f>
        <v>mehdipatnam</v>
      </c>
      <c r="J53" s="9" t="s">
        <v>50</v>
      </c>
      <c r="K53" s="12">
        <v>0.2</v>
      </c>
      <c r="L53" s="13" t="str">
        <f t="shared" si="1"/>
        <v>20%+</v>
      </c>
      <c r="M53" s="13">
        <v>0.018</v>
      </c>
      <c r="N53" s="14"/>
      <c r="O53" s="15" t="s">
        <v>521</v>
      </c>
      <c r="P53" s="15" t="s">
        <v>522</v>
      </c>
      <c r="Q53" s="9" t="s">
        <v>523</v>
      </c>
      <c r="R53" s="16" t="s">
        <v>524</v>
      </c>
      <c r="S53" s="9" t="s">
        <v>525</v>
      </c>
      <c r="T53" s="15" t="s">
        <v>521</v>
      </c>
      <c r="U53" s="9" t="s">
        <v>526</v>
      </c>
      <c r="V53" s="17">
        <v>1.20038671615E11</v>
      </c>
      <c r="W53" s="9" t="s">
        <v>527</v>
      </c>
      <c r="X53" s="9" t="s">
        <v>80</v>
      </c>
      <c r="Y53" s="18" t="s">
        <v>58</v>
      </c>
      <c r="Z53" s="18" t="s">
        <v>58</v>
      </c>
      <c r="AA53" s="18" t="s">
        <v>57</v>
      </c>
      <c r="AB53" s="18" t="s">
        <v>57</v>
      </c>
      <c r="AC53" s="18" t="s">
        <v>57</v>
      </c>
      <c r="AD53" s="18" t="s">
        <v>58</v>
      </c>
      <c r="AE53" s="35" t="s">
        <v>528</v>
      </c>
      <c r="AF53" s="14"/>
      <c r="AG53" s="14" t="str">
        <f t="shared" si="4"/>
        <v>#REF!</v>
      </c>
      <c r="AH53" s="14"/>
      <c r="AI53" s="20"/>
      <c r="AJ53" s="14"/>
      <c r="AK53" s="14"/>
      <c r="AL53" s="14"/>
      <c r="AM53" s="14"/>
      <c r="AN53" s="14"/>
      <c r="AO53" s="14"/>
      <c r="AP53" s="14"/>
      <c r="AQ53" s="14"/>
      <c r="AR53" s="14"/>
    </row>
    <row r="54" ht="22.5" customHeight="1">
      <c r="A54" s="68">
        <v>46059.0</v>
      </c>
      <c r="B54" s="34" t="s">
        <v>529</v>
      </c>
      <c r="C54" s="8" t="s">
        <v>96</v>
      </c>
      <c r="D54" s="9" t="s">
        <v>46</v>
      </c>
      <c r="E54" s="9" t="s">
        <v>530</v>
      </c>
      <c r="F54" s="9" t="s">
        <v>531</v>
      </c>
      <c r="G54" s="10">
        <v>500006.0</v>
      </c>
      <c r="H54" s="9" t="s">
        <v>432</v>
      </c>
      <c r="I54" s="11" t="str">
        <f>VLOOKUP(H54,Mapping!D:E,2,0)</f>
        <v>mehdipatnam</v>
      </c>
      <c r="J54" s="9" t="s">
        <v>50</v>
      </c>
      <c r="K54" s="12">
        <v>0.22</v>
      </c>
      <c r="L54" s="13" t="str">
        <f t="shared" si="1"/>
        <v>20%+</v>
      </c>
      <c r="M54" s="13">
        <v>0.018</v>
      </c>
      <c r="N54" s="14"/>
      <c r="O54" s="15" t="s">
        <v>529</v>
      </c>
      <c r="P54" s="15" t="s">
        <v>532</v>
      </c>
      <c r="Q54" s="9" t="s">
        <v>533</v>
      </c>
      <c r="R54" s="16" t="s">
        <v>534</v>
      </c>
      <c r="S54" s="9" t="s">
        <v>535</v>
      </c>
      <c r="T54" s="9" t="s">
        <v>531</v>
      </c>
      <c r="U54" s="9" t="s">
        <v>131</v>
      </c>
      <c r="V54" s="17">
        <v>3.79474434E10</v>
      </c>
      <c r="W54" s="9" t="s">
        <v>536</v>
      </c>
      <c r="X54" s="9" t="s">
        <v>56</v>
      </c>
      <c r="Y54" s="18" t="s">
        <v>57</v>
      </c>
      <c r="Z54" s="18" t="s">
        <v>57</v>
      </c>
      <c r="AA54" s="18" t="s">
        <v>57</v>
      </c>
      <c r="AB54" s="18" t="s">
        <v>57</v>
      </c>
      <c r="AC54" s="18" t="s">
        <v>57</v>
      </c>
      <c r="AD54" s="18" t="s">
        <v>57</v>
      </c>
      <c r="AE54" s="35" t="s">
        <v>537</v>
      </c>
      <c r="AF54" s="14"/>
      <c r="AG54" s="14" t="str">
        <f t="shared" si="4"/>
        <v>#REF!</v>
      </c>
      <c r="AH54" s="14"/>
      <c r="AI54" s="20"/>
      <c r="AJ54" s="14"/>
      <c r="AK54" s="14"/>
      <c r="AL54" s="14"/>
      <c r="AM54" s="14"/>
      <c r="AN54" s="14"/>
      <c r="AO54" s="14"/>
      <c r="AP54" s="14"/>
      <c r="AQ54" s="14"/>
      <c r="AR54" s="14"/>
    </row>
    <row r="55" ht="22.5" customHeight="1">
      <c r="A55" s="68">
        <v>46059.0</v>
      </c>
      <c r="B55" s="34" t="s">
        <v>538</v>
      </c>
      <c r="C55" s="8" t="s">
        <v>73</v>
      </c>
      <c r="D55" s="9" t="s">
        <v>46</v>
      </c>
      <c r="E55" s="9" t="s">
        <v>539</v>
      </c>
      <c r="F55" s="9" t="s">
        <v>365</v>
      </c>
      <c r="G55" s="10">
        <v>500028.0</v>
      </c>
      <c r="H55" s="9" t="s">
        <v>366</v>
      </c>
      <c r="I55" s="11" t="str">
        <f>VLOOKUP(H55,Mapping!D:E,2,0)</f>
        <v>masab tank</v>
      </c>
      <c r="J55" s="9" t="s">
        <v>50</v>
      </c>
      <c r="K55" s="12">
        <v>0.22</v>
      </c>
      <c r="L55" s="13" t="str">
        <f t="shared" si="1"/>
        <v>20%+</v>
      </c>
      <c r="M55" s="13">
        <v>0.018</v>
      </c>
      <c r="N55" s="14"/>
      <c r="O55" s="9" t="s">
        <v>538</v>
      </c>
      <c r="P55" s="15" t="s">
        <v>540</v>
      </c>
      <c r="Q55" s="9" t="s">
        <v>368</v>
      </c>
      <c r="R55" s="16" t="s">
        <v>541</v>
      </c>
      <c r="S55" s="9" t="s">
        <v>542</v>
      </c>
      <c r="T55" s="9" t="s">
        <v>371</v>
      </c>
      <c r="U55" s="9" t="s">
        <v>372</v>
      </c>
      <c r="V55" s="17">
        <v>2.71150000688E12</v>
      </c>
      <c r="W55" s="9" t="s">
        <v>374</v>
      </c>
      <c r="X55" s="9" t="s">
        <v>56</v>
      </c>
      <c r="Y55" s="18" t="s">
        <v>57</v>
      </c>
      <c r="Z55" s="18" t="s">
        <v>69</v>
      </c>
      <c r="AA55" s="18" t="s">
        <v>57</v>
      </c>
      <c r="AB55" s="18" t="s">
        <v>57</v>
      </c>
      <c r="AC55" s="18" t="s">
        <v>57</v>
      </c>
      <c r="AD55" s="18" t="s">
        <v>69</v>
      </c>
      <c r="AE55" s="35" t="s">
        <v>543</v>
      </c>
      <c r="AF55" s="14"/>
      <c r="AG55" s="14" t="str">
        <f t="shared" si="4"/>
        <v>#REF!</v>
      </c>
      <c r="AH55" s="14"/>
      <c r="AI55" s="20"/>
      <c r="AJ55" s="14"/>
      <c r="AK55" s="14"/>
      <c r="AL55" s="14"/>
      <c r="AM55" s="14"/>
      <c r="AN55" s="14"/>
      <c r="AO55" s="14"/>
      <c r="AP55" s="14"/>
      <c r="AQ55" s="14"/>
      <c r="AR55" s="14"/>
    </row>
    <row r="56" ht="22.5" customHeight="1">
      <c r="A56" s="68">
        <v>46059.0</v>
      </c>
      <c r="B56" s="34" t="s">
        <v>544</v>
      </c>
      <c r="C56" s="8" t="s">
        <v>144</v>
      </c>
      <c r="D56" s="9" t="s">
        <v>46</v>
      </c>
      <c r="E56" s="9" t="s">
        <v>545</v>
      </c>
      <c r="F56" s="14"/>
      <c r="G56" s="10">
        <v>500084.0</v>
      </c>
      <c r="H56" s="9" t="s">
        <v>99</v>
      </c>
      <c r="I56" s="11" t="str">
        <f>VLOOKUP(H56,Mapping!D:E,2,0)</f>
        <v>mehdipatnam</v>
      </c>
      <c r="J56" s="9" t="s">
        <v>50</v>
      </c>
      <c r="K56" s="12">
        <v>0.2</v>
      </c>
      <c r="L56" s="13" t="str">
        <f t="shared" si="1"/>
        <v>20%+</v>
      </c>
      <c r="M56" s="13">
        <v>0.018</v>
      </c>
      <c r="N56" s="14"/>
      <c r="O56" s="9" t="s">
        <v>546</v>
      </c>
      <c r="P56" s="9" t="s">
        <v>547</v>
      </c>
      <c r="Q56" s="9" t="s">
        <v>548</v>
      </c>
      <c r="R56" s="16" t="s">
        <v>549</v>
      </c>
      <c r="S56" s="9" t="s">
        <v>550</v>
      </c>
      <c r="T56" s="9" t="s">
        <v>548</v>
      </c>
      <c r="U56" s="9" t="s">
        <v>254</v>
      </c>
      <c r="V56" s="17">
        <v>3.3311501023101E13</v>
      </c>
      <c r="W56" s="9" t="s">
        <v>551</v>
      </c>
      <c r="X56" s="9" t="s">
        <v>80</v>
      </c>
      <c r="Y56" s="14"/>
      <c r="Z56" s="14"/>
      <c r="AA56" s="14"/>
      <c r="AB56" s="14"/>
      <c r="AC56" s="14"/>
      <c r="AD56" s="14"/>
      <c r="AE56" s="14"/>
      <c r="AF56" s="14"/>
      <c r="AG56" s="14" t="str">
        <f t="shared" si="4"/>
        <v>#REF!</v>
      </c>
      <c r="AH56" s="14"/>
      <c r="AI56" s="20"/>
      <c r="AJ56" s="14"/>
      <c r="AK56" s="14"/>
      <c r="AL56" s="14"/>
      <c r="AM56" s="14"/>
      <c r="AN56" s="14"/>
      <c r="AO56" s="14"/>
      <c r="AP56" s="14"/>
      <c r="AQ56" s="14"/>
      <c r="AR56" s="14"/>
    </row>
    <row r="57" ht="22.5" customHeight="1">
      <c r="A57" s="74">
        <v>46059.0</v>
      </c>
      <c r="B57" s="75" t="s">
        <v>552</v>
      </c>
      <c r="C57" s="8" t="s">
        <v>186</v>
      </c>
      <c r="D57" s="9" t="s">
        <v>68</v>
      </c>
      <c r="E57" s="9" t="s">
        <v>68</v>
      </c>
      <c r="F57" s="9" t="s">
        <v>68</v>
      </c>
      <c r="G57" s="9" t="s">
        <v>68</v>
      </c>
      <c r="H57" s="9" t="s">
        <v>68</v>
      </c>
      <c r="I57" s="9" t="s">
        <v>68</v>
      </c>
      <c r="J57" s="9" t="s">
        <v>68</v>
      </c>
      <c r="K57" s="12">
        <v>0.22</v>
      </c>
      <c r="L57" s="14" t="str">
        <f t="shared" si="1"/>
        <v>20%+</v>
      </c>
      <c r="M57" s="13">
        <v>0.018</v>
      </c>
      <c r="N57" s="9"/>
      <c r="O57" s="9" t="s">
        <v>68</v>
      </c>
      <c r="P57" s="9" t="s">
        <v>68</v>
      </c>
      <c r="Q57" s="9" t="s">
        <v>68</v>
      </c>
      <c r="R57" s="9" t="s">
        <v>68</v>
      </c>
      <c r="S57" s="9" t="s">
        <v>68</v>
      </c>
      <c r="T57" s="9" t="s">
        <v>68</v>
      </c>
      <c r="U57" s="9" t="s">
        <v>68</v>
      </c>
      <c r="V57" s="9" t="s">
        <v>68</v>
      </c>
      <c r="W57" s="9" t="s">
        <v>68</v>
      </c>
      <c r="X57" s="9" t="s">
        <v>68</v>
      </c>
      <c r="Y57" s="14"/>
      <c r="Z57" s="14"/>
      <c r="AA57" s="14"/>
      <c r="AB57" s="14"/>
      <c r="AC57" s="14"/>
      <c r="AD57" s="14"/>
      <c r="AE57" s="14"/>
      <c r="AF57" s="14"/>
      <c r="AG57" s="14"/>
      <c r="AH57" s="14"/>
      <c r="AI57" s="20"/>
      <c r="AJ57" s="14"/>
      <c r="AK57" s="14"/>
      <c r="AL57" s="14"/>
      <c r="AM57" s="14"/>
      <c r="AN57" s="14"/>
      <c r="AO57" s="14"/>
      <c r="AP57" s="14"/>
      <c r="AQ57" s="14"/>
      <c r="AR57" s="14"/>
    </row>
    <row r="58" ht="22.5" customHeight="1">
      <c r="A58" s="76">
        <v>46060.0</v>
      </c>
      <c r="B58" s="34" t="s">
        <v>553</v>
      </c>
      <c r="C58" s="8" t="s">
        <v>186</v>
      </c>
      <c r="D58" s="9" t="s">
        <v>61</v>
      </c>
      <c r="E58" s="9" t="s">
        <v>554</v>
      </c>
      <c r="F58" s="9" t="s">
        <v>68</v>
      </c>
      <c r="G58" s="10">
        <v>500081.0</v>
      </c>
      <c r="H58" s="9" t="s">
        <v>147</v>
      </c>
      <c r="I58" s="11" t="str">
        <f>VLOOKUP(H58,Mapping!D:E,2,0)</f>
        <v>madhapur</v>
      </c>
      <c r="J58" s="9" t="s">
        <v>148</v>
      </c>
      <c r="K58" s="12">
        <v>0.17</v>
      </c>
      <c r="L58" s="13" t="str">
        <f t="shared" si="1"/>
        <v>&lt;20%</v>
      </c>
      <c r="M58" s="13">
        <v>0.018</v>
      </c>
      <c r="N58" s="14"/>
      <c r="O58" s="9" t="s">
        <v>555</v>
      </c>
      <c r="P58" s="39" t="s">
        <v>556</v>
      </c>
      <c r="Q58" s="9" t="s">
        <v>557</v>
      </c>
      <c r="R58" s="16" t="s">
        <v>558</v>
      </c>
      <c r="S58" s="9" t="s">
        <v>559</v>
      </c>
      <c r="T58" s="9" t="s">
        <v>560</v>
      </c>
      <c r="U58" s="9" t="s">
        <v>91</v>
      </c>
      <c r="V58" s="17">
        <v>5.0200069149286E13</v>
      </c>
      <c r="W58" s="9" t="s">
        <v>561</v>
      </c>
      <c r="X58" s="9" t="s">
        <v>80</v>
      </c>
      <c r="Y58" s="18" t="s">
        <v>57</v>
      </c>
      <c r="Z58" s="18" t="s">
        <v>57</v>
      </c>
      <c r="AA58" s="18" t="s">
        <v>57</v>
      </c>
      <c r="AB58" s="18" t="s">
        <v>57</v>
      </c>
      <c r="AC58" s="18" t="s">
        <v>57</v>
      </c>
      <c r="AD58" s="18" t="s">
        <v>58</v>
      </c>
      <c r="AE58" s="77" t="s">
        <v>562</v>
      </c>
      <c r="AF58" s="40" t="s">
        <v>562</v>
      </c>
      <c r="AG58" s="14" t="str">
        <f t="shared" ref="AG58:AG69" si="5">VLOOKUP(H:H,'Pivot Table 8'!B:C,2,0)</f>
        <v>#REF!</v>
      </c>
      <c r="AH58" s="9" t="s">
        <v>198</v>
      </c>
      <c r="AI58" s="20"/>
      <c r="AJ58" s="14"/>
      <c r="AK58" s="14"/>
      <c r="AL58" s="14"/>
      <c r="AM58" s="14"/>
      <c r="AN58" s="14"/>
      <c r="AO58" s="14"/>
      <c r="AP58" s="14"/>
      <c r="AQ58" s="14"/>
      <c r="AR58" s="14"/>
    </row>
    <row r="59" ht="22.5" customHeight="1">
      <c r="A59" s="78">
        <v>46062.0</v>
      </c>
      <c r="B59" s="34" t="s">
        <v>563</v>
      </c>
      <c r="C59" s="8" t="s">
        <v>564</v>
      </c>
      <c r="D59" s="9" t="s">
        <v>61</v>
      </c>
      <c r="E59" s="9" t="s">
        <v>565</v>
      </c>
      <c r="F59" s="9" t="s">
        <v>566</v>
      </c>
      <c r="G59" s="10">
        <v>500016.0</v>
      </c>
      <c r="H59" s="9" t="s">
        <v>203</v>
      </c>
      <c r="I59" s="11" t="str">
        <f>VLOOKUP(H59,Mapping!D:E,2,0)</f>
        <v>panjagutta</v>
      </c>
      <c r="J59" s="9" t="s">
        <v>161</v>
      </c>
      <c r="K59" s="12">
        <v>0.22</v>
      </c>
      <c r="L59" s="13" t="str">
        <f t="shared" si="1"/>
        <v>20%+</v>
      </c>
      <c r="M59" s="13">
        <v>0.018</v>
      </c>
      <c r="N59" s="14"/>
      <c r="O59" s="9" t="s">
        <v>563</v>
      </c>
      <c r="P59" s="15" t="s">
        <v>565</v>
      </c>
      <c r="Q59" s="9" t="s">
        <v>566</v>
      </c>
      <c r="R59" s="16" t="s">
        <v>567</v>
      </c>
      <c r="S59" s="9" t="s">
        <v>568</v>
      </c>
      <c r="T59" s="9" t="s">
        <v>566</v>
      </c>
      <c r="U59" s="9" t="s">
        <v>91</v>
      </c>
      <c r="V59" s="17">
        <v>5.0200047092427E13</v>
      </c>
      <c r="W59" s="9" t="s">
        <v>569</v>
      </c>
      <c r="X59" s="9" t="s">
        <v>80</v>
      </c>
      <c r="Y59" s="18" t="s">
        <v>57</v>
      </c>
      <c r="Z59" s="18" t="s">
        <v>57</v>
      </c>
      <c r="AA59" s="18" t="s">
        <v>57</v>
      </c>
      <c r="AB59" s="18" t="s">
        <v>57</v>
      </c>
      <c r="AC59" s="18" t="s">
        <v>57</v>
      </c>
      <c r="AD59" s="18" t="s">
        <v>57</v>
      </c>
      <c r="AE59" s="35" t="s">
        <v>570</v>
      </c>
      <c r="AF59" s="79" t="s">
        <v>571</v>
      </c>
      <c r="AG59" s="14" t="str">
        <f t="shared" si="5"/>
        <v>#REF!</v>
      </c>
      <c r="AH59" s="14"/>
      <c r="AI59" s="20"/>
      <c r="AJ59" s="14"/>
      <c r="AK59" s="14"/>
      <c r="AL59" s="14"/>
      <c r="AM59" s="14"/>
      <c r="AN59" s="14"/>
      <c r="AO59" s="14"/>
      <c r="AP59" s="14"/>
      <c r="AQ59" s="14"/>
      <c r="AR59" s="14"/>
    </row>
    <row r="60" ht="22.5" customHeight="1">
      <c r="A60" s="80">
        <v>46062.0</v>
      </c>
      <c r="B60" s="36" t="s">
        <v>572</v>
      </c>
      <c r="C60" s="8" t="s">
        <v>96</v>
      </c>
      <c r="D60" s="9" t="s">
        <v>46</v>
      </c>
      <c r="E60" s="9" t="s">
        <v>573</v>
      </c>
      <c r="F60" s="9" t="s">
        <v>574</v>
      </c>
      <c r="G60" s="10">
        <v>500003.0</v>
      </c>
      <c r="H60" s="9" t="s">
        <v>575</v>
      </c>
      <c r="I60" s="11" t="str">
        <f>VLOOKUP(H60,Mapping!D:E,2,0)</f>
        <v>begumpet</v>
      </c>
      <c r="J60" s="9" t="s">
        <v>161</v>
      </c>
      <c r="K60" s="12">
        <v>0.21</v>
      </c>
      <c r="L60" s="13" t="str">
        <f t="shared" si="1"/>
        <v>20%+</v>
      </c>
      <c r="M60" s="13">
        <v>0.018</v>
      </c>
      <c r="N60" s="14"/>
      <c r="O60" s="9" t="s">
        <v>574</v>
      </c>
      <c r="P60" s="15" t="s">
        <v>576</v>
      </c>
      <c r="Q60" s="9" t="s">
        <v>574</v>
      </c>
      <c r="R60" s="16" t="s">
        <v>577</v>
      </c>
      <c r="S60" s="9" t="s">
        <v>578</v>
      </c>
      <c r="T60" s="9" t="s">
        <v>579</v>
      </c>
      <c r="U60" s="9" t="s">
        <v>119</v>
      </c>
      <c r="V60" s="17">
        <v>9.23020067557565E14</v>
      </c>
      <c r="W60" s="9" t="s">
        <v>580</v>
      </c>
      <c r="X60" s="9" t="s">
        <v>80</v>
      </c>
      <c r="Y60" s="18" t="s">
        <v>57</v>
      </c>
      <c r="Z60" s="18" t="s">
        <v>57</v>
      </c>
      <c r="AA60" s="18" t="s">
        <v>57</v>
      </c>
      <c r="AB60" s="18" t="s">
        <v>58</v>
      </c>
      <c r="AC60" s="18" t="s">
        <v>57</v>
      </c>
      <c r="AD60" s="18" t="s">
        <v>58</v>
      </c>
      <c r="AE60" s="35" t="s">
        <v>581</v>
      </c>
      <c r="AF60" s="14"/>
      <c r="AG60" s="14" t="str">
        <f t="shared" si="5"/>
        <v>#REF!</v>
      </c>
      <c r="AH60" s="14"/>
      <c r="AI60" s="20"/>
      <c r="AJ60" s="14"/>
      <c r="AK60" s="14"/>
      <c r="AL60" s="14"/>
      <c r="AM60" s="14"/>
      <c r="AN60" s="14"/>
      <c r="AO60" s="14"/>
      <c r="AP60" s="14"/>
      <c r="AQ60" s="14"/>
      <c r="AR60" s="14"/>
    </row>
    <row r="61" ht="22.5" customHeight="1">
      <c r="A61" s="81">
        <v>46062.0</v>
      </c>
      <c r="B61" s="36" t="s">
        <v>582</v>
      </c>
      <c r="C61" s="8" t="s">
        <v>144</v>
      </c>
      <c r="D61" s="9" t="s">
        <v>46</v>
      </c>
      <c r="E61" s="39" t="s">
        <v>583</v>
      </c>
      <c r="F61" s="9" t="s">
        <v>68</v>
      </c>
      <c r="G61" s="10">
        <v>500081.0</v>
      </c>
      <c r="H61" s="9" t="s">
        <v>147</v>
      </c>
      <c r="I61" s="11" t="str">
        <f>VLOOKUP(H61,Mapping!D:E,2,0)</f>
        <v>madhapur</v>
      </c>
      <c r="J61" s="9" t="s">
        <v>148</v>
      </c>
      <c r="K61" s="12">
        <v>0.2</v>
      </c>
      <c r="L61" s="14" t="str">
        <f t="shared" si="1"/>
        <v>20%+</v>
      </c>
      <c r="M61" s="13">
        <v>0.018</v>
      </c>
      <c r="N61" s="14"/>
      <c r="O61" s="43" t="s">
        <v>68</v>
      </c>
      <c r="P61" s="9" t="s">
        <v>584</v>
      </c>
      <c r="Q61" s="9" t="s">
        <v>585</v>
      </c>
      <c r="R61" s="16" t="s">
        <v>586</v>
      </c>
      <c r="S61" s="9" t="s">
        <v>68</v>
      </c>
      <c r="T61" s="9" t="s">
        <v>68</v>
      </c>
      <c r="U61" s="9" t="s">
        <v>68</v>
      </c>
      <c r="V61" s="9" t="s">
        <v>68</v>
      </c>
      <c r="W61" s="9" t="s">
        <v>68</v>
      </c>
      <c r="X61" s="9" t="s">
        <v>68</v>
      </c>
      <c r="Y61" s="18" t="s">
        <v>57</v>
      </c>
      <c r="Z61" s="18" t="s">
        <v>58</v>
      </c>
      <c r="AA61" s="18" t="s">
        <v>57</v>
      </c>
      <c r="AB61" s="18" t="s">
        <v>58</v>
      </c>
      <c r="AC61" s="18" t="s">
        <v>58</v>
      </c>
      <c r="AD61" s="18" t="s">
        <v>58</v>
      </c>
      <c r="AE61" s="14"/>
      <c r="AF61" s="14"/>
      <c r="AG61" s="14" t="str">
        <f t="shared" si="5"/>
        <v>#REF!</v>
      </c>
      <c r="AH61" s="14"/>
      <c r="AI61" s="20"/>
      <c r="AJ61" s="14"/>
      <c r="AK61" s="14"/>
      <c r="AL61" s="14"/>
      <c r="AM61" s="14"/>
      <c r="AN61" s="14"/>
      <c r="AO61" s="14"/>
      <c r="AP61" s="14"/>
      <c r="AQ61" s="14"/>
      <c r="AR61" s="14"/>
    </row>
    <row r="62" ht="22.5" customHeight="1">
      <c r="A62" s="78">
        <v>46062.0</v>
      </c>
      <c r="B62" s="34" t="s">
        <v>587</v>
      </c>
      <c r="C62" s="8" t="s">
        <v>241</v>
      </c>
      <c r="D62" s="9" t="s">
        <v>46</v>
      </c>
      <c r="E62" s="9" t="s">
        <v>573</v>
      </c>
      <c r="F62" s="9" t="s">
        <v>574</v>
      </c>
      <c r="G62" s="10">
        <v>500003.0</v>
      </c>
      <c r="H62" s="9" t="s">
        <v>575</v>
      </c>
      <c r="I62" s="11" t="str">
        <f>VLOOKUP(H62,Mapping!D:E,2,0)</f>
        <v>begumpet</v>
      </c>
      <c r="J62" s="9" t="s">
        <v>161</v>
      </c>
      <c r="K62" s="12">
        <v>0.21</v>
      </c>
      <c r="L62" s="13" t="str">
        <f t="shared" si="1"/>
        <v>20%+</v>
      </c>
      <c r="M62" s="13">
        <v>0.018</v>
      </c>
      <c r="N62" s="14"/>
      <c r="O62" s="9" t="s">
        <v>574</v>
      </c>
      <c r="P62" s="15" t="s">
        <v>588</v>
      </c>
      <c r="Q62" s="9" t="s">
        <v>574</v>
      </c>
      <c r="R62" s="16" t="s">
        <v>577</v>
      </c>
      <c r="S62" s="9" t="s">
        <v>578</v>
      </c>
      <c r="T62" s="9" t="s">
        <v>579</v>
      </c>
      <c r="U62" s="9" t="s">
        <v>119</v>
      </c>
      <c r="V62" s="17">
        <v>9.23020067557565E14</v>
      </c>
      <c r="W62" s="9" t="s">
        <v>580</v>
      </c>
      <c r="X62" s="9" t="s">
        <v>80</v>
      </c>
      <c r="Y62" s="18" t="s">
        <v>57</v>
      </c>
      <c r="Z62" s="18" t="s">
        <v>57</v>
      </c>
      <c r="AA62" s="18" t="s">
        <v>57</v>
      </c>
      <c r="AB62" s="18" t="s">
        <v>58</v>
      </c>
      <c r="AC62" s="18" t="s">
        <v>58</v>
      </c>
      <c r="AD62" s="18" t="s">
        <v>58</v>
      </c>
      <c r="AE62" s="9" t="s">
        <v>589</v>
      </c>
      <c r="AF62" s="14"/>
      <c r="AG62" s="14" t="str">
        <f t="shared" si="5"/>
        <v>#REF!</v>
      </c>
      <c r="AH62" s="14"/>
      <c r="AI62" s="20"/>
      <c r="AJ62" s="14"/>
      <c r="AK62" s="14"/>
      <c r="AL62" s="14"/>
      <c r="AM62" s="14"/>
      <c r="AN62" s="14"/>
      <c r="AO62" s="14"/>
      <c r="AP62" s="14"/>
      <c r="AQ62" s="14"/>
      <c r="AR62" s="14"/>
    </row>
    <row r="63" ht="22.5" customHeight="1">
      <c r="A63" s="78">
        <v>46062.0</v>
      </c>
      <c r="B63" s="34" t="s">
        <v>590</v>
      </c>
      <c r="C63" s="8" t="s">
        <v>96</v>
      </c>
      <c r="D63" s="9" t="s">
        <v>46</v>
      </c>
      <c r="E63" s="9" t="s">
        <v>591</v>
      </c>
      <c r="F63" s="9" t="s">
        <v>574</v>
      </c>
      <c r="G63" s="10">
        <v>500003.0</v>
      </c>
      <c r="H63" s="9" t="s">
        <v>575</v>
      </c>
      <c r="I63" s="11" t="str">
        <f>VLOOKUP(H63,Mapping!D:E,2,0)</f>
        <v>begumpet</v>
      </c>
      <c r="J63" s="9" t="s">
        <v>161</v>
      </c>
      <c r="K63" s="12">
        <v>0.21</v>
      </c>
      <c r="L63" s="13" t="str">
        <f t="shared" si="1"/>
        <v>20%+</v>
      </c>
      <c r="M63" s="13">
        <v>0.018</v>
      </c>
      <c r="N63" s="14"/>
      <c r="O63" s="9" t="s">
        <v>574</v>
      </c>
      <c r="P63" s="15" t="s">
        <v>592</v>
      </c>
      <c r="Q63" s="9" t="s">
        <v>574</v>
      </c>
      <c r="R63" s="16" t="s">
        <v>577</v>
      </c>
      <c r="S63" s="9" t="s">
        <v>593</v>
      </c>
      <c r="T63" s="15" t="s">
        <v>574</v>
      </c>
      <c r="U63" s="9" t="s">
        <v>119</v>
      </c>
      <c r="V63" s="17">
        <v>9.23020067557565E14</v>
      </c>
      <c r="W63" s="9" t="s">
        <v>580</v>
      </c>
      <c r="X63" s="9" t="s">
        <v>80</v>
      </c>
      <c r="Y63" s="18" t="s">
        <v>57</v>
      </c>
      <c r="Z63" s="18" t="s">
        <v>57</v>
      </c>
      <c r="AA63" s="18" t="s">
        <v>57</v>
      </c>
      <c r="AB63" s="18" t="s">
        <v>58</v>
      </c>
      <c r="AC63" s="18" t="s">
        <v>57</v>
      </c>
      <c r="AD63" s="18" t="s">
        <v>58</v>
      </c>
      <c r="AE63" s="39" t="s">
        <v>589</v>
      </c>
      <c r="AF63" s="14"/>
      <c r="AG63" s="14" t="str">
        <f t="shared" si="5"/>
        <v>#REF!</v>
      </c>
      <c r="AH63" s="14"/>
      <c r="AI63" s="20"/>
      <c r="AJ63" s="14"/>
      <c r="AK63" s="14"/>
      <c r="AL63" s="14"/>
      <c r="AM63" s="14"/>
      <c r="AN63" s="14"/>
      <c r="AO63" s="14"/>
      <c r="AP63" s="14"/>
      <c r="AQ63" s="14"/>
      <c r="AR63" s="14"/>
    </row>
    <row r="64" ht="22.5" customHeight="1">
      <c r="A64" s="78">
        <v>46062.0</v>
      </c>
      <c r="B64" s="34" t="s">
        <v>594</v>
      </c>
      <c r="C64" s="8" t="s">
        <v>96</v>
      </c>
      <c r="D64" s="9" t="s">
        <v>46</v>
      </c>
      <c r="E64" s="9" t="s">
        <v>595</v>
      </c>
      <c r="F64" s="9" t="s">
        <v>574</v>
      </c>
      <c r="G64" s="10">
        <v>500003.0</v>
      </c>
      <c r="H64" s="9" t="s">
        <v>160</v>
      </c>
      <c r="I64" s="11" t="str">
        <f>VLOOKUP(H64,Mapping!D:E,2,0)</f>
        <v>ameerpet</v>
      </c>
      <c r="J64" s="9" t="s">
        <v>161</v>
      </c>
      <c r="K64" s="12">
        <v>0.21</v>
      </c>
      <c r="L64" s="13" t="str">
        <f t="shared" si="1"/>
        <v>20%+</v>
      </c>
      <c r="M64" s="13">
        <v>0.018</v>
      </c>
      <c r="N64" s="14"/>
      <c r="O64" s="9" t="s">
        <v>574</v>
      </c>
      <c r="P64" s="15" t="s">
        <v>596</v>
      </c>
      <c r="Q64" s="9" t="s">
        <v>574</v>
      </c>
      <c r="R64" s="16" t="s">
        <v>577</v>
      </c>
      <c r="S64" s="9" t="s">
        <v>578</v>
      </c>
      <c r="T64" s="9" t="s">
        <v>579</v>
      </c>
      <c r="U64" s="9" t="s">
        <v>119</v>
      </c>
      <c r="V64" s="17">
        <v>9.23020067557565E14</v>
      </c>
      <c r="W64" s="9" t="s">
        <v>580</v>
      </c>
      <c r="X64" s="9" t="s">
        <v>80</v>
      </c>
      <c r="Y64" s="18" t="s">
        <v>57</v>
      </c>
      <c r="Z64" s="18" t="s">
        <v>57</v>
      </c>
      <c r="AA64" s="18" t="s">
        <v>57</v>
      </c>
      <c r="AB64" s="18" t="s">
        <v>58</v>
      </c>
      <c r="AC64" s="18" t="s">
        <v>57</v>
      </c>
      <c r="AD64" s="18" t="s">
        <v>58</v>
      </c>
      <c r="AE64" s="35" t="s">
        <v>581</v>
      </c>
      <c r="AF64" s="14"/>
      <c r="AG64" s="14" t="str">
        <f t="shared" si="5"/>
        <v>#REF!</v>
      </c>
      <c r="AH64" s="14"/>
      <c r="AI64" s="20"/>
      <c r="AJ64" s="14"/>
      <c r="AK64" s="14"/>
      <c r="AL64" s="14"/>
      <c r="AM64" s="14"/>
      <c r="AN64" s="14"/>
      <c r="AO64" s="14"/>
      <c r="AP64" s="14"/>
      <c r="AQ64" s="14"/>
      <c r="AR64" s="14"/>
    </row>
    <row r="65" ht="22.5" customHeight="1">
      <c r="A65" s="78">
        <v>46062.0</v>
      </c>
      <c r="B65" s="34" t="s">
        <v>597</v>
      </c>
      <c r="C65" s="8" t="s">
        <v>96</v>
      </c>
      <c r="D65" s="9" t="s">
        <v>46</v>
      </c>
      <c r="E65" s="39" t="s">
        <v>598</v>
      </c>
      <c r="F65" s="9" t="s">
        <v>599</v>
      </c>
      <c r="G65" s="10">
        <v>500003.0</v>
      </c>
      <c r="H65" s="9" t="s">
        <v>575</v>
      </c>
      <c r="I65" s="11" t="str">
        <f>VLOOKUP(H65,Mapping!D:E,2,0)</f>
        <v>begumpet</v>
      </c>
      <c r="J65" s="9" t="s">
        <v>161</v>
      </c>
      <c r="K65" s="12">
        <v>0.18</v>
      </c>
      <c r="L65" s="13" t="str">
        <f t="shared" si="1"/>
        <v>&lt;20%</v>
      </c>
      <c r="M65" s="13">
        <v>0.018</v>
      </c>
      <c r="N65" s="14"/>
      <c r="O65" s="15" t="s">
        <v>597</v>
      </c>
      <c r="P65" s="9" t="s">
        <v>600</v>
      </c>
      <c r="Q65" s="9" t="s">
        <v>599</v>
      </c>
      <c r="R65" s="16" t="s">
        <v>601</v>
      </c>
      <c r="S65" s="9" t="s">
        <v>602</v>
      </c>
      <c r="T65" s="15" t="s">
        <v>597</v>
      </c>
      <c r="U65" s="9" t="s">
        <v>254</v>
      </c>
      <c r="V65" s="17">
        <v>9.448450312E9</v>
      </c>
      <c r="W65" s="9" t="s">
        <v>603</v>
      </c>
      <c r="X65" s="9" t="s">
        <v>80</v>
      </c>
      <c r="Y65" s="18" t="s">
        <v>57</v>
      </c>
      <c r="Z65" s="18" t="s">
        <v>57</v>
      </c>
      <c r="AA65" s="18" t="s">
        <v>57</v>
      </c>
      <c r="AB65" s="18" t="s">
        <v>58</v>
      </c>
      <c r="AC65" s="18" t="s">
        <v>57</v>
      </c>
      <c r="AD65" s="18" t="s">
        <v>58</v>
      </c>
      <c r="AE65" s="39" t="s">
        <v>604</v>
      </c>
      <c r="AF65" s="14"/>
      <c r="AG65" s="14" t="str">
        <f t="shared" si="5"/>
        <v>#REF!</v>
      </c>
      <c r="AH65" s="14"/>
      <c r="AI65" s="20"/>
      <c r="AJ65" s="14"/>
      <c r="AK65" s="14"/>
      <c r="AL65" s="14"/>
      <c r="AM65" s="14"/>
      <c r="AN65" s="14"/>
      <c r="AO65" s="14"/>
      <c r="AP65" s="14"/>
      <c r="AQ65" s="14"/>
      <c r="AR65" s="14"/>
    </row>
    <row r="66" ht="22.5" customHeight="1">
      <c r="A66" s="78">
        <v>46062.0</v>
      </c>
      <c r="B66" s="34" t="s">
        <v>605</v>
      </c>
      <c r="C66" s="8" t="s">
        <v>96</v>
      </c>
      <c r="D66" s="9" t="s">
        <v>46</v>
      </c>
      <c r="E66" s="9" t="s">
        <v>573</v>
      </c>
      <c r="F66" s="9" t="s">
        <v>574</v>
      </c>
      <c r="G66" s="10">
        <v>500003.0</v>
      </c>
      <c r="H66" s="9" t="s">
        <v>575</v>
      </c>
      <c r="I66" s="11" t="str">
        <f>VLOOKUP(H66,Mapping!D:E,2,0)</f>
        <v>begumpet</v>
      </c>
      <c r="J66" s="9" t="s">
        <v>161</v>
      </c>
      <c r="K66" s="12">
        <v>0.21</v>
      </c>
      <c r="L66" s="13" t="str">
        <f t="shared" si="1"/>
        <v>20%+</v>
      </c>
      <c r="M66" s="13">
        <v>0.018</v>
      </c>
      <c r="N66" s="14"/>
      <c r="O66" s="9" t="s">
        <v>574</v>
      </c>
      <c r="P66" s="15" t="s">
        <v>606</v>
      </c>
      <c r="Q66" s="9" t="s">
        <v>574</v>
      </c>
      <c r="R66" s="16" t="s">
        <v>577</v>
      </c>
      <c r="S66" s="9" t="s">
        <v>578</v>
      </c>
      <c r="T66" s="9" t="s">
        <v>579</v>
      </c>
      <c r="U66" s="9" t="s">
        <v>119</v>
      </c>
      <c r="V66" s="17">
        <v>9.23020067557565E14</v>
      </c>
      <c r="W66" s="9" t="s">
        <v>580</v>
      </c>
      <c r="X66" s="9" t="s">
        <v>80</v>
      </c>
      <c r="Y66" s="18" t="s">
        <v>57</v>
      </c>
      <c r="Z66" s="18" t="s">
        <v>57</v>
      </c>
      <c r="AA66" s="18" t="s">
        <v>57</v>
      </c>
      <c r="AB66" s="18" t="s">
        <v>58</v>
      </c>
      <c r="AC66" s="18" t="s">
        <v>57</v>
      </c>
      <c r="AD66" s="18" t="s">
        <v>58</v>
      </c>
      <c r="AE66" s="35" t="s">
        <v>581</v>
      </c>
      <c r="AF66" s="14"/>
      <c r="AG66" s="14" t="str">
        <f t="shared" si="5"/>
        <v>#REF!</v>
      </c>
      <c r="AH66" s="14"/>
      <c r="AI66" s="20"/>
      <c r="AJ66" s="14"/>
      <c r="AK66" s="14"/>
      <c r="AL66" s="14"/>
      <c r="AM66" s="14"/>
      <c r="AN66" s="14"/>
      <c r="AO66" s="14"/>
      <c r="AP66" s="14"/>
      <c r="AQ66" s="14"/>
      <c r="AR66" s="14"/>
    </row>
    <row r="67" ht="22.5" customHeight="1">
      <c r="A67" s="78">
        <v>46062.0</v>
      </c>
      <c r="B67" s="34" t="s">
        <v>607</v>
      </c>
      <c r="C67" s="8" t="s">
        <v>73</v>
      </c>
      <c r="D67" s="9" t="s">
        <v>46</v>
      </c>
      <c r="E67" s="39" t="s">
        <v>608</v>
      </c>
      <c r="F67" s="9" t="s">
        <v>609</v>
      </c>
      <c r="G67" s="10">
        <v>500072.0</v>
      </c>
      <c r="H67" s="9" t="s">
        <v>610</v>
      </c>
      <c r="I67" s="11" t="str">
        <f>VLOOKUP(H67,Mapping!D:E,2,0)</f>
        <v>kukatpally</v>
      </c>
      <c r="J67" s="9" t="s">
        <v>390</v>
      </c>
      <c r="K67" s="12">
        <v>0.22</v>
      </c>
      <c r="L67" s="13" t="str">
        <f t="shared" si="1"/>
        <v>20%+</v>
      </c>
      <c r="M67" s="13">
        <v>0.018</v>
      </c>
      <c r="N67" s="14"/>
      <c r="O67" s="15" t="s">
        <v>607</v>
      </c>
      <c r="P67" s="15" t="s">
        <v>611</v>
      </c>
      <c r="Q67" s="9" t="s">
        <v>609</v>
      </c>
      <c r="R67" s="16" t="s">
        <v>612</v>
      </c>
      <c r="S67" s="9" t="s">
        <v>613</v>
      </c>
      <c r="T67" s="9" t="s">
        <v>614</v>
      </c>
      <c r="U67" s="9" t="s">
        <v>254</v>
      </c>
      <c r="V67" s="17">
        <v>3.212110291E9</v>
      </c>
      <c r="W67" s="9" t="s">
        <v>615</v>
      </c>
      <c r="X67" s="9" t="s">
        <v>56</v>
      </c>
      <c r="Y67" s="18" t="s">
        <v>57</v>
      </c>
      <c r="Z67" s="18" t="s">
        <v>69</v>
      </c>
      <c r="AA67" s="18" t="s">
        <v>57</v>
      </c>
      <c r="AB67" s="18" t="s">
        <v>57</v>
      </c>
      <c r="AC67" s="18" t="s">
        <v>57</v>
      </c>
      <c r="AD67" s="18" t="s">
        <v>57</v>
      </c>
      <c r="AE67" s="35" t="s">
        <v>616</v>
      </c>
      <c r="AF67" s="14"/>
      <c r="AG67" s="14" t="str">
        <f t="shared" si="5"/>
        <v>#REF!</v>
      </c>
      <c r="AH67" s="14"/>
      <c r="AI67" s="20"/>
      <c r="AJ67" s="14"/>
      <c r="AK67" s="14"/>
      <c r="AL67" s="14"/>
      <c r="AM67" s="14"/>
      <c r="AN67" s="14"/>
      <c r="AO67" s="14"/>
      <c r="AP67" s="14"/>
      <c r="AQ67" s="14"/>
      <c r="AR67" s="14"/>
    </row>
    <row r="68" ht="22.5" customHeight="1">
      <c r="A68" s="78">
        <v>46062.0</v>
      </c>
      <c r="B68" s="34" t="s">
        <v>617</v>
      </c>
      <c r="C68" s="8" t="s">
        <v>96</v>
      </c>
      <c r="D68" s="9" t="s">
        <v>46</v>
      </c>
      <c r="E68" s="9" t="s">
        <v>618</v>
      </c>
      <c r="F68" s="9" t="s">
        <v>574</v>
      </c>
      <c r="G68" s="10">
        <v>500003.0</v>
      </c>
      <c r="H68" s="9" t="s">
        <v>575</v>
      </c>
      <c r="I68" s="11" t="str">
        <f>VLOOKUP(H68,Mapping!D:E,2,0)</f>
        <v>begumpet</v>
      </c>
      <c r="J68" s="9" t="s">
        <v>161</v>
      </c>
      <c r="K68" s="12">
        <v>0.21</v>
      </c>
      <c r="L68" s="13" t="str">
        <f t="shared" si="1"/>
        <v>20%+</v>
      </c>
      <c r="M68" s="13">
        <v>0.018</v>
      </c>
      <c r="N68" s="14"/>
      <c r="O68" s="9" t="s">
        <v>574</v>
      </c>
      <c r="P68" s="15" t="s">
        <v>619</v>
      </c>
      <c r="Q68" s="9" t="s">
        <v>574</v>
      </c>
      <c r="R68" s="16" t="s">
        <v>577</v>
      </c>
      <c r="S68" s="9" t="s">
        <v>578</v>
      </c>
      <c r="T68" s="9" t="s">
        <v>579</v>
      </c>
      <c r="U68" s="9" t="s">
        <v>119</v>
      </c>
      <c r="V68" s="17">
        <v>9.23020067557565E14</v>
      </c>
      <c r="W68" s="9" t="s">
        <v>580</v>
      </c>
      <c r="X68" s="9" t="s">
        <v>80</v>
      </c>
      <c r="Y68" s="18" t="s">
        <v>57</v>
      </c>
      <c r="Z68" s="18" t="s">
        <v>57</v>
      </c>
      <c r="AA68" s="18" t="s">
        <v>57</v>
      </c>
      <c r="AB68" s="18" t="s">
        <v>58</v>
      </c>
      <c r="AC68" s="18" t="s">
        <v>57</v>
      </c>
      <c r="AD68" s="18" t="s">
        <v>58</v>
      </c>
      <c r="AE68" s="39" t="s">
        <v>589</v>
      </c>
      <c r="AF68" s="14"/>
      <c r="AG68" s="14" t="str">
        <f t="shared" si="5"/>
        <v>#REF!</v>
      </c>
      <c r="AH68" s="14"/>
      <c r="AI68" s="20"/>
      <c r="AJ68" s="14"/>
      <c r="AK68" s="14"/>
      <c r="AL68" s="14"/>
      <c r="AM68" s="14"/>
      <c r="AN68" s="14"/>
      <c r="AO68" s="14"/>
      <c r="AP68" s="14"/>
      <c r="AQ68" s="14"/>
      <c r="AR68" s="14"/>
    </row>
    <row r="69" ht="22.5" customHeight="1">
      <c r="A69" s="78">
        <v>46062.0</v>
      </c>
      <c r="B69" s="34" t="s">
        <v>620</v>
      </c>
      <c r="C69" s="8" t="s">
        <v>186</v>
      </c>
      <c r="D69" s="9" t="s">
        <v>46</v>
      </c>
      <c r="E69" s="9" t="s">
        <v>621</v>
      </c>
      <c r="F69" s="9" t="s">
        <v>622</v>
      </c>
      <c r="G69" s="10">
        <v>500084.0</v>
      </c>
      <c r="H69" s="9" t="s">
        <v>623</v>
      </c>
      <c r="I69" s="11" t="str">
        <f>VLOOKUP(H69,Mapping!D:E,2,0)</f>
        <v>Sherilingampally</v>
      </c>
      <c r="J69" s="9" t="s">
        <v>390</v>
      </c>
      <c r="K69" s="9" t="s">
        <v>624</v>
      </c>
      <c r="L69" s="13" t="str">
        <f t="shared" si="1"/>
        <v>20%+</v>
      </c>
      <c r="M69" s="13">
        <v>0.018</v>
      </c>
      <c r="N69" s="9" t="s">
        <v>625</v>
      </c>
      <c r="O69" s="9" t="s">
        <v>626</v>
      </c>
      <c r="P69" s="9" t="s">
        <v>627</v>
      </c>
      <c r="Q69" s="9" t="s">
        <v>628</v>
      </c>
      <c r="R69" s="16" t="s">
        <v>629</v>
      </c>
      <c r="S69" s="9" t="s">
        <v>68</v>
      </c>
      <c r="T69" s="9" t="s">
        <v>630</v>
      </c>
      <c r="U69" s="9" t="s">
        <v>131</v>
      </c>
      <c r="V69" s="17">
        <v>2.0264573793E10</v>
      </c>
      <c r="W69" s="9" t="s">
        <v>631</v>
      </c>
      <c r="X69" s="9" t="s">
        <v>56</v>
      </c>
      <c r="Y69" s="18" t="s">
        <v>57</v>
      </c>
      <c r="Z69" s="18" t="s">
        <v>58</v>
      </c>
      <c r="AA69" s="18" t="s">
        <v>58</v>
      </c>
      <c r="AB69" s="18" t="s">
        <v>69</v>
      </c>
      <c r="AC69" s="18" t="s">
        <v>57</v>
      </c>
      <c r="AD69" s="18" t="s">
        <v>58</v>
      </c>
      <c r="AE69" s="40" t="s">
        <v>632</v>
      </c>
      <c r="AF69" s="39" t="s">
        <v>633</v>
      </c>
      <c r="AG69" s="14" t="str">
        <f t="shared" si="5"/>
        <v>#REF!</v>
      </c>
      <c r="AH69" s="9" t="s">
        <v>634</v>
      </c>
      <c r="AI69" s="20"/>
      <c r="AJ69" s="14"/>
      <c r="AK69" s="14"/>
      <c r="AL69" s="14"/>
      <c r="AM69" s="14"/>
      <c r="AN69" s="14"/>
      <c r="AO69" s="14"/>
      <c r="AP69" s="14"/>
      <c r="AQ69" s="14"/>
      <c r="AR69" s="14"/>
    </row>
    <row r="70" ht="22.5" customHeight="1">
      <c r="A70" s="78">
        <v>46062.0</v>
      </c>
      <c r="B70" s="34" t="s">
        <v>635</v>
      </c>
      <c r="C70" s="8" t="s">
        <v>186</v>
      </c>
      <c r="D70" s="9" t="s">
        <v>46</v>
      </c>
      <c r="E70" s="9" t="s">
        <v>636</v>
      </c>
      <c r="F70" s="9" t="s">
        <v>637</v>
      </c>
      <c r="G70" s="10">
        <v>500084.0</v>
      </c>
      <c r="H70" s="9" t="s">
        <v>389</v>
      </c>
      <c r="I70" s="11" t="str">
        <f>VLOOKUP(H70,Mapping!D:E,2,0)</f>
        <v>Kondapur</v>
      </c>
      <c r="J70" s="9" t="s">
        <v>390</v>
      </c>
      <c r="K70" s="12">
        <v>0.17</v>
      </c>
      <c r="L70" s="13" t="str">
        <f t="shared" si="1"/>
        <v>&lt;20%</v>
      </c>
      <c r="M70" s="13">
        <v>0.018</v>
      </c>
      <c r="N70" s="14"/>
      <c r="O70" s="15" t="s">
        <v>635</v>
      </c>
      <c r="P70" s="15" t="s">
        <v>638</v>
      </c>
      <c r="Q70" s="9" t="s">
        <v>637</v>
      </c>
      <c r="R70" s="16" t="s">
        <v>639</v>
      </c>
      <c r="S70" s="9" t="s">
        <v>68</v>
      </c>
      <c r="T70" s="9" t="s">
        <v>637</v>
      </c>
      <c r="U70" s="9" t="s">
        <v>340</v>
      </c>
      <c r="V70" s="17">
        <v>5.0200018292136E13</v>
      </c>
      <c r="W70" s="9" t="s">
        <v>640</v>
      </c>
      <c r="X70" s="9" t="s">
        <v>56</v>
      </c>
      <c r="Y70" s="82" t="s">
        <v>57</v>
      </c>
      <c r="Z70" s="82" t="s">
        <v>57</v>
      </c>
      <c r="AA70" s="82" t="s">
        <v>57</v>
      </c>
      <c r="AB70" s="82" t="s">
        <v>57</v>
      </c>
      <c r="AC70" s="82" t="s">
        <v>58</v>
      </c>
      <c r="AD70" s="82" t="s">
        <v>58</v>
      </c>
      <c r="AE70" s="83" t="s">
        <v>641</v>
      </c>
      <c r="AF70" s="39" t="s">
        <v>633</v>
      </c>
      <c r="AG70" s="9" t="s">
        <v>397</v>
      </c>
      <c r="AH70" s="9" t="s">
        <v>642</v>
      </c>
      <c r="AI70" s="20"/>
      <c r="AJ70" s="14"/>
      <c r="AK70" s="14"/>
      <c r="AL70" s="14"/>
      <c r="AM70" s="14"/>
      <c r="AN70" s="14"/>
      <c r="AO70" s="14"/>
      <c r="AP70" s="14"/>
      <c r="AQ70" s="14"/>
      <c r="AR70" s="14"/>
    </row>
    <row r="71" ht="22.5" customHeight="1">
      <c r="A71" s="74">
        <v>46062.0</v>
      </c>
      <c r="B71" s="34" t="s">
        <v>643</v>
      </c>
      <c r="C71" s="8" t="s">
        <v>60</v>
      </c>
      <c r="D71" s="9" t="s">
        <v>61</v>
      </c>
      <c r="E71" s="9" t="s">
        <v>644</v>
      </c>
      <c r="F71" s="9" t="s">
        <v>645</v>
      </c>
      <c r="G71" s="10">
        <v>500085.0</v>
      </c>
      <c r="H71" s="9" t="s">
        <v>646</v>
      </c>
      <c r="I71" s="9" t="s">
        <v>647</v>
      </c>
      <c r="J71" s="9" t="s">
        <v>390</v>
      </c>
      <c r="K71" s="12">
        <v>0.2</v>
      </c>
      <c r="L71" s="14" t="str">
        <f t="shared" si="1"/>
        <v>20%+</v>
      </c>
      <c r="M71" s="13">
        <v>0.018</v>
      </c>
      <c r="N71" s="14"/>
      <c r="O71" s="15" t="s">
        <v>643</v>
      </c>
      <c r="P71" s="15" t="s">
        <v>648</v>
      </c>
      <c r="Q71" s="9" t="s">
        <v>645</v>
      </c>
      <c r="R71" s="16" t="s">
        <v>649</v>
      </c>
      <c r="S71" s="9" t="s">
        <v>650</v>
      </c>
      <c r="T71" s="9" t="s">
        <v>68</v>
      </c>
      <c r="U71" s="9" t="s">
        <v>68</v>
      </c>
      <c r="V71" s="9" t="s">
        <v>68</v>
      </c>
      <c r="W71" s="9" t="s">
        <v>68</v>
      </c>
      <c r="X71" s="9" t="s">
        <v>68</v>
      </c>
      <c r="Y71" s="84" t="s">
        <v>58</v>
      </c>
      <c r="Z71" s="85" t="s">
        <v>58</v>
      </c>
      <c r="AA71" s="86" t="s">
        <v>57</v>
      </c>
      <c r="AB71" s="86" t="s">
        <v>57</v>
      </c>
      <c r="AC71" s="85" t="s">
        <v>58</v>
      </c>
      <c r="AD71" s="85" t="s">
        <v>58</v>
      </c>
      <c r="AE71" s="87" t="s">
        <v>651</v>
      </c>
      <c r="AF71" s="14"/>
      <c r="AG71" s="14" t="str">
        <f t="shared" ref="AG71:AG83" si="6">VLOOKUP(H:H,'Pivot Table 8'!B:C,2,0)</f>
        <v>#REF!</v>
      </c>
      <c r="AH71" s="14"/>
      <c r="AI71" s="8" t="s">
        <v>71</v>
      </c>
      <c r="AJ71" s="14"/>
      <c r="AK71" s="14"/>
      <c r="AL71" s="14"/>
      <c r="AM71" s="14"/>
      <c r="AN71" s="14"/>
      <c r="AO71" s="14"/>
      <c r="AP71" s="14"/>
      <c r="AQ71" s="14"/>
      <c r="AR71" s="14"/>
    </row>
    <row r="72" ht="22.5" customHeight="1">
      <c r="A72" s="78">
        <v>46062.0</v>
      </c>
      <c r="B72" s="36" t="s">
        <v>652</v>
      </c>
      <c r="C72" s="8" t="s">
        <v>96</v>
      </c>
      <c r="D72" s="9" t="s">
        <v>46</v>
      </c>
      <c r="E72" s="9" t="s">
        <v>573</v>
      </c>
      <c r="F72" s="9" t="s">
        <v>574</v>
      </c>
      <c r="G72" s="10">
        <v>500003.0</v>
      </c>
      <c r="H72" s="9" t="s">
        <v>575</v>
      </c>
      <c r="I72" s="11" t="str">
        <f>VLOOKUP(H72,Mapping!D:E,2,0)</f>
        <v>begumpet</v>
      </c>
      <c r="J72" s="9" t="s">
        <v>161</v>
      </c>
      <c r="K72" s="12">
        <v>0.21</v>
      </c>
      <c r="L72" s="13" t="str">
        <f t="shared" si="1"/>
        <v>20%+</v>
      </c>
      <c r="M72" s="13">
        <v>0.018</v>
      </c>
      <c r="N72" s="14"/>
      <c r="O72" s="9" t="s">
        <v>574</v>
      </c>
      <c r="P72" s="15" t="s">
        <v>588</v>
      </c>
      <c r="Q72" s="9" t="s">
        <v>574</v>
      </c>
      <c r="R72" s="16" t="s">
        <v>577</v>
      </c>
      <c r="S72" s="9" t="s">
        <v>578</v>
      </c>
      <c r="T72" s="9" t="s">
        <v>579</v>
      </c>
      <c r="U72" s="9" t="s">
        <v>119</v>
      </c>
      <c r="V72" s="17">
        <v>9.23020067557565E14</v>
      </c>
      <c r="W72" s="9" t="s">
        <v>580</v>
      </c>
      <c r="X72" s="9" t="s">
        <v>80</v>
      </c>
      <c r="Y72" s="88" t="s">
        <v>57</v>
      </c>
      <c r="Z72" s="88" t="s">
        <v>57</v>
      </c>
      <c r="AA72" s="88" t="s">
        <v>57</v>
      </c>
      <c r="AB72" s="88" t="s">
        <v>58</v>
      </c>
      <c r="AC72" s="88" t="s">
        <v>57</v>
      </c>
      <c r="AD72" s="88" t="s">
        <v>58</v>
      </c>
      <c r="AE72" s="89" t="s">
        <v>653</v>
      </c>
      <c r="AF72" s="14"/>
      <c r="AG72" s="14" t="str">
        <f t="shared" si="6"/>
        <v>#REF!</v>
      </c>
      <c r="AH72" s="14"/>
      <c r="AI72" s="20"/>
      <c r="AJ72" s="14"/>
      <c r="AK72" s="14"/>
      <c r="AL72" s="14"/>
      <c r="AM72" s="14"/>
      <c r="AN72" s="14"/>
      <c r="AO72" s="14"/>
      <c r="AP72" s="14"/>
      <c r="AQ72" s="14"/>
      <c r="AR72" s="14"/>
    </row>
    <row r="73" ht="22.5" customHeight="1">
      <c r="A73" s="78">
        <v>46062.0</v>
      </c>
      <c r="B73" s="90" t="s">
        <v>654</v>
      </c>
      <c r="C73" s="8" t="s">
        <v>60</v>
      </c>
      <c r="D73" s="9" t="s">
        <v>46</v>
      </c>
      <c r="E73" s="9" t="s">
        <v>655</v>
      </c>
      <c r="F73" s="9" t="s">
        <v>656</v>
      </c>
      <c r="G73" s="10">
        <v>500072.0</v>
      </c>
      <c r="H73" s="9" t="s">
        <v>610</v>
      </c>
      <c r="I73" s="11" t="str">
        <f>VLOOKUP(H73,Mapping!D:E,2,0)</f>
        <v>kukatpally</v>
      </c>
      <c r="J73" s="9" t="s">
        <v>390</v>
      </c>
      <c r="K73" s="12">
        <v>0.22</v>
      </c>
      <c r="L73" s="13" t="str">
        <f t="shared" si="1"/>
        <v>20%+</v>
      </c>
      <c r="M73" s="13">
        <v>0.018</v>
      </c>
      <c r="N73" s="14"/>
      <c r="O73" s="15" t="s">
        <v>657</v>
      </c>
      <c r="P73" s="15" t="s">
        <v>658</v>
      </c>
      <c r="Q73" s="9" t="s">
        <v>656</v>
      </c>
      <c r="R73" s="16" t="s">
        <v>659</v>
      </c>
      <c r="S73" s="9" t="s">
        <v>660</v>
      </c>
      <c r="T73" s="9" t="s">
        <v>661</v>
      </c>
      <c r="U73" s="9" t="s">
        <v>662</v>
      </c>
      <c r="V73" s="17">
        <v>1.51010400003791E15</v>
      </c>
      <c r="W73" s="9" t="s">
        <v>663</v>
      </c>
      <c r="X73" s="9" t="s">
        <v>56</v>
      </c>
      <c r="Y73" s="91" t="s">
        <v>57</v>
      </c>
      <c r="Z73" s="92" t="s">
        <v>58</v>
      </c>
      <c r="AA73" s="91" t="s">
        <v>57</v>
      </c>
      <c r="AB73" s="91" t="s">
        <v>57</v>
      </c>
      <c r="AC73" s="92" t="s">
        <v>58</v>
      </c>
      <c r="AD73" s="92" t="s">
        <v>58</v>
      </c>
      <c r="AE73" s="93" t="s">
        <v>664</v>
      </c>
      <c r="AF73" s="14"/>
      <c r="AG73" s="14" t="str">
        <f t="shared" si="6"/>
        <v>#REF!</v>
      </c>
      <c r="AH73" s="14"/>
      <c r="AI73" s="20"/>
      <c r="AJ73" s="14"/>
      <c r="AK73" s="14"/>
      <c r="AL73" s="14"/>
      <c r="AM73" s="14"/>
      <c r="AN73" s="14"/>
      <c r="AO73" s="14"/>
      <c r="AP73" s="14"/>
      <c r="AQ73" s="14"/>
      <c r="AR73" s="14"/>
    </row>
    <row r="74" ht="22.5" customHeight="1">
      <c r="A74" s="78">
        <v>46062.0</v>
      </c>
      <c r="B74" s="34" t="s">
        <v>665</v>
      </c>
      <c r="C74" s="8" t="s">
        <v>241</v>
      </c>
      <c r="D74" s="9" t="s">
        <v>46</v>
      </c>
      <c r="E74" s="9" t="s">
        <v>573</v>
      </c>
      <c r="F74" s="9" t="s">
        <v>574</v>
      </c>
      <c r="G74" s="10">
        <v>500003.0</v>
      </c>
      <c r="H74" s="9" t="s">
        <v>575</v>
      </c>
      <c r="I74" s="11" t="str">
        <f>VLOOKUP(H74,Mapping!D:E,2,0)</f>
        <v>begumpet</v>
      </c>
      <c r="J74" s="9" t="s">
        <v>161</v>
      </c>
      <c r="K74" s="94">
        <v>0.21</v>
      </c>
      <c r="L74" s="13" t="str">
        <f t="shared" si="1"/>
        <v>20%+</v>
      </c>
      <c r="M74" s="13">
        <v>0.018</v>
      </c>
      <c r="N74" s="14"/>
      <c r="O74" s="9" t="s">
        <v>574</v>
      </c>
      <c r="P74" s="15" t="s">
        <v>666</v>
      </c>
      <c r="Q74" s="9" t="s">
        <v>574</v>
      </c>
      <c r="R74" s="16" t="s">
        <v>577</v>
      </c>
      <c r="S74" s="9" t="s">
        <v>578</v>
      </c>
      <c r="T74" s="9" t="s">
        <v>579</v>
      </c>
      <c r="U74" s="9" t="s">
        <v>119</v>
      </c>
      <c r="V74" s="17">
        <v>9.23020067557565E14</v>
      </c>
      <c r="W74" s="9" t="s">
        <v>580</v>
      </c>
      <c r="X74" s="9" t="s">
        <v>80</v>
      </c>
      <c r="Y74" s="18" t="s">
        <v>57</v>
      </c>
      <c r="Z74" s="18" t="s">
        <v>57</v>
      </c>
      <c r="AA74" s="18" t="s">
        <v>57</v>
      </c>
      <c r="AB74" s="18" t="s">
        <v>58</v>
      </c>
      <c r="AC74" s="18" t="s">
        <v>58</v>
      </c>
      <c r="AD74" s="18" t="s">
        <v>58</v>
      </c>
      <c r="AE74" s="9" t="s">
        <v>667</v>
      </c>
      <c r="AF74" s="14"/>
      <c r="AG74" s="14" t="str">
        <f t="shared" si="6"/>
        <v>#REF!</v>
      </c>
      <c r="AH74" s="14"/>
      <c r="AI74" s="20"/>
      <c r="AJ74" s="14"/>
      <c r="AK74" s="14"/>
      <c r="AL74" s="14"/>
      <c r="AM74" s="14"/>
      <c r="AN74" s="14"/>
      <c r="AO74" s="14"/>
      <c r="AP74" s="14"/>
      <c r="AQ74" s="14"/>
      <c r="AR74" s="14"/>
    </row>
    <row r="75" ht="22.5" customHeight="1">
      <c r="A75" s="78">
        <v>46062.0</v>
      </c>
      <c r="B75" s="34" t="s">
        <v>668</v>
      </c>
      <c r="C75" s="8" t="s">
        <v>186</v>
      </c>
      <c r="D75" s="9" t="s">
        <v>61</v>
      </c>
      <c r="E75" s="9" t="s">
        <v>669</v>
      </c>
      <c r="F75" s="9" t="s">
        <v>670</v>
      </c>
      <c r="G75" s="10">
        <v>500026.0</v>
      </c>
      <c r="H75" s="9" t="s">
        <v>512</v>
      </c>
      <c r="I75" s="11" t="str">
        <f>VLOOKUP(H75,Mapping!D:E,2,0)</f>
        <v>miyapur</v>
      </c>
      <c r="J75" s="9" t="s">
        <v>390</v>
      </c>
      <c r="K75" s="12">
        <v>0.17</v>
      </c>
      <c r="L75" s="13" t="str">
        <f t="shared" si="1"/>
        <v>&lt;20%</v>
      </c>
      <c r="M75" s="13">
        <v>0.018</v>
      </c>
      <c r="N75" s="14"/>
      <c r="O75" s="15" t="s">
        <v>671</v>
      </c>
      <c r="P75" s="9" t="s">
        <v>672</v>
      </c>
      <c r="Q75" s="9" t="s">
        <v>670</v>
      </c>
      <c r="R75" s="16" t="s">
        <v>673</v>
      </c>
      <c r="S75" s="9" t="s">
        <v>674</v>
      </c>
      <c r="T75" s="9" t="s">
        <v>675</v>
      </c>
      <c r="U75" s="9" t="s">
        <v>194</v>
      </c>
      <c r="V75" s="17">
        <v>1.11605002567E11</v>
      </c>
      <c r="W75" s="9" t="s">
        <v>676</v>
      </c>
      <c r="X75" s="9" t="s">
        <v>80</v>
      </c>
      <c r="Y75" s="18" t="s">
        <v>57</v>
      </c>
      <c r="Z75" s="18" t="s">
        <v>57</v>
      </c>
      <c r="AA75" s="18" t="s">
        <v>57</v>
      </c>
      <c r="AB75" s="18" t="s">
        <v>57</v>
      </c>
      <c r="AC75" s="18" t="s">
        <v>57</v>
      </c>
      <c r="AD75" s="18" t="s">
        <v>58</v>
      </c>
      <c r="AE75" s="40" t="s">
        <v>677</v>
      </c>
      <c r="AF75" s="95" t="s">
        <v>678</v>
      </c>
      <c r="AG75" s="14" t="str">
        <f t="shared" si="6"/>
        <v>#REF!</v>
      </c>
      <c r="AH75" s="9" t="s">
        <v>634</v>
      </c>
      <c r="AI75" s="20"/>
      <c r="AJ75" s="14"/>
      <c r="AK75" s="14"/>
      <c r="AL75" s="14"/>
      <c r="AM75" s="14"/>
      <c r="AN75" s="14"/>
      <c r="AO75" s="14"/>
      <c r="AP75" s="14"/>
      <c r="AQ75" s="14"/>
      <c r="AR75" s="14"/>
    </row>
    <row r="76" ht="22.5" customHeight="1">
      <c r="A76" s="96">
        <v>46062.0</v>
      </c>
      <c r="B76" s="34" t="s">
        <v>668</v>
      </c>
      <c r="C76" s="8" t="s">
        <v>186</v>
      </c>
      <c r="D76" s="9" t="s">
        <v>61</v>
      </c>
      <c r="E76" s="9" t="s">
        <v>679</v>
      </c>
      <c r="F76" s="9" t="s">
        <v>670</v>
      </c>
      <c r="G76" s="10">
        <v>500050.0</v>
      </c>
      <c r="H76" s="9" t="s">
        <v>680</v>
      </c>
      <c r="I76" s="11" t="str">
        <f>VLOOKUP(H76,Mapping!D:E,2,0)</f>
        <v>miyapur</v>
      </c>
      <c r="J76" s="9" t="s">
        <v>390</v>
      </c>
      <c r="K76" s="12">
        <v>0.17</v>
      </c>
      <c r="L76" s="13" t="str">
        <f t="shared" si="1"/>
        <v>&lt;20%</v>
      </c>
      <c r="M76" s="13">
        <v>0.018</v>
      </c>
      <c r="N76" s="14"/>
      <c r="O76" s="9" t="s">
        <v>671</v>
      </c>
      <c r="P76" s="9" t="s">
        <v>681</v>
      </c>
      <c r="Q76" s="9" t="s">
        <v>670</v>
      </c>
      <c r="R76" s="16" t="s">
        <v>673</v>
      </c>
      <c r="S76" s="9" t="s">
        <v>682</v>
      </c>
      <c r="T76" s="9" t="s">
        <v>68</v>
      </c>
      <c r="U76" s="9" t="s">
        <v>194</v>
      </c>
      <c r="V76" s="17">
        <v>1.11605002567E11</v>
      </c>
      <c r="W76" s="9" t="s">
        <v>676</v>
      </c>
      <c r="X76" s="9" t="s">
        <v>80</v>
      </c>
      <c r="Y76" s="18" t="s">
        <v>57</v>
      </c>
      <c r="Z76" s="18" t="s">
        <v>57</v>
      </c>
      <c r="AA76" s="18" t="s">
        <v>57</v>
      </c>
      <c r="AB76" s="18" t="s">
        <v>57</v>
      </c>
      <c r="AC76" s="18" t="s">
        <v>57</v>
      </c>
      <c r="AD76" s="18" t="s">
        <v>58</v>
      </c>
      <c r="AE76" s="40" t="s">
        <v>683</v>
      </c>
      <c r="AF76" s="40" t="s">
        <v>678</v>
      </c>
      <c r="AG76" s="14" t="str">
        <f t="shared" si="6"/>
        <v>#REF!</v>
      </c>
      <c r="AH76" s="9" t="s">
        <v>634</v>
      </c>
      <c r="AI76" s="20"/>
      <c r="AJ76" s="14"/>
      <c r="AK76" s="14"/>
      <c r="AL76" s="14"/>
      <c r="AM76" s="14"/>
      <c r="AN76" s="14"/>
      <c r="AO76" s="14"/>
      <c r="AP76" s="14"/>
      <c r="AQ76" s="14"/>
      <c r="AR76" s="14"/>
    </row>
    <row r="77" ht="22.5" customHeight="1">
      <c r="A77" s="78">
        <v>46062.0</v>
      </c>
      <c r="B77" s="34" t="s">
        <v>668</v>
      </c>
      <c r="C77" s="8" t="s">
        <v>186</v>
      </c>
      <c r="D77" s="9" t="s">
        <v>61</v>
      </c>
      <c r="E77" s="9" t="s">
        <v>684</v>
      </c>
      <c r="F77" s="9" t="s">
        <v>670</v>
      </c>
      <c r="G77" s="10">
        <v>500082.0</v>
      </c>
      <c r="H77" s="9" t="s">
        <v>623</v>
      </c>
      <c r="I77" s="11" t="str">
        <f>VLOOKUP(H77,Mapping!D:E,2,0)</f>
        <v>Sherilingampally</v>
      </c>
      <c r="J77" s="9" t="s">
        <v>390</v>
      </c>
      <c r="K77" s="12">
        <v>0.17</v>
      </c>
      <c r="L77" s="13" t="str">
        <f t="shared" si="1"/>
        <v>&lt;20%</v>
      </c>
      <c r="M77" s="13">
        <v>0.018</v>
      </c>
      <c r="N77" s="14"/>
      <c r="O77" s="9" t="s">
        <v>671</v>
      </c>
      <c r="P77" s="9" t="s">
        <v>685</v>
      </c>
      <c r="Q77" s="9" t="s">
        <v>670</v>
      </c>
      <c r="R77" s="16" t="s">
        <v>673</v>
      </c>
      <c r="S77" s="9" t="s">
        <v>682</v>
      </c>
      <c r="T77" s="9" t="s">
        <v>675</v>
      </c>
      <c r="U77" s="9" t="s">
        <v>194</v>
      </c>
      <c r="V77" s="17">
        <v>1.11605002567E11</v>
      </c>
      <c r="W77" s="9" t="s">
        <v>676</v>
      </c>
      <c r="X77" s="9" t="s">
        <v>80</v>
      </c>
      <c r="Y77" s="18" t="s">
        <v>57</v>
      </c>
      <c r="Z77" s="18" t="s">
        <v>57</v>
      </c>
      <c r="AA77" s="18" t="s">
        <v>57</v>
      </c>
      <c r="AB77" s="18" t="s">
        <v>57</v>
      </c>
      <c r="AC77" s="18" t="s">
        <v>57</v>
      </c>
      <c r="AD77" s="18" t="s">
        <v>58</v>
      </c>
      <c r="AE77" s="40" t="s">
        <v>686</v>
      </c>
      <c r="AF77" s="40" t="s">
        <v>678</v>
      </c>
      <c r="AG77" s="14" t="str">
        <f t="shared" si="6"/>
        <v>#REF!</v>
      </c>
      <c r="AH77" s="9" t="s">
        <v>634</v>
      </c>
      <c r="AI77" s="20"/>
      <c r="AJ77" s="14"/>
      <c r="AK77" s="14"/>
      <c r="AL77" s="14"/>
      <c r="AM77" s="14"/>
      <c r="AN77" s="14"/>
      <c r="AO77" s="14"/>
      <c r="AP77" s="14"/>
      <c r="AQ77" s="14"/>
      <c r="AR77" s="14"/>
    </row>
    <row r="78" ht="22.5" customHeight="1">
      <c r="A78" s="80">
        <v>46062.0</v>
      </c>
      <c r="B78" s="26" t="s">
        <v>687</v>
      </c>
      <c r="C78" s="8" t="s">
        <v>96</v>
      </c>
      <c r="D78" s="9" t="s">
        <v>46</v>
      </c>
      <c r="E78" s="39" t="s">
        <v>688</v>
      </c>
      <c r="F78" s="9" t="s">
        <v>689</v>
      </c>
      <c r="G78" s="10">
        <v>500082.0</v>
      </c>
      <c r="H78" s="9" t="s">
        <v>690</v>
      </c>
      <c r="I78" s="11" t="str">
        <f>VLOOKUP(H78,Mapping!D:E,2,0)</f>
        <v>panjagutta</v>
      </c>
      <c r="J78" s="9" t="s">
        <v>161</v>
      </c>
      <c r="K78" s="12">
        <v>0.22</v>
      </c>
      <c r="L78" s="13" t="str">
        <f t="shared" si="1"/>
        <v>20%+</v>
      </c>
      <c r="M78" s="13">
        <v>0.018</v>
      </c>
      <c r="N78" s="14"/>
      <c r="O78" s="15" t="s">
        <v>691</v>
      </c>
      <c r="P78" s="15" t="s">
        <v>692</v>
      </c>
      <c r="Q78" s="9" t="s">
        <v>693</v>
      </c>
      <c r="R78" s="16" t="s">
        <v>694</v>
      </c>
      <c r="S78" s="9" t="s">
        <v>695</v>
      </c>
      <c r="T78" s="15" t="s">
        <v>691</v>
      </c>
      <c r="U78" s="9" t="s">
        <v>131</v>
      </c>
      <c r="V78" s="17">
        <v>6.2364741647E10</v>
      </c>
      <c r="W78" s="9" t="s">
        <v>696</v>
      </c>
      <c r="X78" s="9" t="s">
        <v>80</v>
      </c>
      <c r="Y78" s="18" t="s">
        <v>57</v>
      </c>
      <c r="Z78" s="18" t="s">
        <v>57</v>
      </c>
      <c r="AA78" s="18" t="s">
        <v>57</v>
      </c>
      <c r="AB78" s="18" t="s">
        <v>57</v>
      </c>
      <c r="AC78" s="18" t="s">
        <v>57</v>
      </c>
      <c r="AD78" s="18" t="s">
        <v>58</v>
      </c>
      <c r="AE78" s="35" t="s">
        <v>697</v>
      </c>
      <c r="AF78" s="14"/>
      <c r="AG78" s="14" t="str">
        <f t="shared" si="6"/>
        <v>#REF!</v>
      </c>
      <c r="AH78" s="14"/>
      <c r="AI78" s="20"/>
      <c r="AJ78" s="14"/>
      <c r="AK78" s="14"/>
      <c r="AL78" s="14"/>
      <c r="AM78" s="14"/>
      <c r="AN78" s="14"/>
      <c r="AO78" s="14"/>
      <c r="AP78" s="14"/>
      <c r="AQ78" s="14"/>
      <c r="AR78" s="14"/>
    </row>
    <row r="79" ht="22.5" customHeight="1">
      <c r="A79" s="80">
        <v>46062.0</v>
      </c>
      <c r="B79" s="34" t="s">
        <v>698</v>
      </c>
      <c r="C79" s="8" t="s">
        <v>96</v>
      </c>
      <c r="D79" s="9" t="s">
        <v>46</v>
      </c>
      <c r="E79" s="39" t="s">
        <v>699</v>
      </c>
      <c r="F79" s="9" t="s">
        <v>698</v>
      </c>
      <c r="G79" s="10">
        <v>500003.0</v>
      </c>
      <c r="H79" s="9" t="s">
        <v>575</v>
      </c>
      <c r="I79" s="11" t="str">
        <f>VLOOKUP(H79,Mapping!D:E,2,0)</f>
        <v>begumpet</v>
      </c>
      <c r="J79" s="9" t="s">
        <v>161</v>
      </c>
      <c r="K79" s="12">
        <v>0.22</v>
      </c>
      <c r="L79" s="13" t="str">
        <f t="shared" si="1"/>
        <v>20%+</v>
      </c>
      <c r="M79" s="13">
        <v>0.018</v>
      </c>
      <c r="N79" s="14"/>
      <c r="O79" s="9" t="s">
        <v>698</v>
      </c>
      <c r="P79" s="39" t="s">
        <v>700</v>
      </c>
      <c r="Q79" s="9" t="s">
        <v>609</v>
      </c>
      <c r="R79" s="16" t="s">
        <v>701</v>
      </c>
      <c r="S79" s="9" t="s">
        <v>702</v>
      </c>
      <c r="T79" s="9" t="s">
        <v>68</v>
      </c>
      <c r="U79" s="9" t="s">
        <v>703</v>
      </c>
      <c r="V79" s="17">
        <v>1.0085657065E10</v>
      </c>
      <c r="W79" s="9" t="s">
        <v>704</v>
      </c>
      <c r="X79" s="9" t="s">
        <v>68</v>
      </c>
      <c r="Y79" s="18" t="s">
        <v>57</v>
      </c>
      <c r="Z79" s="18" t="s">
        <v>58</v>
      </c>
      <c r="AA79" s="18" t="s">
        <v>57</v>
      </c>
      <c r="AB79" s="18" t="s">
        <v>57</v>
      </c>
      <c r="AC79" s="18" t="s">
        <v>57</v>
      </c>
      <c r="AD79" s="18" t="s">
        <v>58</v>
      </c>
      <c r="AE79" s="35" t="s">
        <v>705</v>
      </c>
      <c r="AF79" s="14"/>
      <c r="AG79" s="14" t="str">
        <f t="shared" si="6"/>
        <v>#REF!</v>
      </c>
      <c r="AH79" s="14"/>
      <c r="AI79" s="20"/>
      <c r="AJ79" s="14"/>
      <c r="AK79" s="14"/>
      <c r="AL79" s="14"/>
      <c r="AM79" s="14"/>
      <c r="AN79" s="14"/>
      <c r="AO79" s="14"/>
      <c r="AP79" s="14"/>
      <c r="AQ79" s="14"/>
      <c r="AR79" s="14"/>
    </row>
    <row r="80" ht="22.5" customHeight="1">
      <c r="A80" s="80">
        <v>46062.0</v>
      </c>
      <c r="B80" s="34" t="s">
        <v>706</v>
      </c>
      <c r="C80" s="8" t="s">
        <v>73</v>
      </c>
      <c r="D80" s="9" t="s">
        <v>46</v>
      </c>
      <c r="E80" s="9" t="s">
        <v>707</v>
      </c>
      <c r="F80" s="9" t="s">
        <v>708</v>
      </c>
      <c r="G80" s="10">
        <v>500085.0</v>
      </c>
      <c r="H80" s="9" t="s">
        <v>610</v>
      </c>
      <c r="I80" s="11" t="str">
        <f>VLOOKUP(H80,Mapping!D:E,2,0)</f>
        <v>kukatpally</v>
      </c>
      <c r="J80" s="9" t="s">
        <v>390</v>
      </c>
      <c r="K80" s="12">
        <v>0.185</v>
      </c>
      <c r="L80" s="13" t="str">
        <f t="shared" si="1"/>
        <v>&lt;20%</v>
      </c>
      <c r="M80" s="13">
        <v>0.018</v>
      </c>
      <c r="N80" s="14"/>
      <c r="O80" s="15" t="s">
        <v>706</v>
      </c>
      <c r="P80" s="9" t="s">
        <v>610</v>
      </c>
      <c r="Q80" s="9" t="s">
        <v>709</v>
      </c>
      <c r="R80" s="16" t="s">
        <v>710</v>
      </c>
      <c r="S80" s="9" t="s">
        <v>711</v>
      </c>
      <c r="T80" s="15" t="s">
        <v>706</v>
      </c>
      <c r="U80" s="9" t="s">
        <v>131</v>
      </c>
      <c r="V80" s="17">
        <v>4.4573150739E10</v>
      </c>
      <c r="W80" s="9" t="s">
        <v>712</v>
      </c>
      <c r="X80" s="9" t="s">
        <v>80</v>
      </c>
      <c r="Y80" s="18" t="s">
        <v>57</v>
      </c>
      <c r="Z80" s="18" t="s">
        <v>57</v>
      </c>
      <c r="AA80" s="18" t="s">
        <v>57</v>
      </c>
      <c r="AB80" s="18" t="s">
        <v>57</v>
      </c>
      <c r="AC80" s="18" t="s">
        <v>57</v>
      </c>
      <c r="AD80" s="18" t="s">
        <v>58</v>
      </c>
      <c r="AE80" s="35" t="s">
        <v>713</v>
      </c>
      <c r="AF80" s="14"/>
      <c r="AG80" s="14" t="str">
        <f t="shared" si="6"/>
        <v>#REF!</v>
      </c>
      <c r="AH80" s="14"/>
      <c r="AI80" s="20"/>
      <c r="AJ80" s="14"/>
      <c r="AK80" s="14"/>
      <c r="AL80" s="14"/>
      <c r="AM80" s="14"/>
      <c r="AN80" s="14"/>
      <c r="AO80" s="14"/>
      <c r="AP80" s="14"/>
      <c r="AQ80" s="14"/>
      <c r="AR80" s="14"/>
    </row>
    <row r="81" ht="22.5" customHeight="1">
      <c r="A81" s="80">
        <v>46063.0</v>
      </c>
      <c r="B81" s="97" t="s">
        <v>714</v>
      </c>
      <c r="C81" s="8" t="s">
        <v>45</v>
      </c>
      <c r="D81" s="9" t="s">
        <v>61</v>
      </c>
      <c r="E81" s="9" t="s">
        <v>715</v>
      </c>
      <c r="F81" s="9"/>
      <c r="G81" s="10">
        <v>500032.0</v>
      </c>
      <c r="H81" s="9" t="s">
        <v>716</v>
      </c>
      <c r="I81" s="11" t="str">
        <f>VLOOKUP(H81,Mapping!D:E,2,0)</f>
        <v>nanakramguda</v>
      </c>
      <c r="J81" s="9" t="s">
        <v>303</v>
      </c>
      <c r="K81" s="12">
        <v>0.15</v>
      </c>
      <c r="L81" s="13" t="str">
        <f t="shared" si="1"/>
        <v>&lt;17%</v>
      </c>
      <c r="M81" s="13">
        <v>0.018</v>
      </c>
      <c r="N81" s="14"/>
      <c r="O81" s="15" t="s">
        <v>717</v>
      </c>
      <c r="P81" s="9" t="s">
        <v>718</v>
      </c>
      <c r="Q81" s="9" t="s">
        <v>277</v>
      </c>
      <c r="R81" s="16" t="s">
        <v>719</v>
      </c>
      <c r="S81" s="9" t="s">
        <v>279</v>
      </c>
      <c r="T81" s="15" t="s">
        <v>717</v>
      </c>
      <c r="U81" s="9" t="s">
        <v>131</v>
      </c>
      <c r="V81" s="17">
        <v>9.748601141E9</v>
      </c>
      <c r="W81" s="9" t="s">
        <v>720</v>
      </c>
      <c r="X81" s="9" t="s">
        <v>80</v>
      </c>
      <c r="Y81" s="18" t="s">
        <v>57</v>
      </c>
      <c r="Z81" s="18" t="s">
        <v>57</v>
      </c>
      <c r="AA81" s="18" t="s">
        <v>57</v>
      </c>
      <c r="AB81" s="18" t="s">
        <v>57</v>
      </c>
      <c r="AC81" s="18" t="s">
        <v>58</v>
      </c>
      <c r="AD81" s="18" t="s">
        <v>58</v>
      </c>
      <c r="AE81" s="33" t="s">
        <v>721</v>
      </c>
      <c r="AF81" s="14"/>
      <c r="AG81" s="14" t="str">
        <f t="shared" si="6"/>
        <v>#REF!</v>
      </c>
      <c r="AH81" s="14"/>
      <c r="AI81" s="20"/>
      <c r="AJ81" s="14"/>
      <c r="AK81" s="14"/>
      <c r="AL81" s="14"/>
      <c r="AM81" s="14"/>
      <c r="AN81" s="14"/>
      <c r="AO81" s="14"/>
      <c r="AP81" s="14"/>
      <c r="AQ81" s="14"/>
      <c r="AR81" s="14"/>
    </row>
    <row r="82" ht="22.5" customHeight="1">
      <c r="A82" s="80">
        <v>46063.0</v>
      </c>
      <c r="B82" s="97" t="s">
        <v>722</v>
      </c>
      <c r="C82" s="8" t="s">
        <v>45</v>
      </c>
      <c r="D82" s="9" t="s">
        <v>61</v>
      </c>
      <c r="E82" s="9" t="s">
        <v>723</v>
      </c>
      <c r="F82" s="9"/>
      <c r="G82" s="10">
        <v>500032.0</v>
      </c>
      <c r="H82" s="9" t="s">
        <v>716</v>
      </c>
      <c r="I82" s="11" t="str">
        <f>VLOOKUP(H82,Mapping!D:E,2,0)</f>
        <v>nanakramguda</v>
      </c>
      <c r="J82" s="9" t="s">
        <v>303</v>
      </c>
      <c r="K82" s="12">
        <v>0.15</v>
      </c>
      <c r="L82" s="13" t="str">
        <f t="shared" si="1"/>
        <v>&lt;17%</v>
      </c>
      <c r="M82" s="13">
        <v>0.018</v>
      </c>
      <c r="N82" s="14"/>
      <c r="O82" s="15" t="s">
        <v>717</v>
      </c>
      <c r="P82" s="9" t="s">
        <v>724</v>
      </c>
      <c r="Q82" s="9" t="s">
        <v>277</v>
      </c>
      <c r="R82" s="16" t="s">
        <v>719</v>
      </c>
      <c r="S82" s="9" t="s">
        <v>279</v>
      </c>
      <c r="T82" s="15" t="s">
        <v>717</v>
      </c>
      <c r="U82" s="9" t="s">
        <v>91</v>
      </c>
      <c r="V82" s="17">
        <v>5.0200037904604E13</v>
      </c>
      <c r="W82" s="9" t="s">
        <v>725</v>
      </c>
      <c r="X82" s="9" t="s">
        <v>80</v>
      </c>
      <c r="Y82" s="18" t="s">
        <v>57</v>
      </c>
      <c r="Z82" s="18" t="s">
        <v>57</v>
      </c>
      <c r="AA82" s="18" t="s">
        <v>57</v>
      </c>
      <c r="AB82" s="18" t="s">
        <v>57</v>
      </c>
      <c r="AC82" s="18" t="s">
        <v>58</v>
      </c>
      <c r="AD82" s="18" t="s">
        <v>58</v>
      </c>
      <c r="AE82" s="35" t="s">
        <v>726</v>
      </c>
      <c r="AF82" s="14"/>
      <c r="AG82" s="14" t="str">
        <f t="shared" si="6"/>
        <v>#REF!</v>
      </c>
      <c r="AH82" s="14"/>
      <c r="AI82" s="20"/>
      <c r="AJ82" s="14"/>
      <c r="AK82" s="14"/>
      <c r="AL82" s="14"/>
      <c r="AM82" s="14"/>
      <c r="AN82" s="14"/>
      <c r="AO82" s="14"/>
      <c r="AP82" s="14"/>
      <c r="AQ82" s="14"/>
      <c r="AR82" s="14"/>
    </row>
    <row r="83" ht="22.5" customHeight="1">
      <c r="A83" s="81">
        <v>46063.0</v>
      </c>
      <c r="B83" s="97" t="s">
        <v>727</v>
      </c>
      <c r="C83" s="8" t="s">
        <v>45</v>
      </c>
      <c r="D83" s="9" t="s">
        <v>46</v>
      </c>
      <c r="E83" s="9" t="s">
        <v>728</v>
      </c>
      <c r="F83" s="9" t="s">
        <v>729</v>
      </c>
      <c r="G83" s="10">
        <v>500028.0</v>
      </c>
      <c r="H83" s="9" t="s">
        <v>49</v>
      </c>
      <c r="I83" s="11" t="str">
        <f>VLOOKUP(H83,Mapping!D:E,2,0)</f>
        <v>masab tank</v>
      </c>
      <c r="J83" s="9" t="s">
        <v>50</v>
      </c>
      <c r="K83" s="12">
        <v>0.2</v>
      </c>
      <c r="L83" s="13" t="str">
        <f t="shared" si="1"/>
        <v>20%+</v>
      </c>
      <c r="M83" s="13">
        <v>0.018</v>
      </c>
      <c r="N83" s="14"/>
      <c r="O83" s="9" t="s">
        <v>729</v>
      </c>
      <c r="P83" s="9" t="s">
        <v>729</v>
      </c>
      <c r="Q83" s="9" t="s">
        <v>729</v>
      </c>
      <c r="R83" s="9" t="s">
        <v>729</v>
      </c>
      <c r="S83" s="9" t="s">
        <v>729</v>
      </c>
      <c r="T83" s="9" t="s">
        <v>729</v>
      </c>
      <c r="U83" s="9" t="s">
        <v>729</v>
      </c>
      <c r="V83" s="9" t="s">
        <v>729</v>
      </c>
      <c r="W83" s="9" t="s">
        <v>729</v>
      </c>
      <c r="X83" s="9" t="s">
        <v>729</v>
      </c>
      <c r="Y83" s="18" t="s">
        <v>58</v>
      </c>
      <c r="Z83" s="18" t="s">
        <v>58</v>
      </c>
      <c r="AA83" s="18" t="s">
        <v>58</v>
      </c>
      <c r="AB83" s="18" t="s">
        <v>58</v>
      </c>
      <c r="AC83" s="18" t="s">
        <v>58</v>
      </c>
      <c r="AD83" s="18" t="s">
        <v>58</v>
      </c>
      <c r="AE83" s="14"/>
      <c r="AF83" s="14"/>
      <c r="AG83" s="14" t="str">
        <f t="shared" si="6"/>
        <v>#REF!</v>
      </c>
      <c r="AH83" s="9" t="s">
        <v>730</v>
      </c>
      <c r="AI83" s="20"/>
      <c r="AJ83" s="14"/>
      <c r="AK83" s="14"/>
      <c r="AL83" s="14"/>
      <c r="AM83" s="14"/>
      <c r="AN83" s="14"/>
      <c r="AO83" s="14"/>
      <c r="AP83" s="14"/>
      <c r="AQ83" s="14"/>
      <c r="AR83" s="14"/>
    </row>
    <row r="84" ht="22.5" customHeight="1">
      <c r="A84" s="68">
        <v>46063.0</v>
      </c>
      <c r="B84" s="69" t="s">
        <v>731</v>
      </c>
      <c r="C84" s="8" t="s">
        <v>144</v>
      </c>
      <c r="D84" s="9" t="s">
        <v>68</v>
      </c>
      <c r="E84" s="9" t="s">
        <v>508</v>
      </c>
      <c r="F84" s="9" t="s">
        <v>68</v>
      </c>
      <c r="G84" s="9" t="s">
        <v>68</v>
      </c>
      <c r="H84" s="9" t="s">
        <v>302</v>
      </c>
      <c r="I84" s="10" t="str">
        <f>VLOOKUP(H84,Mapping!D:E,2,0)</f>
        <v>manikonda</v>
      </c>
      <c r="J84" s="11" t="str">
        <f>VLOOKUP(I84,Mapping!A:B,2,0)</f>
        <v>Zone 3 Raidurg</v>
      </c>
      <c r="K84" s="9" t="s">
        <v>68</v>
      </c>
      <c r="L84" s="14" t="str">
        <f t="shared" si="1"/>
        <v>20%+</v>
      </c>
      <c r="M84" s="13">
        <v>0.018</v>
      </c>
      <c r="N84" s="9"/>
      <c r="O84" s="9" t="s">
        <v>68</v>
      </c>
      <c r="P84" s="9" t="s">
        <v>68</v>
      </c>
      <c r="Q84" s="9" t="s">
        <v>68</v>
      </c>
      <c r="R84" s="9" t="s">
        <v>68</v>
      </c>
      <c r="S84" s="9" t="s">
        <v>68</v>
      </c>
      <c r="T84" s="9" t="s">
        <v>68</v>
      </c>
      <c r="U84" s="9" t="s">
        <v>68</v>
      </c>
      <c r="V84" s="9" t="s">
        <v>68</v>
      </c>
      <c r="W84" s="9" t="s">
        <v>68</v>
      </c>
      <c r="X84" s="9" t="s">
        <v>68</v>
      </c>
      <c r="Y84" s="18" t="s">
        <v>58</v>
      </c>
      <c r="Z84" s="18" t="s">
        <v>58</v>
      </c>
      <c r="AA84" s="18" t="s">
        <v>58</v>
      </c>
      <c r="AB84" s="18" t="s">
        <v>58</v>
      </c>
      <c r="AC84" s="18" t="s">
        <v>58</v>
      </c>
      <c r="AD84" s="18" t="s">
        <v>58</v>
      </c>
      <c r="AE84" s="14"/>
      <c r="AF84" s="14"/>
      <c r="AH84" s="14"/>
      <c r="AI84" s="20"/>
      <c r="AJ84" s="14"/>
      <c r="AK84" s="14"/>
      <c r="AL84" s="14"/>
      <c r="AM84" s="14"/>
      <c r="AN84" s="14"/>
      <c r="AO84" s="14"/>
      <c r="AP84" s="14"/>
      <c r="AQ84" s="14"/>
      <c r="AR84" s="14"/>
    </row>
    <row r="85" ht="22.5" customHeight="1">
      <c r="A85" s="80">
        <v>46064.0</v>
      </c>
      <c r="B85" s="36" t="s">
        <v>732</v>
      </c>
      <c r="C85" s="8" t="s">
        <v>144</v>
      </c>
      <c r="D85" s="9" t="s">
        <v>46</v>
      </c>
      <c r="E85" s="39" t="s">
        <v>733</v>
      </c>
      <c r="F85" s="9" t="s">
        <v>734</v>
      </c>
      <c r="G85" s="98">
        <v>500033.0</v>
      </c>
      <c r="H85" s="99" t="s">
        <v>735</v>
      </c>
      <c r="I85" s="11" t="str">
        <f>VLOOKUP(H85,Mapping!D:E,2,0)</f>
        <v>shaikpet</v>
      </c>
      <c r="J85" s="9" t="s">
        <v>303</v>
      </c>
      <c r="K85" s="12">
        <v>0.2</v>
      </c>
      <c r="L85" s="13" t="str">
        <f t="shared" si="1"/>
        <v>20%+</v>
      </c>
      <c r="M85" s="13">
        <v>0.018</v>
      </c>
      <c r="N85" s="14"/>
      <c r="O85" s="15" t="s">
        <v>732</v>
      </c>
      <c r="P85" s="15" t="s">
        <v>736</v>
      </c>
      <c r="Q85" s="9" t="s">
        <v>734</v>
      </c>
      <c r="R85" s="16" t="s">
        <v>737</v>
      </c>
      <c r="S85" s="9" t="s">
        <v>68</v>
      </c>
      <c r="T85" s="15" t="s">
        <v>732</v>
      </c>
      <c r="U85" s="9" t="s">
        <v>738</v>
      </c>
      <c r="V85" s="9" t="s">
        <v>739</v>
      </c>
      <c r="W85" s="9" t="s">
        <v>740</v>
      </c>
      <c r="X85" s="9" t="s">
        <v>80</v>
      </c>
      <c r="Y85" s="18" t="s">
        <v>57</v>
      </c>
      <c r="Z85" s="18" t="s">
        <v>57</v>
      </c>
      <c r="AA85" s="18" t="s">
        <v>57</v>
      </c>
      <c r="AB85" s="18" t="s">
        <v>58</v>
      </c>
      <c r="AC85" s="18" t="s">
        <v>58</v>
      </c>
      <c r="AD85" s="18" t="s">
        <v>58</v>
      </c>
      <c r="AE85" s="9" t="s">
        <v>741</v>
      </c>
      <c r="AF85" s="35" t="s">
        <v>742</v>
      </c>
      <c r="AG85" s="14" t="str">
        <f t="shared" ref="AG85:AG100" si="7">VLOOKUP(H:H,'Pivot Table 8'!B:C,2,0)</f>
        <v>#REF!</v>
      </c>
      <c r="AH85" s="14"/>
      <c r="AI85" s="20"/>
      <c r="AJ85" s="14"/>
      <c r="AK85" s="14"/>
      <c r="AL85" s="14"/>
      <c r="AM85" s="14"/>
      <c r="AN85" s="14"/>
      <c r="AO85" s="14"/>
      <c r="AP85" s="14"/>
      <c r="AQ85" s="14"/>
      <c r="AR85" s="14"/>
    </row>
    <row r="86" ht="22.5" customHeight="1">
      <c r="A86" s="78">
        <v>46064.0</v>
      </c>
      <c r="B86" s="36" t="s">
        <v>743</v>
      </c>
      <c r="C86" s="8" t="s">
        <v>564</v>
      </c>
      <c r="D86" s="9" t="s">
        <v>46</v>
      </c>
      <c r="E86" s="9" t="s">
        <v>744</v>
      </c>
      <c r="F86" s="9" t="s">
        <v>745</v>
      </c>
      <c r="G86" s="10">
        <v>500016.0</v>
      </c>
      <c r="H86" s="9" t="s">
        <v>421</v>
      </c>
      <c r="I86" s="11" t="str">
        <f>VLOOKUP(H86,Mapping!D:E,2,0)</f>
        <v>Khairathabad</v>
      </c>
      <c r="J86" s="9" t="s">
        <v>50</v>
      </c>
      <c r="K86" s="12">
        <v>0.2</v>
      </c>
      <c r="L86" s="13" t="str">
        <f t="shared" si="1"/>
        <v>20%+</v>
      </c>
      <c r="M86" s="13">
        <v>0.018</v>
      </c>
      <c r="N86" s="14"/>
      <c r="O86" s="15" t="s">
        <v>743</v>
      </c>
      <c r="P86" s="15" t="s">
        <v>746</v>
      </c>
      <c r="Q86" s="9" t="s">
        <v>747</v>
      </c>
      <c r="R86" s="16" t="s">
        <v>748</v>
      </c>
      <c r="S86" s="9" t="s">
        <v>749</v>
      </c>
      <c r="T86" s="15" t="s">
        <v>743</v>
      </c>
      <c r="U86" s="9" t="s">
        <v>131</v>
      </c>
      <c r="V86" s="17">
        <v>4.4662846419E10</v>
      </c>
      <c r="W86" s="9" t="s">
        <v>750</v>
      </c>
      <c r="X86" s="9" t="s">
        <v>80</v>
      </c>
      <c r="Y86" s="82" t="s">
        <v>57</v>
      </c>
      <c r="Z86" s="82" t="s">
        <v>58</v>
      </c>
      <c r="AA86" s="82" t="s">
        <v>57</v>
      </c>
      <c r="AB86" s="82" t="s">
        <v>58</v>
      </c>
      <c r="AC86" s="82" t="s">
        <v>57</v>
      </c>
      <c r="AD86" s="82" t="s">
        <v>58</v>
      </c>
      <c r="AE86" s="100" t="s">
        <v>751</v>
      </c>
      <c r="AF86" s="9" t="s">
        <v>752</v>
      </c>
      <c r="AG86" s="14" t="str">
        <f t="shared" si="7"/>
        <v>#REF!</v>
      </c>
      <c r="AH86" s="14"/>
      <c r="AI86" s="20"/>
      <c r="AJ86" s="14"/>
      <c r="AK86" s="14"/>
      <c r="AL86" s="14"/>
      <c r="AM86" s="14"/>
      <c r="AN86" s="14"/>
      <c r="AO86" s="14"/>
      <c r="AP86" s="14"/>
      <c r="AQ86" s="14"/>
      <c r="AR86" s="14"/>
    </row>
    <row r="87" ht="22.5" customHeight="1">
      <c r="A87" s="80">
        <v>46064.0</v>
      </c>
      <c r="B87" s="36" t="s">
        <v>753</v>
      </c>
      <c r="C87" s="8" t="s">
        <v>60</v>
      </c>
      <c r="D87" s="9" t="s">
        <v>46</v>
      </c>
      <c r="E87" s="9" t="s">
        <v>754</v>
      </c>
      <c r="F87" s="15" t="s">
        <v>753</v>
      </c>
      <c r="G87" s="10">
        <v>500072.0</v>
      </c>
      <c r="H87" s="9" t="s">
        <v>610</v>
      </c>
      <c r="I87" s="11" t="str">
        <f>VLOOKUP(H87,Mapping!D:E,2,0)</f>
        <v>kukatpally</v>
      </c>
      <c r="J87" s="9" t="s">
        <v>390</v>
      </c>
      <c r="K87" s="12">
        <v>0.16</v>
      </c>
      <c r="L87" s="13" t="str">
        <f t="shared" si="1"/>
        <v>&lt;17%</v>
      </c>
      <c r="M87" s="13">
        <v>0.018</v>
      </c>
      <c r="N87" s="14"/>
      <c r="O87" s="15" t="s">
        <v>753</v>
      </c>
      <c r="P87" s="9" t="s">
        <v>755</v>
      </c>
      <c r="Q87" s="9" t="s">
        <v>756</v>
      </c>
      <c r="R87" s="16" t="s">
        <v>757</v>
      </c>
      <c r="S87" s="9" t="s">
        <v>758</v>
      </c>
      <c r="T87" s="9" t="s">
        <v>759</v>
      </c>
      <c r="U87" s="9" t="s">
        <v>760</v>
      </c>
      <c r="V87" s="17">
        <v>1.04110021001175E14</v>
      </c>
      <c r="W87" s="9" t="s">
        <v>761</v>
      </c>
      <c r="X87" s="9" t="s">
        <v>80</v>
      </c>
      <c r="Y87" s="86" t="s">
        <v>57</v>
      </c>
      <c r="Z87" s="85" t="s">
        <v>57</v>
      </c>
      <c r="AA87" s="86" t="s">
        <v>57</v>
      </c>
      <c r="AB87" s="86" t="s">
        <v>57</v>
      </c>
      <c r="AC87" s="85" t="s">
        <v>57</v>
      </c>
      <c r="AD87" s="85" t="s">
        <v>69</v>
      </c>
      <c r="AE87" s="101" t="s">
        <v>762</v>
      </c>
      <c r="AF87" s="14"/>
      <c r="AG87" s="14" t="str">
        <f t="shared" si="7"/>
        <v>#REF!</v>
      </c>
      <c r="AH87" s="9" t="s">
        <v>94</v>
      </c>
      <c r="AI87" s="20"/>
      <c r="AJ87" s="14"/>
      <c r="AK87" s="14"/>
      <c r="AL87" s="14"/>
      <c r="AM87" s="14"/>
      <c r="AN87" s="14"/>
      <c r="AO87" s="14"/>
      <c r="AP87" s="14"/>
      <c r="AQ87" s="14"/>
      <c r="AR87" s="14"/>
    </row>
    <row r="88" ht="22.5" customHeight="1">
      <c r="A88" s="78">
        <v>46064.0</v>
      </c>
      <c r="B88" s="21" t="s">
        <v>763</v>
      </c>
      <c r="C88" s="8" t="s">
        <v>248</v>
      </c>
      <c r="D88" s="9" t="s">
        <v>61</v>
      </c>
      <c r="E88" s="9" t="s">
        <v>764</v>
      </c>
      <c r="F88" s="9" t="s">
        <v>765</v>
      </c>
      <c r="G88" s="10">
        <v>500082.0</v>
      </c>
      <c r="H88" s="9" t="s">
        <v>690</v>
      </c>
      <c r="I88" s="11" t="str">
        <f>VLOOKUP(H88,Mapping!D:E,2,0)</f>
        <v>panjagutta</v>
      </c>
      <c r="J88" s="9" t="s">
        <v>161</v>
      </c>
      <c r="K88" s="12">
        <v>0.15</v>
      </c>
      <c r="L88" s="13" t="str">
        <f t="shared" si="1"/>
        <v>&lt;17%</v>
      </c>
      <c r="M88" s="13">
        <v>0.018</v>
      </c>
      <c r="N88" s="14"/>
      <c r="O88" s="15" t="s">
        <v>457</v>
      </c>
      <c r="P88" s="15" t="s">
        <v>766</v>
      </c>
      <c r="Q88" s="9" t="s">
        <v>765</v>
      </c>
      <c r="R88" s="16" t="s">
        <v>767</v>
      </c>
      <c r="S88" s="9" t="s">
        <v>68</v>
      </c>
      <c r="T88" s="9" t="s">
        <v>68</v>
      </c>
      <c r="U88" s="9" t="s">
        <v>91</v>
      </c>
      <c r="V88" s="17">
        <v>5.0200037070986E13</v>
      </c>
      <c r="W88" s="9" t="s">
        <v>768</v>
      </c>
      <c r="X88" s="9" t="s">
        <v>80</v>
      </c>
      <c r="Y88" s="18" t="s">
        <v>57</v>
      </c>
      <c r="Z88" s="18" t="s">
        <v>58</v>
      </c>
      <c r="AA88" s="18" t="s">
        <v>57</v>
      </c>
      <c r="AB88" s="18" t="s">
        <v>57</v>
      </c>
      <c r="AC88" s="18" t="s">
        <v>58</v>
      </c>
      <c r="AD88" s="18" t="s">
        <v>58</v>
      </c>
      <c r="AE88" s="35" t="s">
        <v>769</v>
      </c>
      <c r="AF88" s="14"/>
      <c r="AG88" s="14" t="str">
        <f t="shared" si="7"/>
        <v>#REF!</v>
      </c>
      <c r="AH88" s="14"/>
      <c r="AI88" s="20"/>
      <c r="AJ88" s="14"/>
      <c r="AK88" s="14"/>
      <c r="AL88" s="14"/>
      <c r="AM88" s="14"/>
      <c r="AN88" s="14"/>
      <c r="AO88" s="14"/>
      <c r="AP88" s="14"/>
      <c r="AQ88" s="14"/>
      <c r="AR88" s="14"/>
    </row>
    <row r="89" ht="22.5" customHeight="1">
      <c r="A89" s="78">
        <v>46064.0</v>
      </c>
      <c r="B89" s="36" t="s">
        <v>770</v>
      </c>
      <c r="C89" s="8" t="s">
        <v>73</v>
      </c>
      <c r="D89" s="9" t="s">
        <v>46</v>
      </c>
      <c r="E89" s="39" t="s">
        <v>771</v>
      </c>
      <c r="F89" s="9" t="s">
        <v>772</v>
      </c>
      <c r="G89" s="10">
        <v>500072.0</v>
      </c>
      <c r="H89" s="9" t="s">
        <v>610</v>
      </c>
      <c r="I89" s="11" t="str">
        <f>VLOOKUP(H89,Mapping!D:E,2,0)</f>
        <v>kukatpally</v>
      </c>
      <c r="J89" s="9" t="s">
        <v>390</v>
      </c>
      <c r="K89" s="12">
        <v>0.22</v>
      </c>
      <c r="L89" s="13" t="str">
        <f t="shared" si="1"/>
        <v>20%+</v>
      </c>
      <c r="M89" s="13">
        <v>0.018</v>
      </c>
      <c r="N89" s="14"/>
      <c r="O89" s="15" t="s">
        <v>773</v>
      </c>
      <c r="P89" s="9" t="s">
        <v>774</v>
      </c>
      <c r="Q89" s="9" t="s">
        <v>772</v>
      </c>
      <c r="R89" s="16" t="s">
        <v>775</v>
      </c>
      <c r="S89" s="9" t="s">
        <v>776</v>
      </c>
      <c r="T89" s="9" t="s">
        <v>777</v>
      </c>
      <c r="U89" s="9" t="s">
        <v>194</v>
      </c>
      <c r="V89" s="9" t="s">
        <v>778</v>
      </c>
      <c r="W89" s="9" t="s">
        <v>779</v>
      </c>
      <c r="X89" s="9" t="s">
        <v>56</v>
      </c>
      <c r="Y89" s="88" t="s">
        <v>57</v>
      </c>
      <c r="Z89" s="88" t="s">
        <v>69</v>
      </c>
      <c r="AA89" s="88" t="s">
        <v>57</v>
      </c>
      <c r="AB89" s="88" t="s">
        <v>57</v>
      </c>
      <c r="AC89" s="88" t="s">
        <v>57</v>
      </c>
      <c r="AD89" s="88" t="s">
        <v>57</v>
      </c>
      <c r="AE89" s="102" t="s">
        <v>780</v>
      </c>
      <c r="AF89" s="14"/>
      <c r="AG89" s="14" t="str">
        <f t="shared" si="7"/>
        <v>#REF!</v>
      </c>
      <c r="AH89" s="14"/>
      <c r="AI89" s="20"/>
      <c r="AJ89" s="14"/>
      <c r="AK89" s="14"/>
      <c r="AL89" s="14"/>
      <c r="AM89" s="14"/>
      <c r="AN89" s="14"/>
      <c r="AO89" s="14"/>
      <c r="AP89" s="14"/>
      <c r="AQ89" s="14"/>
      <c r="AR89" s="14"/>
    </row>
    <row r="90" ht="22.5" customHeight="1">
      <c r="A90" s="78">
        <v>46064.0</v>
      </c>
      <c r="B90" s="36" t="s">
        <v>781</v>
      </c>
      <c r="C90" s="8" t="s">
        <v>60</v>
      </c>
      <c r="D90" s="9" t="s">
        <v>46</v>
      </c>
      <c r="E90" s="9" t="s">
        <v>782</v>
      </c>
      <c r="F90" s="9" t="s">
        <v>783</v>
      </c>
      <c r="G90" s="10">
        <v>500072.0</v>
      </c>
      <c r="H90" s="9" t="s">
        <v>610</v>
      </c>
      <c r="I90" s="11" t="str">
        <f>VLOOKUP(H90,Mapping!D:E,2,0)</f>
        <v>kukatpally</v>
      </c>
      <c r="J90" s="9" t="s">
        <v>390</v>
      </c>
      <c r="K90" s="12">
        <v>0.2</v>
      </c>
      <c r="L90" s="13" t="str">
        <f t="shared" si="1"/>
        <v>20%+</v>
      </c>
      <c r="M90" s="13">
        <v>0.018</v>
      </c>
      <c r="N90" s="14"/>
      <c r="O90" s="15" t="s">
        <v>781</v>
      </c>
      <c r="P90" s="15" t="s">
        <v>784</v>
      </c>
      <c r="Q90" s="9" t="s">
        <v>783</v>
      </c>
      <c r="R90" s="16" t="s">
        <v>785</v>
      </c>
      <c r="S90" s="9" t="s">
        <v>786</v>
      </c>
      <c r="T90" s="15" t="s">
        <v>781</v>
      </c>
      <c r="U90" s="9" t="s">
        <v>254</v>
      </c>
      <c r="V90" s="67">
        <v>4.650956984E9</v>
      </c>
      <c r="W90" s="9" t="s">
        <v>787</v>
      </c>
      <c r="X90" s="9" t="s">
        <v>80</v>
      </c>
      <c r="Y90" s="91" t="s">
        <v>57</v>
      </c>
      <c r="Z90" s="92" t="s">
        <v>58</v>
      </c>
      <c r="AA90" s="91" t="s">
        <v>57</v>
      </c>
      <c r="AB90" s="91" t="s">
        <v>57</v>
      </c>
      <c r="AC90" s="92" t="s">
        <v>58</v>
      </c>
      <c r="AD90" s="92" t="s">
        <v>69</v>
      </c>
      <c r="AE90" s="93" t="s">
        <v>788</v>
      </c>
      <c r="AF90" s="14"/>
      <c r="AG90" s="14" t="str">
        <f t="shared" si="7"/>
        <v>#REF!</v>
      </c>
      <c r="AH90" s="14"/>
      <c r="AI90" s="20"/>
      <c r="AJ90" s="14"/>
      <c r="AK90" s="14"/>
      <c r="AL90" s="14"/>
      <c r="AM90" s="14"/>
      <c r="AN90" s="14"/>
      <c r="AO90" s="14"/>
      <c r="AP90" s="14"/>
      <c r="AQ90" s="14"/>
      <c r="AR90" s="14"/>
    </row>
    <row r="91" ht="22.5" customHeight="1">
      <c r="A91" s="78">
        <v>46064.0</v>
      </c>
      <c r="B91" s="36" t="s">
        <v>789</v>
      </c>
      <c r="C91" s="8" t="s">
        <v>200</v>
      </c>
      <c r="D91" s="9" t="s">
        <v>46</v>
      </c>
      <c r="E91" s="39" t="s">
        <v>790</v>
      </c>
      <c r="F91" s="9" t="s">
        <v>791</v>
      </c>
      <c r="G91" s="10">
        <v>500016.0</v>
      </c>
      <c r="H91" s="9" t="s">
        <v>160</v>
      </c>
      <c r="I91" s="11" t="str">
        <f>VLOOKUP(H91,Mapping!D:E,2,0)</f>
        <v>ameerpet</v>
      </c>
      <c r="J91" s="9" t="s">
        <v>161</v>
      </c>
      <c r="K91" s="12">
        <v>0.19</v>
      </c>
      <c r="L91" s="13" t="str">
        <f t="shared" si="1"/>
        <v>&lt;20%</v>
      </c>
      <c r="M91" s="13">
        <v>0.018</v>
      </c>
      <c r="N91" s="14"/>
      <c r="O91" s="9" t="s">
        <v>791</v>
      </c>
      <c r="P91" s="15" t="s">
        <v>792</v>
      </c>
      <c r="Q91" s="9" t="s">
        <v>791</v>
      </c>
      <c r="R91" s="16" t="s">
        <v>793</v>
      </c>
      <c r="S91" s="9" t="s">
        <v>794</v>
      </c>
      <c r="T91" s="9" t="s">
        <v>795</v>
      </c>
      <c r="U91" s="9" t="s">
        <v>796</v>
      </c>
      <c r="V91" s="17">
        <v>2.0002000002527E13</v>
      </c>
      <c r="W91" s="9" t="s">
        <v>797</v>
      </c>
      <c r="X91" s="9" t="s">
        <v>80</v>
      </c>
      <c r="Y91" s="14"/>
      <c r="Z91" s="14"/>
      <c r="AA91" s="14"/>
      <c r="AB91" s="14"/>
      <c r="AC91" s="14"/>
      <c r="AD91" s="14"/>
      <c r="AE91" s="14"/>
      <c r="AF91" s="14"/>
      <c r="AG91" s="14" t="str">
        <f t="shared" si="7"/>
        <v>#REF!</v>
      </c>
      <c r="AH91" s="14"/>
      <c r="AI91" s="20"/>
      <c r="AJ91" s="14"/>
      <c r="AK91" s="14"/>
      <c r="AL91" s="14"/>
      <c r="AM91" s="14"/>
      <c r="AN91" s="14"/>
      <c r="AO91" s="14"/>
      <c r="AP91" s="14"/>
      <c r="AQ91" s="14"/>
      <c r="AR91" s="14"/>
    </row>
    <row r="92" ht="22.5" customHeight="1">
      <c r="A92" s="78">
        <v>46064.0</v>
      </c>
      <c r="B92" s="21" t="s">
        <v>798</v>
      </c>
      <c r="C92" s="8" t="s">
        <v>248</v>
      </c>
      <c r="D92" s="9" t="s">
        <v>46</v>
      </c>
      <c r="E92" s="39" t="s">
        <v>799</v>
      </c>
      <c r="F92" s="9" t="s">
        <v>800</v>
      </c>
      <c r="G92" s="10">
        <v>500082.0</v>
      </c>
      <c r="H92" s="9" t="s">
        <v>690</v>
      </c>
      <c r="I92" s="11" t="str">
        <f>VLOOKUP(H92,Mapping!D:E,2,0)</f>
        <v>panjagutta</v>
      </c>
      <c r="J92" s="9" t="s">
        <v>161</v>
      </c>
      <c r="K92" s="12">
        <v>0.19</v>
      </c>
      <c r="L92" s="13" t="str">
        <f t="shared" si="1"/>
        <v>&lt;20%</v>
      </c>
      <c r="M92" s="13">
        <v>0.018</v>
      </c>
      <c r="N92" s="14"/>
      <c r="O92" s="15" t="s">
        <v>798</v>
      </c>
      <c r="P92" s="15" t="s">
        <v>801</v>
      </c>
      <c r="Q92" s="9" t="s">
        <v>800</v>
      </c>
      <c r="R92" s="16" t="s">
        <v>802</v>
      </c>
      <c r="S92" s="9" t="s">
        <v>803</v>
      </c>
      <c r="T92" s="9" t="s">
        <v>68</v>
      </c>
      <c r="U92" s="9" t="s">
        <v>119</v>
      </c>
      <c r="V92" s="17">
        <v>9.24020006428812E14</v>
      </c>
      <c r="W92" s="9" t="s">
        <v>804</v>
      </c>
      <c r="X92" s="9" t="s">
        <v>80</v>
      </c>
      <c r="Y92" s="18" t="s">
        <v>57</v>
      </c>
      <c r="Z92" s="18" t="s">
        <v>57</v>
      </c>
      <c r="AA92" s="18" t="s">
        <v>57</v>
      </c>
      <c r="AB92" s="18" t="s">
        <v>57</v>
      </c>
      <c r="AC92" s="18" t="s">
        <v>58</v>
      </c>
      <c r="AD92" s="18" t="s">
        <v>57</v>
      </c>
      <c r="AE92" s="35" t="s">
        <v>805</v>
      </c>
      <c r="AF92" s="14"/>
      <c r="AG92" s="14" t="str">
        <f t="shared" si="7"/>
        <v>#REF!</v>
      </c>
      <c r="AH92" s="14"/>
      <c r="AI92" s="20"/>
      <c r="AJ92" s="14"/>
      <c r="AK92" s="14"/>
      <c r="AL92" s="14"/>
      <c r="AM92" s="14"/>
      <c r="AN92" s="14"/>
      <c r="AO92" s="14"/>
      <c r="AP92" s="14"/>
      <c r="AQ92" s="14"/>
      <c r="AR92" s="14"/>
    </row>
    <row r="93" ht="22.5" customHeight="1">
      <c r="A93" s="103">
        <v>46065.0</v>
      </c>
      <c r="B93" s="26" t="s">
        <v>806</v>
      </c>
      <c r="C93" s="8" t="s">
        <v>186</v>
      </c>
      <c r="D93" s="9" t="s">
        <v>61</v>
      </c>
      <c r="E93" s="39" t="s">
        <v>807</v>
      </c>
      <c r="F93" s="9" t="s">
        <v>808</v>
      </c>
      <c r="G93" s="10">
        <v>500045.0</v>
      </c>
      <c r="H93" s="9" t="s">
        <v>809</v>
      </c>
      <c r="I93" s="11" t="str">
        <f>VLOOKUP(H93,Mapping!D:E,2,0)</f>
        <v>ameerpet</v>
      </c>
      <c r="J93" s="9" t="s">
        <v>161</v>
      </c>
      <c r="K93" s="12">
        <v>0.17</v>
      </c>
      <c r="L93" s="13" t="str">
        <f t="shared" si="1"/>
        <v>&lt;20%</v>
      </c>
      <c r="M93" s="13">
        <v>0.018</v>
      </c>
      <c r="N93" s="14"/>
      <c r="O93" s="15" t="s">
        <v>806</v>
      </c>
      <c r="P93" s="15" t="s">
        <v>810</v>
      </c>
      <c r="Q93" s="9" t="s">
        <v>811</v>
      </c>
      <c r="R93" s="16" t="s">
        <v>812</v>
      </c>
      <c r="S93" s="9" t="s">
        <v>452</v>
      </c>
      <c r="T93" s="15" t="s">
        <v>806</v>
      </c>
      <c r="U93" s="9" t="s">
        <v>813</v>
      </c>
      <c r="V93" s="17">
        <v>5.0200116850493E13</v>
      </c>
      <c r="W93" s="9" t="s">
        <v>814</v>
      </c>
      <c r="X93" s="9" t="s">
        <v>80</v>
      </c>
      <c r="Y93" s="18" t="s">
        <v>57</v>
      </c>
      <c r="Z93" s="18" t="s">
        <v>57</v>
      </c>
      <c r="AA93" s="18" t="s">
        <v>57</v>
      </c>
      <c r="AB93" s="18" t="s">
        <v>57</v>
      </c>
      <c r="AC93" s="18" t="s">
        <v>57</v>
      </c>
      <c r="AD93" s="18" t="s">
        <v>58</v>
      </c>
      <c r="AE93" s="40" t="s">
        <v>815</v>
      </c>
      <c r="AF93" s="40" t="s">
        <v>816</v>
      </c>
      <c r="AG93" s="14" t="str">
        <f t="shared" si="7"/>
        <v>#REF!</v>
      </c>
      <c r="AH93" s="14"/>
      <c r="AI93" s="20"/>
      <c r="AJ93" s="14"/>
      <c r="AK93" s="14"/>
      <c r="AL93" s="14"/>
      <c r="AM93" s="14"/>
      <c r="AN93" s="14"/>
      <c r="AO93" s="14"/>
      <c r="AP93" s="14"/>
      <c r="AQ93" s="14"/>
      <c r="AR93" s="14"/>
    </row>
    <row r="94" ht="22.5" customHeight="1">
      <c r="A94" s="103">
        <v>46065.0</v>
      </c>
      <c r="B94" s="21" t="s">
        <v>817</v>
      </c>
      <c r="C94" s="8" t="s">
        <v>186</v>
      </c>
      <c r="D94" s="9" t="s">
        <v>46</v>
      </c>
      <c r="E94" s="9" t="s">
        <v>818</v>
      </c>
      <c r="F94" s="9" t="s">
        <v>68</v>
      </c>
      <c r="G94" s="10">
        <v>500073.0</v>
      </c>
      <c r="H94" s="9" t="s">
        <v>819</v>
      </c>
      <c r="I94" s="11" t="str">
        <f>VLOOKUP(H94,Mapping!D:E,2,0)</f>
        <v>ameerpet</v>
      </c>
      <c r="J94" s="9" t="s">
        <v>161</v>
      </c>
      <c r="K94" s="12">
        <v>0.15</v>
      </c>
      <c r="L94" s="13" t="str">
        <f t="shared" si="1"/>
        <v>&lt;17%</v>
      </c>
      <c r="M94" s="13">
        <v>0.018</v>
      </c>
      <c r="N94" s="14"/>
      <c r="O94" s="9" t="s">
        <v>817</v>
      </c>
      <c r="P94" s="9" t="s">
        <v>819</v>
      </c>
      <c r="Q94" s="9" t="s">
        <v>820</v>
      </c>
      <c r="R94" s="16" t="s">
        <v>821</v>
      </c>
      <c r="S94" s="9" t="s">
        <v>822</v>
      </c>
      <c r="T94" s="9" t="s">
        <v>823</v>
      </c>
      <c r="U94" s="9" t="s">
        <v>215</v>
      </c>
      <c r="V94" s="17">
        <v>1.47601900001351E14</v>
      </c>
      <c r="W94" s="9" t="s">
        <v>824</v>
      </c>
      <c r="X94" s="9" t="s">
        <v>80</v>
      </c>
      <c r="Y94" s="18" t="s">
        <v>57</v>
      </c>
      <c r="Z94" s="18" t="s">
        <v>58</v>
      </c>
      <c r="AA94" s="18" t="s">
        <v>57</v>
      </c>
      <c r="AB94" s="18" t="s">
        <v>57</v>
      </c>
      <c r="AC94" s="18" t="s">
        <v>57</v>
      </c>
      <c r="AD94" s="18" t="s">
        <v>58</v>
      </c>
      <c r="AE94" s="40" t="s">
        <v>825</v>
      </c>
      <c r="AF94" s="40" t="s">
        <v>826</v>
      </c>
      <c r="AG94" s="14" t="str">
        <f t="shared" si="7"/>
        <v>#REF!</v>
      </c>
      <c r="AH94" s="14"/>
      <c r="AI94" s="20"/>
      <c r="AJ94" s="14"/>
      <c r="AK94" s="14"/>
      <c r="AL94" s="14"/>
      <c r="AM94" s="14"/>
      <c r="AN94" s="14"/>
      <c r="AO94" s="14"/>
      <c r="AP94" s="14"/>
      <c r="AQ94" s="14"/>
      <c r="AR94" s="14"/>
    </row>
    <row r="95" ht="22.5" customHeight="1">
      <c r="A95" s="68">
        <v>46065.0</v>
      </c>
      <c r="B95" s="21" t="s">
        <v>827</v>
      </c>
      <c r="C95" s="8" t="s">
        <v>186</v>
      </c>
      <c r="D95" s="9" t="s">
        <v>46</v>
      </c>
      <c r="E95" s="9" t="s">
        <v>828</v>
      </c>
      <c r="F95" s="9" t="s">
        <v>68</v>
      </c>
      <c r="G95" s="10">
        <v>500073.0</v>
      </c>
      <c r="H95" s="9" t="s">
        <v>421</v>
      </c>
      <c r="I95" s="11" t="str">
        <f>VLOOKUP(H95,Mapping!D:E,2,0)</f>
        <v>Khairathabad</v>
      </c>
      <c r="J95" s="9" t="s">
        <v>50</v>
      </c>
      <c r="K95" s="12">
        <v>0.15</v>
      </c>
      <c r="L95" s="13" t="str">
        <f t="shared" si="1"/>
        <v>&lt;17%</v>
      </c>
      <c r="M95" s="13">
        <v>0.018</v>
      </c>
      <c r="N95" s="14"/>
      <c r="O95" s="9" t="s">
        <v>827</v>
      </c>
      <c r="P95" s="9" t="s">
        <v>829</v>
      </c>
      <c r="Q95" s="9" t="s">
        <v>830</v>
      </c>
      <c r="R95" s="16" t="s">
        <v>821</v>
      </c>
      <c r="S95" s="9" t="s">
        <v>822</v>
      </c>
      <c r="T95" s="9" t="s">
        <v>823</v>
      </c>
      <c r="U95" s="9" t="s">
        <v>215</v>
      </c>
      <c r="V95" s="17">
        <v>1.47661900001351E14</v>
      </c>
      <c r="W95" s="9" t="s">
        <v>824</v>
      </c>
      <c r="X95" s="9" t="s">
        <v>80</v>
      </c>
      <c r="Y95" s="82" t="s">
        <v>57</v>
      </c>
      <c r="Z95" s="82" t="s">
        <v>58</v>
      </c>
      <c r="AA95" s="82" t="s">
        <v>57</v>
      </c>
      <c r="AB95" s="82" t="s">
        <v>57</v>
      </c>
      <c r="AC95" s="82" t="s">
        <v>57</v>
      </c>
      <c r="AD95" s="82" t="s">
        <v>58</v>
      </c>
      <c r="AE95" s="104" t="s">
        <v>831</v>
      </c>
      <c r="AF95" s="40" t="s">
        <v>826</v>
      </c>
      <c r="AG95" s="14" t="str">
        <f t="shared" si="7"/>
        <v>#REF!</v>
      </c>
      <c r="AH95" s="14"/>
      <c r="AI95" s="20"/>
      <c r="AJ95" s="14"/>
      <c r="AK95" s="14"/>
      <c r="AL95" s="14"/>
      <c r="AM95" s="14"/>
      <c r="AN95" s="14"/>
      <c r="AO95" s="14"/>
      <c r="AP95" s="14"/>
      <c r="AQ95" s="14"/>
      <c r="AR95" s="14"/>
    </row>
    <row r="96" ht="22.5" customHeight="1">
      <c r="A96" s="68">
        <v>46065.0</v>
      </c>
      <c r="B96" s="21" t="s">
        <v>832</v>
      </c>
      <c r="C96" s="8" t="s">
        <v>60</v>
      </c>
      <c r="D96" s="9" t="s">
        <v>46</v>
      </c>
      <c r="E96" s="9" t="s">
        <v>833</v>
      </c>
      <c r="F96" s="9" t="s">
        <v>834</v>
      </c>
      <c r="G96" s="10">
        <v>500085.0</v>
      </c>
      <c r="H96" s="9" t="s">
        <v>610</v>
      </c>
      <c r="I96" s="11" t="str">
        <f>VLOOKUP(H96,Mapping!D:E,2,0)</f>
        <v>kukatpally</v>
      </c>
      <c r="J96" s="9" t="s">
        <v>390</v>
      </c>
      <c r="K96" s="12">
        <v>0.2</v>
      </c>
      <c r="L96" s="13" t="str">
        <f t="shared" si="1"/>
        <v>20%+</v>
      </c>
      <c r="M96" s="13">
        <v>0.018</v>
      </c>
      <c r="N96" s="14"/>
      <c r="O96" s="15" t="s">
        <v>832</v>
      </c>
      <c r="P96" s="15" t="s">
        <v>835</v>
      </c>
      <c r="Q96" s="9" t="s">
        <v>834</v>
      </c>
      <c r="R96" s="16" t="s">
        <v>836</v>
      </c>
      <c r="S96" s="9" t="s">
        <v>837</v>
      </c>
      <c r="T96" s="15" t="s">
        <v>832</v>
      </c>
      <c r="U96" s="9" t="s">
        <v>838</v>
      </c>
      <c r="V96" s="17">
        <v>1.04110021001527E14</v>
      </c>
      <c r="W96" s="9" t="s">
        <v>761</v>
      </c>
      <c r="X96" s="9" t="s">
        <v>80</v>
      </c>
      <c r="Y96" s="86" t="s">
        <v>57</v>
      </c>
      <c r="Z96" s="85" t="s">
        <v>58</v>
      </c>
      <c r="AA96" s="86" t="s">
        <v>57</v>
      </c>
      <c r="AB96" s="86" t="s">
        <v>57</v>
      </c>
      <c r="AC96" s="85" t="s">
        <v>57</v>
      </c>
      <c r="AD96" s="85" t="s">
        <v>69</v>
      </c>
      <c r="AE96" s="101" t="s">
        <v>839</v>
      </c>
      <c r="AF96" s="14"/>
      <c r="AG96" s="14" t="str">
        <f t="shared" si="7"/>
        <v>#REF!</v>
      </c>
      <c r="AH96" s="14"/>
      <c r="AI96" s="20"/>
      <c r="AJ96" s="14"/>
      <c r="AK96" s="14"/>
      <c r="AL96" s="14"/>
      <c r="AM96" s="14"/>
      <c r="AN96" s="14"/>
      <c r="AO96" s="14"/>
      <c r="AP96" s="14"/>
      <c r="AQ96" s="14"/>
      <c r="AR96" s="14"/>
    </row>
    <row r="97" ht="22.5" customHeight="1">
      <c r="A97" s="68">
        <v>46065.0</v>
      </c>
      <c r="B97" s="21" t="s">
        <v>840</v>
      </c>
      <c r="C97" s="8" t="s">
        <v>186</v>
      </c>
      <c r="D97" s="9" t="s">
        <v>46</v>
      </c>
      <c r="E97" s="9" t="s">
        <v>818</v>
      </c>
      <c r="F97" s="9" t="s">
        <v>841</v>
      </c>
      <c r="G97" s="105">
        <v>500073.0</v>
      </c>
      <c r="H97" s="106" t="s">
        <v>842</v>
      </c>
      <c r="I97" s="11" t="str">
        <f>VLOOKUP(H97,Mapping!D:E,2,0)</f>
        <v>yousufguda</v>
      </c>
      <c r="J97" s="9" t="s">
        <v>161</v>
      </c>
      <c r="K97" s="12">
        <v>0.15</v>
      </c>
      <c r="L97" s="13" t="str">
        <f t="shared" si="1"/>
        <v>&lt;17%</v>
      </c>
      <c r="M97" s="13">
        <v>0.018</v>
      </c>
      <c r="N97" s="14"/>
      <c r="O97" s="9" t="s">
        <v>840</v>
      </c>
      <c r="P97" s="9" t="s">
        <v>843</v>
      </c>
      <c r="Q97" s="9" t="s">
        <v>820</v>
      </c>
      <c r="R97" s="16" t="s">
        <v>821</v>
      </c>
      <c r="S97" s="9" t="s">
        <v>822</v>
      </c>
      <c r="T97" s="9" t="s">
        <v>823</v>
      </c>
      <c r="U97" s="9" t="s">
        <v>215</v>
      </c>
      <c r="V97" s="17">
        <v>1.47601900001351E14</v>
      </c>
      <c r="W97" s="9" t="s">
        <v>824</v>
      </c>
      <c r="X97" s="9" t="s">
        <v>80</v>
      </c>
      <c r="Y97" s="18" t="s">
        <v>57</v>
      </c>
      <c r="Z97" s="18" t="s">
        <v>58</v>
      </c>
      <c r="AA97" s="18" t="s">
        <v>57</v>
      </c>
      <c r="AB97" s="18" t="s">
        <v>57</v>
      </c>
      <c r="AC97" s="18" t="s">
        <v>57</v>
      </c>
      <c r="AD97" s="18" t="s">
        <v>58</v>
      </c>
      <c r="AE97" s="40" t="s">
        <v>844</v>
      </c>
      <c r="AF97" s="40" t="s">
        <v>826</v>
      </c>
      <c r="AG97" s="14" t="str">
        <f t="shared" si="7"/>
        <v>#REF!</v>
      </c>
      <c r="AH97" s="14"/>
      <c r="AI97" s="20"/>
      <c r="AJ97" s="14"/>
      <c r="AK97" s="14"/>
      <c r="AL97" s="14"/>
      <c r="AM97" s="14"/>
      <c r="AN97" s="14"/>
      <c r="AO97" s="14"/>
      <c r="AP97" s="14"/>
      <c r="AQ97" s="14"/>
      <c r="AR97" s="14"/>
    </row>
    <row r="98" ht="22.5" customHeight="1">
      <c r="A98" s="68">
        <v>46065.0</v>
      </c>
      <c r="B98" s="21" t="s">
        <v>845</v>
      </c>
      <c r="C98" s="8" t="s">
        <v>186</v>
      </c>
      <c r="D98" s="9" t="s">
        <v>46</v>
      </c>
      <c r="E98" s="9" t="s">
        <v>818</v>
      </c>
      <c r="F98" s="9" t="s">
        <v>68</v>
      </c>
      <c r="G98" s="10">
        <v>500073.0</v>
      </c>
      <c r="H98" s="9" t="s">
        <v>846</v>
      </c>
      <c r="I98" s="11" t="str">
        <f>VLOOKUP(H98,Mapping!D:E,2,0)</f>
        <v>ameerpet</v>
      </c>
      <c r="J98" s="9" t="s">
        <v>161</v>
      </c>
      <c r="K98" s="12">
        <v>0.15</v>
      </c>
      <c r="L98" s="13" t="str">
        <f t="shared" si="1"/>
        <v>&lt;17%</v>
      </c>
      <c r="M98" s="13">
        <v>0.018</v>
      </c>
      <c r="N98" s="14"/>
      <c r="O98" s="9" t="s">
        <v>847</v>
      </c>
      <c r="P98" s="9" t="s">
        <v>809</v>
      </c>
      <c r="Q98" s="9" t="s">
        <v>820</v>
      </c>
      <c r="R98" s="16" t="s">
        <v>821</v>
      </c>
      <c r="S98" s="9" t="s">
        <v>822</v>
      </c>
      <c r="T98" s="9" t="s">
        <v>823</v>
      </c>
      <c r="U98" s="9" t="s">
        <v>215</v>
      </c>
      <c r="V98" s="17">
        <v>1.47601900001351E14</v>
      </c>
      <c r="W98" s="9" t="s">
        <v>824</v>
      </c>
      <c r="X98" s="9" t="s">
        <v>80</v>
      </c>
      <c r="Y98" s="18" t="s">
        <v>57</v>
      </c>
      <c r="Z98" s="18" t="s">
        <v>58</v>
      </c>
      <c r="AA98" s="18" t="s">
        <v>57</v>
      </c>
      <c r="AB98" s="18" t="s">
        <v>57</v>
      </c>
      <c r="AC98" s="18" t="s">
        <v>57</v>
      </c>
      <c r="AD98" s="18" t="s">
        <v>58</v>
      </c>
      <c r="AE98" s="40" t="s">
        <v>848</v>
      </c>
      <c r="AF98" s="40" t="s">
        <v>826</v>
      </c>
      <c r="AG98" s="14" t="str">
        <f t="shared" si="7"/>
        <v>#REF!</v>
      </c>
      <c r="AH98" s="14"/>
      <c r="AI98" s="20"/>
      <c r="AJ98" s="14"/>
      <c r="AK98" s="14"/>
      <c r="AL98" s="14"/>
      <c r="AM98" s="14"/>
      <c r="AN98" s="14"/>
      <c r="AO98" s="14"/>
      <c r="AP98" s="14"/>
      <c r="AQ98" s="14"/>
      <c r="AR98" s="14"/>
    </row>
    <row r="99" ht="22.5" customHeight="1">
      <c r="A99" s="68">
        <v>46065.0</v>
      </c>
      <c r="B99" s="21" t="s">
        <v>849</v>
      </c>
      <c r="C99" s="8" t="s">
        <v>564</v>
      </c>
      <c r="D99" s="9" t="s">
        <v>61</v>
      </c>
      <c r="E99" s="9" t="s">
        <v>850</v>
      </c>
      <c r="F99" s="9" t="s">
        <v>851</v>
      </c>
      <c r="G99" s="10">
        <v>500038.0</v>
      </c>
      <c r="H99" s="9" t="s">
        <v>203</v>
      </c>
      <c r="I99" s="11" t="str">
        <f>VLOOKUP(H99,Mapping!D:E,2,0)</f>
        <v>panjagutta</v>
      </c>
      <c r="J99" s="9" t="s">
        <v>161</v>
      </c>
      <c r="K99" s="12">
        <v>0.2</v>
      </c>
      <c r="L99" s="13" t="str">
        <f t="shared" si="1"/>
        <v>20%+</v>
      </c>
      <c r="M99" s="13">
        <v>0.018</v>
      </c>
      <c r="N99" s="14"/>
      <c r="O99" s="15" t="s">
        <v>852</v>
      </c>
      <c r="P99" s="15" t="s">
        <v>853</v>
      </c>
      <c r="Q99" s="9" t="s">
        <v>851</v>
      </c>
      <c r="R99" s="16" t="s">
        <v>854</v>
      </c>
      <c r="S99" s="9" t="s">
        <v>855</v>
      </c>
      <c r="T99" s="9" t="s">
        <v>856</v>
      </c>
      <c r="U99" s="9" t="s">
        <v>813</v>
      </c>
      <c r="V99" s="17">
        <v>5.0200117226947E13</v>
      </c>
      <c r="W99" s="9" t="s">
        <v>569</v>
      </c>
      <c r="X99" s="9" t="s">
        <v>80</v>
      </c>
      <c r="Y99" s="18" t="s">
        <v>57</v>
      </c>
      <c r="Z99" s="18" t="s">
        <v>57</v>
      </c>
      <c r="AA99" s="18" t="s">
        <v>57</v>
      </c>
      <c r="AB99" s="18" t="s">
        <v>58</v>
      </c>
      <c r="AC99" s="18" t="s">
        <v>58</v>
      </c>
      <c r="AD99" s="18" t="s">
        <v>58</v>
      </c>
      <c r="AE99" s="35" t="s">
        <v>857</v>
      </c>
      <c r="AF99" s="9" t="s">
        <v>858</v>
      </c>
      <c r="AG99" s="14" t="str">
        <f t="shared" si="7"/>
        <v>#REF!</v>
      </c>
      <c r="AH99" s="14"/>
      <c r="AI99" s="20"/>
      <c r="AJ99" s="14"/>
      <c r="AK99" s="14"/>
      <c r="AL99" s="14"/>
      <c r="AM99" s="14"/>
      <c r="AN99" s="14"/>
      <c r="AO99" s="14"/>
      <c r="AP99" s="14"/>
      <c r="AQ99" s="14"/>
      <c r="AR99" s="14"/>
    </row>
    <row r="100" ht="22.5" customHeight="1">
      <c r="A100" s="68">
        <v>46065.0</v>
      </c>
      <c r="B100" s="21" t="s">
        <v>859</v>
      </c>
      <c r="C100" s="8" t="s">
        <v>248</v>
      </c>
      <c r="D100" s="9" t="s">
        <v>46</v>
      </c>
      <c r="E100" s="9" t="s">
        <v>860</v>
      </c>
      <c r="F100" s="9" t="s">
        <v>68</v>
      </c>
      <c r="G100" s="10">
        <v>500081.0</v>
      </c>
      <c r="H100" s="9" t="s">
        <v>623</v>
      </c>
      <c r="I100" s="11" t="str">
        <f>VLOOKUP(H100,Mapping!D:E,2,0)</f>
        <v>Sherilingampally</v>
      </c>
      <c r="J100" s="9" t="s">
        <v>390</v>
      </c>
      <c r="K100" s="12">
        <v>0.12</v>
      </c>
      <c r="L100" s="13" t="str">
        <f t="shared" si="1"/>
        <v>&lt;15%</v>
      </c>
      <c r="M100" s="13">
        <v>0.018</v>
      </c>
      <c r="N100" s="14"/>
      <c r="O100" s="107" t="s">
        <v>861</v>
      </c>
      <c r="P100" s="39" t="s">
        <v>862</v>
      </c>
      <c r="Q100" s="9" t="s">
        <v>863</v>
      </c>
      <c r="R100" s="16" t="s">
        <v>864</v>
      </c>
      <c r="S100" s="9" t="s">
        <v>865</v>
      </c>
      <c r="T100" s="9" t="s">
        <v>859</v>
      </c>
      <c r="U100" s="9" t="s">
        <v>866</v>
      </c>
      <c r="V100" s="17">
        <v>9.17020033027897E14</v>
      </c>
      <c r="W100" s="9" t="s">
        <v>867</v>
      </c>
      <c r="X100" s="9" t="s">
        <v>80</v>
      </c>
      <c r="Y100" s="18" t="s">
        <v>57</v>
      </c>
      <c r="Z100" s="18" t="s">
        <v>57</v>
      </c>
      <c r="AA100" s="18" t="s">
        <v>57</v>
      </c>
      <c r="AB100" s="18" t="s">
        <v>57</v>
      </c>
      <c r="AC100" s="18" t="s">
        <v>58</v>
      </c>
      <c r="AD100" s="18" t="s">
        <v>58</v>
      </c>
      <c r="AE100" s="35" t="s">
        <v>868</v>
      </c>
      <c r="AF100" s="14"/>
      <c r="AG100" s="14" t="str">
        <f t="shared" si="7"/>
        <v>#REF!</v>
      </c>
      <c r="AH100" s="14"/>
      <c r="AI100" s="20"/>
      <c r="AJ100" s="14"/>
      <c r="AK100" s="14"/>
      <c r="AL100" s="14"/>
      <c r="AM100" s="14"/>
      <c r="AN100" s="14"/>
      <c r="AO100" s="14"/>
      <c r="AP100" s="14"/>
      <c r="AQ100" s="14"/>
      <c r="AR100" s="14"/>
    </row>
    <row r="101" ht="22.5" customHeight="1">
      <c r="A101" s="68">
        <v>46065.0</v>
      </c>
      <c r="B101" s="50" t="s">
        <v>869</v>
      </c>
      <c r="C101" s="8" t="s">
        <v>200</v>
      </c>
      <c r="D101" s="9" t="s">
        <v>46</v>
      </c>
      <c r="E101" s="9" t="s">
        <v>870</v>
      </c>
      <c r="F101" s="9" t="s">
        <v>871</v>
      </c>
      <c r="G101" s="56">
        <v>500008.0</v>
      </c>
      <c r="H101" s="61" t="s">
        <v>137</v>
      </c>
      <c r="I101" s="11" t="str">
        <f>VLOOKUP(H101,Mapping!D:E,2,0)</f>
        <v>tolichowki</v>
      </c>
      <c r="J101" s="9" t="s">
        <v>86</v>
      </c>
      <c r="K101" s="12">
        <v>0.19</v>
      </c>
      <c r="L101" s="13" t="str">
        <f t="shared" si="1"/>
        <v>&lt;20%</v>
      </c>
      <c r="M101" s="13">
        <v>0.018</v>
      </c>
      <c r="N101" s="14"/>
      <c r="O101" s="9" t="s">
        <v>872</v>
      </c>
      <c r="P101" s="9" t="s">
        <v>873</v>
      </c>
      <c r="Q101" s="9" t="s">
        <v>871</v>
      </c>
      <c r="R101" s="16" t="s">
        <v>874</v>
      </c>
      <c r="S101" s="9" t="s">
        <v>875</v>
      </c>
      <c r="T101" s="9" t="s">
        <v>876</v>
      </c>
      <c r="U101" s="9" t="s">
        <v>877</v>
      </c>
      <c r="V101" s="17">
        <v>3.0542010072789E13</v>
      </c>
      <c r="W101" s="9" t="s">
        <v>878</v>
      </c>
      <c r="X101" s="9" t="s">
        <v>56</v>
      </c>
      <c r="Y101" s="18" t="s">
        <v>57</v>
      </c>
      <c r="Z101" s="18" t="s">
        <v>58</v>
      </c>
      <c r="AA101" s="18" t="s">
        <v>57</v>
      </c>
      <c r="AB101" s="18" t="s">
        <v>57</v>
      </c>
      <c r="AC101" s="18" t="s">
        <v>58</v>
      </c>
      <c r="AD101" s="14"/>
      <c r="AE101" s="14"/>
      <c r="AF101" s="14"/>
      <c r="AG101" s="9" t="s">
        <v>879</v>
      </c>
      <c r="AH101" s="14"/>
      <c r="AI101" s="20"/>
      <c r="AJ101" s="14"/>
      <c r="AK101" s="14"/>
      <c r="AL101" s="14"/>
      <c r="AM101" s="14"/>
      <c r="AN101" s="14"/>
      <c r="AO101" s="14"/>
      <c r="AP101" s="14"/>
      <c r="AQ101" s="14"/>
      <c r="AR101" s="14"/>
    </row>
    <row r="102" ht="22.5" customHeight="1">
      <c r="A102" s="68">
        <v>46065.0</v>
      </c>
      <c r="B102" s="21" t="s">
        <v>880</v>
      </c>
      <c r="C102" s="8" t="s">
        <v>186</v>
      </c>
      <c r="D102" s="9" t="s">
        <v>46</v>
      </c>
      <c r="E102" s="9" t="s">
        <v>818</v>
      </c>
      <c r="F102" s="9" t="s">
        <v>68</v>
      </c>
      <c r="G102" s="10">
        <v>500073.0</v>
      </c>
      <c r="H102" s="9" t="s">
        <v>881</v>
      </c>
      <c r="I102" s="11" t="str">
        <f>VLOOKUP(H102,Mapping!D:E,2,0)</f>
        <v>ameerpet</v>
      </c>
      <c r="J102" s="9" t="s">
        <v>161</v>
      </c>
      <c r="K102" s="12">
        <v>0.15</v>
      </c>
      <c r="L102" s="13" t="str">
        <f t="shared" si="1"/>
        <v>&lt;17%</v>
      </c>
      <c r="M102" s="13">
        <v>0.018</v>
      </c>
      <c r="N102" s="14"/>
      <c r="O102" s="9" t="s">
        <v>880</v>
      </c>
      <c r="P102" s="9" t="s">
        <v>882</v>
      </c>
      <c r="Q102" s="9" t="s">
        <v>820</v>
      </c>
      <c r="R102" s="16" t="s">
        <v>821</v>
      </c>
      <c r="S102" s="9" t="s">
        <v>822</v>
      </c>
      <c r="T102" s="9" t="s">
        <v>823</v>
      </c>
      <c r="U102" s="9" t="s">
        <v>215</v>
      </c>
      <c r="V102" s="17">
        <v>1.47601900001351E14</v>
      </c>
      <c r="W102" s="9" t="s">
        <v>824</v>
      </c>
      <c r="X102" s="9" t="s">
        <v>80</v>
      </c>
      <c r="Y102" s="18" t="s">
        <v>57</v>
      </c>
      <c r="Z102" s="18" t="s">
        <v>58</v>
      </c>
      <c r="AA102" s="18" t="s">
        <v>57</v>
      </c>
      <c r="AB102" s="18" t="s">
        <v>57</v>
      </c>
      <c r="AC102" s="18" t="s">
        <v>57</v>
      </c>
      <c r="AD102" s="18" t="s">
        <v>58</v>
      </c>
      <c r="AE102" s="40" t="s">
        <v>883</v>
      </c>
      <c r="AF102" s="40" t="s">
        <v>826</v>
      </c>
      <c r="AG102" s="14" t="str">
        <f t="shared" ref="AG102:AG104" si="8">VLOOKUP(H:H,'Pivot Table 8'!B:C,2,0)</f>
        <v>#REF!</v>
      </c>
      <c r="AH102" s="14"/>
      <c r="AI102" s="20"/>
      <c r="AJ102" s="14"/>
      <c r="AK102" s="14"/>
      <c r="AL102" s="14"/>
      <c r="AM102" s="14"/>
      <c r="AN102" s="14"/>
      <c r="AO102" s="14"/>
      <c r="AP102" s="14"/>
      <c r="AQ102" s="14"/>
      <c r="AR102" s="14"/>
    </row>
    <row r="103" ht="22.5" customHeight="1">
      <c r="A103" s="103">
        <v>46065.0</v>
      </c>
      <c r="B103" s="21" t="s">
        <v>884</v>
      </c>
      <c r="C103" s="8" t="s">
        <v>186</v>
      </c>
      <c r="D103" s="9" t="s">
        <v>46</v>
      </c>
      <c r="E103" s="9" t="s">
        <v>885</v>
      </c>
      <c r="F103" s="9" t="s">
        <v>68</v>
      </c>
      <c r="G103" s="10">
        <v>500073.0</v>
      </c>
      <c r="H103" s="9" t="s">
        <v>846</v>
      </c>
      <c r="I103" s="11" t="str">
        <f>VLOOKUP(H103,Mapping!D:E,2,0)</f>
        <v>ameerpet</v>
      </c>
      <c r="J103" s="9" t="s">
        <v>161</v>
      </c>
      <c r="K103" s="12">
        <v>0.15</v>
      </c>
      <c r="L103" s="13" t="str">
        <f t="shared" si="1"/>
        <v>&lt;17%</v>
      </c>
      <c r="M103" s="13">
        <v>0.018</v>
      </c>
      <c r="N103" s="14"/>
      <c r="O103" s="9" t="s">
        <v>884</v>
      </c>
      <c r="P103" s="9" t="s">
        <v>809</v>
      </c>
      <c r="Q103" s="9" t="s">
        <v>820</v>
      </c>
      <c r="R103" s="16" t="s">
        <v>821</v>
      </c>
      <c r="S103" s="9" t="s">
        <v>822</v>
      </c>
      <c r="T103" s="9" t="s">
        <v>823</v>
      </c>
      <c r="U103" s="9" t="s">
        <v>215</v>
      </c>
      <c r="V103" s="17">
        <v>1.47601900001351E14</v>
      </c>
      <c r="W103" s="9" t="s">
        <v>824</v>
      </c>
      <c r="X103" s="9" t="s">
        <v>80</v>
      </c>
      <c r="Y103" s="18" t="s">
        <v>57</v>
      </c>
      <c r="Z103" s="18" t="s">
        <v>58</v>
      </c>
      <c r="AA103" s="18" t="s">
        <v>57</v>
      </c>
      <c r="AB103" s="18" t="s">
        <v>57</v>
      </c>
      <c r="AC103" s="18" t="s">
        <v>57</v>
      </c>
      <c r="AD103" s="18" t="s">
        <v>58</v>
      </c>
      <c r="AE103" s="40" t="s">
        <v>886</v>
      </c>
      <c r="AF103" s="40" t="s">
        <v>826</v>
      </c>
      <c r="AG103" s="14" t="str">
        <f t="shared" si="8"/>
        <v>#REF!</v>
      </c>
      <c r="AH103" s="14"/>
      <c r="AI103" s="20"/>
      <c r="AJ103" s="14"/>
      <c r="AK103" s="14"/>
      <c r="AL103" s="14"/>
      <c r="AM103" s="14"/>
      <c r="AN103" s="14"/>
      <c r="AO103" s="14"/>
      <c r="AP103" s="14"/>
      <c r="AQ103" s="14"/>
      <c r="AR103" s="14"/>
    </row>
    <row r="104" ht="22.5" customHeight="1">
      <c r="A104" s="68">
        <v>46065.0</v>
      </c>
      <c r="B104" s="21" t="s">
        <v>887</v>
      </c>
      <c r="C104" s="8" t="s">
        <v>186</v>
      </c>
      <c r="D104" s="9" t="s">
        <v>46</v>
      </c>
      <c r="E104" s="39" t="s">
        <v>888</v>
      </c>
      <c r="F104" s="9" t="s">
        <v>889</v>
      </c>
      <c r="G104" s="10">
        <v>500075.0</v>
      </c>
      <c r="H104" s="9" t="s">
        <v>890</v>
      </c>
      <c r="I104" s="11" t="str">
        <f>VLOOKUP(H104,Mapping!D:E,2,0)</f>
        <v>yousufguda</v>
      </c>
      <c r="J104" s="9" t="s">
        <v>161</v>
      </c>
      <c r="K104" s="12">
        <v>0.17</v>
      </c>
      <c r="L104" s="13" t="str">
        <f t="shared" si="1"/>
        <v>&lt;20%</v>
      </c>
      <c r="M104" s="13">
        <v>0.018</v>
      </c>
      <c r="N104" s="14"/>
      <c r="O104" s="9" t="s">
        <v>891</v>
      </c>
      <c r="P104" s="9" t="s">
        <v>892</v>
      </c>
      <c r="Q104" s="9" t="s">
        <v>889</v>
      </c>
      <c r="R104" s="16" t="s">
        <v>893</v>
      </c>
      <c r="S104" s="9" t="s">
        <v>452</v>
      </c>
      <c r="T104" s="9" t="s">
        <v>894</v>
      </c>
      <c r="U104" s="9" t="s">
        <v>895</v>
      </c>
      <c r="V104" s="17">
        <v>1.4730200007249E13</v>
      </c>
      <c r="W104" s="9" t="s">
        <v>896</v>
      </c>
      <c r="X104" s="9" t="s">
        <v>80</v>
      </c>
      <c r="Y104" s="18" t="s">
        <v>57</v>
      </c>
      <c r="Z104" s="18" t="s">
        <v>58</v>
      </c>
      <c r="AA104" s="18" t="s">
        <v>57</v>
      </c>
      <c r="AB104" s="18" t="s">
        <v>57</v>
      </c>
      <c r="AC104" s="18" t="s">
        <v>58</v>
      </c>
      <c r="AD104" s="18" t="s">
        <v>58</v>
      </c>
      <c r="AE104" s="40" t="s">
        <v>897</v>
      </c>
      <c r="AF104" s="40" t="s">
        <v>898</v>
      </c>
      <c r="AG104" s="14" t="str">
        <f t="shared" si="8"/>
        <v>#REF!</v>
      </c>
      <c r="AH104" s="14"/>
      <c r="AI104" s="20"/>
      <c r="AJ104" s="14"/>
      <c r="AK104" s="14"/>
      <c r="AL104" s="14"/>
      <c r="AM104" s="14"/>
      <c r="AN104" s="14"/>
      <c r="AO104" s="14"/>
      <c r="AP104" s="14"/>
      <c r="AQ104" s="14"/>
      <c r="AR104" s="14"/>
    </row>
    <row r="105" ht="22.5" customHeight="1">
      <c r="A105" s="68">
        <v>46065.0</v>
      </c>
      <c r="B105" s="21" t="s">
        <v>899</v>
      </c>
      <c r="C105" s="8" t="s">
        <v>144</v>
      </c>
      <c r="D105" s="9" t="s">
        <v>68</v>
      </c>
      <c r="E105" s="9" t="s">
        <v>508</v>
      </c>
      <c r="F105" s="9" t="s">
        <v>68</v>
      </c>
      <c r="G105" s="9" t="s">
        <v>68</v>
      </c>
      <c r="H105" s="9" t="s">
        <v>68</v>
      </c>
      <c r="I105" s="9" t="s">
        <v>68</v>
      </c>
      <c r="J105" s="9" t="s">
        <v>68</v>
      </c>
      <c r="K105" s="9" t="s">
        <v>68</v>
      </c>
      <c r="L105" s="9" t="s">
        <v>68</v>
      </c>
      <c r="M105" s="9" t="s">
        <v>68</v>
      </c>
      <c r="N105" s="9" t="s">
        <v>68</v>
      </c>
      <c r="O105" s="108" t="s">
        <v>68</v>
      </c>
      <c r="P105" s="9" t="s">
        <v>68</v>
      </c>
      <c r="Q105" s="9" t="s">
        <v>68</v>
      </c>
      <c r="R105" s="9" t="s">
        <v>68</v>
      </c>
      <c r="S105" s="9" t="s">
        <v>68</v>
      </c>
      <c r="T105" s="9" t="s">
        <v>68</v>
      </c>
      <c r="U105" s="9" t="s">
        <v>68</v>
      </c>
      <c r="V105" s="9" t="s">
        <v>68</v>
      </c>
      <c r="W105" s="9" t="s">
        <v>68</v>
      </c>
      <c r="X105" s="9" t="s">
        <v>68</v>
      </c>
      <c r="Y105" s="18" t="s">
        <v>58</v>
      </c>
      <c r="Z105" s="18" t="s">
        <v>58</v>
      </c>
      <c r="AA105" s="18" t="s">
        <v>58</v>
      </c>
      <c r="AB105" s="18" t="s">
        <v>58</v>
      </c>
      <c r="AC105" s="18" t="s">
        <v>58</v>
      </c>
      <c r="AD105" s="18" t="s">
        <v>58</v>
      </c>
      <c r="AE105" s="14"/>
      <c r="AF105" s="14"/>
      <c r="AG105" s="14"/>
      <c r="AH105" s="14"/>
      <c r="AI105" s="20"/>
      <c r="AJ105" s="14"/>
      <c r="AK105" s="14"/>
      <c r="AL105" s="14"/>
      <c r="AM105" s="14"/>
      <c r="AN105" s="14"/>
      <c r="AO105" s="14"/>
      <c r="AP105" s="14"/>
      <c r="AQ105" s="14"/>
      <c r="AR105" s="14"/>
    </row>
    <row r="106" ht="22.5" customHeight="1">
      <c r="A106" s="68">
        <v>46065.0</v>
      </c>
      <c r="B106" s="21" t="s">
        <v>900</v>
      </c>
      <c r="C106" s="8" t="s">
        <v>241</v>
      </c>
      <c r="D106" s="9" t="s">
        <v>46</v>
      </c>
      <c r="E106" s="39" t="s">
        <v>901</v>
      </c>
      <c r="F106" s="9" t="s">
        <v>902</v>
      </c>
      <c r="G106" s="10">
        <v>500032.0</v>
      </c>
      <c r="H106" s="9" t="s">
        <v>903</v>
      </c>
      <c r="I106" s="11" t="str">
        <f>VLOOKUP(H106,Mapping!D:E,2,0)</f>
        <v>gachibowli</v>
      </c>
      <c r="J106" s="9" t="s">
        <v>148</v>
      </c>
      <c r="K106" s="12">
        <v>0.22</v>
      </c>
      <c r="L106" s="13" t="str">
        <f t="shared" ref="L106:L174" si="9">if(K106=0,"0",(if(K106&lt;15%,"&lt;15%",if(K106&lt;17%,"&lt;17%",IF(K106&lt;20%,"&lt;20%","20%+")))))</f>
        <v>20%+</v>
      </c>
      <c r="M106" s="13">
        <v>0.018</v>
      </c>
      <c r="N106" s="14"/>
      <c r="O106" s="9" t="s">
        <v>904</v>
      </c>
      <c r="P106" s="39" t="s">
        <v>905</v>
      </c>
      <c r="Q106" s="9" t="s">
        <v>906</v>
      </c>
      <c r="R106" s="16" t="s">
        <v>907</v>
      </c>
      <c r="S106" s="9" t="s">
        <v>908</v>
      </c>
      <c r="T106" s="9" t="s">
        <v>904</v>
      </c>
      <c r="U106" s="9" t="s">
        <v>154</v>
      </c>
      <c r="V106" s="17">
        <v>8.9494399655E10</v>
      </c>
      <c r="W106" s="9" t="s">
        <v>704</v>
      </c>
      <c r="X106" s="9" t="s">
        <v>80</v>
      </c>
      <c r="Y106" s="18" t="s">
        <v>57</v>
      </c>
      <c r="Z106" s="18" t="s">
        <v>57</v>
      </c>
      <c r="AA106" s="18" t="s">
        <v>57</v>
      </c>
      <c r="AB106" s="18" t="s">
        <v>57</v>
      </c>
      <c r="AC106" s="18" t="s">
        <v>57</v>
      </c>
      <c r="AD106" s="18" t="s">
        <v>57</v>
      </c>
      <c r="AE106" s="33" t="s">
        <v>909</v>
      </c>
      <c r="AF106" s="14"/>
      <c r="AG106" s="14" t="str">
        <f t="shared" ref="AG106:AG120" si="10">VLOOKUP(H:H,'Pivot Table 8'!B:C,2,0)</f>
        <v>#REF!</v>
      </c>
      <c r="AH106" s="14"/>
      <c r="AI106" s="20"/>
      <c r="AJ106" s="14"/>
      <c r="AK106" s="14"/>
      <c r="AL106" s="14"/>
      <c r="AM106" s="14"/>
      <c r="AN106" s="14"/>
      <c r="AO106" s="14"/>
      <c r="AP106" s="14"/>
      <c r="AQ106" s="14"/>
      <c r="AR106" s="14"/>
    </row>
    <row r="107" ht="22.5" customHeight="1">
      <c r="A107" s="103">
        <v>46065.0</v>
      </c>
      <c r="B107" s="21" t="s">
        <v>910</v>
      </c>
      <c r="C107" s="8" t="s">
        <v>241</v>
      </c>
      <c r="D107" s="9" t="s">
        <v>46</v>
      </c>
      <c r="E107" s="99" t="s">
        <v>911</v>
      </c>
      <c r="F107" s="9" t="s">
        <v>912</v>
      </c>
      <c r="G107" s="10">
        <v>500081.0</v>
      </c>
      <c r="H107" s="9" t="s">
        <v>623</v>
      </c>
      <c r="I107" s="11" t="str">
        <f>VLOOKUP(H107,Mapping!D:E,2,0)</f>
        <v>Sherilingampally</v>
      </c>
      <c r="J107" s="9" t="s">
        <v>390</v>
      </c>
      <c r="K107" s="12">
        <v>0.19</v>
      </c>
      <c r="L107" s="13" t="str">
        <f t="shared" si="9"/>
        <v>&lt;20%</v>
      </c>
      <c r="M107" s="13">
        <v>0.018</v>
      </c>
      <c r="N107" s="14"/>
      <c r="O107" s="9" t="s">
        <v>913</v>
      </c>
      <c r="P107" s="39" t="s">
        <v>914</v>
      </c>
      <c r="Q107" s="9" t="s">
        <v>915</v>
      </c>
      <c r="R107" s="16" t="s">
        <v>916</v>
      </c>
      <c r="S107" s="9" t="s">
        <v>917</v>
      </c>
      <c r="T107" s="9" t="s">
        <v>918</v>
      </c>
      <c r="U107" s="9" t="s">
        <v>919</v>
      </c>
      <c r="V107" s="17">
        <v>3.8920550013E11</v>
      </c>
      <c r="W107" s="9" t="s">
        <v>920</v>
      </c>
      <c r="X107" s="9" t="s">
        <v>80</v>
      </c>
      <c r="Y107" s="88" t="s">
        <v>57</v>
      </c>
      <c r="Z107" s="88" t="s">
        <v>57</v>
      </c>
      <c r="AA107" s="88" t="s">
        <v>57</v>
      </c>
      <c r="AB107" s="88" t="s">
        <v>57</v>
      </c>
      <c r="AC107" s="88" t="s">
        <v>57</v>
      </c>
      <c r="AD107" s="88" t="s">
        <v>57</v>
      </c>
      <c r="AE107" s="109" t="s">
        <v>921</v>
      </c>
      <c r="AF107" s="14"/>
      <c r="AG107" s="14" t="str">
        <f t="shared" si="10"/>
        <v>#REF!</v>
      </c>
      <c r="AH107" s="14"/>
      <c r="AI107" s="20"/>
      <c r="AJ107" s="14"/>
      <c r="AK107" s="14"/>
      <c r="AL107" s="14"/>
      <c r="AM107" s="14"/>
      <c r="AN107" s="14"/>
      <c r="AO107" s="14"/>
      <c r="AP107" s="14"/>
      <c r="AQ107" s="14"/>
      <c r="AR107" s="14"/>
    </row>
    <row r="108" ht="22.5" customHeight="1">
      <c r="A108" s="110">
        <v>46065.0</v>
      </c>
      <c r="B108" s="21" t="s">
        <v>922</v>
      </c>
      <c r="C108" s="8" t="s">
        <v>60</v>
      </c>
      <c r="D108" s="9" t="s">
        <v>46</v>
      </c>
      <c r="E108" s="9" t="s">
        <v>923</v>
      </c>
      <c r="F108" s="9" t="s">
        <v>924</v>
      </c>
      <c r="G108" s="10">
        <v>500085.0</v>
      </c>
      <c r="H108" s="9" t="s">
        <v>610</v>
      </c>
      <c r="I108" s="11" t="str">
        <f>VLOOKUP(H108,Mapping!D:E,2,0)</f>
        <v>kukatpally</v>
      </c>
      <c r="J108" s="9" t="s">
        <v>390</v>
      </c>
      <c r="K108" s="12">
        <v>0.18</v>
      </c>
      <c r="L108" s="13" t="str">
        <f t="shared" si="9"/>
        <v>&lt;20%</v>
      </c>
      <c r="M108" s="13">
        <v>0.018</v>
      </c>
      <c r="N108" s="14"/>
      <c r="O108" s="15" t="s">
        <v>922</v>
      </c>
      <c r="P108" s="15" t="s">
        <v>923</v>
      </c>
      <c r="Q108" s="9" t="s">
        <v>924</v>
      </c>
      <c r="R108" s="16" t="s">
        <v>925</v>
      </c>
      <c r="S108" s="9" t="s">
        <v>926</v>
      </c>
      <c r="T108" s="9" t="s">
        <v>927</v>
      </c>
      <c r="U108" s="9" t="s">
        <v>194</v>
      </c>
      <c r="V108" s="9" t="s">
        <v>928</v>
      </c>
      <c r="W108" s="9" t="s">
        <v>929</v>
      </c>
      <c r="X108" s="9" t="s">
        <v>930</v>
      </c>
      <c r="Y108" s="91" t="s">
        <v>57</v>
      </c>
      <c r="Z108" s="92" t="s">
        <v>57</v>
      </c>
      <c r="AA108" s="91" t="s">
        <v>57</v>
      </c>
      <c r="AB108" s="91" t="s">
        <v>57</v>
      </c>
      <c r="AC108" s="92" t="s">
        <v>57</v>
      </c>
      <c r="AD108" s="92" t="s">
        <v>69</v>
      </c>
      <c r="AE108" s="93" t="s">
        <v>931</v>
      </c>
      <c r="AF108" s="14"/>
      <c r="AG108" s="14" t="str">
        <f t="shared" si="10"/>
        <v>#REF!</v>
      </c>
      <c r="AH108" s="14"/>
      <c r="AI108" s="20"/>
      <c r="AJ108" s="14"/>
      <c r="AK108" s="14"/>
      <c r="AL108" s="14"/>
      <c r="AM108" s="14"/>
      <c r="AN108" s="14"/>
      <c r="AO108" s="14"/>
      <c r="AP108" s="14"/>
      <c r="AQ108" s="14"/>
      <c r="AR108" s="14"/>
    </row>
    <row r="109" ht="22.5" customHeight="1">
      <c r="A109" s="103">
        <v>46065.0</v>
      </c>
      <c r="B109" s="26" t="s">
        <v>932</v>
      </c>
      <c r="C109" s="8" t="s">
        <v>144</v>
      </c>
      <c r="D109" s="9" t="s">
        <v>46</v>
      </c>
      <c r="E109" s="39" t="s">
        <v>933</v>
      </c>
      <c r="F109" s="9" t="s">
        <v>68</v>
      </c>
      <c r="G109" s="10">
        <v>500089.0</v>
      </c>
      <c r="H109" s="9" t="s">
        <v>302</v>
      </c>
      <c r="I109" s="11" t="str">
        <f>VLOOKUP(H109,Mapping!D:E,2,0)</f>
        <v>manikonda</v>
      </c>
      <c r="J109" s="9" t="s">
        <v>303</v>
      </c>
      <c r="K109" s="12">
        <v>0.2</v>
      </c>
      <c r="L109" s="13" t="str">
        <f t="shared" si="9"/>
        <v>20%+</v>
      </c>
      <c r="M109" s="13">
        <v>0.018</v>
      </c>
      <c r="N109" s="14"/>
      <c r="O109" s="9" t="s">
        <v>934</v>
      </c>
      <c r="P109" s="39" t="s">
        <v>935</v>
      </c>
      <c r="Q109" s="9" t="s">
        <v>936</v>
      </c>
      <c r="R109" s="16" t="s">
        <v>937</v>
      </c>
      <c r="S109" s="9" t="s">
        <v>938</v>
      </c>
      <c r="T109" s="9" t="s">
        <v>932</v>
      </c>
      <c r="U109" s="9" t="s">
        <v>939</v>
      </c>
      <c r="V109" s="17">
        <v>5.871063531E9</v>
      </c>
      <c r="W109" s="9" t="s">
        <v>940</v>
      </c>
      <c r="X109" s="9" t="s">
        <v>80</v>
      </c>
      <c r="Y109" s="14"/>
      <c r="Z109" s="14"/>
      <c r="AA109" s="14"/>
      <c r="AB109" s="14"/>
      <c r="AC109" s="14"/>
      <c r="AD109" s="14"/>
      <c r="AE109" s="14"/>
      <c r="AF109" s="14"/>
      <c r="AG109" s="14" t="str">
        <f t="shared" si="10"/>
        <v>#REF!</v>
      </c>
      <c r="AH109" s="14"/>
      <c r="AI109" s="20"/>
      <c r="AJ109" s="14"/>
      <c r="AK109" s="14"/>
      <c r="AL109" s="14"/>
      <c r="AM109" s="14"/>
      <c r="AN109" s="14"/>
      <c r="AO109" s="14"/>
      <c r="AP109" s="14"/>
      <c r="AQ109" s="14"/>
      <c r="AR109" s="14"/>
    </row>
    <row r="110" ht="22.5" customHeight="1">
      <c r="A110" s="103">
        <v>46066.0</v>
      </c>
      <c r="B110" s="97" t="s">
        <v>941</v>
      </c>
      <c r="C110" s="8" t="s">
        <v>45</v>
      </c>
      <c r="D110" s="9" t="s">
        <v>61</v>
      </c>
      <c r="E110" s="9" t="s">
        <v>942</v>
      </c>
      <c r="F110" s="9" t="s">
        <v>68</v>
      </c>
      <c r="G110" s="10">
        <v>500089.0</v>
      </c>
      <c r="H110" s="9" t="s">
        <v>302</v>
      </c>
      <c r="I110" s="11" t="str">
        <f>VLOOKUP(H110,Mapping!D:E,2,0)</f>
        <v>manikonda</v>
      </c>
      <c r="J110" s="9" t="s">
        <v>303</v>
      </c>
      <c r="K110" s="12">
        <v>0.2</v>
      </c>
      <c r="L110" s="13" t="str">
        <f t="shared" si="9"/>
        <v>20%+</v>
      </c>
      <c r="M110" s="13">
        <v>0.018</v>
      </c>
      <c r="N110" s="14"/>
      <c r="O110" s="43" t="s">
        <v>941</v>
      </c>
      <c r="P110" s="9" t="s">
        <v>943</v>
      </c>
      <c r="Q110" s="9" t="s">
        <v>944</v>
      </c>
      <c r="R110" s="16" t="s">
        <v>945</v>
      </c>
      <c r="S110" s="9" t="s">
        <v>946</v>
      </c>
      <c r="T110" s="9" t="s">
        <v>944</v>
      </c>
      <c r="U110" s="9" t="s">
        <v>215</v>
      </c>
      <c r="V110" s="9" t="s">
        <v>947</v>
      </c>
      <c r="W110" s="9" t="s">
        <v>948</v>
      </c>
      <c r="X110" s="9" t="s">
        <v>80</v>
      </c>
      <c r="Y110" s="18" t="s">
        <v>57</v>
      </c>
      <c r="Z110" s="18" t="s">
        <v>58</v>
      </c>
      <c r="AA110" s="18" t="s">
        <v>57</v>
      </c>
      <c r="AB110" s="18" t="s">
        <v>57</v>
      </c>
      <c r="AC110" s="18" t="s">
        <v>57</v>
      </c>
      <c r="AD110" s="18" t="s">
        <v>58</v>
      </c>
      <c r="AE110" s="39" t="s">
        <v>949</v>
      </c>
      <c r="AF110" s="14"/>
      <c r="AG110" s="14" t="str">
        <f t="shared" si="10"/>
        <v>#REF!</v>
      </c>
      <c r="AH110" s="14"/>
      <c r="AI110" s="20"/>
      <c r="AJ110" s="14"/>
      <c r="AK110" s="14"/>
      <c r="AL110" s="14"/>
      <c r="AM110" s="14"/>
      <c r="AN110" s="14"/>
      <c r="AO110" s="14"/>
      <c r="AP110" s="14"/>
      <c r="AQ110" s="14"/>
      <c r="AR110" s="14"/>
    </row>
    <row r="111" ht="22.5" customHeight="1">
      <c r="A111" s="103">
        <v>46066.0</v>
      </c>
      <c r="B111" s="97" t="s">
        <v>950</v>
      </c>
      <c r="C111" s="8" t="s">
        <v>73</v>
      </c>
      <c r="D111" s="9" t="s">
        <v>61</v>
      </c>
      <c r="E111" s="39" t="s">
        <v>951</v>
      </c>
      <c r="F111" s="9" t="s">
        <v>952</v>
      </c>
      <c r="G111" s="10">
        <v>500085.0</v>
      </c>
      <c r="H111" s="9" t="s">
        <v>610</v>
      </c>
      <c r="I111" s="11" t="str">
        <f>VLOOKUP(H111,Mapping!D:E,2,0)</f>
        <v>kukatpally</v>
      </c>
      <c r="J111" s="9" t="s">
        <v>390</v>
      </c>
      <c r="K111" s="12">
        <v>0.18</v>
      </c>
      <c r="L111" s="13" t="str">
        <f t="shared" si="9"/>
        <v>&lt;20%</v>
      </c>
      <c r="M111" s="13">
        <v>0.018</v>
      </c>
      <c r="N111" s="14"/>
      <c r="O111" s="43" t="s">
        <v>950</v>
      </c>
      <c r="P111" s="9" t="s">
        <v>610</v>
      </c>
      <c r="Q111" s="9" t="s">
        <v>952</v>
      </c>
      <c r="R111" s="16" t="s">
        <v>953</v>
      </c>
      <c r="S111" s="9" t="s">
        <v>954</v>
      </c>
      <c r="T111" s="9" t="s">
        <v>68</v>
      </c>
      <c r="U111" s="9" t="s">
        <v>68</v>
      </c>
      <c r="V111" s="9" t="s">
        <v>68</v>
      </c>
      <c r="W111" s="9" t="s">
        <v>68</v>
      </c>
      <c r="X111" s="9" t="s">
        <v>68</v>
      </c>
      <c r="Y111" s="18" t="s">
        <v>58</v>
      </c>
      <c r="Z111" s="18" t="s">
        <v>69</v>
      </c>
      <c r="AA111" s="18" t="s">
        <v>58</v>
      </c>
      <c r="AB111" s="18" t="s">
        <v>58</v>
      </c>
      <c r="AC111" s="18" t="s">
        <v>58</v>
      </c>
      <c r="AD111" s="18" t="s">
        <v>69</v>
      </c>
      <c r="AE111" s="14"/>
      <c r="AF111" s="14"/>
      <c r="AG111" s="14" t="str">
        <f t="shared" si="10"/>
        <v>#REF!</v>
      </c>
      <c r="AH111" s="14"/>
      <c r="AI111" s="20"/>
      <c r="AJ111" s="14"/>
      <c r="AK111" s="14"/>
      <c r="AL111" s="14"/>
      <c r="AM111" s="14"/>
      <c r="AN111" s="14"/>
      <c r="AO111" s="14"/>
      <c r="AP111" s="14"/>
      <c r="AQ111" s="14"/>
      <c r="AR111" s="14"/>
    </row>
    <row r="112" ht="22.5" customHeight="1">
      <c r="A112" s="110">
        <v>46066.0</v>
      </c>
      <c r="B112" s="97" t="s">
        <v>955</v>
      </c>
      <c r="C112" s="8" t="s">
        <v>144</v>
      </c>
      <c r="D112" s="9" t="s">
        <v>46</v>
      </c>
      <c r="E112" s="9" t="s">
        <v>956</v>
      </c>
      <c r="F112" s="9" t="s">
        <v>957</v>
      </c>
      <c r="G112" s="10">
        <v>500089.0</v>
      </c>
      <c r="H112" s="9" t="s">
        <v>302</v>
      </c>
      <c r="I112" s="11" t="str">
        <f>VLOOKUP(H112,Mapping!D:E,2,0)</f>
        <v>manikonda</v>
      </c>
      <c r="J112" s="9" t="s">
        <v>303</v>
      </c>
      <c r="K112" s="12">
        <v>0.19</v>
      </c>
      <c r="L112" s="14" t="str">
        <f t="shared" si="9"/>
        <v>&lt;20%</v>
      </c>
      <c r="M112" s="13">
        <v>0.018</v>
      </c>
      <c r="N112" s="13">
        <v>0.018</v>
      </c>
      <c r="O112" s="9" t="s">
        <v>957</v>
      </c>
      <c r="P112" s="39" t="s">
        <v>958</v>
      </c>
      <c r="Q112" s="9" t="s">
        <v>585</v>
      </c>
      <c r="R112" s="16" t="s">
        <v>959</v>
      </c>
      <c r="S112" s="9" t="s">
        <v>960</v>
      </c>
      <c r="T112" s="9" t="s">
        <v>961</v>
      </c>
      <c r="U112" s="9" t="s">
        <v>54</v>
      </c>
      <c r="V112" s="17">
        <v>5.0100003745E10</v>
      </c>
      <c r="W112" s="9" t="s">
        <v>962</v>
      </c>
      <c r="X112" s="9" t="s">
        <v>56</v>
      </c>
      <c r="Y112" s="18" t="s">
        <v>57</v>
      </c>
      <c r="Z112" s="18" t="s">
        <v>58</v>
      </c>
      <c r="AA112" s="18" t="s">
        <v>57</v>
      </c>
      <c r="AB112" s="18" t="s">
        <v>58</v>
      </c>
      <c r="AC112" s="14"/>
      <c r="AD112" s="14"/>
      <c r="AE112" s="14"/>
      <c r="AF112" s="14"/>
      <c r="AG112" s="14" t="str">
        <f t="shared" si="10"/>
        <v>#REF!</v>
      </c>
      <c r="AH112" s="14"/>
      <c r="AI112" s="20"/>
      <c r="AJ112" s="14"/>
      <c r="AK112" s="14"/>
      <c r="AL112" s="14"/>
      <c r="AM112" s="14"/>
      <c r="AN112" s="14"/>
      <c r="AO112" s="14"/>
      <c r="AP112" s="14"/>
      <c r="AQ112" s="14"/>
      <c r="AR112" s="14"/>
    </row>
    <row r="113" ht="22.5" customHeight="1">
      <c r="A113" s="103">
        <v>46066.0</v>
      </c>
      <c r="B113" s="97" t="s">
        <v>963</v>
      </c>
      <c r="C113" s="8" t="s">
        <v>186</v>
      </c>
      <c r="D113" s="9" t="s">
        <v>61</v>
      </c>
      <c r="E113" s="9" t="s">
        <v>964</v>
      </c>
      <c r="F113" s="9" t="s">
        <v>68</v>
      </c>
      <c r="G113" s="10">
        <v>500073.0</v>
      </c>
      <c r="H113" s="9" t="s">
        <v>809</v>
      </c>
      <c r="I113" s="11" t="str">
        <f>VLOOKUP(H113,Mapping!D:E,2,0)</f>
        <v>ameerpet</v>
      </c>
      <c r="J113" s="9" t="s">
        <v>161</v>
      </c>
      <c r="K113" s="12">
        <v>0.17</v>
      </c>
      <c r="L113" s="14" t="str">
        <f t="shared" si="9"/>
        <v>&lt;20%</v>
      </c>
      <c r="M113" s="13">
        <v>0.018</v>
      </c>
      <c r="N113" s="14"/>
      <c r="O113" s="9" t="s">
        <v>965</v>
      </c>
      <c r="P113" s="9" t="s">
        <v>966</v>
      </c>
      <c r="Q113" s="9" t="s">
        <v>967</v>
      </c>
      <c r="R113" s="16" t="s">
        <v>968</v>
      </c>
      <c r="S113" s="9" t="s">
        <v>969</v>
      </c>
      <c r="T113" s="9" t="s">
        <v>965</v>
      </c>
      <c r="U113" s="9" t="s">
        <v>426</v>
      </c>
      <c r="V113" s="17">
        <v>8.150356795E9</v>
      </c>
      <c r="W113" s="9" t="s">
        <v>970</v>
      </c>
      <c r="X113" s="9" t="s">
        <v>80</v>
      </c>
      <c r="Y113" s="18" t="s">
        <v>57</v>
      </c>
      <c r="Z113" s="18" t="s">
        <v>58</v>
      </c>
      <c r="AA113" s="18" t="s">
        <v>58</v>
      </c>
      <c r="AB113" s="18" t="s">
        <v>57</v>
      </c>
      <c r="AC113" s="18" t="s">
        <v>57</v>
      </c>
      <c r="AD113" s="18" t="s">
        <v>58</v>
      </c>
      <c r="AE113" s="40" t="s">
        <v>971</v>
      </c>
      <c r="AF113" s="40" t="s">
        <v>972</v>
      </c>
      <c r="AG113" s="14" t="str">
        <f t="shared" si="10"/>
        <v>#REF!</v>
      </c>
      <c r="AH113" s="14"/>
      <c r="AI113" s="20"/>
      <c r="AJ113" s="14"/>
      <c r="AK113" s="14"/>
      <c r="AL113" s="14"/>
      <c r="AM113" s="14"/>
      <c r="AN113" s="14"/>
      <c r="AO113" s="14"/>
      <c r="AP113" s="14"/>
      <c r="AQ113" s="14"/>
      <c r="AR113" s="14"/>
    </row>
    <row r="114" ht="22.5" customHeight="1">
      <c r="A114" s="103">
        <v>46066.0</v>
      </c>
      <c r="B114" s="97" t="s">
        <v>973</v>
      </c>
      <c r="C114" s="8" t="s">
        <v>45</v>
      </c>
      <c r="D114" s="9" t="s">
        <v>46</v>
      </c>
      <c r="E114" s="9" t="s">
        <v>974</v>
      </c>
      <c r="F114" s="9" t="s">
        <v>68</v>
      </c>
      <c r="G114" s="10">
        <v>500089.0</v>
      </c>
      <c r="H114" s="9" t="s">
        <v>302</v>
      </c>
      <c r="I114" s="11" t="str">
        <f>VLOOKUP(H114,Mapping!D:E,2,0)</f>
        <v>manikonda</v>
      </c>
      <c r="J114" s="9" t="s">
        <v>303</v>
      </c>
      <c r="K114" s="12">
        <v>0.2</v>
      </c>
      <c r="L114" s="13" t="str">
        <f t="shared" si="9"/>
        <v>20%+</v>
      </c>
      <c r="M114" s="13">
        <v>0.018</v>
      </c>
      <c r="N114" s="14"/>
      <c r="O114" s="15" t="s">
        <v>975</v>
      </c>
      <c r="P114" s="9" t="s">
        <v>976</v>
      </c>
      <c r="Q114" s="9" t="s">
        <v>977</v>
      </c>
      <c r="R114" s="16" t="s">
        <v>978</v>
      </c>
      <c r="S114" s="9" t="s">
        <v>979</v>
      </c>
      <c r="T114" s="9" t="s">
        <v>980</v>
      </c>
      <c r="U114" s="9" t="s">
        <v>54</v>
      </c>
      <c r="V114" s="17">
        <v>1.5710100039717E13</v>
      </c>
      <c r="W114" s="9" t="s">
        <v>981</v>
      </c>
      <c r="X114" s="9" t="s">
        <v>56</v>
      </c>
      <c r="Y114" s="18" t="s">
        <v>57</v>
      </c>
      <c r="Z114" s="18" t="s">
        <v>58</v>
      </c>
      <c r="AA114" s="18" t="s">
        <v>57</v>
      </c>
      <c r="AB114" s="18" t="s">
        <v>58</v>
      </c>
      <c r="AC114" s="18" t="s">
        <v>58</v>
      </c>
      <c r="AD114" s="18" t="s">
        <v>58</v>
      </c>
      <c r="AE114" s="33" t="s">
        <v>982</v>
      </c>
      <c r="AF114" s="14"/>
      <c r="AG114" s="14" t="str">
        <f t="shared" si="10"/>
        <v>#REF!</v>
      </c>
      <c r="AH114" s="14"/>
      <c r="AI114" s="20"/>
      <c r="AJ114" s="14"/>
      <c r="AK114" s="14"/>
      <c r="AL114" s="14"/>
      <c r="AM114" s="14"/>
      <c r="AN114" s="14"/>
      <c r="AO114" s="14"/>
      <c r="AP114" s="14"/>
      <c r="AQ114" s="14"/>
      <c r="AR114" s="14"/>
    </row>
    <row r="115" ht="22.5" customHeight="1">
      <c r="A115" s="103">
        <v>46066.0</v>
      </c>
      <c r="B115" s="97" t="s">
        <v>983</v>
      </c>
      <c r="C115" s="8" t="s">
        <v>564</v>
      </c>
      <c r="D115" s="9" t="s">
        <v>46</v>
      </c>
      <c r="E115" s="39" t="s">
        <v>984</v>
      </c>
      <c r="F115" s="9" t="s">
        <v>985</v>
      </c>
      <c r="G115" s="10">
        <v>500038.0</v>
      </c>
      <c r="H115" s="9" t="s">
        <v>421</v>
      </c>
      <c r="I115" s="11" t="str">
        <f>VLOOKUP(H115,Mapping!D:E,2,0)</f>
        <v>Khairathabad</v>
      </c>
      <c r="J115" s="9" t="s">
        <v>50</v>
      </c>
      <c r="K115" s="12">
        <v>0.2</v>
      </c>
      <c r="L115" s="13" t="str">
        <f t="shared" si="9"/>
        <v>20%+</v>
      </c>
      <c r="M115" s="13">
        <v>0.018</v>
      </c>
      <c r="N115" s="14"/>
      <c r="O115" s="15" t="s">
        <v>983</v>
      </c>
      <c r="P115" s="15" t="s">
        <v>986</v>
      </c>
      <c r="Q115" s="9" t="s">
        <v>987</v>
      </c>
      <c r="R115" s="16" t="s">
        <v>988</v>
      </c>
      <c r="S115" s="9" t="s">
        <v>989</v>
      </c>
      <c r="T115" s="15" t="s">
        <v>983</v>
      </c>
      <c r="U115" s="9" t="s">
        <v>796</v>
      </c>
      <c r="V115" s="17">
        <v>1.69602000000386E14</v>
      </c>
      <c r="W115" s="9" t="s">
        <v>990</v>
      </c>
      <c r="X115" s="9" t="s">
        <v>80</v>
      </c>
      <c r="Y115" s="18" t="s">
        <v>57</v>
      </c>
      <c r="Z115" s="18" t="s">
        <v>58</v>
      </c>
      <c r="AA115" s="18" t="s">
        <v>57</v>
      </c>
      <c r="AB115" s="18" t="s">
        <v>57</v>
      </c>
      <c r="AC115" s="18" t="s">
        <v>58</v>
      </c>
      <c r="AD115" s="18" t="s">
        <v>58</v>
      </c>
      <c r="AE115" s="35" t="s">
        <v>991</v>
      </c>
      <c r="AF115" s="9" t="s">
        <v>992</v>
      </c>
      <c r="AG115" s="14" t="str">
        <f t="shared" si="10"/>
        <v>#REF!</v>
      </c>
      <c r="AH115" s="14"/>
      <c r="AI115" s="20"/>
      <c r="AJ115" s="14"/>
      <c r="AK115" s="14"/>
      <c r="AL115" s="14"/>
      <c r="AM115" s="14"/>
      <c r="AN115" s="14"/>
      <c r="AO115" s="14"/>
      <c r="AP115" s="14"/>
      <c r="AQ115" s="14"/>
      <c r="AR115" s="14"/>
    </row>
    <row r="116" ht="22.5" customHeight="1">
      <c r="A116" s="110">
        <v>46066.0</v>
      </c>
      <c r="B116" s="97" t="s">
        <v>993</v>
      </c>
      <c r="C116" s="8" t="s">
        <v>241</v>
      </c>
      <c r="D116" s="9" t="s">
        <v>46</v>
      </c>
      <c r="E116" s="9" t="s">
        <v>994</v>
      </c>
      <c r="F116" s="9" t="s">
        <v>995</v>
      </c>
      <c r="G116" s="10">
        <v>500081.0</v>
      </c>
      <c r="H116" s="9" t="s">
        <v>903</v>
      </c>
      <c r="I116" s="11" t="str">
        <f>VLOOKUP(H116,Mapping!D:E,2,0)</f>
        <v>gachibowli</v>
      </c>
      <c r="J116" s="9" t="s">
        <v>148</v>
      </c>
      <c r="K116" s="12">
        <v>0.12</v>
      </c>
      <c r="L116" s="13" t="str">
        <f t="shared" si="9"/>
        <v>&lt;15%</v>
      </c>
      <c r="M116" s="13">
        <v>0.018</v>
      </c>
      <c r="N116" s="14"/>
      <c r="O116" s="15" t="s">
        <v>993</v>
      </c>
      <c r="P116" s="9" t="s">
        <v>996</v>
      </c>
      <c r="Q116" s="15" t="s">
        <v>997</v>
      </c>
      <c r="R116" s="16" t="s">
        <v>998</v>
      </c>
      <c r="S116" s="9" t="s">
        <v>999</v>
      </c>
      <c r="T116" s="9" t="s">
        <v>1000</v>
      </c>
      <c r="U116" s="9" t="s">
        <v>877</v>
      </c>
      <c r="V116" s="9" t="s">
        <v>1001</v>
      </c>
      <c r="W116" s="9" t="s">
        <v>1002</v>
      </c>
      <c r="X116" s="9" t="s">
        <v>56</v>
      </c>
      <c r="Y116" s="18" t="s">
        <v>57</v>
      </c>
      <c r="Z116" s="18" t="s">
        <v>57</v>
      </c>
      <c r="AA116" s="18" t="s">
        <v>57</v>
      </c>
      <c r="AB116" s="18" t="s">
        <v>57</v>
      </c>
      <c r="AC116" s="18" t="s">
        <v>57</v>
      </c>
      <c r="AD116" s="18" t="s">
        <v>57</v>
      </c>
      <c r="AE116" s="33" t="s">
        <v>1003</v>
      </c>
      <c r="AF116" s="14"/>
      <c r="AG116" s="14" t="str">
        <f t="shared" si="10"/>
        <v>#REF!</v>
      </c>
      <c r="AH116" s="9" t="s">
        <v>1004</v>
      </c>
      <c r="AI116" s="20"/>
      <c r="AJ116" s="14"/>
      <c r="AK116" s="14"/>
      <c r="AL116" s="14"/>
      <c r="AM116" s="14"/>
      <c r="AN116" s="14"/>
      <c r="AO116" s="14"/>
      <c r="AP116" s="14"/>
      <c r="AQ116" s="14"/>
      <c r="AR116" s="14"/>
    </row>
    <row r="117" ht="22.5" customHeight="1">
      <c r="A117" s="110">
        <v>46066.0</v>
      </c>
      <c r="B117" s="69" t="s">
        <v>1005</v>
      </c>
      <c r="C117" s="8" t="s">
        <v>241</v>
      </c>
      <c r="D117" s="9" t="s">
        <v>46</v>
      </c>
      <c r="E117" s="9" t="s">
        <v>994</v>
      </c>
      <c r="F117" s="9" t="s">
        <v>997</v>
      </c>
      <c r="G117" s="10">
        <v>500081.0</v>
      </c>
      <c r="H117" s="9" t="s">
        <v>903</v>
      </c>
      <c r="I117" s="11" t="str">
        <f>VLOOKUP(H117,Mapping!D:E,2,0)</f>
        <v>gachibowli</v>
      </c>
      <c r="J117" s="9" t="s">
        <v>148</v>
      </c>
      <c r="K117" s="12">
        <v>0.12</v>
      </c>
      <c r="L117" s="13" t="str">
        <f t="shared" si="9"/>
        <v>&lt;15%</v>
      </c>
      <c r="M117" s="13">
        <v>0.018</v>
      </c>
      <c r="N117" s="14"/>
      <c r="O117" s="9" t="s">
        <v>997</v>
      </c>
      <c r="P117" s="15" t="s">
        <v>996</v>
      </c>
      <c r="Q117" s="9" t="s">
        <v>997</v>
      </c>
      <c r="R117" s="16" t="s">
        <v>998</v>
      </c>
      <c r="S117" s="9" t="s">
        <v>999</v>
      </c>
      <c r="T117" s="9" t="s">
        <v>1000</v>
      </c>
      <c r="U117" s="9" t="s">
        <v>877</v>
      </c>
      <c r="V117" s="9" t="s">
        <v>1001</v>
      </c>
      <c r="W117" s="9" t="s">
        <v>1002</v>
      </c>
      <c r="X117" s="9" t="s">
        <v>56</v>
      </c>
      <c r="Y117" s="18" t="s">
        <v>57</v>
      </c>
      <c r="Z117" s="18" t="s">
        <v>57</v>
      </c>
      <c r="AA117" s="18" t="s">
        <v>57</v>
      </c>
      <c r="AB117" s="18" t="s">
        <v>57</v>
      </c>
      <c r="AC117" s="18" t="s">
        <v>57</v>
      </c>
      <c r="AD117" s="18" t="s">
        <v>57</v>
      </c>
      <c r="AE117" s="33" t="s">
        <v>1003</v>
      </c>
      <c r="AF117" s="14"/>
      <c r="AG117" s="14" t="str">
        <f t="shared" si="10"/>
        <v>#REF!</v>
      </c>
      <c r="AH117" s="9" t="s">
        <v>1004</v>
      </c>
      <c r="AI117" s="20"/>
      <c r="AJ117" s="14"/>
      <c r="AK117" s="14"/>
      <c r="AL117" s="14"/>
      <c r="AM117" s="14"/>
      <c r="AN117" s="14"/>
      <c r="AO117" s="14"/>
      <c r="AP117" s="14"/>
      <c r="AQ117" s="14"/>
      <c r="AR117" s="14"/>
    </row>
    <row r="118" ht="22.5" customHeight="1">
      <c r="A118" s="110">
        <v>46066.0</v>
      </c>
      <c r="B118" s="97" t="s">
        <v>1006</v>
      </c>
      <c r="C118" s="8" t="s">
        <v>96</v>
      </c>
      <c r="D118" s="9" t="s">
        <v>46</v>
      </c>
      <c r="E118" s="9" t="s">
        <v>1007</v>
      </c>
      <c r="F118" s="9" t="s">
        <v>1008</v>
      </c>
      <c r="G118" s="10">
        <v>500086.0</v>
      </c>
      <c r="H118" s="9" t="s">
        <v>1009</v>
      </c>
      <c r="I118" s="11" t="str">
        <f>VLOOKUP(H118,Mapping!D:E,2,0)</f>
        <v>mehdipatnam</v>
      </c>
      <c r="J118" s="9" t="s">
        <v>50</v>
      </c>
      <c r="K118" s="9" t="s">
        <v>1010</v>
      </c>
      <c r="L118" s="13" t="str">
        <f t="shared" si="9"/>
        <v>20%+</v>
      </c>
      <c r="M118" s="13">
        <v>0.018</v>
      </c>
      <c r="N118" s="14"/>
      <c r="O118" s="15" t="s">
        <v>1006</v>
      </c>
      <c r="P118" s="15" t="s">
        <v>1011</v>
      </c>
      <c r="Q118" s="9" t="s">
        <v>1008</v>
      </c>
      <c r="R118" s="16" t="s">
        <v>1012</v>
      </c>
      <c r="S118" s="9" t="s">
        <v>1013</v>
      </c>
      <c r="T118" s="15" t="s">
        <v>1006</v>
      </c>
      <c r="U118" s="9" t="s">
        <v>1014</v>
      </c>
      <c r="V118" s="67">
        <v>5.020010653571E13</v>
      </c>
      <c r="W118" s="15" t="s">
        <v>1015</v>
      </c>
      <c r="X118" s="9" t="s">
        <v>80</v>
      </c>
      <c r="Y118" s="82" t="s">
        <v>57</v>
      </c>
      <c r="Z118" s="82" t="s">
        <v>58</v>
      </c>
      <c r="AA118" s="82" t="s">
        <v>57</v>
      </c>
      <c r="AB118" s="82" t="s">
        <v>57</v>
      </c>
      <c r="AC118" s="82" t="s">
        <v>57</v>
      </c>
      <c r="AD118" s="82" t="s">
        <v>57</v>
      </c>
      <c r="AE118" s="111" t="s">
        <v>1016</v>
      </c>
      <c r="AF118" s="14"/>
      <c r="AG118" s="14" t="str">
        <f t="shared" si="10"/>
        <v>#REF!</v>
      </c>
      <c r="AH118" s="14"/>
      <c r="AI118" s="20"/>
      <c r="AJ118" s="14"/>
      <c r="AK118" s="14"/>
      <c r="AL118" s="14"/>
      <c r="AM118" s="14"/>
      <c r="AN118" s="14"/>
      <c r="AO118" s="14"/>
      <c r="AP118" s="14"/>
      <c r="AQ118" s="14"/>
      <c r="AR118" s="14"/>
    </row>
    <row r="119" ht="22.5" customHeight="1">
      <c r="A119" s="110">
        <v>46066.0</v>
      </c>
      <c r="B119" s="97" t="s">
        <v>1017</v>
      </c>
      <c r="C119" s="8" t="s">
        <v>60</v>
      </c>
      <c r="D119" s="9" t="s">
        <v>46</v>
      </c>
      <c r="E119" s="99" t="s">
        <v>1018</v>
      </c>
      <c r="F119" s="9" t="s">
        <v>1019</v>
      </c>
      <c r="G119" s="10">
        <v>500049.0</v>
      </c>
      <c r="H119" s="9" t="s">
        <v>680</v>
      </c>
      <c r="I119" s="11" t="str">
        <f>VLOOKUP(H119,Mapping!D:E,2,0)</f>
        <v>miyapur</v>
      </c>
      <c r="J119" s="9" t="s">
        <v>390</v>
      </c>
      <c r="K119" s="12">
        <v>0.21</v>
      </c>
      <c r="L119" s="13" t="str">
        <f t="shared" si="9"/>
        <v>20%+</v>
      </c>
      <c r="M119" s="13">
        <v>0.018</v>
      </c>
      <c r="N119" s="14"/>
      <c r="O119" s="15" t="s">
        <v>1017</v>
      </c>
      <c r="P119" s="15" t="s">
        <v>1020</v>
      </c>
      <c r="Q119" s="15" t="s">
        <v>1021</v>
      </c>
      <c r="R119" s="16" t="s">
        <v>1022</v>
      </c>
      <c r="S119" s="9" t="s">
        <v>1023</v>
      </c>
      <c r="T119" s="9" t="s">
        <v>1024</v>
      </c>
      <c r="U119" s="9" t="s">
        <v>1014</v>
      </c>
      <c r="V119" s="17">
        <v>5.010001507165E13</v>
      </c>
      <c r="W119" s="9" t="s">
        <v>1025</v>
      </c>
      <c r="X119" s="9" t="s">
        <v>56</v>
      </c>
      <c r="Y119" s="86" t="s">
        <v>57</v>
      </c>
      <c r="Z119" s="85" t="s">
        <v>57</v>
      </c>
      <c r="AA119" s="86" t="s">
        <v>57</v>
      </c>
      <c r="AB119" s="86" t="s">
        <v>57</v>
      </c>
      <c r="AC119" s="85" t="s">
        <v>57</v>
      </c>
      <c r="AD119" s="85" t="s">
        <v>69</v>
      </c>
      <c r="AE119" s="101" t="s">
        <v>1026</v>
      </c>
      <c r="AF119" s="14"/>
      <c r="AG119" s="14" t="str">
        <f t="shared" si="10"/>
        <v>#REF!</v>
      </c>
      <c r="AH119" s="14"/>
      <c r="AI119" s="20"/>
      <c r="AJ119" s="14"/>
      <c r="AK119" s="14"/>
      <c r="AL119" s="14"/>
      <c r="AM119" s="14"/>
      <c r="AN119" s="14"/>
      <c r="AO119" s="14"/>
      <c r="AP119" s="14"/>
      <c r="AQ119" s="14"/>
      <c r="AR119" s="14"/>
    </row>
    <row r="120" ht="22.5" customHeight="1">
      <c r="A120" s="110">
        <v>46066.0</v>
      </c>
      <c r="B120" s="97" t="s">
        <v>1027</v>
      </c>
      <c r="C120" s="73" t="s">
        <v>96</v>
      </c>
      <c r="D120" s="9" t="s">
        <v>46</v>
      </c>
      <c r="E120" s="39" t="s">
        <v>1028</v>
      </c>
      <c r="F120" s="9" t="s">
        <v>1029</v>
      </c>
      <c r="G120" s="10">
        <v>500086.0</v>
      </c>
      <c r="H120" s="9" t="s">
        <v>1009</v>
      </c>
      <c r="I120" s="11" t="str">
        <f>VLOOKUP(H120,Mapping!D:E,2,0)</f>
        <v>mehdipatnam</v>
      </c>
      <c r="J120" s="9" t="s">
        <v>50</v>
      </c>
      <c r="K120" s="9" t="s">
        <v>1010</v>
      </c>
      <c r="L120" s="13" t="str">
        <f t="shared" si="9"/>
        <v>20%+</v>
      </c>
      <c r="M120" s="13">
        <v>0.018</v>
      </c>
      <c r="N120" s="14"/>
      <c r="O120" s="15" t="s">
        <v>1027</v>
      </c>
      <c r="P120" s="39" t="s">
        <v>1030</v>
      </c>
      <c r="Q120" s="9" t="s">
        <v>1031</v>
      </c>
      <c r="R120" s="16" t="s">
        <v>1032</v>
      </c>
      <c r="S120" s="9" t="s">
        <v>1033</v>
      </c>
      <c r="T120" s="9" t="s">
        <v>1034</v>
      </c>
      <c r="U120" s="15" t="s">
        <v>131</v>
      </c>
      <c r="V120" s="17">
        <v>6.2092826288E10</v>
      </c>
      <c r="W120" s="9" t="s">
        <v>1035</v>
      </c>
      <c r="X120" s="9" t="s">
        <v>56</v>
      </c>
      <c r="Y120" s="18" t="s">
        <v>57</v>
      </c>
      <c r="Z120" s="18" t="s">
        <v>58</v>
      </c>
      <c r="AA120" s="18" t="s">
        <v>57</v>
      </c>
      <c r="AB120" s="18" t="s">
        <v>57</v>
      </c>
      <c r="AC120" s="18" t="s">
        <v>58</v>
      </c>
      <c r="AD120" s="18" t="s">
        <v>58</v>
      </c>
      <c r="AE120" s="39" t="s">
        <v>1036</v>
      </c>
      <c r="AF120" s="14"/>
      <c r="AG120" s="14" t="str">
        <f t="shared" si="10"/>
        <v>#REF!</v>
      </c>
      <c r="AH120" s="14"/>
      <c r="AI120" s="20"/>
      <c r="AJ120" s="14"/>
      <c r="AK120" s="14"/>
      <c r="AL120" s="14"/>
      <c r="AM120" s="14"/>
      <c r="AN120" s="14"/>
      <c r="AO120" s="14"/>
      <c r="AP120" s="14"/>
      <c r="AQ120" s="14"/>
      <c r="AR120" s="14"/>
    </row>
    <row r="121" ht="22.5" customHeight="1">
      <c r="A121" s="103">
        <v>46066.0</v>
      </c>
      <c r="B121" s="97" t="s">
        <v>1037</v>
      </c>
      <c r="C121" s="73" t="s">
        <v>144</v>
      </c>
      <c r="D121" s="9" t="s">
        <v>258</v>
      </c>
      <c r="E121" s="9" t="s">
        <v>508</v>
      </c>
      <c r="F121" s="9" t="s">
        <v>68</v>
      </c>
      <c r="G121" s="9" t="s">
        <v>68</v>
      </c>
      <c r="H121" s="9" t="s">
        <v>302</v>
      </c>
      <c r="I121" s="9" t="s">
        <v>1038</v>
      </c>
      <c r="J121" s="11" t="str">
        <f>VLOOKUP(I121,Mapping!A:B,2,0)</f>
        <v>Zone 3 Raidurg</v>
      </c>
      <c r="K121" s="12">
        <v>0.19</v>
      </c>
      <c r="L121" s="14" t="str">
        <f t="shared" si="9"/>
        <v>&lt;20%</v>
      </c>
      <c r="M121" s="13">
        <v>0.018</v>
      </c>
      <c r="N121" s="9" t="s">
        <v>68</v>
      </c>
      <c r="O121" s="9" t="s">
        <v>68</v>
      </c>
      <c r="P121" s="9" t="s">
        <v>68</v>
      </c>
      <c r="Q121" s="9" t="s">
        <v>68</v>
      </c>
      <c r="R121" s="9" t="s">
        <v>68</v>
      </c>
      <c r="S121" s="9" t="s">
        <v>68</v>
      </c>
      <c r="T121" s="9" t="s">
        <v>68</v>
      </c>
      <c r="U121" s="9" t="s">
        <v>68</v>
      </c>
      <c r="V121" s="9" t="s">
        <v>68</v>
      </c>
      <c r="W121" s="9" t="s">
        <v>68</v>
      </c>
      <c r="X121" s="9" t="s">
        <v>68</v>
      </c>
      <c r="Y121" s="14"/>
      <c r="Z121" s="14"/>
      <c r="AA121" s="14"/>
      <c r="AB121" s="14"/>
      <c r="AC121" s="14"/>
      <c r="AD121" s="14"/>
      <c r="AE121" s="14"/>
      <c r="AF121" s="14"/>
      <c r="AH121" s="14"/>
      <c r="AI121" s="20"/>
      <c r="AJ121" s="14"/>
      <c r="AK121" s="14"/>
      <c r="AL121" s="14"/>
      <c r="AM121" s="14"/>
      <c r="AN121" s="14"/>
      <c r="AO121" s="14"/>
      <c r="AP121" s="14"/>
      <c r="AQ121" s="14"/>
      <c r="AR121" s="14"/>
    </row>
    <row r="122" ht="22.5" customHeight="1">
      <c r="A122" s="81">
        <v>46066.0</v>
      </c>
      <c r="B122" s="69" t="s">
        <v>1039</v>
      </c>
      <c r="C122" s="112" t="s">
        <v>186</v>
      </c>
      <c r="D122" s="9" t="s">
        <v>46</v>
      </c>
      <c r="E122" s="9" t="s">
        <v>1040</v>
      </c>
      <c r="F122" s="9" t="s">
        <v>68</v>
      </c>
      <c r="G122" s="113">
        <v>500038.0</v>
      </c>
      <c r="H122" s="9" t="s">
        <v>1041</v>
      </c>
      <c r="I122" s="11" t="str">
        <f>VLOOKUP(H122,Mapping!D:E,2,0)</f>
        <v>yousufguda</v>
      </c>
      <c r="J122" s="9" t="s">
        <v>161</v>
      </c>
      <c r="K122" s="12">
        <v>0.17</v>
      </c>
      <c r="L122" s="14" t="str">
        <f t="shared" si="9"/>
        <v>&lt;20%</v>
      </c>
      <c r="M122" s="13">
        <v>0.018</v>
      </c>
      <c r="N122" s="14"/>
      <c r="O122" s="9" t="s">
        <v>1042</v>
      </c>
      <c r="P122" s="9" t="s">
        <v>809</v>
      </c>
      <c r="Q122" s="9" t="s">
        <v>1042</v>
      </c>
      <c r="R122" s="16" t="s">
        <v>1043</v>
      </c>
      <c r="S122" s="9" t="s">
        <v>68</v>
      </c>
      <c r="T122" s="43" t="s">
        <v>1039</v>
      </c>
      <c r="U122" s="9" t="s">
        <v>1014</v>
      </c>
      <c r="V122" s="114">
        <v>5.0200031660125E13</v>
      </c>
      <c r="W122" s="107" t="s">
        <v>1044</v>
      </c>
      <c r="X122" s="9" t="s">
        <v>80</v>
      </c>
      <c r="Y122" s="18" t="s">
        <v>57</v>
      </c>
      <c r="Z122" s="18" t="s">
        <v>58</v>
      </c>
      <c r="AA122" s="18" t="s">
        <v>57</v>
      </c>
      <c r="AB122" s="18" t="s">
        <v>57</v>
      </c>
      <c r="AC122" s="115" t="s">
        <v>57</v>
      </c>
      <c r="AD122" s="115" t="s">
        <v>58</v>
      </c>
      <c r="AE122" s="116" t="s">
        <v>1045</v>
      </c>
      <c r="AF122" s="116" t="s">
        <v>1046</v>
      </c>
      <c r="AG122" s="117"/>
      <c r="AH122" s="118"/>
      <c r="AI122" s="119"/>
      <c r="AJ122" s="118"/>
      <c r="AK122" s="118"/>
      <c r="AL122" s="118"/>
      <c r="AM122" s="118"/>
      <c r="AN122" s="118"/>
      <c r="AO122" s="118"/>
      <c r="AP122" s="118"/>
      <c r="AQ122" s="118"/>
      <c r="AR122" s="118"/>
    </row>
    <row r="123" ht="22.5" customHeight="1">
      <c r="A123" s="103">
        <v>46066.0</v>
      </c>
      <c r="B123" s="97" t="s">
        <v>1047</v>
      </c>
      <c r="C123" s="120" t="s">
        <v>186</v>
      </c>
      <c r="D123" s="121" t="s">
        <v>46</v>
      </c>
      <c r="E123" s="121" t="s">
        <v>1048</v>
      </c>
      <c r="F123" s="121" t="s">
        <v>68</v>
      </c>
      <c r="G123" s="122">
        <v>500045.0</v>
      </c>
      <c r="H123" s="121" t="s">
        <v>1041</v>
      </c>
      <c r="I123" s="121" t="str">
        <f>VLOOKUP(H123,Mapping!D:E,2,0)</f>
        <v>yousufguda</v>
      </c>
      <c r="J123" s="121" t="s">
        <v>161</v>
      </c>
      <c r="K123" s="123">
        <v>0.17</v>
      </c>
      <c r="L123" s="121" t="str">
        <f t="shared" si="9"/>
        <v>&lt;20%</v>
      </c>
      <c r="M123" s="121">
        <v>0.018</v>
      </c>
      <c r="N123" s="121"/>
      <c r="O123" s="121" t="s">
        <v>1049</v>
      </c>
      <c r="P123" s="121" t="s">
        <v>1041</v>
      </c>
      <c r="Q123" s="121" t="s">
        <v>1050</v>
      </c>
      <c r="R123" s="124" t="s">
        <v>1051</v>
      </c>
      <c r="S123" s="121" t="s">
        <v>68</v>
      </c>
      <c r="T123" s="121" t="s">
        <v>1050</v>
      </c>
      <c r="U123" s="121" t="s">
        <v>1052</v>
      </c>
      <c r="V123" s="125">
        <v>2.0202523526E10</v>
      </c>
      <c r="W123" s="121" t="s">
        <v>1053</v>
      </c>
      <c r="X123" s="15" t="s">
        <v>56</v>
      </c>
      <c r="Y123" s="18" t="s">
        <v>57</v>
      </c>
      <c r="Z123" s="18" t="s">
        <v>58</v>
      </c>
      <c r="AA123" s="18" t="s">
        <v>57</v>
      </c>
      <c r="AB123" s="18" t="s">
        <v>57</v>
      </c>
      <c r="AC123" s="121" t="s">
        <v>58</v>
      </c>
      <c r="AD123" s="121" t="s">
        <v>57</v>
      </c>
      <c r="AE123" s="126" t="s">
        <v>1054</v>
      </c>
      <c r="AF123" s="126" t="s">
        <v>1055</v>
      </c>
      <c r="AG123" s="121"/>
      <c r="AH123" s="121"/>
      <c r="AI123" s="120"/>
      <c r="AJ123" s="121"/>
      <c r="AK123" s="121"/>
      <c r="AL123" s="121"/>
      <c r="AM123" s="121"/>
      <c r="AN123" s="121"/>
      <c r="AO123" s="121"/>
      <c r="AP123" s="121"/>
      <c r="AQ123" s="121"/>
      <c r="AR123" s="121"/>
    </row>
    <row r="124" ht="22.5" customHeight="1">
      <c r="A124" s="103">
        <v>46066.0</v>
      </c>
      <c r="B124" s="97" t="s">
        <v>1056</v>
      </c>
      <c r="C124" s="8" t="s">
        <v>73</v>
      </c>
      <c r="D124" s="9" t="s">
        <v>46</v>
      </c>
      <c r="E124" s="9" t="s">
        <v>1057</v>
      </c>
      <c r="F124" s="9" t="s">
        <v>1058</v>
      </c>
      <c r="G124" s="10">
        <v>500072.0</v>
      </c>
      <c r="H124" s="9" t="s">
        <v>610</v>
      </c>
      <c r="I124" s="11" t="str">
        <f>VLOOKUP(H124,Mapping!D:E,2,0)</f>
        <v>kukatpally</v>
      </c>
      <c r="J124" s="9" t="s">
        <v>390</v>
      </c>
      <c r="K124" s="12">
        <v>0.22</v>
      </c>
      <c r="L124" s="13" t="str">
        <f t="shared" si="9"/>
        <v>20%+</v>
      </c>
      <c r="M124" s="13">
        <v>0.018</v>
      </c>
      <c r="N124" s="14"/>
      <c r="O124" s="15" t="s">
        <v>1056</v>
      </c>
      <c r="P124" s="9" t="s">
        <v>610</v>
      </c>
      <c r="Q124" s="9" t="s">
        <v>1058</v>
      </c>
      <c r="R124" s="16" t="s">
        <v>1059</v>
      </c>
      <c r="S124" s="9" t="s">
        <v>1060</v>
      </c>
      <c r="T124" s="9" t="s">
        <v>1061</v>
      </c>
      <c r="U124" s="9" t="s">
        <v>1014</v>
      </c>
      <c r="V124" s="17">
        <v>5.0100504584589E13</v>
      </c>
      <c r="W124" s="9" t="s">
        <v>1062</v>
      </c>
      <c r="X124" s="9" t="s">
        <v>56</v>
      </c>
      <c r="Y124" s="18" t="s">
        <v>57</v>
      </c>
      <c r="Z124" s="18" t="s">
        <v>69</v>
      </c>
      <c r="AA124" s="18" t="s">
        <v>57</v>
      </c>
      <c r="AB124" s="18" t="s">
        <v>57</v>
      </c>
      <c r="AC124" s="18" t="s">
        <v>58</v>
      </c>
      <c r="AD124" s="18" t="s">
        <v>57</v>
      </c>
      <c r="AE124" s="35" t="s">
        <v>1063</v>
      </c>
      <c r="AF124" s="14"/>
      <c r="AG124" s="14" t="str">
        <f t="shared" ref="AG124:AG129" si="11">VLOOKUP(H:H,'Pivot Table 8'!B:C,2,0)</f>
        <v>#REF!</v>
      </c>
      <c r="AH124" s="14"/>
      <c r="AI124" s="20"/>
      <c r="AJ124" s="14"/>
      <c r="AK124" s="14"/>
      <c r="AL124" s="14"/>
      <c r="AM124" s="14"/>
      <c r="AN124" s="14"/>
      <c r="AO124" s="14"/>
      <c r="AP124" s="14"/>
      <c r="AQ124" s="14"/>
      <c r="AR124" s="14"/>
    </row>
    <row r="125" ht="22.5" customHeight="1">
      <c r="A125" s="103">
        <v>46066.0</v>
      </c>
      <c r="B125" s="97" t="s">
        <v>1064</v>
      </c>
      <c r="C125" s="73" t="s">
        <v>564</v>
      </c>
      <c r="D125" s="9" t="s">
        <v>46</v>
      </c>
      <c r="E125" s="9" t="s">
        <v>1065</v>
      </c>
      <c r="F125" s="9" t="s">
        <v>1066</v>
      </c>
      <c r="G125" s="10">
        <v>500045.0</v>
      </c>
      <c r="H125" s="9" t="s">
        <v>890</v>
      </c>
      <c r="I125" s="11" t="str">
        <f>VLOOKUP(H125,Mapping!D:E,2,0)</f>
        <v>yousufguda</v>
      </c>
      <c r="J125" s="9" t="s">
        <v>161</v>
      </c>
      <c r="K125" s="12">
        <v>0.2</v>
      </c>
      <c r="L125" s="13" t="str">
        <f t="shared" si="9"/>
        <v>20%+</v>
      </c>
      <c r="M125" s="13">
        <v>0.018</v>
      </c>
      <c r="N125" s="127">
        <v>0.0</v>
      </c>
      <c r="O125" s="15" t="s">
        <v>1067</v>
      </c>
      <c r="P125" s="9" t="s">
        <v>1068</v>
      </c>
      <c r="Q125" s="9" t="s">
        <v>1069</v>
      </c>
      <c r="R125" s="16" t="s">
        <v>1070</v>
      </c>
      <c r="S125" s="9" t="s">
        <v>1071</v>
      </c>
      <c r="T125" s="15" t="s">
        <v>1067</v>
      </c>
      <c r="U125" s="9" t="s">
        <v>1072</v>
      </c>
      <c r="V125" s="17">
        <v>2.0003005621E10</v>
      </c>
      <c r="W125" s="9" t="s">
        <v>1073</v>
      </c>
      <c r="X125" s="9" t="s">
        <v>80</v>
      </c>
      <c r="Y125" s="18" t="s">
        <v>57</v>
      </c>
      <c r="Z125" s="18" t="s">
        <v>58</v>
      </c>
      <c r="AA125" s="18" t="s">
        <v>57</v>
      </c>
      <c r="AB125" s="18" t="s">
        <v>57</v>
      </c>
      <c r="AC125" s="18" t="s">
        <v>58</v>
      </c>
      <c r="AD125" s="18" t="s">
        <v>57</v>
      </c>
      <c r="AE125" s="35" t="s">
        <v>1074</v>
      </c>
      <c r="AF125" s="9" t="s">
        <v>1075</v>
      </c>
      <c r="AG125" s="14" t="str">
        <f t="shared" si="11"/>
        <v>#REF!</v>
      </c>
      <c r="AH125" s="14"/>
      <c r="AI125" s="20"/>
      <c r="AJ125" s="14"/>
      <c r="AK125" s="14"/>
      <c r="AL125" s="14"/>
      <c r="AM125" s="14"/>
      <c r="AN125" s="14"/>
      <c r="AO125" s="14"/>
      <c r="AP125" s="14"/>
      <c r="AQ125" s="14"/>
      <c r="AR125" s="14"/>
    </row>
    <row r="126" ht="22.5" customHeight="1">
      <c r="A126" s="103">
        <v>46066.0</v>
      </c>
      <c r="B126" s="97" t="s">
        <v>1076</v>
      </c>
      <c r="C126" s="8" t="s">
        <v>96</v>
      </c>
      <c r="D126" s="9" t="s">
        <v>46</v>
      </c>
      <c r="E126" s="9" t="s">
        <v>1077</v>
      </c>
      <c r="F126" s="9" t="s">
        <v>1078</v>
      </c>
      <c r="G126" s="10">
        <v>500086.0</v>
      </c>
      <c r="H126" s="9" t="s">
        <v>1079</v>
      </c>
      <c r="I126" s="11" t="str">
        <f>VLOOKUP(H126,Mapping!D:E,2,0)</f>
        <v>miyapur</v>
      </c>
      <c r="J126" s="9" t="s">
        <v>390</v>
      </c>
      <c r="K126" s="12">
        <v>0.22</v>
      </c>
      <c r="L126" s="13" t="str">
        <f t="shared" si="9"/>
        <v>20%+</v>
      </c>
      <c r="M126" s="13">
        <v>0.018</v>
      </c>
      <c r="N126" s="127">
        <v>0.02</v>
      </c>
      <c r="O126" s="15" t="s">
        <v>1080</v>
      </c>
      <c r="P126" s="15" t="s">
        <v>1081</v>
      </c>
      <c r="Q126" s="9" t="s">
        <v>1078</v>
      </c>
      <c r="R126" s="16" t="s">
        <v>1082</v>
      </c>
      <c r="S126" s="9" t="s">
        <v>1083</v>
      </c>
      <c r="T126" s="9" t="s">
        <v>1084</v>
      </c>
      <c r="U126" s="9" t="s">
        <v>919</v>
      </c>
      <c r="V126" s="17">
        <v>3.9310150087E11</v>
      </c>
      <c r="W126" s="9" t="s">
        <v>68</v>
      </c>
      <c r="X126" s="9" t="s">
        <v>56</v>
      </c>
      <c r="Y126" s="88" t="s">
        <v>57</v>
      </c>
      <c r="Z126" s="88" t="s">
        <v>58</v>
      </c>
      <c r="AA126" s="88" t="s">
        <v>57</v>
      </c>
      <c r="AB126" s="88" t="s">
        <v>57</v>
      </c>
      <c r="AC126" s="88" t="s">
        <v>57</v>
      </c>
      <c r="AD126" s="88" t="s">
        <v>58</v>
      </c>
      <c r="AE126" s="128" t="s">
        <v>1085</v>
      </c>
      <c r="AF126" s="14"/>
      <c r="AG126" s="14" t="str">
        <f t="shared" si="11"/>
        <v>#REF!</v>
      </c>
      <c r="AH126" s="14"/>
      <c r="AI126" s="20"/>
      <c r="AJ126" s="14"/>
      <c r="AK126" s="14"/>
      <c r="AL126" s="14"/>
      <c r="AM126" s="14"/>
      <c r="AN126" s="14"/>
      <c r="AO126" s="14"/>
      <c r="AP126" s="14"/>
      <c r="AQ126" s="14"/>
      <c r="AR126" s="14"/>
    </row>
    <row r="127" ht="22.5" customHeight="1">
      <c r="A127" s="68">
        <v>46066.0</v>
      </c>
      <c r="B127" s="69" t="s">
        <v>1086</v>
      </c>
      <c r="C127" s="73" t="s">
        <v>60</v>
      </c>
      <c r="D127" s="9" t="s">
        <v>46</v>
      </c>
      <c r="E127" s="9" t="s">
        <v>1087</v>
      </c>
      <c r="F127" s="9" t="s">
        <v>1088</v>
      </c>
      <c r="G127" s="10">
        <v>500049.0</v>
      </c>
      <c r="H127" s="9" t="s">
        <v>680</v>
      </c>
      <c r="I127" s="11" t="str">
        <f>VLOOKUP(H127,Mapping!D:E,2,0)</f>
        <v>miyapur</v>
      </c>
      <c r="J127" s="9" t="s">
        <v>390</v>
      </c>
      <c r="K127" s="12">
        <v>0.21</v>
      </c>
      <c r="L127" s="13" t="str">
        <f t="shared" si="9"/>
        <v>20%+</v>
      </c>
      <c r="M127" s="13">
        <v>0.018</v>
      </c>
      <c r="N127" s="14"/>
      <c r="O127" s="15" t="s">
        <v>1086</v>
      </c>
      <c r="P127" s="15" t="s">
        <v>1089</v>
      </c>
      <c r="Q127" s="9" t="s">
        <v>1088</v>
      </c>
      <c r="R127" s="16" t="s">
        <v>1022</v>
      </c>
      <c r="S127" s="9" t="s">
        <v>1023</v>
      </c>
      <c r="T127" s="9" t="s">
        <v>1088</v>
      </c>
      <c r="U127" s="9" t="s">
        <v>131</v>
      </c>
      <c r="V127" s="17">
        <v>4.3288896643E10</v>
      </c>
      <c r="W127" s="9" t="s">
        <v>1090</v>
      </c>
      <c r="X127" s="9" t="s">
        <v>56</v>
      </c>
      <c r="Y127" s="91" t="s">
        <v>57</v>
      </c>
      <c r="Z127" s="92" t="s">
        <v>58</v>
      </c>
      <c r="AA127" s="91" t="s">
        <v>57</v>
      </c>
      <c r="AB127" s="91" t="s">
        <v>57</v>
      </c>
      <c r="AC127" s="92" t="s">
        <v>58</v>
      </c>
      <c r="AD127" s="92" t="s">
        <v>69</v>
      </c>
      <c r="AE127" s="93" t="s">
        <v>1091</v>
      </c>
      <c r="AF127" s="14"/>
      <c r="AG127" s="14" t="str">
        <f t="shared" si="11"/>
        <v>#REF!</v>
      </c>
      <c r="AH127" s="14"/>
      <c r="AI127" s="20"/>
      <c r="AJ127" s="14"/>
      <c r="AK127" s="14"/>
      <c r="AL127" s="14"/>
      <c r="AM127" s="14"/>
      <c r="AN127" s="14"/>
      <c r="AO127" s="14"/>
      <c r="AP127" s="14"/>
      <c r="AQ127" s="14"/>
      <c r="AR127" s="14"/>
    </row>
    <row r="128" ht="22.5" customHeight="1">
      <c r="A128" s="68">
        <v>46066.0</v>
      </c>
      <c r="B128" s="69" t="s">
        <v>1092</v>
      </c>
      <c r="C128" s="8" t="s">
        <v>241</v>
      </c>
      <c r="D128" s="9" t="s">
        <v>46</v>
      </c>
      <c r="E128" s="39" t="s">
        <v>1093</v>
      </c>
      <c r="F128" s="9" t="s">
        <v>1094</v>
      </c>
      <c r="G128" s="10">
        <v>500032.0</v>
      </c>
      <c r="H128" s="9" t="s">
        <v>903</v>
      </c>
      <c r="I128" s="11" t="str">
        <f>VLOOKUP(H128,Mapping!D:E,2,0)</f>
        <v>gachibowli</v>
      </c>
      <c r="J128" s="9" t="s">
        <v>148</v>
      </c>
      <c r="K128" s="12">
        <v>0.22</v>
      </c>
      <c r="L128" s="13" t="str">
        <f t="shared" si="9"/>
        <v>20%+</v>
      </c>
      <c r="M128" s="13">
        <v>0.018</v>
      </c>
      <c r="N128" s="14"/>
      <c r="O128" s="15" t="s">
        <v>1095</v>
      </c>
      <c r="P128" s="15" t="s">
        <v>1096</v>
      </c>
      <c r="Q128" s="9" t="s">
        <v>1094</v>
      </c>
      <c r="R128" s="16" t="s">
        <v>1097</v>
      </c>
      <c r="S128" s="9" t="s">
        <v>1098</v>
      </c>
      <c r="T128" s="9" t="s">
        <v>1094</v>
      </c>
      <c r="U128" s="9" t="s">
        <v>1099</v>
      </c>
      <c r="V128" s="17">
        <v>2.1100110041208E13</v>
      </c>
      <c r="W128" s="9" t="s">
        <v>1100</v>
      </c>
      <c r="X128" s="9" t="s">
        <v>56</v>
      </c>
      <c r="Y128" s="18" t="s">
        <v>57</v>
      </c>
      <c r="Z128" s="18" t="s">
        <v>69</v>
      </c>
      <c r="AA128" s="18" t="s">
        <v>57</v>
      </c>
      <c r="AB128" s="18" t="s">
        <v>69</v>
      </c>
      <c r="AC128" s="18" t="s">
        <v>57</v>
      </c>
      <c r="AD128" s="18" t="s">
        <v>69</v>
      </c>
      <c r="AE128" s="39" t="s">
        <v>1101</v>
      </c>
      <c r="AF128" s="14"/>
      <c r="AG128" s="14" t="str">
        <f t="shared" si="11"/>
        <v>#REF!</v>
      </c>
      <c r="AH128" s="14"/>
      <c r="AI128" s="20"/>
      <c r="AJ128" s="14"/>
      <c r="AK128" s="14"/>
      <c r="AL128" s="14"/>
      <c r="AM128" s="14"/>
      <c r="AN128" s="14"/>
      <c r="AO128" s="14"/>
      <c r="AP128" s="14"/>
      <c r="AQ128" s="14"/>
      <c r="AR128" s="14"/>
    </row>
    <row r="129" ht="22.5" customHeight="1">
      <c r="A129" s="68">
        <v>46066.0</v>
      </c>
      <c r="B129" s="69" t="s">
        <v>1102</v>
      </c>
      <c r="C129" s="8" t="s">
        <v>96</v>
      </c>
      <c r="D129" s="9" t="s">
        <v>46</v>
      </c>
      <c r="E129" s="9" t="s">
        <v>1103</v>
      </c>
      <c r="F129" s="9" t="s">
        <v>1104</v>
      </c>
      <c r="G129" s="10">
        <v>500030.0</v>
      </c>
      <c r="H129" s="9" t="s">
        <v>85</v>
      </c>
      <c r="I129" s="11" t="str">
        <f>VLOOKUP(H129,Mapping!D:E,2,0)</f>
        <v>Langar Houz</v>
      </c>
      <c r="J129" s="9" t="s">
        <v>86</v>
      </c>
      <c r="K129" s="12">
        <v>0.23</v>
      </c>
      <c r="L129" s="13" t="str">
        <f t="shared" si="9"/>
        <v>20%+</v>
      </c>
      <c r="M129" s="13">
        <v>0.018</v>
      </c>
      <c r="N129" s="14"/>
      <c r="O129" s="15" t="s">
        <v>1102</v>
      </c>
      <c r="P129" s="9" t="s">
        <v>1105</v>
      </c>
      <c r="Q129" s="9" t="s">
        <v>1106</v>
      </c>
      <c r="R129" s="16" t="s">
        <v>1107</v>
      </c>
      <c r="S129" s="9" t="s">
        <v>1108</v>
      </c>
      <c r="T129" s="15" t="s">
        <v>1109</v>
      </c>
      <c r="U129" s="9" t="s">
        <v>1110</v>
      </c>
      <c r="V129" s="17">
        <v>1.57002000000978E14</v>
      </c>
      <c r="W129" s="9" t="s">
        <v>1111</v>
      </c>
      <c r="X129" s="9" t="s">
        <v>80</v>
      </c>
      <c r="Y129" s="18" t="s">
        <v>57</v>
      </c>
      <c r="Z129" s="18" t="s">
        <v>57</v>
      </c>
      <c r="AA129" s="18" t="s">
        <v>57</v>
      </c>
      <c r="AB129" s="18" t="s">
        <v>57</v>
      </c>
      <c r="AC129" s="18" t="s">
        <v>58</v>
      </c>
      <c r="AD129" s="18" t="s">
        <v>58</v>
      </c>
      <c r="AE129" s="35" t="s">
        <v>1112</v>
      </c>
      <c r="AF129" s="14"/>
      <c r="AG129" s="14" t="str">
        <f t="shared" si="11"/>
        <v>#REF!</v>
      </c>
      <c r="AH129" s="14"/>
      <c r="AI129" s="20"/>
      <c r="AJ129" s="14"/>
      <c r="AK129" s="14"/>
      <c r="AL129" s="14"/>
      <c r="AM129" s="14"/>
      <c r="AN129" s="14"/>
      <c r="AO129" s="14"/>
      <c r="AP129" s="14"/>
      <c r="AQ129" s="14"/>
      <c r="AR129" s="14"/>
    </row>
    <row r="130" ht="22.5" customHeight="1">
      <c r="A130" s="81">
        <v>46067.0</v>
      </c>
      <c r="B130" s="69" t="s">
        <v>1113</v>
      </c>
      <c r="C130" s="8" t="s">
        <v>248</v>
      </c>
      <c r="D130" s="9" t="s">
        <v>258</v>
      </c>
      <c r="E130" s="39" t="s">
        <v>1114</v>
      </c>
      <c r="F130" s="9" t="s">
        <v>1115</v>
      </c>
      <c r="G130" s="10">
        <v>500084.0</v>
      </c>
      <c r="H130" s="9" t="s">
        <v>389</v>
      </c>
      <c r="I130" s="11" t="str">
        <f>VLOOKUP(H130,Mapping!D:E,2,0)</f>
        <v>Kondapur</v>
      </c>
      <c r="J130" s="9" t="s">
        <v>390</v>
      </c>
      <c r="K130" s="12">
        <v>0.15</v>
      </c>
      <c r="L130" s="14" t="str">
        <f t="shared" si="9"/>
        <v>&lt;17%</v>
      </c>
      <c r="M130" s="13">
        <v>0.018</v>
      </c>
      <c r="N130" s="14"/>
      <c r="O130" s="15" t="s">
        <v>1113</v>
      </c>
      <c r="P130" s="39" t="s">
        <v>1116</v>
      </c>
      <c r="Q130" s="9" t="s">
        <v>1117</v>
      </c>
      <c r="R130" s="16" t="s">
        <v>1118</v>
      </c>
      <c r="S130" s="9" t="s">
        <v>1119</v>
      </c>
      <c r="T130" s="9" t="s">
        <v>1115</v>
      </c>
      <c r="U130" s="9" t="s">
        <v>1014</v>
      </c>
      <c r="V130" s="17">
        <v>5.0100406937092E13</v>
      </c>
      <c r="W130" s="9" t="s">
        <v>1120</v>
      </c>
      <c r="X130" s="9" t="s">
        <v>56</v>
      </c>
      <c r="Y130" s="18" t="s">
        <v>57</v>
      </c>
      <c r="Z130" s="18" t="s">
        <v>58</v>
      </c>
      <c r="AA130" s="18" t="s">
        <v>57</v>
      </c>
      <c r="AB130" s="18" t="s">
        <v>57</v>
      </c>
      <c r="AC130" s="115" t="s">
        <v>58</v>
      </c>
      <c r="AD130" s="115" t="s">
        <v>58</v>
      </c>
      <c r="AE130" s="39" t="s">
        <v>1121</v>
      </c>
      <c r="AF130" s="14"/>
      <c r="AG130" s="9" t="s">
        <v>397</v>
      </c>
      <c r="AH130" s="14"/>
      <c r="AI130" s="20"/>
      <c r="AJ130" s="14"/>
      <c r="AK130" s="14"/>
      <c r="AL130" s="14"/>
      <c r="AM130" s="14"/>
      <c r="AN130" s="14"/>
      <c r="AO130" s="14"/>
      <c r="AP130" s="14"/>
      <c r="AQ130" s="14"/>
      <c r="AR130" s="14"/>
    </row>
    <row r="131" ht="22.5" customHeight="1">
      <c r="A131" s="129">
        <v>46067.0</v>
      </c>
      <c r="B131" s="97" t="s">
        <v>1122</v>
      </c>
      <c r="C131" s="8" t="s">
        <v>186</v>
      </c>
      <c r="D131" s="9" t="s">
        <v>46</v>
      </c>
      <c r="E131" s="9" t="s">
        <v>1123</v>
      </c>
      <c r="F131" s="9" t="s">
        <v>1124</v>
      </c>
      <c r="G131" s="10">
        <v>500073.0</v>
      </c>
      <c r="H131" s="9" t="s">
        <v>809</v>
      </c>
      <c r="I131" s="11" t="str">
        <f>VLOOKUP(H131,Mapping!D:E,2,0)</f>
        <v>ameerpet</v>
      </c>
      <c r="J131" s="9" t="s">
        <v>161</v>
      </c>
      <c r="K131" s="12">
        <v>0.18</v>
      </c>
      <c r="L131" s="14" t="str">
        <f t="shared" si="9"/>
        <v>&lt;20%</v>
      </c>
      <c r="M131" s="13">
        <v>0.018</v>
      </c>
      <c r="N131" s="14"/>
      <c r="O131" s="15" t="s">
        <v>1122</v>
      </c>
      <c r="P131" s="9" t="s">
        <v>1125</v>
      </c>
      <c r="Q131" s="9" t="s">
        <v>1124</v>
      </c>
      <c r="R131" s="16" t="s">
        <v>1126</v>
      </c>
      <c r="S131" s="9" t="s">
        <v>1127</v>
      </c>
      <c r="T131" s="9" t="s">
        <v>1128</v>
      </c>
      <c r="U131" s="9" t="s">
        <v>1129</v>
      </c>
      <c r="V131" s="17">
        <v>4.2032773051E10</v>
      </c>
      <c r="W131" s="9" t="s">
        <v>1130</v>
      </c>
      <c r="X131" s="9" t="s">
        <v>56</v>
      </c>
      <c r="Y131" s="18" t="s">
        <v>57</v>
      </c>
      <c r="Z131" s="18" t="s">
        <v>58</v>
      </c>
      <c r="AA131" s="18" t="s">
        <v>58</v>
      </c>
      <c r="AB131" s="18" t="s">
        <v>58</v>
      </c>
      <c r="AC131" s="121" t="s">
        <v>58</v>
      </c>
      <c r="AD131" s="121" t="s">
        <v>58</v>
      </c>
      <c r="AE131" s="40" t="s">
        <v>1131</v>
      </c>
      <c r="AF131" s="40" t="s">
        <v>1132</v>
      </c>
      <c r="AG131" s="14" t="str">
        <f t="shared" ref="AG131:AG140" si="12">VLOOKUP(H:H,'Pivot Table 8'!B:C,2,0)</f>
        <v>#REF!</v>
      </c>
      <c r="AH131" s="14"/>
      <c r="AI131" s="20"/>
      <c r="AJ131" s="14"/>
      <c r="AK131" s="14"/>
      <c r="AL131" s="14"/>
      <c r="AM131" s="14"/>
      <c r="AN131" s="14"/>
      <c r="AO131" s="14"/>
      <c r="AP131" s="14"/>
      <c r="AQ131" s="14"/>
      <c r="AR131" s="14"/>
    </row>
    <row r="132" ht="22.5" customHeight="1">
      <c r="A132" s="74">
        <v>46067.0</v>
      </c>
      <c r="B132" s="97" t="s">
        <v>1133</v>
      </c>
      <c r="C132" s="8" t="s">
        <v>186</v>
      </c>
      <c r="D132" s="9" t="s">
        <v>258</v>
      </c>
      <c r="E132" s="9" t="s">
        <v>1134</v>
      </c>
      <c r="F132" s="9" t="s">
        <v>68</v>
      </c>
      <c r="G132" s="10">
        <v>500038.0</v>
      </c>
      <c r="H132" s="9" t="s">
        <v>890</v>
      </c>
      <c r="I132" s="11" t="str">
        <f>VLOOKUP(H132,Mapping!D:E,2,0)</f>
        <v>yousufguda</v>
      </c>
      <c r="J132" s="9" t="s">
        <v>161</v>
      </c>
      <c r="K132" s="12">
        <v>0.17</v>
      </c>
      <c r="L132" s="14" t="str">
        <f t="shared" si="9"/>
        <v>&lt;20%</v>
      </c>
      <c r="M132" s="13">
        <v>0.018</v>
      </c>
      <c r="N132" s="14"/>
      <c r="O132" s="43" t="s">
        <v>1133</v>
      </c>
      <c r="P132" s="9" t="s">
        <v>1135</v>
      </c>
      <c r="Q132" s="9" t="s">
        <v>1136</v>
      </c>
      <c r="R132" s="16" t="s">
        <v>1137</v>
      </c>
      <c r="S132" s="9" t="s">
        <v>1138</v>
      </c>
      <c r="T132" s="9" t="s">
        <v>1133</v>
      </c>
      <c r="U132" s="9" t="s">
        <v>1139</v>
      </c>
      <c r="V132" s="17">
        <v>9.21020008513078E14</v>
      </c>
      <c r="W132" s="9" t="s">
        <v>1140</v>
      </c>
      <c r="X132" s="9" t="s">
        <v>80</v>
      </c>
      <c r="Y132" s="18" t="s">
        <v>57</v>
      </c>
      <c r="Z132" s="18" t="s">
        <v>58</v>
      </c>
      <c r="AA132" s="18" t="s">
        <v>57</v>
      </c>
      <c r="AB132" s="18" t="s">
        <v>57</v>
      </c>
      <c r="AC132" s="18" t="s">
        <v>57</v>
      </c>
      <c r="AD132" s="18" t="s">
        <v>58</v>
      </c>
      <c r="AE132" s="40" t="s">
        <v>1141</v>
      </c>
      <c r="AF132" s="40" t="s">
        <v>1142</v>
      </c>
      <c r="AG132" s="14" t="str">
        <f t="shared" si="12"/>
        <v>#REF!</v>
      </c>
      <c r="AH132" s="14"/>
      <c r="AI132" s="20"/>
      <c r="AJ132" s="14"/>
      <c r="AK132" s="14"/>
      <c r="AL132" s="14"/>
      <c r="AM132" s="14"/>
      <c r="AN132" s="14"/>
      <c r="AO132" s="14"/>
      <c r="AP132" s="14"/>
      <c r="AQ132" s="14"/>
      <c r="AR132" s="14"/>
    </row>
    <row r="133" ht="22.5" customHeight="1">
      <c r="A133" s="74">
        <v>46067.0</v>
      </c>
      <c r="B133" s="69" t="s">
        <v>1143</v>
      </c>
      <c r="C133" s="8" t="s">
        <v>186</v>
      </c>
      <c r="D133" s="9" t="s">
        <v>258</v>
      </c>
      <c r="E133" s="9" t="s">
        <v>1144</v>
      </c>
      <c r="F133" s="9" t="s">
        <v>1145</v>
      </c>
      <c r="G133" s="10">
        <v>500045.0</v>
      </c>
      <c r="H133" s="9" t="s">
        <v>1041</v>
      </c>
      <c r="I133" s="11" t="str">
        <f>VLOOKUP(H133,Mapping!D:E,2,0)</f>
        <v>yousufguda</v>
      </c>
      <c r="J133" s="9" t="s">
        <v>161</v>
      </c>
      <c r="K133" s="12">
        <v>0.17</v>
      </c>
      <c r="L133" s="14" t="str">
        <f t="shared" si="9"/>
        <v>&lt;20%</v>
      </c>
      <c r="M133" s="13">
        <v>0.018</v>
      </c>
      <c r="N133" s="14"/>
      <c r="O133" s="43" t="s">
        <v>1143</v>
      </c>
      <c r="P133" s="9" t="s">
        <v>1146</v>
      </c>
      <c r="Q133" s="15" t="s">
        <v>1147</v>
      </c>
      <c r="R133" s="16" t="s">
        <v>1148</v>
      </c>
      <c r="S133" s="9" t="s">
        <v>1149</v>
      </c>
      <c r="T133" s="9" t="s">
        <v>1150</v>
      </c>
      <c r="U133" s="15" t="s">
        <v>1129</v>
      </c>
      <c r="V133" s="17">
        <v>4.723780934E9</v>
      </c>
      <c r="W133" s="9" t="s">
        <v>1151</v>
      </c>
      <c r="X133" s="9" t="s">
        <v>56</v>
      </c>
      <c r="Y133" s="18" t="s">
        <v>57</v>
      </c>
      <c r="Z133" s="18" t="s">
        <v>58</v>
      </c>
      <c r="AA133" s="18" t="s">
        <v>57</v>
      </c>
      <c r="AB133" s="18" t="s">
        <v>57</v>
      </c>
      <c r="AC133" s="18" t="s">
        <v>58</v>
      </c>
      <c r="AD133" s="18" t="s">
        <v>57</v>
      </c>
      <c r="AE133" s="40" t="s">
        <v>1152</v>
      </c>
      <c r="AF133" s="40" t="s">
        <v>1153</v>
      </c>
      <c r="AG133" s="14" t="str">
        <f t="shared" si="12"/>
        <v>#REF!</v>
      </c>
      <c r="AH133" s="14"/>
      <c r="AI133" s="20"/>
      <c r="AJ133" s="14"/>
      <c r="AK133" s="14"/>
      <c r="AL133" s="14"/>
      <c r="AM133" s="14"/>
      <c r="AN133" s="14"/>
      <c r="AO133" s="14"/>
      <c r="AP133" s="14"/>
      <c r="AQ133" s="14"/>
      <c r="AR133" s="14"/>
    </row>
    <row r="134" ht="22.5" customHeight="1">
      <c r="A134" s="103">
        <v>46069.0</v>
      </c>
      <c r="B134" s="69" t="s">
        <v>1154</v>
      </c>
      <c r="C134" s="41" t="s">
        <v>200</v>
      </c>
      <c r="D134" s="9" t="s">
        <v>61</v>
      </c>
      <c r="E134" s="9" t="s">
        <v>1155</v>
      </c>
      <c r="F134" s="9" t="s">
        <v>1156</v>
      </c>
      <c r="G134" s="10">
        <v>500008.0</v>
      </c>
      <c r="H134" s="9" t="s">
        <v>171</v>
      </c>
      <c r="I134" s="11" t="str">
        <f>VLOOKUP(H134,Mapping!D:E,2,0)</f>
        <v>Langar Houz</v>
      </c>
      <c r="J134" s="9" t="s">
        <v>86</v>
      </c>
      <c r="K134" s="12">
        <v>0.18</v>
      </c>
      <c r="L134" s="13" t="str">
        <f t="shared" si="9"/>
        <v>&lt;20%</v>
      </c>
      <c r="M134" s="13">
        <v>0.018</v>
      </c>
      <c r="N134" s="9" t="s">
        <v>68</v>
      </c>
      <c r="O134" s="9" t="s">
        <v>1156</v>
      </c>
      <c r="P134" s="15" t="s">
        <v>1157</v>
      </c>
      <c r="Q134" s="9" t="s">
        <v>1156</v>
      </c>
      <c r="R134" s="16" t="s">
        <v>1158</v>
      </c>
      <c r="S134" s="9" t="s">
        <v>1159</v>
      </c>
      <c r="T134" s="15" t="s">
        <v>1154</v>
      </c>
      <c r="U134" s="9" t="s">
        <v>1014</v>
      </c>
      <c r="V134" s="17">
        <v>5.0200100349334E13</v>
      </c>
      <c r="W134" s="9" t="s">
        <v>1160</v>
      </c>
      <c r="X134" s="9" t="s">
        <v>80</v>
      </c>
      <c r="Y134" s="18" t="s">
        <v>57</v>
      </c>
      <c r="Z134" s="18" t="s">
        <v>58</v>
      </c>
      <c r="AA134" s="18" t="s">
        <v>57</v>
      </c>
      <c r="AB134" s="14"/>
      <c r="AC134" s="14"/>
      <c r="AD134" s="14"/>
      <c r="AE134" s="35" t="s">
        <v>1161</v>
      </c>
      <c r="AF134" s="14"/>
      <c r="AG134" s="14" t="str">
        <f t="shared" si="12"/>
        <v>#REF!</v>
      </c>
      <c r="AH134" s="14"/>
      <c r="AI134" s="20"/>
      <c r="AJ134" s="14"/>
      <c r="AK134" s="14"/>
      <c r="AL134" s="14"/>
      <c r="AM134" s="14"/>
      <c r="AN134" s="14"/>
      <c r="AO134" s="14"/>
      <c r="AP134" s="14"/>
      <c r="AQ134" s="14"/>
      <c r="AR134" s="14"/>
    </row>
    <row r="135" ht="22.5" customHeight="1">
      <c r="A135" s="68">
        <v>46069.0</v>
      </c>
      <c r="B135" s="69" t="s">
        <v>1162</v>
      </c>
      <c r="C135" s="8" t="s">
        <v>73</v>
      </c>
      <c r="D135" s="9" t="s">
        <v>46</v>
      </c>
      <c r="E135" s="39" t="s">
        <v>1163</v>
      </c>
      <c r="F135" s="9" t="s">
        <v>1164</v>
      </c>
      <c r="G135" s="10">
        <v>500072.0</v>
      </c>
      <c r="H135" s="9" t="s">
        <v>610</v>
      </c>
      <c r="I135" s="11" t="str">
        <f>VLOOKUP(H135,Mapping!D:E,2,0)</f>
        <v>kukatpally</v>
      </c>
      <c r="J135" s="9" t="s">
        <v>390</v>
      </c>
      <c r="K135" s="12">
        <v>0.17</v>
      </c>
      <c r="L135" s="13" t="str">
        <f t="shared" si="9"/>
        <v>&lt;20%</v>
      </c>
      <c r="M135" s="13">
        <v>0.018</v>
      </c>
      <c r="N135" s="14"/>
      <c r="O135" s="15" t="s">
        <v>1162</v>
      </c>
      <c r="P135" s="9" t="s">
        <v>1165</v>
      </c>
      <c r="Q135" s="9" t="s">
        <v>1164</v>
      </c>
      <c r="R135" s="16" t="s">
        <v>1166</v>
      </c>
      <c r="S135" s="9" t="s">
        <v>1167</v>
      </c>
      <c r="T135" s="15" t="s">
        <v>1162</v>
      </c>
      <c r="U135" s="9" t="s">
        <v>415</v>
      </c>
      <c r="V135" s="17">
        <v>2.59866678342E11</v>
      </c>
      <c r="W135" s="9" t="s">
        <v>1168</v>
      </c>
      <c r="X135" s="9" t="s">
        <v>80</v>
      </c>
      <c r="Y135" s="18" t="s">
        <v>57</v>
      </c>
      <c r="Z135" s="18" t="s">
        <v>69</v>
      </c>
      <c r="AA135" s="18" t="s">
        <v>57</v>
      </c>
      <c r="AB135" s="18" t="s">
        <v>57</v>
      </c>
      <c r="AC135" s="18" t="s">
        <v>57</v>
      </c>
      <c r="AD135" s="18" t="s">
        <v>69</v>
      </c>
      <c r="AE135" s="35" t="s">
        <v>1169</v>
      </c>
      <c r="AF135" s="14"/>
      <c r="AG135" s="14" t="str">
        <f t="shared" si="12"/>
        <v>#REF!</v>
      </c>
      <c r="AH135" s="14"/>
      <c r="AI135" s="20"/>
      <c r="AJ135" s="14"/>
      <c r="AK135" s="14"/>
      <c r="AL135" s="14"/>
      <c r="AM135" s="14"/>
      <c r="AN135" s="14"/>
      <c r="AO135" s="14"/>
      <c r="AP135" s="14"/>
      <c r="AQ135" s="14"/>
      <c r="AR135" s="14"/>
    </row>
    <row r="136" ht="22.5" customHeight="1">
      <c r="A136" s="103">
        <v>46069.0</v>
      </c>
      <c r="B136" s="69" t="s">
        <v>1170</v>
      </c>
      <c r="C136" s="8" t="s">
        <v>96</v>
      </c>
      <c r="D136" s="9" t="s">
        <v>46</v>
      </c>
      <c r="E136" s="9" t="s">
        <v>1171</v>
      </c>
      <c r="F136" s="9" t="s">
        <v>1172</v>
      </c>
      <c r="G136" s="10">
        <v>500048.0</v>
      </c>
      <c r="H136" s="9" t="s">
        <v>99</v>
      </c>
      <c r="I136" s="11" t="str">
        <f>VLOOKUP(H136,Mapping!D:E,2,0)</f>
        <v>mehdipatnam</v>
      </c>
      <c r="J136" s="9" t="s">
        <v>50</v>
      </c>
      <c r="K136" s="12">
        <v>0.22</v>
      </c>
      <c r="L136" s="13" t="str">
        <f t="shared" si="9"/>
        <v>20%+</v>
      </c>
      <c r="M136" s="13">
        <v>0.018</v>
      </c>
      <c r="N136" s="14"/>
      <c r="O136" s="15" t="s">
        <v>1170</v>
      </c>
      <c r="P136" s="9" t="s">
        <v>1171</v>
      </c>
      <c r="Q136" s="9" t="s">
        <v>1172</v>
      </c>
      <c r="R136" s="16" t="s">
        <v>1173</v>
      </c>
      <c r="S136" s="9" t="s">
        <v>1174</v>
      </c>
      <c r="T136" s="9" t="s">
        <v>1175</v>
      </c>
      <c r="U136" s="9" t="s">
        <v>54</v>
      </c>
      <c r="V136" s="17">
        <v>8.0980200001473E13</v>
      </c>
      <c r="W136" s="9" t="s">
        <v>1176</v>
      </c>
      <c r="X136" s="9" t="s">
        <v>56</v>
      </c>
      <c r="Y136" s="18" t="s">
        <v>57</v>
      </c>
      <c r="Z136" s="18" t="s">
        <v>58</v>
      </c>
      <c r="AA136" s="18" t="s">
        <v>57</v>
      </c>
      <c r="AB136" s="18" t="s">
        <v>57</v>
      </c>
      <c r="AC136" s="18" t="s">
        <v>57</v>
      </c>
      <c r="AD136" s="18" t="s">
        <v>57</v>
      </c>
      <c r="AE136" s="39" t="s">
        <v>1177</v>
      </c>
      <c r="AF136" s="14"/>
      <c r="AG136" s="14" t="str">
        <f t="shared" si="12"/>
        <v>#REF!</v>
      </c>
      <c r="AH136" s="14"/>
      <c r="AI136" s="20"/>
      <c r="AJ136" s="14"/>
      <c r="AK136" s="14"/>
      <c r="AL136" s="14"/>
      <c r="AM136" s="14"/>
      <c r="AN136" s="14"/>
      <c r="AO136" s="14"/>
      <c r="AP136" s="14"/>
      <c r="AQ136" s="14"/>
      <c r="AR136" s="14"/>
    </row>
    <row r="137" ht="22.5" customHeight="1">
      <c r="A137" s="103">
        <v>46069.0</v>
      </c>
      <c r="B137" s="69" t="s">
        <v>1178</v>
      </c>
      <c r="C137" s="8" t="s">
        <v>96</v>
      </c>
      <c r="D137" s="9" t="s">
        <v>61</v>
      </c>
      <c r="E137" s="9" t="s">
        <v>1179</v>
      </c>
      <c r="F137" s="9" t="s">
        <v>1180</v>
      </c>
      <c r="G137" s="10">
        <v>500091.0</v>
      </c>
      <c r="H137" s="9" t="s">
        <v>1009</v>
      </c>
      <c r="I137" s="11" t="str">
        <f>VLOOKUP(H137,Mapping!D:E,2,0)</f>
        <v>mehdipatnam</v>
      </c>
      <c r="J137" s="9" t="s">
        <v>50</v>
      </c>
      <c r="K137" s="12">
        <v>0.18</v>
      </c>
      <c r="L137" s="13" t="str">
        <f t="shared" si="9"/>
        <v>&lt;20%</v>
      </c>
      <c r="M137" s="13">
        <v>0.018</v>
      </c>
      <c r="N137" s="14"/>
      <c r="O137" s="15" t="s">
        <v>1178</v>
      </c>
      <c r="P137" s="15" t="s">
        <v>1181</v>
      </c>
      <c r="Q137" s="9" t="s">
        <v>1180</v>
      </c>
      <c r="R137" s="16" t="s">
        <v>1182</v>
      </c>
      <c r="S137" s="9" t="s">
        <v>1183</v>
      </c>
      <c r="T137" s="9" t="s">
        <v>1184</v>
      </c>
      <c r="U137" s="9" t="s">
        <v>154</v>
      </c>
      <c r="V137" s="17">
        <v>5.2401202575E10</v>
      </c>
      <c r="W137" s="9" t="s">
        <v>1185</v>
      </c>
      <c r="X137" s="9" t="s">
        <v>80</v>
      </c>
      <c r="Y137" s="18" t="s">
        <v>57</v>
      </c>
      <c r="Z137" s="18" t="s">
        <v>57</v>
      </c>
      <c r="AA137" s="18" t="s">
        <v>57</v>
      </c>
      <c r="AB137" s="18" t="s">
        <v>57</v>
      </c>
      <c r="AC137" s="18" t="s">
        <v>57</v>
      </c>
      <c r="AD137" s="18" t="s">
        <v>57</v>
      </c>
      <c r="AE137" s="35" t="s">
        <v>1186</v>
      </c>
      <c r="AF137" s="14"/>
      <c r="AG137" s="14" t="str">
        <f t="shared" si="12"/>
        <v>#REF!</v>
      </c>
      <c r="AH137" s="14"/>
      <c r="AI137" s="20"/>
      <c r="AJ137" s="14"/>
      <c r="AK137" s="14"/>
      <c r="AL137" s="14"/>
      <c r="AM137" s="14"/>
      <c r="AN137" s="14"/>
      <c r="AO137" s="14"/>
      <c r="AP137" s="14"/>
      <c r="AQ137" s="14"/>
      <c r="AR137" s="14"/>
    </row>
    <row r="138" ht="22.5" customHeight="1">
      <c r="A138" s="103">
        <v>46069.0</v>
      </c>
      <c r="B138" s="69" t="s">
        <v>1187</v>
      </c>
      <c r="C138" s="8" t="s">
        <v>186</v>
      </c>
      <c r="D138" s="9" t="s">
        <v>258</v>
      </c>
      <c r="E138" s="9" t="s">
        <v>1188</v>
      </c>
      <c r="F138" s="9" t="s">
        <v>1189</v>
      </c>
      <c r="G138" s="10">
        <v>500045.0</v>
      </c>
      <c r="H138" s="9" t="s">
        <v>1041</v>
      </c>
      <c r="I138" s="11" t="str">
        <f>VLOOKUP(H138,Mapping!D:E,2,0)</f>
        <v>yousufguda</v>
      </c>
      <c r="J138" s="9" t="s">
        <v>161</v>
      </c>
      <c r="K138" s="12">
        <v>0.2</v>
      </c>
      <c r="L138" s="14" t="str">
        <f t="shared" si="9"/>
        <v>20%+</v>
      </c>
      <c r="M138" s="13">
        <v>0.018</v>
      </c>
      <c r="N138" s="127">
        <v>0.02</v>
      </c>
      <c r="O138" s="43" t="s">
        <v>1187</v>
      </c>
      <c r="P138" s="9" t="s">
        <v>1190</v>
      </c>
      <c r="Q138" s="9" t="s">
        <v>1189</v>
      </c>
      <c r="R138" s="16" t="s">
        <v>1191</v>
      </c>
      <c r="S138" s="9" t="s">
        <v>1192</v>
      </c>
      <c r="T138" s="9" t="s">
        <v>1189</v>
      </c>
      <c r="U138" s="9" t="s">
        <v>1014</v>
      </c>
      <c r="V138" s="17">
        <v>5.0100663398498E13</v>
      </c>
      <c r="W138" s="9" t="s">
        <v>1193</v>
      </c>
      <c r="X138" s="9" t="s">
        <v>56</v>
      </c>
      <c r="Y138" s="18" t="s">
        <v>57</v>
      </c>
      <c r="Z138" s="18" t="s">
        <v>58</v>
      </c>
      <c r="AA138" s="18" t="s">
        <v>57</v>
      </c>
      <c r="AB138" s="18" t="s">
        <v>57</v>
      </c>
      <c r="AC138" s="18" t="s">
        <v>57</v>
      </c>
      <c r="AD138" s="18" t="s">
        <v>58</v>
      </c>
      <c r="AE138" s="40" t="s">
        <v>1194</v>
      </c>
      <c r="AF138" s="40" t="s">
        <v>1194</v>
      </c>
      <c r="AG138" s="14" t="str">
        <f t="shared" si="12"/>
        <v>#REF!</v>
      </c>
      <c r="AH138" s="14"/>
      <c r="AI138" s="20"/>
      <c r="AJ138" s="14"/>
      <c r="AK138" s="14"/>
      <c r="AL138" s="14"/>
      <c r="AM138" s="14"/>
      <c r="AN138" s="14"/>
      <c r="AO138" s="14"/>
      <c r="AP138" s="14"/>
      <c r="AQ138" s="14"/>
      <c r="AR138" s="14"/>
    </row>
    <row r="139" ht="22.5" customHeight="1">
      <c r="A139" s="103">
        <v>46069.0</v>
      </c>
      <c r="B139" s="69" t="s">
        <v>1195</v>
      </c>
      <c r="C139" s="8" t="s">
        <v>73</v>
      </c>
      <c r="D139" s="9" t="s">
        <v>46</v>
      </c>
      <c r="E139" s="9" t="s">
        <v>1196</v>
      </c>
      <c r="F139" s="9" t="s">
        <v>1197</v>
      </c>
      <c r="G139" s="10">
        <v>500049.0</v>
      </c>
      <c r="H139" s="9" t="s">
        <v>1198</v>
      </c>
      <c r="I139" s="11" t="str">
        <f>VLOOKUP(H139,Mapping!D:E,2,0)</f>
        <v>kukatpally</v>
      </c>
      <c r="J139" s="9" t="s">
        <v>390</v>
      </c>
      <c r="K139" s="12">
        <v>0.22</v>
      </c>
      <c r="L139" s="13" t="str">
        <f t="shared" si="9"/>
        <v>20%+</v>
      </c>
      <c r="M139" s="13">
        <v>0.018</v>
      </c>
      <c r="N139" s="14"/>
      <c r="O139" s="15" t="s">
        <v>1195</v>
      </c>
      <c r="P139" s="9" t="s">
        <v>1198</v>
      </c>
      <c r="Q139" s="9" t="s">
        <v>1197</v>
      </c>
      <c r="R139" s="16" t="s">
        <v>1199</v>
      </c>
      <c r="S139" s="9" t="s">
        <v>1200</v>
      </c>
      <c r="T139" s="9" t="s">
        <v>1197</v>
      </c>
      <c r="U139" s="9" t="s">
        <v>1014</v>
      </c>
      <c r="V139" s="17">
        <v>5.0200061840429E13</v>
      </c>
      <c r="W139" s="9" t="s">
        <v>1025</v>
      </c>
      <c r="X139" s="9" t="s">
        <v>80</v>
      </c>
      <c r="Y139" s="18" t="s">
        <v>57</v>
      </c>
      <c r="Z139" s="18" t="s">
        <v>57</v>
      </c>
      <c r="AA139" s="18" t="s">
        <v>57</v>
      </c>
      <c r="AB139" s="18" t="s">
        <v>57</v>
      </c>
      <c r="AC139" s="18" t="s">
        <v>57</v>
      </c>
      <c r="AD139" s="18" t="s">
        <v>58</v>
      </c>
      <c r="AE139" s="35" t="s">
        <v>1201</v>
      </c>
      <c r="AF139" s="14"/>
      <c r="AG139" s="14" t="str">
        <f t="shared" si="12"/>
        <v>#REF!</v>
      </c>
      <c r="AH139" s="14"/>
      <c r="AI139" s="20"/>
      <c r="AJ139" s="14"/>
      <c r="AK139" s="14"/>
      <c r="AL139" s="14"/>
      <c r="AM139" s="14"/>
      <c r="AN139" s="14"/>
      <c r="AO139" s="14"/>
      <c r="AP139" s="14"/>
      <c r="AQ139" s="14"/>
      <c r="AR139" s="14"/>
    </row>
    <row r="140" ht="22.5" customHeight="1">
      <c r="A140" s="110">
        <v>46069.0</v>
      </c>
      <c r="B140" s="130" t="s">
        <v>1202</v>
      </c>
      <c r="C140" s="8" t="s">
        <v>248</v>
      </c>
      <c r="D140" s="9" t="s">
        <v>46</v>
      </c>
      <c r="E140" s="9" t="s">
        <v>1203</v>
      </c>
      <c r="F140" s="9" t="s">
        <v>1204</v>
      </c>
      <c r="G140" s="10">
        <v>500008.0</v>
      </c>
      <c r="H140" s="9" t="s">
        <v>171</v>
      </c>
      <c r="I140" s="11" t="str">
        <f>VLOOKUP(H140,Mapping!D:E,2,0)</f>
        <v>Langar Houz</v>
      </c>
      <c r="J140" s="9" t="s">
        <v>86</v>
      </c>
      <c r="K140" s="12">
        <v>0.22</v>
      </c>
      <c r="L140" s="14" t="str">
        <f t="shared" si="9"/>
        <v>20%+</v>
      </c>
      <c r="M140" s="13">
        <v>0.018</v>
      </c>
      <c r="N140" s="127">
        <v>0.0</v>
      </c>
      <c r="O140" s="9" t="s">
        <v>68</v>
      </c>
      <c r="P140" s="9" t="s">
        <v>68</v>
      </c>
      <c r="Q140" s="9" t="s">
        <v>68</v>
      </c>
      <c r="R140" s="16" t="s">
        <v>1205</v>
      </c>
      <c r="S140" s="9" t="s">
        <v>68</v>
      </c>
      <c r="T140" s="9" t="s">
        <v>68</v>
      </c>
      <c r="U140" s="9" t="s">
        <v>68</v>
      </c>
      <c r="V140" s="9" t="s">
        <v>68</v>
      </c>
      <c r="W140" s="9" t="s">
        <v>68</v>
      </c>
      <c r="X140" s="9" t="s">
        <v>68</v>
      </c>
      <c r="Y140" s="18" t="s">
        <v>58</v>
      </c>
      <c r="Z140" s="18" t="s">
        <v>58</v>
      </c>
      <c r="AA140" s="18" t="s">
        <v>58</v>
      </c>
      <c r="AB140" s="18" t="s">
        <v>58</v>
      </c>
      <c r="AC140" s="18" t="s">
        <v>58</v>
      </c>
      <c r="AD140" s="18" t="s">
        <v>58</v>
      </c>
      <c r="AE140" s="14"/>
      <c r="AF140" s="14"/>
      <c r="AG140" s="14" t="str">
        <f t="shared" si="12"/>
        <v>#REF!</v>
      </c>
      <c r="AH140" s="9" t="s">
        <v>1206</v>
      </c>
      <c r="AI140" s="20"/>
      <c r="AJ140" s="14"/>
      <c r="AK140" s="14"/>
      <c r="AL140" s="14"/>
      <c r="AM140" s="14"/>
      <c r="AN140" s="14"/>
      <c r="AO140" s="14"/>
      <c r="AP140" s="14"/>
      <c r="AQ140" s="14"/>
      <c r="AR140" s="14"/>
    </row>
    <row r="141" ht="22.5" customHeight="1">
      <c r="A141" s="103">
        <v>46069.0</v>
      </c>
      <c r="B141" s="69" t="s">
        <v>1207</v>
      </c>
      <c r="C141" s="8" t="s">
        <v>186</v>
      </c>
      <c r="D141" s="9" t="s">
        <v>46</v>
      </c>
      <c r="E141" s="9" t="s">
        <v>1208</v>
      </c>
      <c r="F141" s="9" t="s">
        <v>1209</v>
      </c>
      <c r="G141" s="10">
        <v>500084.0</v>
      </c>
      <c r="H141" s="9" t="s">
        <v>389</v>
      </c>
      <c r="I141" s="11" t="str">
        <f>VLOOKUP(H141,Mapping!D:E,2,0)</f>
        <v>Kondapur</v>
      </c>
      <c r="J141" s="9" t="s">
        <v>390</v>
      </c>
      <c r="K141" s="12">
        <v>0.17</v>
      </c>
      <c r="L141" s="14" t="str">
        <f t="shared" si="9"/>
        <v>&lt;20%</v>
      </c>
      <c r="M141" s="13">
        <v>0.018</v>
      </c>
      <c r="N141" s="14"/>
      <c r="O141" s="43" t="s">
        <v>1207</v>
      </c>
      <c r="P141" s="9" t="s">
        <v>1210</v>
      </c>
      <c r="Q141" s="9" t="s">
        <v>1211</v>
      </c>
      <c r="R141" s="16" t="s">
        <v>1212</v>
      </c>
      <c r="S141" s="9" t="s">
        <v>1213</v>
      </c>
      <c r="T141" s="9" t="s">
        <v>1214</v>
      </c>
      <c r="U141" s="9" t="s">
        <v>307</v>
      </c>
      <c r="V141" s="17" t="s">
        <v>1215</v>
      </c>
      <c r="W141" s="9" t="s">
        <v>1216</v>
      </c>
      <c r="X141" s="9" t="s">
        <v>56</v>
      </c>
      <c r="Y141" s="18" t="s">
        <v>57</v>
      </c>
      <c r="Z141" s="18" t="s">
        <v>58</v>
      </c>
      <c r="AA141" s="18" t="s">
        <v>57</v>
      </c>
      <c r="AB141" s="18" t="s">
        <v>57</v>
      </c>
      <c r="AC141" s="18" t="s">
        <v>57</v>
      </c>
      <c r="AD141" s="18" t="s">
        <v>57</v>
      </c>
      <c r="AE141" s="40" t="s">
        <v>1217</v>
      </c>
      <c r="AF141" s="40" t="s">
        <v>1217</v>
      </c>
      <c r="AH141" s="14"/>
      <c r="AI141" s="20"/>
      <c r="AJ141" s="14"/>
      <c r="AK141" s="14"/>
      <c r="AL141" s="14"/>
      <c r="AM141" s="14"/>
      <c r="AN141" s="14"/>
      <c r="AO141" s="14"/>
      <c r="AP141" s="14"/>
      <c r="AQ141" s="14"/>
      <c r="AR141" s="14"/>
    </row>
    <row r="142" ht="22.5" customHeight="1">
      <c r="A142" s="103">
        <v>46069.0</v>
      </c>
      <c r="B142" s="97" t="s">
        <v>1218</v>
      </c>
      <c r="C142" s="8" t="s">
        <v>248</v>
      </c>
      <c r="D142" s="9" t="s">
        <v>46</v>
      </c>
      <c r="E142" s="9" t="s">
        <v>1219</v>
      </c>
      <c r="F142" s="9" t="s">
        <v>1220</v>
      </c>
      <c r="G142" s="10">
        <v>500091.0</v>
      </c>
      <c r="H142" s="9" t="s">
        <v>126</v>
      </c>
      <c r="I142" s="11" t="str">
        <f>VLOOKUP(H142,Mapping!D:E,2,0)</f>
        <v>Langar Houz</v>
      </c>
      <c r="J142" s="9" t="s">
        <v>86</v>
      </c>
      <c r="K142" s="12">
        <v>0.22</v>
      </c>
      <c r="L142" s="13" t="str">
        <f t="shared" si="9"/>
        <v>20%+</v>
      </c>
      <c r="M142" s="13">
        <v>0.018</v>
      </c>
      <c r="N142" s="14"/>
      <c r="O142" s="15" t="s">
        <v>1221</v>
      </c>
      <c r="P142" s="15" t="s">
        <v>1222</v>
      </c>
      <c r="Q142" s="9" t="s">
        <v>1220</v>
      </c>
      <c r="R142" s="16" t="s">
        <v>1223</v>
      </c>
      <c r="S142" s="9" t="s">
        <v>1224</v>
      </c>
      <c r="T142" s="9" t="s">
        <v>1220</v>
      </c>
      <c r="U142" s="9" t="s">
        <v>131</v>
      </c>
      <c r="V142" s="17">
        <v>5.2208382919E10</v>
      </c>
      <c r="W142" s="9" t="s">
        <v>1225</v>
      </c>
      <c r="X142" s="9" t="s">
        <v>56</v>
      </c>
      <c r="Y142" s="18" t="s">
        <v>57</v>
      </c>
      <c r="Z142" s="18" t="s">
        <v>58</v>
      </c>
      <c r="AA142" s="18" t="s">
        <v>57</v>
      </c>
      <c r="AB142" s="18" t="s">
        <v>57</v>
      </c>
      <c r="AC142" s="18" t="s">
        <v>58</v>
      </c>
      <c r="AD142" s="18" t="s">
        <v>58</v>
      </c>
      <c r="AE142" s="33" t="s">
        <v>1226</v>
      </c>
      <c r="AF142" s="14"/>
      <c r="AG142" s="14" t="str">
        <f t="shared" ref="AG142:AG146" si="13">VLOOKUP(H:H,'Pivot Table 8'!B:C,2,0)</f>
        <v>#REF!</v>
      </c>
      <c r="AH142" s="14"/>
      <c r="AI142" s="20"/>
      <c r="AJ142" s="14"/>
      <c r="AK142" s="14"/>
      <c r="AL142" s="14"/>
      <c r="AM142" s="14"/>
      <c r="AN142" s="14"/>
      <c r="AO142" s="14"/>
      <c r="AP142" s="14"/>
      <c r="AQ142" s="14"/>
      <c r="AR142" s="14"/>
    </row>
    <row r="143" ht="22.5" customHeight="1">
      <c r="A143" s="103">
        <v>46069.0</v>
      </c>
      <c r="B143" s="69" t="s">
        <v>1227</v>
      </c>
      <c r="C143" s="8" t="s">
        <v>96</v>
      </c>
      <c r="D143" s="9" t="s">
        <v>46</v>
      </c>
      <c r="E143" s="39" t="s">
        <v>1228</v>
      </c>
      <c r="F143" s="9" t="s">
        <v>1229</v>
      </c>
      <c r="G143" s="10">
        <v>500084.0</v>
      </c>
      <c r="H143" s="9" t="s">
        <v>85</v>
      </c>
      <c r="I143" s="11" t="str">
        <f>VLOOKUP(H143,Mapping!D:E,2,0)</f>
        <v>Langar Houz</v>
      </c>
      <c r="J143" s="9" t="s">
        <v>86</v>
      </c>
      <c r="K143" s="12">
        <v>0.22</v>
      </c>
      <c r="L143" s="13" t="str">
        <f t="shared" si="9"/>
        <v>20%+</v>
      </c>
      <c r="M143" s="13">
        <v>0.018</v>
      </c>
      <c r="N143" s="14"/>
      <c r="O143" s="15" t="s">
        <v>1227</v>
      </c>
      <c r="P143" s="15" t="s">
        <v>1230</v>
      </c>
      <c r="Q143" s="9" t="s">
        <v>1229</v>
      </c>
      <c r="R143" s="16" t="s">
        <v>1231</v>
      </c>
      <c r="S143" s="9" t="s">
        <v>1232</v>
      </c>
      <c r="T143" s="9" t="s">
        <v>1233</v>
      </c>
      <c r="U143" s="9" t="s">
        <v>1014</v>
      </c>
      <c r="V143" s="17">
        <v>5.0200093317863E13</v>
      </c>
      <c r="W143" s="9" t="s">
        <v>1234</v>
      </c>
      <c r="X143" s="9" t="s">
        <v>80</v>
      </c>
      <c r="Y143" s="18" t="s">
        <v>57</v>
      </c>
      <c r="Z143" s="18" t="s">
        <v>57</v>
      </c>
      <c r="AA143" s="18" t="s">
        <v>57</v>
      </c>
      <c r="AB143" s="18" t="s">
        <v>57</v>
      </c>
      <c r="AC143" s="18" t="s">
        <v>57</v>
      </c>
      <c r="AD143" s="18" t="s">
        <v>57</v>
      </c>
      <c r="AE143" s="33" t="s">
        <v>1235</v>
      </c>
      <c r="AF143" s="14"/>
      <c r="AG143" s="14" t="str">
        <f t="shared" si="13"/>
        <v>#REF!</v>
      </c>
      <c r="AH143" s="14"/>
      <c r="AI143" s="20"/>
      <c r="AJ143" s="14"/>
      <c r="AK143" s="14"/>
      <c r="AL143" s="14"/>
      <c r="AM143" s="14"/>
      <c r="AN143" s="14"/>
      <c r="AO143" s="14"/>
      <c r="AP143" s="14"/>
      <c r="AQ143" s="14"/>
      <c r="AR143" s="14"/>
    </row>
    <row r="144" ht="22.5" customHeight="1">
      <c r="A144" s="103">
        <v>46069.0</v>
      </c>
      <c r="B144" s="97" t="s">
        <v>1236</v>
      </c>
      <c r="C144" s="8" t="s">
        <v>241</v>
      </c>
      <c r="D144" s="9" t="s">
        <v>46</v>
      </c>
      <c r="E144" s="9" t="s">
        <v>1237</v>
      </c>
      <c r="F144" s="9" t="s">
        <v>1238</v>
      </c>
      <c r="G144" s="10">
        <v>500081.0</v>
      </c>
      <c r="H144" s="9" t="s">
        <v>147</v>
      </c>
      <c r="I144" s="11" t="str">
        <f>VLOOKUP(H144,Mapping!D:E,2,0)</f>
        <v>madhapur</v>
      </c>
      <c r="J144" s="9" t="s">
        <v>148</v>
      </c>
      <c r="K144" s="12">
        <v>0.2</v>
      </c>
      <c r="L144" s="13" t="str">
        <f t="shared" si="9"/>
        <v>20%+</v>
      </c>
      <c r="M144" s="13">
        <v>0.018</v>
      </c>
      <c r="N144" s="14"/>
      <c r="O144" s="15" t="s">
        <v>1236</v>
      </c>
      <c r="P144" s="15" t="s">
        <v>1239</v>
      </c>
      <c r="Q144" s="9" t="s">
        <v>1238</v>
      </c>
      <c r="R144" s="16" t="s">
        <v>1240</v>
      </c>
      <c r="S144" s="9" t="s">
        <v>1241</v>
      </c>
      <c r="T144" s="15" t="s">
        <v>1236</v>
      </c>
      <c r="U144" s="9" t="s">
        <v>1242</v>
      </c>
      <c r="V144" s="9" t="s">
        <v>1243</v>
      </c>
      <c r="W144" s="9" t="s">
        <v>1244</v>
      </c>
      <c r="X144" s="9" t="s">
        <v>80</v>
      </c>
      <c r="Y144" s="18" t="s">
        <v>57</v>
      </c>
      <c r="Z144" s="18" t="s">
        <v>57</v>
      </c>
      <c r="AA144" s="18" t="s">
        <v>57</v>
      </c>
      <c r="AB144" s="18" t="s">
        <v>57</v>
      </c>
      <c r="AC144" s="18" t="s">
        <v>57</v>
      </c>
      <c r="AD144" s="18" t="s">
        <v>57</v>
      </c>
      <c r="AE144" s="33" t="s">
        <v>1245</v>
      </c>
      <c r="AF144" s="14"/>
      <c r="AG144" s="14" t="str">
        <f t="shared" si="13"/>
        <v>#REF!</v>
      </c>
      <c r="AH144" s="9" t="s">
        <v>1246</v>
      </c>
      <c r="AI144" s="20"/>
      <c r="AJ144" s="14"/>
      <c r="AK144" s="14"/>
      <c r="AL144" s="14"/>
      <c r="AM144" s="14"/>
      <c r="AN144" s="14"/>
      <c r="AO144" s="14"/>
      <c r="AP144" s="14"/>
      <c r="AQ144" s="14"/>
      <c r="AR144" s="14"/>
    </row>
    <row r="145" ht="22.5" customHeight="1">
      <c r="A145" s="103">
        <v>46069.0</v>
      </c>
      <c r="B145" s="97" t="s">
        <v>1247</v>
      </c>
      <c r="C145" s="8" t="s">
        <v>248</v>
      </c>
      <c r="D145" s="9" t="s">
        <v>46</v>
      </c>
      <c r="E145" s="39" t="s">
        <v>1248</v>
      </c>
      <c r="F145" s="9" t="s">
        <v>1249</v>
      </c>
      <c r="G145" s="10">
        <v>500086.0</v>
      </c>
      <c r="H145" s="9" t="s">
        <v>1009</v>
      </c>
      <c r="I145" s="11" t="str">
        <f>VLOOKUP(H145,Mapping!D:E,2,0)</f>
        <v>mehdipatnam</v>
      </c>
      <c r="J145" s="9" t="s">
        <v>50</v>
      </c>
      <c r="K145" s="12">
        <v>0.22</v>
      </c>
      <c r="L145" s="13" t="str">
        <f t="shared" si="9"/>
        <v>20%+</v>
      </c>
      <c r="M145" s="13">
        <v>0.018</v>
      </c>
      <c r="N145" s="14"/>
      <c r="O145" s="9" t="s">
        <v>1249</v>
      </c>
      <c r="P145" s="9" t="s">
        <v>68</v>
      </c>
      <c r="Q145" s="9" t="s">
        <v>68</v>
      </c>
      <c r="R145" s="16" t="s">
        <v>1250</v>
      </c>
      <c r="S145" s="9" t="s">
        <v>1251</v>
      </c>
      <c r="T145" s="9" t="s">
        <v>1249</v>
      </c>
      <c r="U145" s="9" t="s">
        <v>254</v>
      </c>
      <c r="V145" s="17">
        <v>3.11269783E9</v>
      </c>
      <c r="W145" s="9" t="s">
        <v>1252</v>
      </c>
      <c r="X145" s="9" t="s">
        <v>56</v>
      </c>
      <c r="Y145" s="18" t="s">
        <v>58</v>
      </c>
      <c r="Z145" s="18" t="s">
        <v>58</v>
      </c>
      <c r="AA145" s="18" t="s">
        <v>58</v>
      </c>
      <c r="AB145" s="18" t="s">
        <v>58</v>
      </c>
      <c r="AC145" s="18" t="s">
        <v>58</v>
      </c>
      <c r="AD145" s="18" t="s">
        <v>58</v>
      </c>
      <c r="AE145" s="35" t="s">
        <v>1253</v>
      </c>
      <c r="AF145" s="14"/>
      <c r="AG145" s="14" t="str">
        <f t="shared" si="13"/>
        <v>#REF!</v>
      </c>
      <c r="AH145" s="14"/>
      <c r="AI145" s="20"/>
      <c r="AJ145" s="14"/>
      <c r="AK145" s="14"/>
      <c r="AL145" s="14"/>
      <c r="AM145" s="14"/>
      <c r="AN145" s="14"/>
      <c r="AO145" s="14"/>
      <c r="AP145" s="14"/>
      <c r="AQ145" s="14"/>
      <c r="AR145" s="14"/>
    </row>
    <row r="146" ht="22.5" customHeight="1">
      <c r="A146" s="103">
        <v>46069.0</v>
      </c>
      <c r="B146" s="69" t="s">
        <v>1254</v>
      </c>
      <c r="C146" s="41" t="s">
        <v>200</v>
      </c>
      <c r="D146" s="9" t="s">
        <v>46</v>
      </c>
      <c r="E146" s="9" t="s">
        <v>1255</v>
      </c>
      <c r="F146" s="9" t="s">
        <v>1256</v>
      </c>
      <c r="G146" s="10">
        <v>500030.0</v>
      </c>
      <c r="H146" s="9" t="s">
        <v>85</v>
      </c>
      <c r="I146" s="11" t="str">
        <f>VLOOKUP(H146,Mapping!D:E,2,0)</f>
        <v>Langar Houz</v>
      </c>
      <c r="J146" s="9" t="s">
        <v>86</v>
      </c>
      <c r="K146" s="12">
        <v>0.18</v>
      </c>
      <c r="L146" s="13" t="str">
        <f t="shared" si="9"/>
        <v>&lt;20%</v>
      </c>
      <c r="M146" s="13">
        <v>0.018</v>
      </c>
      <c r="N146" s="14"/>
      <c r="O146" s="9" t="s">
        <v>1256</v>
      </c>
      <c r="P146" s="15" t="s">
        <v>1257</v>
      </c>
      <c r="Q146" s="9" t="s">
        <v>1256</v>
      </c>
      <c r="R146" s="16" t="s">
        <v>1258</v>
      </c>
      <c r="S146" s="9" t="s">
        <v>1259</v>
      </c>
      <c r="T146" s="9" t="s">
        <v>1256</v>
      </c>
      <c r="U146" s="9" t="s">
        <v>307</v>
      </c>
      <c r="V146" s="17">
        <v>1.30810100038453E14</v>
      </c>
      <c r="W146" s="9" t="s">
        <v>1260</v>
      </c>
      <c r="X146" s="9" t="s">
        <v>56</v>
      </c>
      <c r="Y146" s="14"/>
      <c r="Z146" s="14"/>
      <c r="AA146" s="14"/>
      <c r="AB146" s="14"/>
      <c r="AC146" s="14"/>
      <c r="AD146" s="14"/>
      <c r="AE146" s="14"/>
      <c r="AF146" s="14"/>
      <c r="AG146" s="14" t="str">
        <f t="shared" si="13"/>
        <v>#REF!</v>
      </c>
      <c r="AH146" s="14"/>
      <c r="AI146" s="20"/>
      <c r="AJ146" s="14"/>
      <c r="AK146" s="14"/>
      <c r="AL146" s="14"/>
      <c r="AM146" s="14"/>
      <c r="AN146" s="14"/>
      <c r="AO146" s="14"/>
      <c r="AP146" s="14"/>
      <c r="AQ146" s="14"/>
      <c r="AR146" s="14"/>
    </row>
    <row r="147" ht="22.5" customHeight="1">
      <c r="A147" s="103">
        <v>46069.0</v>
      </c>
      <c r="B147" s="69" t="s">
        <v>1261</v>
      </c>
      <c r="C147" s="8" t="s">
        <v>186</v>
      </c>
      <c r="D147" s="9" t="s">
        <v>46</v>
      </c>
      <c r="E147" s="9" t="s">
        <v>1262</v>
      </c>
      <c r="F147" s="9" t="s">
        <v>1263</v>
      </c>
      <c r="G147" s="10">
        <v>500084.0</v>
      </c>
      <c r="H147" s="9" t="s">
        <v>389</v>
      </c>
      <c r="I147" s="11" t="str">
        <f>VLOOKUP(H147,Mapping!D:E,2,0)</f>
        <v>Kondapur</v>
      </c>
      <c r="J147" s="9" t="s">
        <v>390</v>
      </c>
      <c r="K147" s="12">
        <v>0.17</v>
      </c>
      <c r="L147" s="14" t="str">
        <f t="shared" si="9"/>
        <v>&lt;20%</v>
      </c>
      <c r="M147" s="13">
        <v>0.018</v>
      </c>
      <c r="N147" s="14"/>
      <c r="O147" s="9" t="s">
        <v>1264</v>
      </c>
      <c r="P147" s="9" t="s">
        <v>1265</v>
      </c>
      <c r="Q147" s="9" t="s">
        <v>1266</v>
      </c>
      <c r="R147" s="16" t="s">
        <v>1267</v>
      </c>
      <c r="S147" s="9" t="s">
        <v>1268</v>
      </c>
      <c r="T147" s="9" t="s">
        <v>1269</v>
      </c>
      <c r="U147" s="9" t="s">
        <v>1270</v>
      </c>
      <c r="V147" s="9" t="s">
        <v>1271</v>
      </c>
      <c r="W147" s="9" t="s">
        <v>1272</v>
      </c>
      <c r="X147" s="9" t="s">
        <v>56</v>
      </c>
      <c r="Y147" s="18" t="s">
        <v>57</v>
      </c>
      <c r="Z147" s="18" t="s">
        <v>58</v>
      </c>
      <c r="AA147" s="18" t="s">
        <v>57</v>
      </c>
      <c r="AB147" s="18" t="s">
        <v>57</v>
      </c>
      <c r="AC147" s="18" t="s">
        <v>57</v>
      </c>
      <c r="AD147" s="18" t="s">
        <v>58</v>
      </c>
      <c r="AE147" s="40" t="s">
        <v>1273</v>
      </c>
      <c r="AF147" s="40" t="s">
        <v>1274</v>
      </c>
      <c r="AG147" s="9" t="s">
        <v>397</v>
      </c>
      <c r="AH147" s="14"/>
      <c r="AI147" s="20"/>
      <c r="AJ147" s="14"/>
      <c r="AK147" s="14"/>
      <c r="AL147" s="14"/>
      <c r="AM147" s="14"/>
      <c r="AN147" s="14"/>
      <c r="AO147" s="14"/>
      <c r="AP147" s="14"/>
      <c r="AQ147" s="14"/>
      <c r="AR147" s="14"/>
    </row>
    <row r="148" ht="22.5" customHeight="1">
      <c r="A148" s="103">
        <v>46069.0</v>
      </c>
      <c r="B148" s="97" t="s">
        <v>1275</v>
      </c>
      <c r="C148" s="8" t="s">
        <v>186</v>
      </c>
      <c r="D148" s="9" t="s">
        <v>46</v>
      </c>
      <c r="E148" s="39" t="s">
        <v>1276</v>
      </c>
      <c r="F148" s="9" t="s">
        <v>1277</v>
      </c>
      <c r="G148" s="10">
        <v>500016.0</v>
      </c>
      <c r="H148" s="9" t="s">
        <v>160</v>
      </c>
      <c r="I148" s="11" t="str">
        <f>VLOOKUP(H148,Mapping!D:E,2,0)</f>
        <v>ameerpet</v>
      </c>
      <c r="J148" s="9" t="s">
        <v>161</v>
      </c>
      <c r="K148" s="12">
        <v>0.15</v>
      </c>
      <c r="L148" s="14" t="str">
        <f t="shared" si="9"/>
        <v>&lt;17%</v>
      </c>
      <c r="M148" s="13">
        <v>0.018</v>
      </c>
      <c r="N148" s="127">
        <v>0.02</v>
      </c>
      <c r="O148" s="15" t="s">
        <v>1275</v>
      </c>
      <c r="P148" s="39" t="s">
        <v>1278</v>
      </c>
      <c r="Q148" s="9" t="s">
        <v>1279</v>
      </c>
      <c r="R148" s="16" t="s">
        <v>1280</v>
      </c>
      <c r="S148" s="9" t="s">
        <v>1281</v>
      </c>
      <c r="T148" s="15" t="s">
        <v>1275</v>
      </c>
      <c r="U148" s="9" t="s">
        <v>1282</v>
      </c>
      <c r="V148" s="17">
        <v>2.59515758788E11</v>
      </c>
      <c r="W148" s="9" t="s">
        <v>1283</v>
      </c>
      <c r="X148" s="9" t="s">
        <v>80</v>
      </c>
      <c r="Y148" s="18" t="s">
        <v>57</v>
      </c>
      <c r="Z148" s="18" t="s">
        <v>57</v>
      </c>
      <c r="AA148" s="18" t="s">
        <v>57</v>
      </c>
      <c r="AB148" s="18" t="s">
        <v>57</v>
      </c>
      <c r="AC148" s="18" t="s">
        <v>57</v>
      </c>
      <c r="AD148" s="18" t="s">
        <v>58</v>
      </c>
      <c r="AE148" s="40" t="s">
        <v>1284</v>
      </c>
      <c r="AF148" s="40" t="s">
        <v>1285</v>
      </c>
      <c r="AG148" s="14" t="str">
        <f t="shared" ref="AG148:AG152" si="14">VLOOKUP(H:H,'Pivot Table 8'!B:C,2,0)</f>
        <v>#REF!</v>
      </c>
      <c r="AH148" s="14"/>
      <c r="AI148" s="20"/>
      <c r="AJ148" s="14"/>
      <c r="AK148" s="14"/>
      <c r="AL148" s="14"/>
      <c r="AM148" s="14"/>
      <c r="AN148" s="14"/>
      <c r="AO148" s="14"/>
      <c r="AP148" s="14"/>
      <c r="AQ148" s="14"/>
      <c r="AR148" s="14"/>
    </row>
    <row r="149" ht="22.5" customHeight="1">
      <c r="A149" s="103">
        <v>46069.0</v>
      </c>
      <c r="B149" s="97" t="s">
        <v>1286</v>
      </c>
      <c r="C149" s="8" t="s">
        <v>96</v>
      </c>
      <c r="D149" s="9" t="s">
        <v>46</v>
      </c>
      <c r="E149" s="9" t="s">
        <v>1287</v>
      </c>
      <c r="F149" s="9" t="s">
        <v>1288</v>
      </c>
      <c r="G149" s="10">
        <v>500086.0</v>
      </c>
      <c r="H149" s="9" t="s">
        <v>1009</v>
      </c>
      <c r="I149" s="11" t="str">
        <f>VLOOKUP(H149,Mapping!D:E,2,0)</f>
        <v>mehdipatnam</v>
      </c>
      <c r="J149" s="9" t="s">
        <v>50</v>
      </c>
      <c r="K149" s="12">
        <v>0.22</v>
      </c>
      <c r="L149" s="13" t="str">
        <f t="shared" si="9"/>
        <v>20%+</v>
      </c>
      <c r="M149" s="13">
        <v>0.018</v>
      </c>
      <c r="N149" s="14"/>
      <c r="O149" s="9" t="s">
        <v>1289</v>
      </c>
      <c r="P149" s="15" t="s">
        <v>1290</v>
      </c>
      <c r="Q149" s="15" t="s">
        <v>1288</v>
      </c>
      <c r="R149" s="16" t="s">
        <v>1291</v>
      </c>
      <c r="S149" s="9" t="s">
        <v>1292</v>
      </c>
      <c r="T149" s="9" t="s">
        <v>1293</v>
      </c>
      <c r="U149" s="9" t="s">
        <v>307</v>
      </c>
      <c r="V149" s="9" t="s">
        <v>1294</v>
      </c>
      <c r="W149" s="9" t="s">
        <v>1295</v>
      </c>
      <c r="X149" s="9" t="s">
        <v>56</v>
      </c>
      <c r="Y149" s="18" t="s">
        <v>57</v>
      </c>
      <c r="Z149" s="18" t="s">
        <v>58</v>
      </c>
      <c r="AA149" s="18" t="s">
        <v>57</v>
      </c>
      <c r="AB149" s="18" t="s">
        <v>57</v>
      </c>
      <c r="AC149" s="18" t="s">
        <v>57</v>
      </c>
      <c r="AD149" s="18" t="s">
        <v>58</v>
      </c>
      <c r="AE149" s="35" t="s">
        <v>1296</v>
      </c>
      <c r="AF149" s="14"/>
      <c r="AG149" s="14" t="str">
        <f t="shared" si="14"/>
        <v>#REF!</v>
      </c>
      <c r="AH149" s="14"/>
      <c r="AI149" s="20"/>
      <c r="AJ149" s="14"/>
      <c r="AK149" s="14"/>
      <c r="AL149" s="14"/>
      <c r="AM149" s="14"/>
      <c r="AN149" s="14"/>
      <c r="AO149" s="14"/>
      <c r="AP149" s="14"/>
      <c r="AQ149" s="14"/>
      <c r="AR149" s="14"/>
    </row>
    <row r="150" ht="22.5" customHeight="1">
      <c r="A150" s="103">
        <v>46069.0</v>
      </c>
      <c r="B150" s="97" t="s">
        <v>1297</v>
      </c>
      <c r="C150" s="41" t="s">
        <v>200</v>
      </c>
      <c r="D150" s="9" t="s">
        <v>46</v>
      </c>
      <c r="E150" s="9" t="s">
        <v>1298</v>
      </c>
      <c r="F150" s="9" t="s">
        <v>1299</v>
      </c>
      <c r="G150" s="10">
        <v>500091.0</v>
      </c>
      <c r="H150" s="9" t="s">
        <v>126</v>
      </c>
      <c r="I150" s="11" t="str">
        <f>VLOOKUP(H150,Mapping!D:E,2,0)</f>
        <v>Langar Houz</v>
      </c>
      <c r="J150" s="9" t="s">
        <v>86</v>
      </c>
      <c r="K150" s="66">
        <v>0.22</v>
      </c>
      <c r="L150" s="13" t="str">
        <f t="shared" si="9"/>
        <v>20%+</v>
      </c>
      <c r="M150" s="13">
        <v>0.018</v>
      </c>
      <c r="N150" s="14"/>
      <c r="O150" s="15" t="s">
        <v>1297</v>
      </c>
      <c r="P150" s="15" t="s">
        <v>1300</v>
      </c>
      <c r="Q150" s="9" t="s">
        <v>1299</v>
      </c>
      <c r="R150" s="16" t="s">
        <v>1301</v>
      </c>
      <c r="S150" s="9" t="s">
        <v>1302</v>
      </c>
      <c r="T150" s="15" t="s">
        <v>1297</v>
      </c>
      <c r="U150" s="9" t="s">
        <v>215</v>
      </c>
      <c r="V150" s="9" t="s">
        <v>1303</v>
      </c>
      <c r="W150" s="9" t="s">
        <v>1304</v>
      </c>
      <c r="X150" s="9" t="s">
        <v>80</v>
      </c>
      <c r="Y150" s="14"/>
      <c r="Z150" s="14"/>
      <c r="AA150" s="14"/>
      <c r="AB150" s="14"/>
      <c r="AC150" s="14"/>
      <c r="AD150" s="14"/>
      <c r="AE150" s="14"/>
      <c r="AF150" s="14"/>
      <c r="AG150" s="14" t="str">
        <f t="shared" si="14"/>
        <v>#REF!</v>
      </c>
      <c r="AH150" s="14"/>
      <c r="AI150" s="20"/>
      <c r="AJ150" s="14"/>
      <c r="AK150" s="14"/>
      <c r="AL150" s="14"/>
      <c r="AM150" s="14"/>
      <c r="AN150" s="14"/>
      <c r="AO150" s="14"/>
      <c r="AP150" s="14"/>
      <c r="AQ150" s="14"/>
      <c r="AR150" s="14"/>
    </row>
    <row r="151" ht="22.5" customHeight="1">
      <c r="A151" s="68">
        <v>46069.0</v>
      </c>
      <c r="B151" s="69" t="s">
        <v>1305</v>
      </c>
      <c r="C151" s="8" t="s">
        <v>96</v>
      </c>
      <c r="D151" s="9" t="s">
        <v>46</v>
      </c>
      <c r="E151" s="99" t="s">
        <v>1306</v>
      </c>
      <c r="F151" s="9" t="s">
        <v>1307</v>
      </c>
      <c r="G151" s="10">
        <v>500091.0</v>
      </c>
      <c r="H151" s="9" t="s">
        <v>1009</v>
      </c>
      <c r="I151" s="11" t="str">
        <f>VLOOKUP(H151,Mapping!D:E,2,0)</f>
        <v>mehdipatnam</v>
      </c>
      <c r="J151" s="9" t="s">
        <v>50</v>
      </c>
      <c r="K151" s="12">
        <v>0.22</v>
      </c>
      <c r="L151" s="13" t="str">
        <f t="shared" si="9"/>
        <v>20%+</v>
      </c>
      <c r="M151" s="13">
        <v>0.018</v>
      </c>
      <c r="N151" s="127">
        <v>0.0</v>
      </c>
      <c r="O151" s="15" t="s">
        <v>1305</v>
      </c>
      <c r="P151" s="99" t="s">
        <v>1308</v>
      </c>
      <c r="Q151" s="9" t="s">
        <v>1309</v>
      </c>
      <c r="R151" s="16" t="s">
        <v>1310</v>
      </c>
      <c r="S151" s="9" t="s">
        <v>1311</v>
      </c>
      <c r="T151" s="9" t="s">
        <v>1309</v>
      </c>
      <c r="U151" s="9" t="s">
        <v>131</v>
      </c>
      <c r="V151" s="17">
        <v>6.2175906581E10</v>
      </c>
      <c r="W151" s="9" t="s">
        <v>1312</v>
      </c>
      <c r="X151" s="9" t="s">
        <v>56</v>
      </c>
      <c r="Y151" s="18" t="s">
        <v>57</v>
      </c>
      <c r="Z151" s="18" t="s">
        <v>58</v>
      </c>
      <c r="AA151" s="18" t="s">
        <v>57</v>
      </c>
      <c r="AB151" s="18" t="s">
        <v>57</v>
      </c>
      <c r="AC151" s="18" t="s">
        <v>58</v>
      </c>
      <c r="AD151" s="18" t="s">
        <v>58</v>
      </c>
      <c r="AE151" s="35" t="s">
        <v>1313</v>
      </c>
      <c r="AF151" s="14"/>
      <c r="AG151" s="14" t="str">
        <f t="shared" si="14"/>
        <v>#REF!</v>
      </c>
      <c r="AH151" s="14"/>
      <c r="AI151" s="20"/>
      <c r="AJ151" s="14"/>
      <c r="AK151" s="14"/>
      <c r="AL151" s="14"/>
      <c r="AM151" s="14"/>
      <c r="AN151" s="14"/>
      <c r="AO151" s="14"/>
      <c r="AP151" s="14"/>
      <c r="AQ151" s="14"/>
      <c r="AR151" s="14"/>
    </row>
    <row r="152" ht="22.5" customHeight="1">
      <c r="A152" s="68">
        <v>46069.0</v>
      </c>
      <c r="B152" s="69" t="s">
        <v>1314</v>
      </c>
      <c r="C152" s="8" t="s">
        <v>96</v>
      </c>
      <c r="D152" s="9" t="s">
        <v>46</v>
      </c>
      <c r="E152" s="9" t="s">
        <v>1315</v>
      </c>
      <c r="F152" s="9" t="s">
        <v>1316</v>
      </c>
      <c r="G152" s="10">
        <v>500086.0</v>
      </c>
      <c r="H152" s="9" t="s">
        <v>1009</v>
      </c>
      <c r="I152" s="11" t="str">
        <f>VLOOKUP(H152,Mapping!D:E,2,0)</f>
        <v>mehdipatnam</v>
      </c>
      <c r="J152" s="9" t="s">
        <v>50</v>
      </c>
      <c r="K152" s="12">
        <v>0.22</v>
      </c>
      <c r="L152" s="13" t="str">
        <f t="shared" si="9"/>
        <v>20%+</v>
      </c>
      <c r="M152" s="13">
        <v>0.018</v>
      </c>
      <c r="N152" s="14"/>
      <c r="O152" s="15" t="s">
        <v>1314</v>
      </c>
      <c r="P152" s="9" t="s">
        <v>1317</v>
      </c>
      <c r="Q152" s="9" t="s">
        <v>1318</v>
      </c>
      <c r="R152" s="16" t="s">
        <v>1319</v>
      </c>
      <c r="S152" s="9" t="s">
        <v>1320</v>
      </c>
      <c r="T152" s="9" t="s">
        <v>1321</v>
      </c>
      <c r="U152" s="9" t="s">
        <v>1014</v>
      </c>
      <c r="V152" s="17">
        <v>5.010046528124E12</v>
      </c>
      <c r="W152" s="9" t="s">
        <v>1322</v>
      </c>
      <c r="X152" s="9" t="s">
        <v>56</v>
      </c>
      <c r="Y152" s="18" t="s">
        <v>57</v>
      </c>
      <c r="Z152" s="18" t="s">
        <v>57</v>
      </c>
      <c r="AA152" s="18" t="s">
        <v>57</v>
      </c>
      <c r="AB152" s="18" t="s">
        <v>57</v>
      </c>
      <c r="AC152" s="18" t="s">
        <v>57</v>
      </c>
      <c r="AD152" s="18" t="s">
        <v>58</v>
      </c>
      <c r="AE152" s="35" t="s">
        <v>1323</v>
      </c>
      <c r="AF152" s="14"/>
      <c r="AG152" s="14" t="str">
        <f t="shared" si="14"/>
        <v>#REF!</v>
      </c>
      <c r="AH152" s="14"/>
      <c r="AI152" s="20"/>
      <c r="AJ152" s="14"/>
      <c r="AK152" s="14"/>
      <c r="AL152" s="14"/>
      <c r="AM152" s="14"/>
      <c r="AN152" s="14"/>
      <c r="AO152" s="14"/>
      <c r="AP152" s="14"/>
      <c r="AQ152" s="14"/>
      <c r="AR152" s="14"/>
    </row>
    <row r="153" ht="22.5" customHeight="1">
      <c r="A153" s="68">
        <v>46069.0</v>
      </c>
      <c r="B153" s="69" t="s">
        <v>1324</v>
      </c>
      <c r="C153" s="8" t="s">
        <v>241</v>
      </c>
      <c r="D153" s="9" t="s">
        <v>46</v>
      </c>
      <c r="E153" s="39" t="s">
        <v>1325</v>
      </c>
      <c r="F153" s="9" t="s">
        <v>1326</v>
      </c>
      <c r="G153" s="10">
        <v>500084.0</v>
      </c>
      <c r="H153" s="9" t="s">
        <v>389</v>
      </c>
      <c r="I153" s="11" t="str">
        <f>VLOOKUP(H153,Mapping!D:E,2,0)</f>
        <v>Kondapur</v>
      </c>
      <c r="J153" s="9" t="s">
        <v>390</v>
      </c>
      <c r="K153" s="12">
        <v>0.22</v>
      </c>
      <c r="L153" s="13" t="str">
        <f t="shared" si="9"/>
        <v>20%+</v>
      </c>
      <c r="M153" s="13">
        <v>0.018</v>
      </c>
      <c r="N153" s="14"/>
      <c r="O153" s="131" t="s">
        <v>1324</v>
      </c>
      <c r="P153" s="15" t="s">
        <v>1327</v>
      </c>
      <c r="Q153" s="9" t="s">
        <v>1328</v>
      </c>
      <c r="R153" s="16" t="s">
        <v>1329</v>
      </c>
      <c r="S153" s="9" t="s">
        <v>1330</v>
      </c>
      <c r="T153" s="15" t="s">
        <v>1324</v>
      </c>
      <c r="U153" s="9" t="s">
        <v>1014</v>
      </c>
      <c r="V153" s="17">
        <v>5.0200116731631E13</v>
      </c>
      <c r="W153" s="9" t="s">
        <v>1331</v>
      </c>
      <c r="X153" s="9" t="s">
        <v>80</v>
      </c>
      <c r="Y153" s="82" t="s">
        <v>57</v>
      </c>
      <c r="Z153" s="82" t="s">
        <v>57</v>
      </c>
      <c r="AA153" s="82" t="s">
        <v>57</v>
      </c>
      <c r="AB153" s="82" t="s">
        <v>57</v>
      </c>
      <c r="AC153" s="82" t="s">
        <v>57</v>
      </c>
      <c r="AD153" s="82" t="s">
        <v>69</v>
      </c>
      <c r="AE153" s="132" t="s">
        <v>1332</v>
      </c>
      <c r="AF153" s="14"/>
      <c r="AG153" s="9" t="s">
        <v>397</v>
      </c>
      <c r="AH153" s="9" t="s">
        <v>417</v>
      </c>
      <c r="AI153" s="20"/>
      <c r="AJ153" s="14"/>
      <c r="AK153" s="14"/>
      <c r="AL153" s="14"/>
      <c r="AM153" s="14"/>
      <c r="AN153" s="14"/>
      <c r="AO153" s="14"/>
      <c r="AP153" s="14"/>
      <c r="AQ153" s="14"/>
      <c r="AR153" s="14"/>
    </row>
    <row r="154" ht="22.5" customHeight="1">
      <c r="A154" s="68">
        <v>46069.0</v>
      </c>
      <c r="B154" s="69" t="s">
        <v>1333</v>
      </c>
      <c r="C154" s="8" t="s">
        <v>60</v>
      </c>
      <c r="D154" s="9" t="s">
        <v>46</v>
      </c>
      <c r="E154" s="9" t="s">
        <v>1334</v>
      </c>
      <c r="F154" s="9" t="s">
        <v>1335</v>
      </c>
      <c r="G154" s="10">
        <v>500049.0</v>
      </c>
      <c r="H154" s="9" t="s">
        <v>610</v>
      </c>
      <c r="I154" s="11" t="str">
        <f>VLOOKUP(H154,Mapping!D:E,2,0)</f>
        <v>kukatpally</v>
      </c>
      <c r="J154" s="9" t="s">
        <v>390</v>
      </c>
      <c r="K154" s="12">
        <v>0.17</v>
      </c>
      <c r="L154" s="13" t="str">
        <f t="shared" si="9"/>
        <v>&lt;20%</v>
      </c>
      <c r="M154" s="13">
        <v>0.018</v>
      </c>
      <c r="N154" s="127">
        <v>0.02</v>
      </c>
      <c r="O154" s="133" t="s">
        <v>1333</v>
      </c>
      <c r="P154" s="15" t="s">
        <v>1336</v>
      </c>
      <c r="Q154" s="9" t="s">
        <v>1337</v>
      </c>
      <c r="R154" s="16" t="s">
        <v>1338</v>
      </c>
      <c r="S154" s="9" t="s">
        <v>1339</v>
      </c>
      <c r="T154" s="9" t="s">
        <v>1335</v>
      </c>
      <c r="U154" s="9" t="s">
        <v>372</v>
      </c>
      <c r="V154" s="17">
        <v>4.914600005753E12</v>
      </c>
      <c r="W154" s="9" t="s">
        <v>1340</v>
      </c>
      <c r="X154" s="9" t="s">
        <v>56</v>
      </c>
      <c r="Y154" s="86" t="s">
        <v>57</v>
      </c>
      <c r="Z154" s="85" t="s">
        <v>57</v>
      </c>
      <c r="AA154" s="86" t="s">
        <v>57</v>
      </c>
      <c r="AB154" s="86" t="s">
        <v>57</v>
      </c>
      <c r="AC154" s="85" t="s">
        <v>57</v>
      </c>
      <c r="AD154" s="85" t="s">
        <v>69</v>
      </c>
      <c r="AE154" s="101" t="s">
        <v>1341</v>
      </c>
      <c r="AF154" s="14"/>
      <c r="AG154" s="14" t="str">
        <f t="shared" ref="AG154:AG155" si="15">VLOOKUP(H:H,'Pivot Table 8'!B:C,2,0)</f>
        <v>#REF!</v>
      </c>
      <c r="AH154" s="14"/>
      <c r="AI154" s="20"/>
      <c r="AJ154" s="14"/>
      <c r="AK154" s="14"/>
      <c r="AL154" s="14"/>
      <c r="AM154" s="14"/>
      <c r="AN154" s="14"/>
      <c r="AO154" s="14"/>
      <c r="AP154" s="14"/>
      <c r="AQ154" s="14"/>
      <c r="AR154" s="14"/>
    </row>
    <row r="155" ht="22.5" customHeight="1">
      <c r="A155" s="68">
        <v>46069.0</v>
      </c>
      <c r="B155" s="69" t="s">
        <v>1342</v>
      </c>
      <c r="C155" s="8" t="s">
        <v>186</v>
      </c>
      <c r="D155" s="9" t="s">
        <v>258</v>
      </c>
      <c r="E155" s="9" t="s">
        <v>1343</v>
      </c>
      <c r="F155" s="9" t="s">
        <v>1344</v>
      </c>
      <c r="G155" s="10">
        <v>500045.0</v>
      </c>
      <c r="H155" s="9" t="s">
        <v>1041</v>
      </c>
      <c r="I155" s="11" t="str">
        <f>VLOOKUP(H155,Mapping!D:E,2,0)</f>
        <v>yousufguda</v>
      </c>
      <c r="J155" s="9" t="s">
        <v>161</v>
      </c>
      <c r="K155" s="12">
        <v>0.17</v>
      </c>
      <c r="L155" s="14" t="str">
        <f t="shared" si="9"/>
        <v>&lt;20%</v>
      </c>
      <c r="M155" s="13">
        <v>0.018</v>
      </c>
      <c r="N155" s="127">
        <v>0.0</v>
      </c>
      <c r="O155" s="9" t="s">
        <v>1345</v>
      </c>
      <c r="P155" s="9" t="s">
        <v>1346</v>
      </c>
      <c r="Q155" s="9" t="s">
        <v>1347</v>
      </c>
      <c r="R155" s="16" t="s">
        <v>1348</v>
      </c>
      <c r="S155" s="9" t="s">
        <v>1349</v>
      </c>
      <c r="T155" s="9" t="s">
        <v>1347</v>
      </c>
      <c r="U155" s="9" t="s">
        <v>105</v>
      </c>
      <c r="V155" s="17">
        <v>9.8145001154E10</v>
      </c>
      <c r="W155" s="9" t="s">
        <v>1350</v>
      </c>
      <c r="X155" s="9" t="s">
        <v>56</v>
      </c>
      <c r="Y155" s="18" t="s">
        <v>57</v>
      </c>
      <c r="Z155" s="18" t="s">
        <v>58</v>
      </c>
      <c r="AA155" s="18" t="s">
        <v>57</v>
      </c>
      <c r="AB155" s="18" t="s">
        <v>57</v>
      </c>
      <c r="AC155" s="18" t="s">
        <v>57</v>
      </c>
      <c r="AD155" s="18" t="s">
        <v>58</v>
      </c>
      <c r="AE155" s="40" t="s">
        <v>1351</v>
      </c>
      <c r="AF155" s="40" t="s">
        <v>1352</v>
      </c>
      <c r="AG155" s="14" t="str">
        <f t="shared" si="15"/>
        <v>#REF!</v>
      </c>
      <c r="AH155" s="14"/>
      <c r="AI155" s="20"/>
      <c r="AJ155" s="14"/>
      <c r="AK155" s="14"/>
      <c r="AL155" s="14"/>
      <c r="AM155" s="14"/>
      <c r="AN155" s="14"/>
      <c r="AO155" s="14"/>
      <c r="AP155" s="14"/>
      <c r="AQ155" s="14"/>
      <c r="AR155" s="14"/>
    </row>
    <row r="156" ht="22.5" customHeight="1">
      <c r="A156" s="103">
        <v>46069.0</v>
      </c>
      <c r="B156" s="69" t="s">
        <v>1353</v>
      </c>
      <c r="C156" s="41" t="s">
        <v>200</v>
      </c>
      <c r="D156" s="9" t="s">
        <v>46</v>
      </c>
      <c r="E156" s="9" t="s">
        <v>1354</v>
      </c>
      <c r="F156" s="9" t="s">
        <v>1249</v>
      </c>
      <c r="G156" s="10">
        <v>500086.0</v>
      </c>
      <c r="H156" s="9" t="s">
        <v>117</v>
      </c>
      <c r="I156" s="11" t="str">
        <f>VLOOKUP(H156,Mapping!D:E,2,0)</f>
        <v>mehdipatnam</v>
      </c>
      <c r="J156" s="9" t="s">
        <v>50</v>
      </c>
      <c r="K156" s="12">
        <v>0.2</v>
      </c>
      <c r="L156" s="13" t="str">
        <f t="shared" si="9"/>
        <v>20%+</v>
      </c>
      <c r="M156" s="13">
        <v>0.018</v>
      </c>
      <c r="N156" s="14"/>
      <c r="O156" s="9" t="s">
        <v>1249</v>
      </c>
      <c r="P156" s="9" t="s">
        <v>1355</v>
      </c>
      <c r="Q156" s="15" t="s">
        <v>1249</v>
      </c>
      <c r="R156" s="16" t="s">
        <v>1250</v>
      </c>
      <c r="S156" s="9" t="s">
        <v>1251</v>
      </c>
      <c r="T156" s="15" t="s">
        <v>1249</v>
      </c>
      <c r="U156" s="9" t="s">
        <v>254</v>
      </c>
      <c r="V156" s="17">
        <v>3.11269783E9</v>
      </c>
      <c r="W156" s="9" t="s">
        <v>1252</v>
      </c>
      <c r="X156" s="9" t="s">
        <v>56</v>
      </c>
      <c r="Y156" s="14"/>
      <c r="Z156" s="14"/>
      <c r="AA156" s="14"/>
      <c r="AB156" s="14"/>
      <c r="AC156" s="14"/>
      <c r="AD156" s="14"/>
      <c r="AE156" s="14"/>
      <c r="AF156" s="14"/>
      <c r="AG156" s="9" t="s">
        <v>68</v>
      </c>
      <c r="AH156" s="14"/>
      <c r="AI156" s="20"/>
      <c r="AJ156" s="14"/>
      <c r="AK156" s="14"/>
      <c r="AL156" s="14"/>
      <c r="AM156" s="14"/>
      <c r="AN156" s="14"/>
      <c r="AO156" s="14"/>
      <c r="AP156" s="14"/>
      <c r="AQ156" s="14"/>
      <c r="AR156" s="14"/>
    </row>
    <row r="157" ht="22.5" customHeight="1">
      <c r="A157" s="103">
        <v>46069.0</v>
      </c>
      <c r="B157" s="69" t="s">
        <v>1356</v>
      </c>
      <c r="C157" s="8" t="s">
        <v>186</v>
      </c>
      <c r="D157" s="9" t="s">
        <v>46</v>
      </c>
      <c r="E157" s="39" t="s">
        <v>1357</v>
      </c>
      <c r="F157" s="9" t="s">
        <v>1358</v>
      </c>
      <c r="G157" s="10">
        <v>500034.0</v>
      </c>
      <c r="H157" s="9" t="s">
        <v>1359</v>
      </c>
      <c r="I157" s="11" t="str">
        <f>VLOOKUP(H157,Mapping!D:E,2,0)</f>
        <v>banjara hills</v>
      </c>
      <c r="J157" s="9" t="s">
        <v>50</v>
      </c>
      <c r="K157" s="12">
        <v>0.22</v>
      </c>
      <c r="L157" s="14" t="str">
        <f t="shared" si="9"/>
        <v>20%+</v>
      </c>
      <c r="M157" s="13">
        <v>0.018</v>
      </c>
      <c r="N157" s="14"/>
      <c r="O157" s="43" t="s">
        <v>1356</v>
      </c>
      <c r="P157" s="9" t="s">
        <v>1360</v>
      </c>
      <c r="Q157" s="9" t="s">
        <v>1358</v>
      </c>
      <c r="R157" s="16" t="s">
        <v>1361</v>
      </c>
      <c r="S157" s="9" t="s">
        <v>1362</v>
      </c>
      <c r="T157" s="9" t="s">
        <v>1363</v>
      </c>
      <c r="U157" s="9" t="s">
        <v>307</v>
      </c>
      <c r="V157" s="17">
        <v>5.2010106319482E13</v>
      </c>
      <c r="W157" s="9" t="s">
        <v>1364</v>
      </c>
      <c r="X157" s="9" t="s">
        <v>56</v>
      </c>
      <c r="Y157" s="88" t="s">
        <v>57</v>
      </c>
      <c r="Z157" s="88" t="s">
        <v>58</v>
      </c>
      <c r="AA157" s="88" t="s">
        <v>58</v>
      </c>
      <c r="AB157" s="88" t="s">
        <v>57</v>
      </c>
      <c r="AC157" s="88" t="s">
        <v>57</v>
      </c>
      <c r="AD157" s="88" t="s">
        <v>58</v>
      </c>
      <c r="AE157" s="134" t="s">
        <v>1365</v>
      </c>
      <c r="AF157" s="40" t="s">
        <v>1366</v>
      </c>
      <c r="AG157" s="14" t="str">
        <f t="shared" ref="AG157:AG162" si="16">VLOOKUP(H:H,'Pivot Table 8'!B:C,2,0)</f>
        <v>#REF!</v>
      </c>
      <c r="AH157" s="14"/>
      <c r="AI157" s="20"/>
      <c r="AJ157" s="14"/>
      <c r="AK157" s="14"/>
      <c r="AL157" s="14"/>
      <c r="AM157" s="14"/>
      <c r="AN157" s="14"/>
      <c r="AO157" s="14"/>
      <c r="AP157" s="14"/>
      <c r="AQ157" s="14"/>
      <c r="AR157" s="14"/>
    </row>
    <row r="158" ht="22.5" customHeight="1">
      <c r="A158" s="110">
        <v>46070.0</v>
      </c>
      <c r="B158" s="69" t="s">
        <v>1367</v>
      </c>
      <c r="C158" s="8" t="s">
        <v>60</v>
      </c>
      <c r="D158" s="9" t="s">
        <v>46</v>
      </c>
      <c r="E158" s="9" t="s">
        <v>1368</v>
      </c>
      <c r="F158" s="9" t="s">
        <v>1369</v>
      </c>
      <c r="G158" s="10">
        <v>500085.0</v>
      </c>
      <c r="H158" s="9" t="s">
        <v>610</v>
      </c>
      <c r="I158" s="11" t="str">
        <f>VLOOKUP(H158,Mapping!D:E,2,0)</f>
        <v>kukatpally</v>
      </c>
      <c r="J158" s="9" t="s">
        <v>390</v>
      </c>
      <c r="K158" s="12">
        <v>0.2</v>
      </c>
      <c r="L158" s="13" t="str">
        <f t="shared" si="9"/>
        <v>20%+</v>
      </c>
      <c r="M158" s="13">
        <v>0.018</v>
      </c>
      <c r="N158" s="9" t="s">
        <v>68</v>
      </c>
      <c r="O158" s="15" t="s">
        <v>1367</v>
      </c>
      <c r="P158" s="15" t="s">
        <v>1370</v>
      </c>
      <c r="Q158" s="15" t="s">
        <v>1367</v>
      </c>
      <c r="R158" s="16" t="s">
        <v>1371</v>
      </c>
      <c r="S158" s="9" t="s">
        <v>1372</v>
      </c>
      <c r="T158" s="9" t="s">
        <v>1369</v>
      </c>
      <c r="U158" s="9" t="s">
        <v>1014</v>
      </c>
      <c r="V158" s="17">
        <v>5.0100379968456E13</v>
      </c>
      <c r="W158" s="9" t="s">
        <v>1373</v>
      </c>
      <c r="X158" s="9" t="s">
        <v>56</v>
      </c>
      <c r="Y158" s="91" t="s">
        <v>57</v>
      </c>
      <c r="Z158" s="92" t="s">
        <v>69</v>
      </c>
      <c r="AA158" s="91" t="s">
        <v>57</v>
      </c>
      <c r="AB158" s="135" t="s">
        <v>58</v>
      </c>
      <c r="AC158" s="92" t="s">
        <v>58</v>
      </c>
      <c r="AD158" s="92" t="s">
        <v>58</v>
      </c>
      <c r="AE158" s="93" t="s">
        <v>1374</v>
      </c>
      <c r="AF158" s="14"/>
      <c r="AG158" s="14" t="str">
        <f t="shared" si="16"/>
        <v>#REF!</v>
      </c>
      <c r="AH158" s="14"/>
      <c r="AI158" s="20"/>
      <c r="AJ158" s="14"/>
      <c r="AK158" s="14"/>
      <c r="AL158" s="14"/>
      <c r="AM158" s="14"/>
      <c r="AN158" s="14"/>
      <c r="AO158" s="14"/>
      <c r="AP158" s="14"/>
      <c r="AQ158" s="14"/>
      <c r="AR158" s="14"/>
    </row>
    <row r="159" ht="22.5" customHeight="1">
      <c r="A159" s="110">
        <v>46070.0</v>
      </c>
      <c r="B159" s="69" t="s">
        <v>1375</v>
      </c>
      <c r="C159" s="8" t="s">
        <v>186</v>
      </c>
      <c r="D159" s="9" t="s">
        <v>46</v>
      </c>
      <c r="E159" s="9" t="s">
        <v>1376</v>
      </c>
      <c r="F159" s="9" t="s">
        <v>68</v>
      </c>
      <c r="G159" s="10">
        <v>500045.0</v>
      </c>
      <c r="H159" s="9" t="s">
        <v>1041</v>
      </c>
      <c r="I159" s="11" t="str">
        <f>VLOOKUP(H159,Mapping!D:E,2,0)</f>
        <v>yousufguda</v>
      </c>
      <c r="J159" s="9" t="s">
        <v>161</v>
      </c>
      <c r="K159" s="12">
        <v>0.18</v>
      </c>
      <c r="L159" s="14" t="str">
        <f t="shared" si="9"/>
        <v>&lt;20%</v>
      </c>
      <c r="M159" s="13">
        <v>0.018</v>
      </c>
      <c r="N159" s="127">
        <v>0.02</v>
      </c>
      <c r="O159" s="43" t="s">
        <v>1375</v>
      </c>
      <c r="P159" s="9" t="s">
        <v>1377</v>
      </c>
      <c r="Q159" s="9" t="s">
        <v>1378</v>
      </c>
      <c r="R159" s="60" t="s">
        <v>1379</v>
      </c>
      <c r="S159" s="16" t="s">
        <v>1380</v>
      </c>
      <c r="T159" s="9" t="s">
        <v>1381</v>
      </c>
      <c r="U159" s="9" t="s">
        <v>919</v>
      </c>
      <c r="V159" s="17">
        <v>1.11101518283E11</v>
      </c>
      <c r="W159" s="9" t="s">
        <v>1382</v>
      </c>
      <c r="X159" s="9" t="s">
        <v>56</v>
      </c>
      <c r="Y159" s="18" t="s">
        <v>57</v>
      </c>
      <c r="Z159" s="18" t="s">
        <v>58</v>
      </c>
      <c r="AA159" s="18" t="s">
        <v>58</v>
      </c>
      <c r="AB159" s="18" t="s">
        <v>57</v>
      </c>
      <c r="AC159" s="18" t="s">
        <v>57</v>
      </c>
      <c r="AD159" s="18" t="s">
        <v>58</v>
      </c>
      <c r="AE159" s="40" t="s">
        <v>1383</v>
      </c>
      <c r="AF159" s="40" t="s">
        <v>1384</v>
      </c>
      <c r="AG159" s="14" t="str">
        <f t="shared" si="16"/>
        <v>#REF!</v>
      </c>
      <c r="AH159" s="14"/>
      <c r="AI159" s="20"/>
      <c r="AJ159" s="14"/>
      <c r="AK159" s="14"/>
      <c r="AL159" s="14"/>
      <c r="AM159" s="14"/>
      <c r="AN159" s="14"/>
      <c r="AO159" s="14"/>
      <c r="AP159" s="14"/>
      <c r="AQ159" s="14"/>
      <c r="AR159" s="14"/>
    </row>
    <row r="160" ht="22.5" customHeight="1">
      <c r="A160" s="103">
        <v>46070.0</v>
      </c>
      <c r="B160" s="69" t="s">
        <v>1385</v>
      </c>
      <c r="C160" s="8" t="s">
        <v>186</v>
      </c>
      <c r="D160" s="9" t="s">
        <v>46</v>
      </c>
      <c r="E160" s="9" t="s">
        <v>1386</v>
      </c>
      <c r="F160" s="9" t="s">
        <v>1387</v>
      </c>
      <c r="G160" s="10">
        <v>500073.0</v>
      </c>
      <c r="H160" s="9" t="s">
        <v>1388</v>
      </c>
      <c r="I160" s="11" t="str">
        <f>VLOOKUP(H160,Mapping!D:E,2,0)</f>
        <v>yousufguda</v>
      </c>
      <c r="J160" s="9" t="s">
        <v>161</v>
      </c>
      <c r="K160" s="12">
        <v>0.15</v>
      </c>
      <c r="L160" s="14" t="str">
        <f t="shared" si="9"/>
        <v>&lt;17%</v>
      </c>
      <c r="M160" s="13">
        <v>0.018</v>
      </c>
      <c r="N160" s="127">
        <v>0.02</v>
      </c>
      <c r="O160" s="15" t="s">
        <v>1385</v>
      </c>
      <c r="P160" s="9" t="s">
        <v>1388</v>
      </c>
      <c r="Q160" s="15" t="s">
        <v>1387</v>
      </c>
      <c r="R160" s="16" t="s">
        <v>1389</v>
      </c>
      <c r="S160" s="9" t="s">
        <v>1390</v>
      </c>
      <c r="T160" s="9" t="s">
        <v>1391</v>
      </c>
      <c r="U160" s="9" t="s">
        <v>1014</v>
      </c>
      <c r="V160" s="17">
        <v>5.0200034722082E13</v>
      </c>
      <c r="W160" s="9" t="s">
        <v>1392</v>
      </c>
      <c r="X160" s="9" t="s">
        <v>80</v>
      </c>
      <c r="Y160" s="18" t="s">
        <v>57</v>
      </c>
      <c r="Z160" s="18" t="s">
        <v>58</v>
      </c>
      <c r="AA160" s="18" t="s">
        <v>57</v>
      </c>
      <c r="AB160" s="18" t="s">
        <v>57</v>
      </c>
      <c r="AC160" s="18" t="s">
        <v>57</v>
      </c>
      <c r="AD160" s="18" t="s">
        <v>58</v>
      </c>
      <c r="AE160" s="40" t="s">
        <v>1393</v>
      </c>
      <c r="AF160" s="40" t="s">
        <v>1393</v>
      </c>
      <c r="AG160" s="14" t="str">
        <f t="shared" si="16"/>
        <v>#REF!</v>
      </c>
      <c r="AH160" s="14"/>
      <c r="AI160" s="20"/>
      <c r="AJ160" s="14"/>
      <c r="AK160" s="14"/>
      <c r="AL160" s="14"/>
      <c r="AM160" s="14"/>
      <c r="AN160" s="14"/>
      <c r="AO160" s="14"/>
      <c r="AP160" s="14"/>
      <c r="AQ160" s="14"/>
      <c r="AR160" s="14"/>
    </row>
    <row r="161" ht="22.5" customHeight="1">
      <c r="A161" s="103">
        <v>46070.0</v>
      </c>
      <c r="B161" s="69" t="s">
        <v>1394</v>
      </c>
      <c r="C161" s="8" t="s">
        <v>564</v>
      </c>
      <c r="D161" s="9" t="s">
        <v>46</v>
      </c>
      <c r="E161" s="9" t="s">
        <v>1395</v>
      </c>
      <c r="F161" s="9" t="s">
        <v>1396</v>
      </c>
      <c r="G161" s="10">
        <v>500004.0</v>
      </c>
      <c r="H161" s="9" t="s">
        <v>421</v>
      </c>
      <c r="I161" s="11" t="str">
        <f>VLOOKUP(H161,Mapping!D:E,2,0)</f>
        <v>Khairathabad</v>
      </c>
      <c r="J161" s="9" t="s">
        <v>50</v>
      </c>
      <c r="K161" s="12">
        <v>0.2</v>
      </c>
      <c r="L161" s="13" t="str">
        <f t="shared" si="9"/>
        <v>20%+</v>
      </c>
      <c r="M161" s="13">
        <v>0.018</v>
      </c>
      <c r="N161" s="9" t="s">
        <v>68</v>
      </c>
      <c r="O161" s="15" t="s">
        <v>1394</v>
      </c>
      <c r="P161" s="15" t="s">
        <v>1397</v>
      </c>
      <c r="Q161" s="9" t="s">
        <v>1396</v>
      </c>
      <c r="R161" s="16" t="s">
        <v>1398</v>
      </c>
      <c r="S161" s="9" t="s">
        <v>1399</v>
      </c>
      <c r="T161" s="9" t="s">
        <v>1400</v>
      </c>
      <c r="U161" s="9" t="s">
        <v>131</v>
      </c>
      <c r="V161" s="17">
        <v>6.2430657001E10</v>
      </c>
      <c r="W161" s="9" t="s">
        <v>1401</v>
      </c>
      <c r="X161" s="9" t="s">
        <v>56</v>
      </c>
      <c r="Y161" s="82" t="s">
        <v>57</v>
      </c>
      <c r="Z161" s="82" t="s">
        <v>58</v>
      </c>
      <c r="AA161" s="82" t="s">
        <v>58</v>
      </c>
      <c r="AB161" s="82" t="s">
        <v>57</v>
      </c>
      <c r="AC161" s="82" t="s">
        <v>58</v>
      </c>
      <c r="AD161" s="82" t="s">
        <v>58</v>
      </c>
      <c r="AE161" s="100" t="s">
        <v>1402</v>
      </c>
      <c r="AF161" s="9" t="s">
        <v>1403</v>
      </c>
      <c r="AG161" s="14" t="str">
        <f t="shared" si="16"/>
        <v>#REF!</v>
      </c>
      <c r="AH161" s="14"/>
      <c r="AI161" s="20"/>
      <c r="AJ161" s="14"/>
      <c r="AK161" s="14"/>
      <c r="AL161" s="14"/>
      <c r="AM161" s="14"/>
      <c r="AN161" s="14"/>
      <c r="AO161" s="14"/>
      <c r="AP161" s="14"/>
      <c r="AQ161" s="14"/>
      <c r="AR161" s="14"/>
    </row>
    <row r="162" ht="22.5" customHeight="1">
      <c r="A162" s="103">
        <v>46070.0</v>
      </c>
      <c r="B162" s="69" t="s">
        <v>1404</v>
      </c>
      <c r="C162" s="8" t="s">
        <v>60</v>
      </c>
      <c r="D162" s="9" t="s">
        <v>46</v>
      </c>
      <c r="E162" s="39" t="s">
        <v>1405</v>
      </c>
      <c r="F162" s="9" t="s">
        <v>1406</v>
      </c>
      <c r="G162" s="10">
        <v>500049.0</v>
      </c>
      <c r="H162" s="9" t="s">
        <v>1198</v>
      </c>
      <c r="I162" s="11" t="str">
        <f>VLOOKUP(H162,Mapping!D:E,2,0)</f>
        <v>kukatpally</v>
      </c>
      <c r="J162" s="9" t="s">
        <v>390</v>
      </c>
      <c r="K162" s="12">
        <v>0.22</v>
      </c>
      <c r="L162" s="13" t="str">
        <f t="shared" si="9"/>
        <v>20%+</v>
      </c>
      <c r="M162" s="13">
        <v>0.018</v>
      </c>
      <c r="N162" s="14"/>
      <c r="O162" s="15" t="s">
        <v>1404</v>
      </c>
      <c r="P162" s="15" t="s">
        <v>1407</v>
      </c>
      <c r="Q162" s="9" t="s">
        <v>1406</v>
      </c>
      <c r="R162" s="16" t="s">
        <v>1408</v>
      </c>
      <c r="S162" s="9" t="s">
        <v>1409</v>
      </c>
      <c r="T162" s="15" t="s">
        <v>1404</v>
      </c>
      <c r="U162" s="9" t="s">
        <v>131</v>
      </c>
      <c r="V162" s="17">
        <v>4.4709877876E10</v>
      </c>
      <c r="W162" s="9" t="s">
        <v>1410</v>
      </c>
      <c r="X162" s="9" t="s">
        <v>80</v>
      </c>
      <c r="Y162" s="86" t="s">
        <v>57</v>
      </c>
      <c r="Z162" s="85" t="s">
        <v>58</v>
      </c>
      <c r="AA162" s="86" t="s">
        <v>57</v>
      </c>
      <c r="AB162" s="86" t="s">
        <v>57</v>
      </c>
      <c r="AC162" s="85" t="s">
        <v>58</v>
      </c>
      <c r="AD162" s="85" t="s">
        <v>69</v>
      </c>
      <c r="AE162" s="101" t="s">
        <v>1411</v>
      </c>
      <c r="AF162" s="14"/>
      <c r="AG162" s="14" t="str">
        <f t="shared" si="16"/>
        <v>#REF!</v>
      </c>
      <c r="AH162" s="14"/>
      <c r="AI162" s="20"/>
      <c r="AJ162" s="14"/>
      <c r="AK162" s="14"/>
      <c r="AL162" s="14"/>
      <c r="AM162" s="14"/>
      <c r="AN162" s="14"/>
      <c r="AO162" s="14"/>
      <c r="AP162" s="14"/>
      <c r="AQ162" s="14"/>
      <c r="AR162" s="14"/>
    </row>
    <row r="163" ht="22.5" customHeight="1">
      <c r="A163" s="103">
        <v>46070.0</v>
      </c>
      <c r="B163" s="69" t="s">
        <v>1412</v>
      </c>
      <c r="C163" s="8" t="s">
        <v>186</v>
      </c>
      <c r="D163" s="9" t="s">
        <v>258</v>
      </c>
      <c r="E163" s="9" t="s">
        <v>1413</v>
      </c>
      <c r="F163" s="9" t="s">
        <v>68</v>
      </c>
      <c r="G163" s="10">
        <v>500084.0</v>
      </c>
      <c r="H163" s="9" t="s">
        <v>389</v>
      </c>
      <c r="I163" s="11" t="str">
        <f>VLOOKUP(H163,Mapping!D:E,2,0)</f>
        <v>Kondapur</v>
      </c>
      <c r="J163" s="9" t="s">
        <v>390</v>
      </c>
      <c r="K163" s="12">
        <v>0.23</v>
      </c>
      <c r="L163" s="14" t="str">
        <f t="shared" si="9"/>
        <v>20%+</v>
      </c>
      <c r="M163" s="13">
        <v>0.018</v>
      </c>
      <c r="N163" s="9" t="s">
        <v>1414</v>
      </c>
      <c r="O163" s="9" t="s">
        <v>1415</v>
      </c>
      <c r="P163" s="9" t="s">
        <v>1416</v>
      </c>
      <c r="Q163" s="9" t="s">
        <v>1417</v>
      </c>
      <c r="R163" s="16" t="s">
        <v>1418</v>
      </c>
      <c r="S163" s="9" t="s">
        <v>68</v>
      </c>
      <c r="T163" s="9" t="s">
        <v>1417</v>
      </c>
      <c r="U163" s="9" t="s">
        <v>1129</v>
      </c>
      <c r="V163" s="17">
        <v>2.00523555986E11</v>
      </c>
      <c r="W163" s="9" t="s">
        <v>1419</v>
      </c>
      <c r="X163" s="9" t="s">
        <v>56</v>
      </c>
      <c r="Y163" s="18" t="s">
        <v>57</v>
      </c>
      <c r="Z163" s="18" t="s">
        <v>58</v>
      </c>
      <c r="AA163" s="18" t="s">
        <v>57</v>
      </c>
      <c r="AB163" s="18" t="s">
        <v>69</v>
      </c>
      <c r="AC163" s="18" t="s">
        <v>57</v>
      </c>
      <c r="AD163" s="18" t="s">
        <v>58</v>
      </c>
      <c r="AE163" s="40" t="s">
        <v>1412</v>
      </c>
      <c r="AF163" s="40" t="s">
        <v>1420</v>
      </c>
      <c r="AG163" s="9" t="s">
        <v>397</v>
      </c>
      <c r="AH163" s="14"/>
      <c r="AI163" s="20"/>
      <c r="AJ163" s="14"/>
      <c r="AK163" s="14"/>
      <c r="AL163" s="14"/>
      <c r="AM163" s="14"/>
      <c r="AN163" s="14"/>
      <c r="AO163" s="14"/>
      <c r="AP163" s="14"/>
      <c r="AQ163" s="14"/>
      <c r="AR163" s="14"/>
    </row>
    <row r="164" ht="22.5" customHeight="1">
      <c r="A164" s="110">
        <v>46070.0</v>
      </c>
      <c r="B164" s="69" t="s">
        <v>1421</v>
      </c>
      <c r="C164" s="8" t="s">
        <v>241</v>
      </c>
      <c r="D164" s="9" t="s">
        <v>61</v>
      </c>
      <c r="E164" s="9" t="s">
        <v>1422</v>
      </c>
      <c r="F164" s="9" t="s">
        <v>1423</v>
      </c>
      <c r="G164" s="10">
        <v>500084.0</v>
      </c>
      <c r="H164" s="9" t="s">
        <v>389</v>
      </c>
      <c r="I164" s="9" t="s">
        <v>1424</v>
      </c>
      <c r="J164" s="11" t="str">
        <f>VLOOKUP(I164,Mapping!A:B,2,0)</f>
        <v>Zone 4 Hi-tech City</v>
      </c>
      <c r="K164" s="12">
        <v>0.22</v>
      </c>
      <c r="L164" s="14" t="str">
        <f t="shared" si="9"/>
        <v>20%+</v>
      </c>
      <c r="M164" s="13">
        <v>0.018</v>
      </c>
      <c r="N164" s="14"/>
      <c r="O164" s="9" t="s">
        <v>1425</v>
      </c>
      <c r="P164" s="9" t="s">
        <v>1426</v>
      </c>
      <c r="Q164" s="9" t="s">
        <v>1427</v>
      </c>
      <c r="R164" s="9" t="s">
        <v>1428</v>
      </c>
      <c r="S164" s="9" t="s">
        <v>68</v>
      </c>
      <c r="T164" s="9" t="s">
        <v>68</v>
      </c>
      <c r="U164" s="9" t="s">
        <v>68</v>
      </c>
      <c r="V164" s="9" t="s">
        <v>68</v>
      </c>
      <c r="W164" s="9" t="s">
        <v>68</v>
      </c>
      <c r="X164" s="9" t="s">
        <v>68</v>
      </c>
      <c r="Y164" s="18" t="s">
        <v>57</v>
      </c>
      <c r="Z164" s="18" t="s">
        <v>69</v>
      </c>
      <c r="AA164" s="18" t="s">
        <v>57</v>
      </c>
      <c r="AB164" s="18" t="s">
        <v>57</v>
      </c>
      <c r="AC164" s="18" t="s">
        <v>57</v>
      </c>
      <c r="AD164" s="18" t="s">
        <v>69</v>
      </c>
      <c r="AE164" s="35" t="s">
        <v>1429</v>
      </c>
      <c r="AF164" s="14"/>
      <c r="AG164" s="14" t="str">
        <f t="shared" ref="AG164:AG170" si="17">VLOOKUP(H:H,'Pivot Table 8'!B:C,2,0)</f>
        <v>#REF!</v>
      </c>
      <c r="AH164" s="14"/>
      <c r="AI164" s="8" t="s">
        <v>71</v>
      </c>
      <c r="AJ164" s="14"/>
      <c r="AK164" s="14"/>
      <c r="AL164" s="14"/>
      <c r="AM164" s="14"/>
      <c r="AN164" s="14"/>
      <c r="AO164" s="14"/>
      <c r="AP164" s="14"/>
      <c r="AQ164" s="14"/>
      <c r="AR164" s="14"/>
    </row>
    <row r="165" ht="22.5" customHeight="1">
      <c r="A165" s="103">
        <v>46070.0</v>
      </c>
      <c r="B165" s="97" t="s">
        <v>1430</v>
      </c>
      <c r="C165" s="8" t="s">
        <v>186</v>
      </c>
      <c r="D165" s="9" t="s">
        <v>46</v>
      </c>
      <c r="E165" s="9" t="s">
        <v>1431</v>
      </c>
      <c r="F165" s="9" t="s">
        <v>1432</v>
      </c>
      <c r="G165" s="10">
        <v>500045.0</v>
      </c>
      <c r="H165" s="9" t="s">
        <v>1041</v>
      </c>
      <c r="I165" s="11" t="str">
        <f>VLOOKUP(H165,Mapping!D:E,2,0)</f>
        <v>yousufguda</v>
      </c>
      <c r="J165" s="9" t="s">
        <v>161</v>
      </c>
      <c r="K165" s="9" t="s">
        <v>68</v>
      </c>
      <c r="L165" s="14" t="str">
        <f t="shared" si="9"/>
        <v>20%+</v>
      </c>
      <c r="M165" s="13">
        <v>0.018</v>
      </c>
      <c r="N165" s="14"/>
      <c r="O165" s="108" t="s">
        <v>1433</v>
      </c>
      <c r="P165" s="9" t="s">
        <v>1434</v>
      </c>
      <c r="Q165" s="9" t="s">
        <v>1435</v>
      </c>
      <c r="R165" s="16" t="s">
        <v>1436</v>
      </c>
      <c r="S165" s="9" t="s">
        <v>1437</v>
      </c>
      <c r="T165" s="108" t="s">
        <v>1438</v>
      </c>
      <c r="U165" s="9" t="s">
        <v>1439</v>
      </c>
      <c r="V165" s="17">
        <v>3.99760777E9</v>
      </c>
      <c r="W165" s="9" t="s">
        <v>1440</v>
      </c>
      <c r="X165" s="9" t="s">
        <v>56</v>
      </c>
      <c r="Y165" s="18" t="s">
        <v>57</v>
      </c>
      <c r="Z165" s="18" t="s">
        <v>58</v>
      </c>
      <c r="AA165" s="18" t="s">
        <v>57</v>
      </c>
      <c r="AB165" s="18" t="s">
        <v>57</v>
      </c>
      <c r="AC165" s="18" t="s">
        <v>58</v>
      </c>
      <c r="AD165" s="18" t="s">
        <v>58</v>
      </c>
      <c r="AE165" s="40" t="s">
        <v>1441</v>
      </c>
      <c r="AF165" s="39" t="s">
        <v>1442</v>
      </c>
      <c r="AG165" s="14" t="str">
        <f t="shared" si="17"/>
        <v>#REF!</v>
      </c>
      <c r="AH165" s="14"/>
      <c r="AI165" s="20"/>
      <c r="AJ165" s="14"/>
      <c r="AK165" s="14"/>
      <c r="AL165" s="14"/>
      <c r="AM165" s="14"/>
      <c r="AN165" s="14"/>
      <c r="AO165" s="14"/>
      <c r="AP165" s="14"/>
      <c r="AQ165" s="14"/>
      <c r="AR165" s="14"/>
    </row>
    <row r="166" ht="22.5" customHeight="1">
      <c r="A166" s="103">
        <v>46070.0</v>
      </c>
      <c r="B166" s="69" t="s">
        <v>1443</v>
      </c>
      <c r="C166" s="8" t="s">
        <v>144</v>
      </c>
      <c r="D166" s="9" t="s">
        <v>46</v>
      </c>
      <c r="E166" s="9" t="s">
        <v>1444</v>
      </c>
      <c r="F166" s="9" t="s">
        <v>68</v>
      </c>
      <c r="G166" s="10">
        <v>500089.0</v>
      </c>
      <c r="H166" s="9" t="s">
        <v>302</v>
      </c>
      <c r="I166" s="11" t="str">
        <f>VLOOKUP(H166,Mapping!D:E,2,0)</f>
        <v>manikonda</v>
      </c>
      <c r="J166" s="9" t="s">
        <v>303</v>
      </c>
      <c r="K166" s="12">
        <v>0.2</v>
      </c>
      <c r="L166" s="13" t="str">
        <f t="shared" si="9"/>
        <v>20%+</v>
      </c>
      <c r="M166" s="13">
        <v>0.018</v>
      </c>
      <c r="N166" s="14"/>
      <c r="O166" s="9" t="s">
        <v>68</v>
      </c>
      <c r="P166" s="9" t="s">
        <v>1445</v>
      </c>
      <c r="Q166" s="15" t="s">
        <v>1446</v>
      </c>
      <c r="R166" s="16" t="s">
        <v>1447</v>
      </c>
      <c r="S166" s="9" t="s">
        <v>68</v>
      </c>
      <c r="T166" s="15" t="s">
        <v>1446</v>
      </c>
      <c r="U166" s="9" t="s">
        <v>1448</v>
      </c>
      <c r="V166" s="17">
        <v>7.9101285995E10</v>
      </c>
      <c r="W166" s="9" t="s">
        <v>1449</v>
      </c>
      <c r="X166" s="9" t="s">
        <v>80</v>
      </c>
      <c r="Y166" s="18" t="s">
        <v>57</v>
      </c>
      <c r="Z166" s="18" t="s">
        <v>58</v>
      </c>
      <c r="AA166" s="18" t="s">
        <v>57</v>
      </c>
      <c r="AB166" s="18" t="s">
        <v>57</v>
      </c>
      <c r="AC166" s="18" t="s">
        <v>58</v>
      </c>
      <c r="AD166" s="14"/>
      <c r="AE166" s="14"/>
      <c r="AF166" s="14"/>
      <c r="AG166" s="14" t="str">
        <f t="shared" si="17"/>
        <v>#REF!</v>
      </c>
      <c r="AH166" s="14"/>
      <c r="AI166" s="20"/>
      <c r="AJ166" s="14"/>
      <c r="AK166" s="14"/>
      <c r="AL166" s="14"/>
      <c r="AM166" s="14"/>
      <c r="AN166" s="14"/>
      <c r="AO166" s="14"/>
      <c r="AP166" s="14"/>
      <c r="AQ166" s="14"/>
      <c r="AR166" s="14"/>
    </row>
    <row r="167" ht="22.5" customHeight="1">
      <c r="A167" s="103">
        <v>46070.0</v>
      </c>
      <c r="B167" s="69" t="s">
        <v>1450</v>
      </c>
      <c r="C167" s="8" t="s">
        <v>45</v>
      </c>
      <c r="D167" s="9" t="s">
        <v>46</v>
      </c>
      <c r="E167" s="9" t="s">
        <v>1451</v>
      </c>
      <c r="F167" s="9" t="s">
        <v>68</v>
      </c>
      <c r="G167" s="10">
        <v>500089.0</v>
      </c>
      <c r="H167" s="9" t="s">
        <v>302</v>
      </c>
      <c r="I167" s="11" t="str">
        <f>VLOOKUP(H167,Mapping!D:E,2,0)</f>
        <v>manikonda</v>
      </c>
      <c r="J167" s="9" t="s">
        <v>303</v>
      </c>
      <c r="K167" s="12">
        <v>0.2</v>
      </c>
      <c r="L167" s="13" t="str">
        <f t="shared" si="9"/>
        <v>20%+</v>
      </c>
      <c r="M167" s="13">
        <v>0.018</v>
      </c>
      <c r="N167" s="9" t="s">
        <v>68</v>
      </c>
      <c r="O167" s="15" t="s">
        <v>1450</v>
      </c>
      <c r="P167" s="9" t="s">
        <v>1452</v>
      </c>
      <c r="Q167" s="9" t="s">
        <v>1453</v>
      </c>
      <c r="R167" s="16" t="s">
        <v>1454</v>
      </c>
      <c r="S167" s="9" t="s">
        <v>1455</v>
      </c>
      <c r="T167" s="9" t="s">
        <v>1453</v>
      </c>
      <c r="U167" s="9" t="s">
        <v>1014</v>
      </c>
      <c r="V167" s="17">
        <v>5.0100765124138E13</v>
      </c>
      <c r="W167" s="9" t="s">
        <v>1456</v>
      </c>
      <c r="X167" s="9" t="s">
        <v>56</v>
      </c>
      <c r="Y167" s="18" t="s">
        <v>57</v>
      </c>
      <c r="Z167" s="18" t="s">
        <v>58</v>
      </c>
      <c r="AA167" s="18" t="s">
        <v>57</v>
      </c>
      <c r="AB167" s="18" t="s">
        <v>57</v>
      </c>
      <c r="AC167" s="18" t="s">
        <v>58</v>
      </c>
      <c r="AD167" s="18" t="s">
        <v>58</v>
      </c>
      <c r="AE167" s="33" t="s">
        <v>1457</v>
      </c>
      <c r="AF167" s="14"/>
      <c r="AG167" s="14" t="str">
        <f t="shared" si="17"/>
        <v>#REF!</v>
      </c>
      <c r="AH167" s="14"/>
      <c r="AI167" s="20"/>
      <c r="AJ167" s="14"/>
      <c r="AK167" s="14"/>
      <c r="AL167" s="14"/>
      <c r="AM167" s="14"/>
      <c r="AN167" s="14"/>
      <c r="AO167" s="14"/>
      <c r="AP167" s="14"/>
      <c r="AQ167" s="14"/>
      <c r="AR167" s="14"/>
    </row>
    <row r="168" ht="22.5" customHeight="1">
      <c r="A168" s="103">
        <v>46070.0</v>
      </c>
      <c r="B168" s="69" t="s">
        <v>1458</v>
      </c>
      <c r="C168" s="8" t="s">
        <v>73</v>
      </c>
      <c r="D168" s="9" t="s">
        <v>46</v>
      </c>
      <c r="E168" s="39" t="s">
        <v>1459</v>
      </c>
      <c r="F168" s="9" t="s">
        <v>1460</v>
      </c>
      <c r="G168" s="10">
        <v>500072.0</v>
      </c>
      <c r="H168" s="9" t="s">
        <v>610</v>
      </c>
      <c r="I168" s="11" t="str">
        <f>VLOOKUP(H168,Mapping!D:E,2,0)</f>
        <v>kukatpally</v>
      </c>
      <c r="J168" s="9" t="s">
        <v>390</v>
      </c>
      <c r="K168" s="12">
        <v>0.22</v>
      </c>
      <c r="L168" s="13" t="str">
        <f t="shared" si="9"/>
        <v>20%+</v>
      </c>
      <c r="M168" s="13">
        <v>0.018</v>
      </c>
      <c r="N168" s="14"/>
      <c r="O168" s="9" t="s">
        <v>1461</v>
      </c>
      <c r="P168" s="9" t="s">
        <v>1165</v>
      </c>
      <c r="Q168" s="9" t="s">
        <v>1460</v>
      </c>
      <c r="R168" s="16" t="s">
        <v>1462</v>
      </c>
      <c r="S168" s="9" t="s">
        <v>68</v>
      </c>
      <c r="T168" s="9" t="s">
        <v>68</v>
      </c>
      <c r="U168" s="9" t="s">
        <v>68</v>
      </c>
      <c r="V168" s="9" t="s">
        <v>68</v>
      </c>
      <c r="W168" s="9" t="s">
        <v>68</v>
      </c>
      <c r="X168" s="9" t="s">
        <v>68</v>
      </c>
      <c r="Y168" s="18" t="s">
        <v>57</v>
      </c>
      <c r="Z168" s="18" t="s">
        <v>69</v>
      </c>
      <c r="AA168" s="18" t="s">
        <v>58</v>
      </c>
      <c r="AB168" s="18" t="s">
        <v>58</v>
      </c>
      <c r="AC168" s="18" t="s">
        <v>58</v>
      </c>
      <c r="AD168" s="18" t="s">
        <v>69</v>
      </c>
      <c r="AE168" s="35" t="s">
        <v>1463</v>
      </c>
      <c r="AF168" s="14"/>
      <c r="AG168" s="14" t="str">
        <f t="shared" si="17"/>
        <v>#REF!</v>
      </c>
      <c r="AH168" s="14"/>
      <c r="AI168" s="8" t="s">
        <v>71</v>
      </c>
      <c r="AJ168" s="14"/>
      <c r="AK168" s="14"/>
      <c r="AL168" s="14"/>
      <c r="AM168" s="14"/>
      <c r="AN168" s="14"/>
      <c r="AO168" s="14"/>
      <c r="AP168" s="14"/>
      <c r="AQ168" s="14"/>
      <c r="AR168" s="14"/>
    </row>
    <row r="169" ht="22.5" customHeight="1">
      <c r="A169" s="103">
        <v>46070.0</v>
      </c>
      <c r="B169" s="69" t="s">
        <v>1464</v>
      </c>
      <c r="C169" s="8" t="s">
        <v>73</v>
      </c>
      <c r="D169" s="9" t="s">
        <v>61</v>
      </c>
      <c r="E169" s="39" t="s">
        <v>1465</v>
      </c>
      <c r="F169" s="9" t="s">
        <v>1466</v>
      </c>
      <c r="G169" s="10">
        <v>500049.0</v>
      </c>
      <c r="H169" s="9" t="s">
        <v>1198</v>
      </c>
      <c r="I169" s="11" t="str">
        <f>VLOOKUP(H169,Mapping!D:E,2,0)</f>
        <v>kukatpally</v>
      </c>
      <c r="J169" s="9" t="s">
        <v>390</v>
      </c>
      <c r="K169" s="12">
        <v>0.22</v>
      </c>
      <c r="L169" s="13" t="str">
        <f t="shared" si="9"/>
        <v>20%+</v>
      </c>
      <c r="M169" s="13">
        <v>0.018</v>
      </c>
      <c r="N169" s="127">
        <v>0.0</v>
      </c>
      <c r="O169" s="15" t="s">
        <v>1464</v>
      </c>
      <c r="P169" s="9" t="s">
        <v>1198</v>
      </c>
      <c r="Q169" s="9" t="s">
        <v>1466</v>
      </c>
      <c r="R169" s="16" t="s">
        <v>1467</v>
      </c>
      <c r="S169" s="9" t="s">
        <v>1468</v>
      </c>
      <c r="T169" s="9" t="s">
        <v>1469</v>
      </c>
      <c r="U169" s="9" t="s">
        <v>415</v>
      </c>
      <c r="V169" s="17">
        <v>1.00284832813E11</v>
      </c>
      <c r="W169" s="9" t="s">
        <v>1470</v>
      </c>
      <c r="X169" s="9" t="s">
        <v>56</v>
      </c>
      <c r="Y169" s="18" t="s">
        <v>57</v>
      </c>
      <c r="Z169" s="18" t="s">
        <v>69</v>
      </c>
      <c r="AA169" s="18" t="s">
        <v>57</v>
      </c>
      <c r="AB169" s="18" t="s">
        <v>58</v>
      </c>
      <c r="AC169" s="18" t="s">
        <v>58</v>
      </c>
      <c r="AD169" s="18" t="s">
        <v>69</v>
      </c>
      <c r="AE169" s="35" t="s">
        <v>1471</v>
      </c>
      <c r="AF169" s="14"/>
      <c r="AG169" s="14" t="str">
        <f t="shared" si="17"/>
        <v>#REF!</v>
      </c>
      <c r="AH169" s="14"/>
      <c r="AI169" s="20"/>
      <c r="AJ169" s="14"/>
      <c r="AK169" s="14"/>
      <c r="AL169" s="14"/>
      <c r="AM169" s="14"/>
      <c r="AN169" s="14"/>
      <c r="AO169" s="14"/>
      <c r="AP169" s="14"/>
      <c r="AQ169" s="14"/>
      <c r="AR169" s="14"/>
    </row>
    <row r="170" ht="22.5" customHeight="1">
      <c r="A170" s="103">
        <v>46070.0</v>
      </c>
      <c r="B170" s="69" t="s">
        <v>1472</v>
      </c>
      <c r="C170" s="8" t="s">
        <v>144</v>
      </c>
      <c r="D170" s="9" t="s">
        <v>46</v>
      </c>
      <c r="E170" s="9" t="s">
        <v>1473</v>
      </c>
      <c r="F170" s="9" t="s">
        <v>68</v>
      </c>
      <c r="G170" s="10">
        <v>500081.0</v>
      </c>
      <c r="H170" s="9" t="s">
        <v>623</v>
      </c>
      <c r="I170" s="11" t="str">
        <f>VLOOKUP(H170,Mapping!D:E,2,0)</f>
        <v>Sherilingampally</v>
      </c>
      <c r="J170" s="9" t="s">
        <v>390</v>
      </c>
      <c r="K170" s="12">
        <v>0.2</v>
      </c>
      <c r="L170" s="13" t="str">
        <f t="shared" si="9"/>
        <v>20%+</v>
      </c>
      <c r="M170" s="13">
        <v>0.018</v>
      </c>
      <c r="N170" s="14"/>
      <c r="O170" s="15" t="s">
        <v>1474</v>
      </c>
      <c r="P170" s="9" t="s">
        <v>1475</v>
      </c>
      <c r="Q170" s="15" t="s">
        <v>1474</v>
      </c>
      <c r="R170" s="16" t="s">
        <v>1476</v>
      </c>
      <c r="S170" s="9" t="s">
        <v>1477</v>
      </c>
      <c r="T170" s="9" t="s">
        <v>1478</v>
      </c>
      <c r="U170" s="9" t="s">
        <v>703</v>
      </c>
      <c r="V170" s="17">
        <v>5.556666661E9</v>
      </c>
      <c r="W170" s="9" t="s">
        <v>704</v>
      </c>
      <c r="X170" s="9" t="s">
        <v>80</v>
      </c>
      <c r="Y170" s="14"/>
      <c r="Z170" s="14"/>
      <c r="AA170" s="14"/>
      <c r="AB170" s="14"/>
      <c r="AC170" s="14"/>
      <c r="AD170" s="14"/>
      <c r="AE170" s="14"/>
      <c r="AF170" s="14"/>
      <c r="AG170" s="14" t="str">
        <f t="shared" si="17"/>
        <v>#REF!</v>
      </c>
      <c r="AH170" s="14"/>
      <c r="AI170" s="20"/>
      <c r="AJ170" s="14"/>
      <c r="AK170" s="14"/>
      <c r="AL170" s="14"/>
      <c r="AM170" s="14"/>
      <c r="AN170" s="14"/>
      <c r="AO170" s="14"/>
      <c r="AP170" s="14"/>
      <c r="AQ170" s="14"/>
      <c r="AR170" s="14"/>
    </row>
    <row r="171" ht="22.5" customHeight="1">
      <c r="A171" s="103">
        <v>46070.0</v>
      </c>
      <c r="B171" s="69" t="s">
        <v>1479</v>
      </c>
      <c r="C171" s="8" t="s">
        <v>241</v>
      </c>
      <c r="D171" s="9" t="s">
        <v>61</v>
      </c>
      <c r="E171" s="9" t="s">
        <v>1480</v>
      </c>
      <c r="F171" s="9" t="s">
        <v>1481</v>
      </c>
      <c r="G171" s="10">
        <v>500084.0</v>
      </c>
      <c r="H171" s="9" t="s">
        <v>389</v>
      </c>
      <c r="I171" s="11" t="str">
        <f>VLOOKUP(H171,Mapping!D:E,2,0)</f>
        <v>Kondapur</v>
      </c>
      <c r="J171" s="9" t="s">
        <v>390</v>
      </c>
      <c r="K171" s="12">
        <v>0.2</v>
      </c>
      <c r="L171" s="13" t="str">
        <f t="shared" si="9"/>
        <v>20%+</v>
      </c>
      <c r="M171" s="13">
        <v>0.018</v>
      </c>
      <c r="N171" s="9" t="s">
        <v>68</v>
      </c>
      <c r="O171" s="131" t="s">
        <v>1482</v>
      </c>
      <c r="P171" s="9" t="s">
        <v>1483</v>
      </c>
      <c r="Q171" s="9" t="s">
        <v>1481</v>
      </c>
      <c r="R171" s="16" t="s">
        <v>1484</v>
      </c>
      <c r="S171" s="9" t="s">
        <v>68</v>
      </c>
      <c r="T171" s="9" t="s">
        <v>68</v>
      </c>
      <c r="U171" s="9" t="s">
        <v>68</v>
      </c>
      <c r="V171" s="9" t="s">
        <v>68</v>
      </c>
      <c r="W171" s="9" t="s">
        <v>68</v>
      </c>
      <c r="X171" s="9" t="s">
        <v>68</v>
      </c>
      <c r="Y171" s="18" t="s">
        <v>58</v>
      </c>
      <c r="Z171" s="18" t="s">
        <v>58</v>
      </c>
      <c r="AA171" s="18" t="s">
        <v>58</v>
      </c>
      <c r="AB171" s="18" t="s">
        <v>58</v>
      </c>
      <c r="AC171" s="18" t="s">
        <v>58</v>
      </c>
      <c r="AD171" s="18" t="s">
        <v>69</v>
      </c>
      <c r="AE171" s="14"/>
      <c r="AF171" s="14"/>
      <c r="AG171" s="9" t="s">
        <v>397</v>
      </c>
      <c r="AH171" s="9" t="s">
        <v>1485</v>
      </c>
      <c r="AI171" s="20"/>
      <c r="AJ171" s="14"/>
      <c r="AK171" s="14"/>
      <c r="AL171" s="14"/>
      <c r="AM171" s="14"/>
      <c r="AN171" s="14"/>
      <c r="AO171" s="14"/>
      <c r="AP171" s="14"/>
      <c r="AQ171" s="14"/>
      <c r="AR171" s="14"/>
    </row>
    <row r="172" ht="22.5" customHeight="1">
      <c r="A172" s="103">
        <v>46070.0</v>
      </c>
      <c r="B172" s="69" t="s">
        <v>1486</v>
      </c>
      <c r="C172" s="8" t="s">
        <v>73</v>
      </c>
      <c r="D172" s="9" t="s">
        <v>46</v>
      </c>
      <c r="E172" s="9" t="s">
        <v>1487</v>
      </c>
      <c r="F172" s="9" t="s">
        <v>1488</v>
      </c>
      <c r="G172" s="10">
        <v>500085.0</v>
      </c>
      <c r="H172" s="9" t="s">
        <v>610</v>
      </c>
      <c r="I172" s="11" t="str">
        <f>VLOOKUP(H172,Mapping!D:E,2,0)</f>
        <v>kukatpally</v>
      </c>
      <c r="J172" s="9" t="s">
        <v>390</v>
      </c>
      <c r="K172" s="12">
        <v>0.22</v>
      </c>
      <c r="L172" s="13" t="str">
        <f t="shared" si="9"/>
        <v>20%+</v>
      </c>
      <c r="M172" s="13">
        <v>0.018</v>
      </c>
      <c r="N172" s="9" t="s">
        <v>68</v>
      </c>
      <c r="O172" s="15" t="s">
        <v>1486</v>
      </c>
      <c r="P172" s="9" t="s">
        <v>1165</v>
      </c>
      <c r="Q172" s="9" t="s">
        <v>1488</v>
      </c>
      <c r="R172" s="16" t="s">
        <v>1489</v>
      </c>
      <c r="S172" s="9" t="s">
        <v>68</v>
      </c>
      <c r="T172" s="9" t="s">
        <v>1490</v>
      </c>
      <c r="U172" s="9" t="s">
        <v>1014</v>
      </c>
      <c r="V172" s="17">
        <v>5.0100325406784E13</v>
      </c>
      <c r="W172" s="9" t="s">
        <v>1044</v>
      </c>
      <c r="X172" s="9" t="s">
        <v>56</v>
      </c>
      <c r="Y172" s="18" t="s">
        <v>57</v>
      </c>
      <c r="Z172" s="18" t="s">
        <v>69</v>
      </c>
      <c r="AA172" s="18" t="s">
        <v>57</v>
      </c>
      <c r="AB172" s="18" t="s">
        <v>57</v>
      </c>
      <c r="AC172" s="18" t="s">
        <v>58</v>
      </c>
      <c r="AD172" s="18" t="s">
        <v>69</v>
      </c>
      <c r="AE172" s="35" t="s">
        <v>1491</v>
      </c>
      <c r="AF172" s="14"/>
      <c r="AG172" s="14" t="str">
        <f>VLOOKUP(H:H,'Pivot Table 8'!B:C,2,0)</f>
        <v>#REF!</v>
      </c>
      <c r="AH172" s="14"/>
      <c r="AI172" s="20"/>
      <c r="AJ172" s="14"/>
      <c r="AK172" s="14"/>
      <c r="AL172" s="14"/>
      <c r="AM172" s="14"/>
      <c r="AN172" s="14"/>
      <c r="AO172" s="14"/>
      <c r="AP172" s="14"/>
      <c r="AQ172" s="14"/>
      <c r="AR172" s="14"/>
    </row>
    <row r="173" ht="22.5" customHeight="1">
      <c r="A173" s="74">
        <v>46070.0</v>
      </c>
      <c r="B173" s="75" t="s">
        <v>1492</v>
      </c>
      <c r="C173" s="8" t="s">
        <v>186</v>
      </c>
      <c r="D173" s="9" t="s">
        <v>46</v>
      </c>
      <c r="E173" s="9" t="s">
        <v>1493</v>
      </c>
      <c r="F173" s="9" t="s">
        <v>68</v>
      </c>
      <c r="G173" s="10">
        <v>500073.0</v>
      </c>
      <c r="H173" s="9" t="s">
        <v>809</v>
      </c>
      <c r="I173" s="11" t="str">
        <f>VLOOKUP(H173,Mapping!D:E,2,0)</f>
        <v>ameerpet</v>
      </c>
      <c r="J173" s="136" t="s">
        <v>161</v>
      </c>
      <c r="K173" s="12">
        <v>0.2</v>
      </c>
      <c r="L173" s="14" t="str">
        <f t="shared" si="9"/>
        <v>20%+</v>
      </c>
      <c r="M173" s="14"/>
      <c r="N173" s="14"/>
      <c r="O173" s="108" t="s">
        <v>1494</v>
      </c>
      <c r="P173" s="9" t="s">
        <v>1495</v>
      </c>
      <c r="Q173" s="9" t="s">
        <v>1496</v>
      </c>
      <c r="R173" s="16" t="s">
        <v>1497</v>
      </c>
      <c r="S173" s="9" t="s">
        <v>68</v>
      </c>
      <c r="T173" s="9" t="s">
        <v>68</v>
      </c>
      <c r="U173" s="9" t="s">
        <v>68</v>
      </c>
      <c r="V173" s="9" t="s">
        <v>68</v>
      </c>
      <c r="W173" s="9" t="s">
        <v>68</v>
      </c>
      <c r="X173" s="9" t="s">
        <v>68</v>
      </c>
      <c r="Y173" s="14"/>
      <c r="Z173" s="14"/>
      <c r="AA173" s="14"/>
      <c r="AB173" s="14"/>
      <c r="AC173" s="14"/>
      <c r="AD173" s="14"/>
      <c r="AE173" s="14"/>
      <c r="AF173" s="14"/>
      <c r="AG173" s="14"/>
      <c r="AH173" s="14"/>
      <c r="AI173" s="20"/>
      <c r="AJ173" s="14"/>
      <c r="AK173" s="14"/>
      <c r="AL173" s="14"/>
      <c r="AM173" s="14"/>
      <c r="AN173" s="14"/>
      <c r="AO173" s="14"/>
      <c r="AP173" s="14"/>
      <c r="AQ173" s="14"/>
      <c r="AR173" s="14"/>
    </row>
    <row r="174" ht="22.5" customHeight="1">
      <c r="A174" s="103">
        <v>46071.0</v>
      </c>
      <c r="B174" s="69" t="s">
        <v>1498</v>
      </c>
      <c r="C174" s="8" t="s">
        <v>248</v>
      </c>
      <c r="D174" s="9" t="s">
        <v>46</v>
      </c>
      <c r="E174" s="9" t="s">
        <v>1499</v>
      </c>
      <c r="F174" s="9" t="s">
        <v>1500</v>
      </c>
      <c r="G174" s="10">
        <v>500004.0</v>
      </c>
      <c r="H174" s="9" t="s">
        <v>421</v>
      </c>
      <c r="I174" s="11" t="str">
        <f>VLOOKUP(H174,Mapping!D:E,2,0)</f>
        <v>Khairathabad</v>
      </c>
      <c r="J174" s="9" t="s">
        <v>50</v>
      </c>
      <c r="K174" s="12">
        <v>0.22</v>
      </c>
      <c r="L174" s="14" t="str">
        <f t="shared" si="9"/>
        <v>20%+</v>
      </c>
      <c r="M174" s="13">
        <v>0.018</v>
      </c>
      <c r="N174" s="127">
        <v>0.0</v>
      </c>
      <c r="O174" s="133" t="s">
        <v>1498</v>
      </c>
      <c r="P174" s="15" t="s">
        <v>1499</v>
      </c>
      <c r="Q174" s="9" t="s">
        <v>1500</v>
      </c>
      <c r="R174" s="16" t="s">
        <v>1501</v>
      </c>
      <c r="S174" s="9" t="s">
        <v>1502</v>
      </c>
      <c r="T174" s="9" t="s">
        <v>1503</v>
      </c>
      <c r="U174" s="9" t="s">
        <v>895</v>
      </c>
      <c r="V174" s="17">
        <v>9.9980112182519E13</v>
      </c>
      <c r="W174" s="9" t="s">
        <v>1504</v>
      </c>
      <c r="X174" s="9" t="s">
        <v>56</v>
      </c>
      <c r="Y174" s="18" t="s">
        <v>57</v>
      </c>
      <c r="Z174" s="18" t="s">
        <v>57</v>
      </c>
      <c r="AA174" s="18" t="s">
        <v>57</v>
      </c>
      <c r="AB174" s="18" t="s">
        <v>57</v>
      </c>
      <c r="AC174" s="18" t="s">
        <v>58</v>
      </c>
      <c r="AD174" s="18" t="s">
        <v>58</v>
      </c>
      <c r="AE174" s="35" t="s">
        <v>1121</v>
      </c>
      <c r="AF174" s="14"/>
      <c r="AG174" s="14" t="str">
        <f t="shared" ref="AG174:AG175" si="18">VLOOKUP(H:H,'Pivot Table 8'!B:C,2,0)</f>
        <v>#REF!</v>
      </c>
      <c r="AH174" s="9" t="s">
        <v>1505</v>
      </c>
      <c r="AI174" s="20"/>
      <c r="AJ174" s="14"/>
      <c r="AK174" s="14"/>
      <c r="AL174" s="14"/>
      <c r="AM174" s="14"/>
      <c r="AN174" s="14"/>
      <c r="AO174" s="14"/>
      <c r="AP174" s="14"/>
      <c r="AQ174" s="14"/>
      <c r="AR174" s="14"/>
    </row>
    <row r="175" ht="22.5" customHeight="1">
      <c r="A175" s="103">
        <v>46071.0</v>
      </c>
      <c r="B175" s="97" t="s">
        <v>1506</v>
      </c>
      <c r="C175" s="8" t="s">
        <v>248</v>
      </c>
      <c r="D175" s="9" t="s">
        <v>46</v>
      </c>
      <c r="E175" s="9" t="s">
        <v>68</v>
      </c>
      <c r="F175" s="9" t="s">
        <v>1507</v>
      </c>
      <c r="G175" s="10">
        <v>500004.0</v>
      </c>
      <c r="H175" s="9" t="s">
        <v>421</v>
      </c>
      <c r="I175" s="11" t="str">
        <f>VLOOKUP(H175,Mapping!D:E,2,0)</f>
        <v>Khairathabad</v>
      </c>
      <c r="J175" s="9" t="s">
        <v>50</v>
      </c>
      <c r="K175" s="12">
        <v>0.22</v>
      </c>
      <c r="L175" s="9"/>
      <c r="M175" s="13">
        <v>0.018</v>
      </c>
      <c r="N175" s="9" t="s">
        <v>68</v>
      </c>
      <c r="O175" s="9" t="s">
        <v>68</v>
      </c>
      <c r="P175" s="9" t="s">
        <v>68</v>
      </c>
      <c r="Q175" s="9" t="s">
        <v>1508</v>
      </c>
      <c r="R175" s="9" t="s">
        <v>1509</v>
      </c>
      <c r="S175" s="9" t="s">
        <v>68</v>
      </c>
      <c r="T175" s="9" t="s">
        <v>68</v>
      </c>
      <c r="U175" s="9" t="s">
        <v>68</v>
      </c>
      <c r="V175" s="9" t="s">
        <v>68</v>
      </c>
      <c r="W175" s="9" t="s">
        <v>68</v>
      </c>
      <c r="X175" s="9" t="s">
        <v>68</v>
      </c>
      <c r="Y175" s="18" t="s">
        <v>58</v>
      </c>
      <c r="Z175" s="18" t="s">
        <v>58</v>
      </c>
      <c r="AA175" s="18" t="s">
        <v>58</v>
      </c>
      <c r="AB175" s="18" t="s">
        <v>58</v>
      </c>
      <c r="AC175" s="18" t="s">
        <v>58</v>
      </c>
      <c r="AD175" s="18" t="s">
        <v>58</v>
      </c>
      <c r="AE175" s="14"/>
      <c r="AF175" s="14"/>
      <c r="AG175" s="14" t="str">
        <f t="shared" si="18"/>
        <v>#REF!</v>
      </c>
      <c r="AH175" s="14"/>
      <c r="AI175" s="20"/>
      <c r="AJ175" s="14"/>
      <c r="AK175" s="14"/>
      <c r="AL175" s="14"/>
      <c r="AM175" s="14"/>
      <c r="AN175" s="14"/>
      <c r="AO175" s="14"/>
      <c r="AP175" s="14"/>
      <c r="AQ175" s="14"/>
      <c r="AR175" s="9"/>
    </row>
    <row r="176" ht="22.5" customHeight="1">
      <c r="A176" s="103">
        <v>46071.0</v>
      </c>
      <c r="B176" s="69" t="s">
        <v>1510</v>
      </c>
      <c r="C176" s="8" t="s">
        <v>241</v>
      </c>
      <c r="D176" s="9" t="s">
        <v>46</v>
      </c>
      <c r="E176" s="9" t="s">
        <v>1511</v>
      </c>
      <c r="F176" s="9" t="s">
        <v>1512</v>
      </c>
      <c r="G176" s="10">
        <v>500084.0</v>
      </c>
      <c r="H176" s="9" t="s">
        <v>389</v>
      </c>
      <c r="I176" s="11" t="str">
        <f>VLOOKUP(H176,Mapping!D:E,2,0)</f>
        <v>Kondapur</v>
      </c>
      <c r="J176" s="9" t="s">
        <v>390</v>
      </c>
      <c r="K176" s="12">
        <v>0.2</v>
      </c>
      <c r="L176" s="13" t="str">
        <f t="shared" ref="L176:L245" si="19">if(K176=0,"0",(if(K176&lt;15%,"&lt;15%",if(K176&lt;17%,"&lt;17%",IF(K176&lt;20%,"&lt;20%","20%+")))))</f>
        <v>20%+</v>
      </c>
      <c r="M176" s="13">
        <v>0.018</v>
      </c>
      <c r="N176" s="9"/>
      <c r="O176" s="107" t="s">
        <v>1510</v>
      </c>
      <c r="P176" s="39" t="s">
        <v>1513</v>
      </c>
      <c r="Q176" s="9" t="s">
        <v>1512</v>
      </c>
      <c r="R176" s="16" t="s">
        <v>1514</v>
      </c>
      <c r="S176" s="9" t="s">
        <v>1515</v>
      </c>
      <c r="T176" s="9" t="s">
        <v>1516</v>
      </c>
      <c r="U176" s="9" t="s">
        <v>919</v>
      </c>
      <c r="V176" s="17">
        <v>7.62005500049E11</v>
      </c>
      <c r="W176" s="9" t="s">
        <v>1517</v>
      </c>
      <c r="X176" s="9" t="s">
        <v>56</v>
      </c>
      <c r="Y176" s="18" t="s">
        <v>57</v>
      </c>
      <c r="Z176" s="18" t="s">
        <v>57</v>
      </c>
      <c r="AA176" s="18" t="s">
        <v>57</v>
      </c>
      <c r="AB176" s="18" t="s">
        <v>57</v>
      </c>
      <c r="AC176" s="18" t="s">
        <v>57</v>
      </c>
      <c r="AD176" s="18" t="s">
        <v>57</v>
      </c>
      <c r="AE176" s="35" t="s">
        <v>1518</v>
      </c>
      <c r="AF176" s="14"/>
      <c r="AG176" s="9" t="s">
        <v>397</v>
      </c>
      <c r="AH176" s="14"/>
      <c r="AI176" s="20"/>
      <c r="AJ176" s="14"/>
      <c r="AK176" s="14"/>
      <c r="AL176" s="14"/>
      <c r="AM176" s="14"/>
      <c r="AN176" s="14"/>
      <c r="AO176" s="14"/>
      <c r="AP176" s="14"/>
      <c r="AQ176" s="14"/>
      <c r="AR176" s="14"/>
    </row>
    <row r="177" ht="22.5" customHeight="1">
      <c r="A177" s="103">
        <v>46071.0</v>
      </c>
      <c r="B177" s="97" t="s">
        <v>1519</v>
      </c>
      <c r="C177" s="8" t="s">
        <v>45</v>
      </c>
      <c r="D177" s="9" t="s">
        <v>46</v>
      </c>
      <c r="E177" s="9" t="s">
        <v>1520</v>
      </c>
      <c r="F177" s="9" t="s">
        <v>729</v>
      </c>
      <c r="G177" s="10">
        <v>500089.0</v>
      </c>
      <c r="H177" s="9" t="s">
        <v>302</v>
      </c>
      <c r="I177" s="11" t="str">
        <f>VLOOKUP(H177,Mapping!D:E,2,0)</f>
        <v>manikonda</v>
      </c>
      <c r="J177" s="9" t="s">
        <v>303</v>
      </c>
      <c r="K177" s="12">
        <v>0.16</v>
      </c>
      <c r="L177" s="13" t="str">
        <f t="shared" si="19"/>
        <v>&lt;17%</v>
      </c>
      <c r="M177" s="13">
        <v>0.018</v>
      </c>
      <c r="N177" s="9" t="s">
        <v>68</v>
      </c>
      <c r="O177" s="9" t="s">
        <v>729</v>
      </c>
      <c r="P177" s="9" t="s">
        <v>729</v>
      </c>
      <c r="Q177" s="9" t="s">
        <v>729</v>
      </c>
      <c r="R177" s="9" t="s">
        <v>729</v>
      </c>
      <c r="S177" s="9" t="s">
        <v>729</v>
      </c>
      <c r="T177" s="9" t="s">
        <v>729</v>
      </c>
      <c r="U177" s="9" t="s">
        <v>729</v>
      </c>
      <c r="V177" s="9" t="s">
        <v>729</v>
      </c>
      <c r="W177" s="9" t="s">
        <v>729</v>
      </c>
      <c r="X177" s="9" t="s">
        <v>729</v>
      </c>
      <c r="Y177" s="18" t="s">
        <v>58</v>
      </c>
      <c r="Z177" s="18" t="s">
        <v>58</v>
      </c>
      <c r="AA177" s="18" t="s">
        <v>58</v>
      </c>
      <c r="AB177" s="18" t="s">
        <v>58</v>
      </c>
      <c r="AC177" s="18" t="s">
        <v>58</v>
      </c>
      <c r="AD177" s="18" t="s">
        <v>58</v>
      </c>
      <c r="AE177" s="14"/>
      <c r="AF177" s="14"/>
      <c r="AG177" s="14" t="str">
        <f t="shared" ref="AG177:AG183" si="20">VLOOKUP(H:H,'Pivot Table 8'!B:C,2,0)</f>
        <v>#REF!</v>
      </c>
      <c r="AH177" s="9" t="s">
        <v>730</v>
      </c>
      <c r="AI177" s="20"/>
      <c r="AJ177" s="14"/>
      <c r="AK177" s="14"/>
      <c r="AL177" s="14"/>
      <c r="AM177" s="14"/>
      <c r="AN177" s="14"/>
      <c r="AO177" s="14"/>
      <c r="AP177" s="14"/>
      <c r="AQ177" s="14"/>
      <c r="AR177" s="14"/>
    </row>
    <row r="178" ht="22.5" customHeight="1">
      <c r="A178" s="103">
        <v>46071.0</v>
      </c>
      <c r="B178" s="69" t="s">
        <v>1521</v>
      </c>
      <c r="C178" s="8" t="s">
        <v>144</v>
      </c>
      <c r="D178" s="9" t="s">
        <v>46</v>
      </c>
      <c r="E178" s="9" t="s">
        <v>1522</v>
      </c>
      <c r="F178" s="107" t="s">
        <v>1523</v>
      </c>
      <c r="G178" s="10">
        <v>500008.0</v>
      </c>
      <c r="H178" s="9" t="s">
        <v>735</v>
      </c>
      <c r="I178" s="11" t="str">
        <f>VLOOKUP(H178,Mapping!D:E,2,0)</f>
        <v>shaikpet</v>
      </c>
      <c r="J178" s="9" t="s">
        <v>303</v>
      </c>
      <c r="K178" s="12">
        <v>0.19</v>
      </c>
      <c r="L178" s="14" t="str">
        <f t="shared" si="19"/>
        <v>&lt;20%</v>
      </c>
      <c r="M178" s="13">
        <v>0.018</v>
      </c>
      <c r="N178" s="14"/>
      <c r="O178" s="133" t="s">
        <v>1524</v>
      </c>
      <c r="P178" s="9" t="s">
        <v>1522</v>
      </c>
      <c r="Q178" s="9" t="s">
        <v>1525</v>
      </c>
      <c r="R178" s="16" t="s">
        <v>1526</v>
      </c>
      <c r="S178" s="9" t="s">
        <v>68</v>
      </c>
      <c r="T178" s="107" t="s">
        <v>68</v>
      </c>
      <c r="U178" s="9" t="s">
        <v>68</v>
      </c>
      <c r="V178" s="9" t="s">
        <v>68</v>
      </c>
      <c r="W178" s="9" t="s">
        <v>68</v>
      </c>
      <c r="X178" s="9" t="s">
        <v>68</v>
      </c>
      <c r="Y178" s="18" t="s">
        <v>57</v>
      </c>
      <c r="Z178" s="18" t="s">
        <v>58</v>
      </c>
      <c r="AA178" s="18" t="s">
        <v>57</v>
      </c>
      <c r="AB178" s="18" t="s">
        <v>58</v>
      </c>
      <c r="AC178" s="14"/>
      <c r="AD178" s="14"/>
      <c r="AE178" s="14"/>
      <c r="AF178" s="14"/>
      <c r="AG178" s="14" t="str">
        <f t="shared" si="20"/>
        <v>#REF!</v>
      </c>
      <c r="AH178" s="14"/>
      <c r="AI178" s="20"/>
      <c r="AJ178" s="14"/>
      <c r="AK178" s="14"/>
      <c r="AL178" s="14"/>
      <c r="AM178" s="14"/>
      <c r="AN178" s="14"/>
      <c r="AO178" s="14"/>
      <c r="AP178" s="14"/>
      <c r="AQ178" s="14"/>
      <c r="AR178" s="14"/>
    </row>
    <row r="179" ht="22.5" customHeight="1">
      <c r="A179" s="68">
        <v>46071.0</v>
      </c>
      <c r="B179" s="69" t="s">
        <v>1527</v>
      </c>
      <c r="C179" s="8" t="s">
        <v>241</v>
      </c>
      <c r="D179" s="9" t="s">
        <v>68</v>
      </c>
      <c r="E179" s="9" t="s">
        <v>1528</v>
      </c>
      <c r="F179" s="9" t="s">
        <v>1529</v>
      </c>
      <c r="G179" s="10">
        <v>500084.0</v>
      </c>
      <c r="H179" s="9" t="s">
        <v>1530</v>
      </c>
      <c r="I179" s="9" t="s">
        <v>1424</v>
      </c>
      <c r="J179" s="11" t="str">
        <f>VLOOKUP(I179,Mapping!A:B,2,0)</f>
        <v>Zone 4 Hi-tech City</v>
      </c>
      <c r="K179" s="12">
        <v>0.2</v>
      </c>
      <c r="L179" s="14" t="str">
        <f t="shared" si="19"/>
        <v>20%+</v>
      </c>
      <c r="M179" s="13">
        <v>0.018</v>
      </c>
      <c r="N179" s="9" t="s">
        <v>68</v>
      </c>
      <c r="O179" s="9" t="s">
        <v>1512</v>
      </c>
      <c r="P179" s="9" t="s">
        <v>1528</v>
      </c>
      <c r="Q179" s="9" t="s">
        <v>1531</v>
      </c>
      <c r="R179" s="16" t="s">
        <v>1514</v>
      </c>
      <c r="S179" s="9" t="s">
        <v>1515</v>
      </c>
      <c r="T179" s="9" t="s">
        <v>68</v>
      </c>
      <c r="U179" s="9" t="s">
        <v>68</v>
      </c>
      <c r="V179" s="9" t="s">
        <v>68</v>
      </c>
      <c r="W179" s="9" t="s">
        <v>68</v>
      </c>
      <c r="X179" s="9" t="s">
        <v>68</v>
      </c>
      <c r="Y179" s="18" t="s">
        <v>57</v>
      </c>
      <c r="Z179" s="18" t="s">
        <v>57</v>
      </c>
      <c r="AA179" s="18" t="s">
        <v>57</v>
      </c>
      <c r="AB179" s="18" t="s">
        <v>57</v>
      </c>
      <c r="AC179" s="18" t="s">
        <v>57</v>
      </c>
      <c r="AD179" s="18" t="s">
        <v>69</v>
      </c>
      <c r="AE179" s="33" t="s">
        <v>1518</v>
      </c>
      <c r="AF179" s="14"/>
      <c r="AG179" s="14" t="str">
        <f t="shared" si="20"/>
        <v>#REF!</v>
      </c>
      <c r="AH179" s="14"/>
      <c r="AI179" s="8" t="s">
        <v>71</v>
      </c>
      <c r="AJ179" s="14"/>
      <c r="AK179" s="14"/>
      <c r="AL179" s="14"/>
      <c r="AM179" s="14"/>
      <c r="AN179" s="14"/>
      <c r="AO179" s="14"/>
      <c r="AP179" s="14"/>
      <c r="AQ179" s="14"/>
      <c r="AR179" s="14"/>
    </row>
    <row r="180" ht="22.5" customHeight="1">
      <c r="A180" s="68">
        <v>46071.0</v>
      </c>
      <c r="B180" s="69" t="s">
        <v>1532</v>
      </c>
      <c r="C180" s="8" t="s">
        <v>73</v>
      </c>
      <c r="D180" s="9" t="s">
        <v>61</v>
      </c>
      <c r="E180" s="39" t="s">
        <v>1533</v>
      </c>
      <c r="F180" s="9" t="s">
        <v>1534</v>
      </c>
      <c r="G180" s="98">
        <v>500049.0</v>
      </c>
      <c r="H180" s="99" t="s">
        <v>512</v>
      </c>
      <c r="I180" s="11" t="str">
        <f>VLOOKUP(H180,Mapping!D:E,2,0)</f>
        <v>miyapur</v>
      </c>
      <c r="J180" s="9" t="s">
        <v>390</v>
      </c>
      <c r="K180" s="12">
        <v>0.22</v>
      </c>
      <c r="L180" s="13" t="str">
        <f t="shared" si="19"/>
        <v>20%+</v>
      </c>
      <c r="M180" s="13">
        <v>0.018</v>
      </c>
      <c r="N180" s="14"/>
      <c r="O180" s="107" t="s">
        <v>1535</v>
      </c>
      <c r="P180" s="39" t="s">
        <v>1536</v>
      </c>
      <c r="Q180" s="107" t="s">
        <v>1534</v>
      </c>
      <c r="R180" s="16" t="s">
        <v>1537</v>
      </c>
      <c r="S180" s="9" t="s">
        <v>1538</v>
      </c>
      <c r="T180" s="107" t="s">
        <v>68</v>
      </c>
      <c r="U180" s="9" t="s">
        <v>68</v>
      </c>
      <c r="V180" s="9" t="s">
        <v>68</v>
      </c>
      <c r="W180" s="9" t="s">
        <v>68</v>
      </c>
      <c r="X180" s="9" t="s">
        <v>68</v>
      </c>
      <c r="Y180" s="18" t="s">
        <v>57</v>
      </c>
      <c r="Z180" s="18" t="s">
        <v>69</v>
      </c>
      <c r="AA180" s="18" t="s">
        <v>57</v>
      </c>
      <c r="AB180" s="18" t="s">
        <v>58</v>
      </c>
      <c r="AC180" s="18" t="s">
        <v>58</v>
      </c>
      <c r="AD180" s="18" t="s">
        <v>69</v>
      </c>
      <c r="AE180" s="35" t="s">
        <v>1539</v>
      </c>
      <c r="AF180" s="14"/>
      <c r="AG180" s="14" t="str">
        <f t="shared" si="20"/>
        <v>#REF!</v>
      </c>
      <c r="AH180" s="14"/>
      <c r="AI180" s="8" t="s">
        <v>71</v>
      </c>
      <c r="AJ180" s="14"/>
      <c r="AK180" s="14"/>
      <c r="AL180" s="14"/>
      <c r="AM180" s="14"/>
      <c r="AN180" s="14"/>
      <c r="AO180" s="14"/>
      <c r="AP180" s="14"/>
      <c r="AQ180" s="14"/>
      <c r="AR180" s="14"/>
    </row>
    <row r="181" ht="22.5" customHeight="1">
      <c r="A181" s="103">
        <v>46071.0</v>
      </c>
      <c r="B181" s="69" t="s">
        <v>1540</v>
      </c>
      <c r="C181" s="8" t="s">
        <v>248</v>
      </c>
      <c r="D181" s="9" t="s">
        <v>258</v>
      </c>
      <c r="E181" s="9" t="s">
        <v>68</v>
      </c>
      <c r="F181" s="9" t="s">
        <v>1541</v>
      </c>
      <c r="G181" s="10"/>
      <c r="H181" s="9" t="s">
        <v>421</v>
      </c>
      <c r="I181" s="11" t="str">
        <f>VLOOKUP(H181,Mapping!D:E,2,0)</f>
        <v>Khairathabad</v>
      </c>
      <c r="J181" s="11" t="str">
        <f>VLOOKUP(I181,Mapping!A:B,2,0)</f>
        <v>Zone 1 Mehdipatnam</v>
      </c>
      <c r="K181" s="12">
        <v>0.22</v>
      </c>
      <c r="L181" s="14" t="str">
        <f t="shared" si="19"/>
        <v>20%+</v>
      </c>
      <c r="M181" s="13">
        <v>0.018</v>
      </c>
      <c r="N181" s="127">
        <v>0.0</v>
      </c>
      <c r="O181" s="9" t="s">
        <v>1542</v>
      </c>
      <c r="P181" s="9" t="s">
        <v>68</v>
      </c>
      <c r="Q181" s="9" t="s">
        <v>1543</v>
      </c>
      <c r="R181" s="16" t="s">
        <v>1544</v>
      </c>
      <c r="S181" s="9" t="s">
        <v>1545</v>
      </c>
      <c r="T181" s="9" t="s">
        <v>68</v>
      </c>
      <c r="U181" s="9" t="s">
        <v>68</v>
      </c>
      <c r="V181" s="9" t="s">
        <v>68</v>
      </c>
      <c r="W181" s="9" t="s">
        <v>68</v>
      </c>
      <c r="X181" s="9" t="s">
        <v>68</v>
      </c>
      <c r="Y181" s="18" t="s">
        <v>58</v>
      </c>
      <c r="Z181" s="18" t="s">
        <v>58</v>
      </c>
      <c r="AA181" s="18" t="s">
        <v>58</v>
      </c>
      <c r="AB181" s="18" t="s">
        <v>58</v>
      </c>
      <c r="AC181" s="18" t="s">
        <v>58</v>
      </c>
      <c r="AD181" s="18" t="s">
        <v>58</v>
      </c>
      <c r="AF181" s="14"/>
      <c r="AG181" s="14" t="str">
        <f t="shared" si="20"/>
        <v>#REF!</v>
      </c>
      <c r="AH181" s="9" t="s">
        <v>1546</v>
      </c>
      <c r="AI181" s="20"/>
      <c r="AJ181" s="14"/>
      <c r="AK181" s="14"/>
      <c r="AL181" s="14"/>
      <c r="AM181" s="14"/>
      <c r="AN181" s="14"/>
      <c r="AO181" s="14"/>
      <c r="AP181" s="14"/>
      <c r="AQ181" s="14"/>
      <c r="AR181" s="14"/>
    </row>
    <row r="182" ht="22.5" customHeight="1">
      <c r="A182" s="110">
        <v>46071.0</v>
      </c>
      <c r="B182" s="69" t="s">
        <v>1547</v>
      </c>
      <c r="C182" s="8" t="s">
        <v>564</v>
      </c>
      <c r="D182" s="9" t="s">
        <v>46</v>
      </c>
      <c r="E182" s="39" t="s">
        <v>1548</v>
      </c>
      <c r="F182" s="9" t="s">
        <v>1549</v>
      </c>
      <c r="G182" s="10">
        <v>500049.0</v>
      </c>
      <c r="H182" s="9" t="s">
        <v>1550</v>
      </c>
      <c r="I182" s="11" t="str">
        <f>VLOOKUP(H182,Mapping!D:E,2,0)</f>
        <v>panjagutta</v>
      </c>
      <c r="J182" s="9" t="s">
        <v>161</v>
      </c>
      <c r="K182" s="12">
        <v>0.19</v>
      </c>
      <c r="L182" s="13" t="str">
        <f t="shared" si="19"/>
        <v>&lt;20%</v>
      </c>
      <c r="M182" s="13">
        <v>0.018</v>
      </c>
      <c r="N182" s="9" t="s">
        <v>68</v>
      </c>
      <c r="O182" s="9" t="s">
        <v>1547</v>
      </c>
      <c r="P182" s="39" t="s">
        <v>1551</v>
      </c>
      <c r="Q182" s="9" t="s">
        <v>1552</v>
      </c>
      <c r="R182" s="16" t="s">
        <v>1553</v>
      </c>
      <c r="S182" s="9" t="s">
        <v>68</v>
      </c>
      <c r="T182" s="9" t="s">
        <v>1554</v>
      </c>
      <c r="U182" s="9" t="s">
        <v>1555</v>
      </c>
      <c r="V182" s="17">
        <v>1.4730200007074E13</v>
      </c>
      <c r="W182" s="9" t="s">
        <v>896</v>
      </c>
      <c r="X182" s="9" t="s">
        <v>80</v>
      </c>
      <c r="Y182" s="18" t="s">
        <v>57</v>
      </c>
      <c r="Z182" s="18" t="s">
        <v>58</v>
      </c>
      <c r="AA182" s="18" t="s">
        <v>58</v>
      </c>
      <c r="AB182" s="18" t="s">
        <v>57</v>
      </c>
      <c r="AC182" s="18" t="s">
        <v>58</v>
      </c>
      <c r="AD182" s="18" t="s">
        <v>58</v>
      </c>
      <c r="AE182" s="35" t="s">
        <v>1556</v>
      </c>
      <c r="AF182" s="14"/>
      <c r="AG182" s="14" t="str">
        <f t="shared" si="20"/>
        <v>#REF!</v>
      </c>
      <c r="AH182" s="14"/>
      <c r="AI182" s="20"/>
      <c r="AJ182" s="14"/>
      <c r="AK182" s="14"/>
      <c r="AL182" s="14"/>
      <c r="AM182" s="14"/>
      <c r="AN182" s="14"/>
      <c r="AO182" s="14"/>
      <c r="AP182" s="14"/>
      <c r="AQ182" s="14"/>
      <c r="AR182" s="14"/>
    </row>
    <row r="183" ht="22.5" customHeight="1">
      <c r="A183" s="68">
        <v>46071.0</v>
      </c>
      <c r="B183" s="69" t="s">
        <v>1557</v>
      </c>
      <c r="C183" s="8" t="s">
        <v>45</v>
      </c>
      <c r="D183" s="9" t="s">
        <v>61</v>
      </c>
      <c r="E183" s="9" t="s">
        <v>1558</v>
      </c>
      <c r="F183" s="9" t="s">
        <v>729</v>
      </c>
      <c r="G183" s="137">
        <v>500075.0</v>
      </c>
      <c r="H183" s="9" t="s">
        <v>1559</v>
      </c>
      <c r="I183" s="11" t="str">
        <f>VLOOKUP(H183,Mapping!D:E,2,0)</f>
        <v>Nanakramguda</v>
      </c>
      <c r="J183" s="9" t="s">
        <v>303</v>
      </c>
      <c r="K183" s="12">
        <v>0.2</v>
      </c>
      <c r="L183" s="13" t="str">
        <f t="shared" si="19"/>
        <v>20%+</v>
      </c>
      <c r="M183" s="13">
        <v>0.018</v>
      </c>
      <c r="N183" s="14"/>
      <c r="O183" s="9" t="s">
        <v>1557</v>
      </c>
      <c r="P183" s="39" t="s">
        <v>1560</v>
      </c>
      <c r="Q183" s="9" t="s">
        <v>1561</v>
      </c>
      <c r="R183" s="16" t="s">
        <v>1562</v>
      </c>
      <c r="S183" s="9" t="s">
        <v>1563</v>
      </c>
      <c r="T183" s="9" t="s">
        <v>1557</v>
      </c>
      <c r="U183" s="9" t="s">
        <v>1564</v>
      </c>
      <c r="V183" s="17">
        <v>5.0200098074982E13</v>
      </c>
      <c r="W183" s="9" t="s">
        <v>1565</v>
      </c>
      <c r="X183" s="9" t="s">
        <v>80</v>
      </c>
      <c r="Y183" s="18" t="s">
        <v>57</v>
      </c>
      <c r="Z183" s="18" t="s">
        <v>58</v>
      </c>
      <c r="AA183" s="18" t="s">
        <v>58</v>
      </c>
      <c r="AB183" s="18" t="s">
        <v>57</v>
      </c>
      <c r="AC183" s="18" t="s">
        <v>58</v>
      </c>
      <c r="AD183" s="18" t="s">
        <v>58</v>
      </c>
      <c r="AE183" s="35" t="s">
        <v>1566</v>
      </c>
      <c r="AF183" s="14"/>
      <c r="AG183" s="14" t="str">
        <f t="shared" si="20"/>
        <v>#REF!</v>
      </c>
      <c r="AH183" s="14"/>
      <c r="AI183" s="20"/>
      <c r="AJ183" s="14"/>
      <c r="AK183" s="14"/>
      <c r="AL183" s="14"/>
      <c r="AM183" s="14"/>
      <c r="AN183" s="14"/>
      <c r="AO183" s="14"/>
      <c r="AP183" s="14"/>
      <c r="AQ183" s="14"/>
      <c r="AR183" s="14"/>
    </row>
    <row r="184" ht="22.5" customHeight="1">
      <c r="A184" s="110">
        <v>46071.0</v>
      </c>
      <c r="B184" s="69" t="s">
        <v>1567</v>
      </c>
      <c r="C184" s="8" t="s">
        <v>241</v>
      </c>
      <c r="D184" s="9" t="s">
        <v>46</v>
      </c>
      <c r="E184" s="39" t="s">
        <v>1568</v>
      </c>
      <c r="F184" s="9" t="s">
        <v>1531</v>
      </c>
      <c r="G184" s="10">
        <v>500084.0</v>
      </c>
      <c r="H184" s="9" t="s">
        <v>389</v>
      </c>
      <c r="I184" s="11" t="str">
        <f>VLOOKUP(H184,Mapping!D:E,2,0)</f>
        <v>Kondapur</v>
      </c>
      <c r="J184" s="9" t="s">
        <v>390</v>
      </c>
      <c r="K184" s="12">
        <v>0.2</v>
      </c>
      <c r="L184" s="13" t="str">
        <f t="shared" si="19"/>
        <v>20%+</v>
      </c>
      <c r="M184" s="13">
        <v>0.018</v>
      </c>
      <c r="N184" s="9"/>
      <c r="O184" s="9" t="s">
        <v>1567</v>
      </c>
      <c r="P184" s="39" t="s">
        <v>1569</v>
      </c>
      <c r="Q184" s="9" t="s">
        <v>1570</v>
      </c>
      <c r="R184" s="16" t="s">
        <v>1514</v>
      </c>
      <c r="S184" s="9" t="s">
        <v>1515</v>
      </c>
      <c r="T184" s="9" t="s">
        <v>1571</v>
      </c>
      <c r="U184" s="9" t="s">
        <v>919</v>
      </c>
      <c r="V184" s="17">
        <v>7.62005500049E11</v>
      </c>
      <c r="W184" s="9" t="s">
        <v>1517</v>
      </c>
      <c r="X184" s="9" t="s">
        <v>80</v>
      </c>
      <c r="Y184" s="18" t="s">
        <v>57</v>
      </c>
      <c r="Z184" s="18" t="s">
        <v>57</v>
      </c>
      <c r="AA184" s="18" t="s">
        <v>57</v>
      </c>
      <c r="AB184" s="18" t="s">
        <v>57</v>
      </c>
      <c r="AC184" s="18" t="s">
        <v>57</v>
      </c>
      <c r="AD184" s="18" t="s">
        <v>69</v>
      </c>
      <c r="AE184" s="39" t="s">
        <v>1518</v>
      </c>
      <c r="AF184" s="14"/>
      <c r="AG184" s="9" t="s">
        <v>397</v>
      </c>
      <c r="AH184" s="14"/>
      <c r="AI184" s="8"/>
      <c r="AJ184" s="14"/>
      <c r="AK184" s="14"/>
      <c r="AL184" s="14"/>
      <c r="AM184" s="14"/>
      <c r="AN184" s="14"/>
      <c r="AO184" s="14"/>
      <c r="AP184" s="14"/>
      <c r="AQ184" s="14"/>
      <c r="AR184" s="14"/>
    </row>
    <row r="185" ht="22.5" customHeight="1">
      <c r="A185" s="110">
        <v>46071.0</v>
      </c>
      <c r="B185" s="69" t="s">
        <v>1572</v>
      </c>
      <c r="C185" s="8" t="s">
        <v>45</v>
      </c>
      <c r="D185" s="9" t="s">
        <v>61</v>
      </c>
      <c r="E185" s="9" t="s">
        <v>1573</v>
      </c>
      <c r="F185" s="9" t="s">
        <v>68</v>
      </c>
      <c r="G185" s="10"/>
      <c r="H185" s="9" t="s">
        <v>302</v>
      </c>
      <c r="I185" s="11" t="str">
        <f>VLOOKUP(H185,Mapping!D:E,2,0)</f>
        <v>manikonda</v>
      </c>
      <c r="J185" s="9" t="s">
        <v>303</v>
      </c>
      <c r="K185" s="12">
        <v>0.16</v>
      </c>
      <c r="L185" s="13" t="str">
        <f t="shared" si="19"/>
        <v>&lt;17%</v>
      </c>
      <c r="M185" s="13">
        <v>0.018</v>
      </c>
      <c r="N185" s="9" t="s">
        <v>68</v>
      </c>
      <c r="O185" s="9" t="s">
        <v>1574</v>
      </c>
      <c r="P185" s="9" t="s">
        <v>1573</v>
      </c>
      <c r="Q185" s="9" t="s">
        <v>68</v>
      </c>
      <c r="R185" s="9" t="s">
        <v>68</v>
      </c>
      <c r="S185" s="9" t="s">
        <v>68</v>
      </c>
      <c r="T185" s="9" t="s">
        <v>68</v>
      </c>
      <c r="U185" s="9" t="s">
        <v>68</v>
      </c>
      <c r="V185" s="9" t="s">
        <v>68</v>
      </c>
      <c r="W185" s="9" t="s">
        <v>68</v>
      </c>
      <c r="X185" s="9" t="s">
        <v>68</v>
      </c>
      <c r="Y185" s="18" t="s">
        <v>57</v>
      </c>
      <c r="Z185" s="18" t="s">
        <v>58</v>
      </c>
      <c r="AA185" s="18" t="s">
        <v>57</v>
      </c>
      <c r="AB185" s="18" t="s">
        <v>58</v>
      </c>
      <c r="AC185" s="18" t="s">
        <v>57</v>
      </c>
      <c r="AD185" s="14"/>
      <c r="AE185" s="35" t="s">
        <v>1575</v>
      </c>
      <c r="AF185" s="14"/>
      <c r="AG185" s="14" t="str">
        <f>VLOOKUP(H:H,'Pivot Table 8'!B:C,2,0)</f>
        <v>#REF!</v>
      </c>
      <c r="AH185" s="14"/>
      <c r="AI185" s="8" t="s">
        <v>71</v>
      </c>
      <c r="AJ185" s="14"/>
      <c r="AK185" s="14"/>
      <c r="AL185" s="14"/>
      <c r="AM185" s="14"/>
      <c r="AN185" s="14"/>
      <c r="AO185" s="14"/>
      <c r="AP185" s="14"/>
      <c r="AQ185" s="14"/>
      <c r="AR185" s="14"/>
    </row>
    <row r="186" ht="22.5" customHeight="1">
      <c r="A186" s="103">
        <v>46071.0</v>
      </c>
      <c r="B186" s="97" t="s">
        <v>1576</v>
      </c>
      <c r="C186" s="8" t="s">
        <v>241</v>
      </c>
      <c r="D186" s="9" t="s">
        <v>61</v>
      </c>
      <c r="E186" s="9" t="s">
        <v>1577</v>
      </c>
      <c r="F186" s="9" t="s">
        <v>1578</v>
      </c>
      <c r="G186" s="10">
        <v>500084.0</v>
      </c>
      <c r="H186" s="9" t="s">
        <v>389</v>
      </c>
      <c r="I186" s="11" t="str">
        <f>VLOOKUP(H186,Mapping!D:E,2,0)</f>
        <v>Kondapur</v>
      </c>
      <c r="J186" s="9" t="s">
        <v>390</v>
      </c>
      <c r="K186" s="12">
        <v>0.22</v>
      </c>
      <c r="L186" s="13" t="str">
        <f t="shared" si="19"/>
        <v>20%+</v>
      </c>
      <c r="M186" s="13">
        <v>0.018</v>
      </c>
      <c r="N186" s="9" t="s">
        <v>68</v>
      </c>
      <c r="O186" s="9" t="s">
        <v>1576</v>
      </c>
      <c r="P186" s="9" t="s">
        <v>1579</v>
      </c>
      <c r="Q186" s="9" t="s">
        <v>449</v>
      </c>
      <c r="R186" s="16" t="s">
        <v>1580</v>
      </c>
      <c r="S186" s="9" t="s">
        <v>1581</v>
      </c>
      <c r="T186" s="9" t="s">
        <v>1582</v>
      </c>
      <c r="U186" s="9" t="s">
        <v>1583</v>
      </c>
      <c r="V186" s="17">
        <v>3.1254870928E10</v>
      </c>
      <c r="W186" s="9" t="s">
        <v>1584</v>
      </c>
      <c r="X186" s="9" t="s">
        <v>56</v>
      </c>
      <c r="Y186" s="18" t="s">
        <v>57</v>
      </c>
      <c r="Z186" s="18" t="s">
        <v>69</v>
      </c>
      <c r="AA186" s="18" t="s">
        <v>57</v>
      </c>
      <c r="AB186" s="18" t="s">
        <v>57</v>
      </c>
      <c r="AC186" s="18" t="s">
        <v>58</v>
      </c>
      <c r="AD186" s="18" t="s">
        <v>69</v>
      </c>
      <c r="AE186" s="39" t="s">
        <v>1585</v>
      </c>
      <c r="AF186" s="14"/>
      <c r="AG186" s="9" t="s">
        <v>397</v>
      </c>
      <c r="AH186" s="9" t="s">
        <v>417</v>
      </c>
      <c r="AI186" s="20"/>
      <c r="AJ186" s="14"/>
      <c r="AK186" s="14"/>
      <c r="AL186" s="14"/>
      <c r="AM186" s="14"/>
      <c r="AN186" s="14"/>
      <c r="AO186" s="14"/>
      <c r="AP186" s="14"/>
      <c r="AQ186" s="14"/>
      <c r="AR186" s="14"/>
    </row>
    <row r="187" ht="22.5" customHeight="1">
      <c r="A187" s="103">
        <v>46071.0</v>
      </c>
      <c r="B187" s="69" t="s">
        <v>1586</v>
      </c>
      <c r="C187" s="8" t="s">
        <v>73</v>
      </c>
      <c r="D187" s="9" t="s">
        <v>46</v>
      </c>
      <c r="E187" s="9" t="s">
        <v>1587</v>
      </c>
      <c r="F187" s="9" t="s">
        <v>1588</v>
      </c>
      <c r="G187" s="10">
        <v>502032.0</v>
      </c>
      <c r="H187" s="9" t="s">
        <v>680</v>
      </c>
      <c r="I187" s="11" t="str">
        <f>VLOOKUP(H187,Mapping!D:E,2,0)</f>
        <v>miyapur</v>
      </c>
      <c r="J187" s="9" t="s">
        <v>390</v>
      </c>
      <c r="K187" s="12">
        <v>0.22</v>
      </c>
      <c r="L187" s="13" t="str">
        <f t="shared" si="19"/>
        <v>20%+</v>
      </c>
      <c r="M187" s="13">
        <v>0.018</v>
      </c>
      <c r="N187" s="14"/>
      <c r="O187" s="9" t="s">
        <v>1586</v>
      </c>
      <c r="P187" s="9" t="s">
        <v>680</v>
      </c>
      <c r="Q187" s="9" t="s">
        <v>1588</v>
      </c>
      <c r="R187" s="16" t="s">
        <v>1589</v>
      </c>
      <c r="S187" s="9" t="s">
        <v>1590</v>
      </c>
      <c r="T187" s="9" t="s">
        <v>68</v>
      </c>
      <c r="U187" s="9" t="s">
        <v>68</v>
      </c>
      <c r="V187" s="9" t="s">
        <v>1591</v>
      </c>
      <c r="W187" s="9" t="s">
        <v>68</v>
      </c>
      <c r="X187" s="9" t="s">
        <v>68</v>
      </c>
      <c r="Y187" s="18" t="s">
        <v>58</v>
      </c>
      <c r="Z187" s="18" t="s">
        <v>69</v>
      </c>
      <c r="AA187" s="18" t="s">
        <v>58</v>
      </c>
      <c r="AB187" s="18" t="s">
        <v>58</v>
      </c>
      <c r="AC187" s="18" t="s">
        <v>58</v>
      </c>
      <c r="AD187" s="18" t="s">
        <v>69</v>
      </c>
      <c r="AE187" s="35" t="s">
        <v>1592</v>
      </c>
      <c r="AF187" s="14"/>
      <c r="AG187" s="14" t="str">
        <f t="shared" ref="AG187:AG195" si="21">VLOOKUP(H:H,'Pivot Table 8'!B:C,2,0)</f>
        <v>#REF!</v>
      </c>
      <c r="AH187" s="14"/>
      <c r="AI187" s="8" t="s">
        <v>71</v>
      </c>
      <c r="AJ187" s="14"/>
      <c r="AK187" s="14"/>
      <c r="AL187" s="14"/>
      <c r="AM187" s="14"/>
      <c r="AN187" s="14"/>
      <c r="AO187" s="14"/>
      <c r="AP187" s="14"/>
      <c r="AQ187" s="14"/>
      <c r="AR187" s="14"/>
    </row>
    <row r="188" ht="22.5" customHeight="1">
      <c r="A188" s="103">
        <v>46071.0</v>
      </c>
      <c r="B188" s="69" t="s">
        <v>1593</v>
      </c>
      <c r="C188" s="8" t="s">
        <v>144</v>
      </c>
      <c r="D188" s="9" t="s">
        <v>46</v>
      </c>
      <c r="E188" s="39" t="s">
        <v>1594</v>
      </c>
      <c r="F188" s="9" t="s">
        <v>68</v>
      </c>
      <c r="G188" s="10">
        <v>500104.0</v>
      </c>
      <c r="H188" s="9" t="s">
        <v>735</v>
      </c>
      <c r="I188" s="11" t="str">
        <f>VLOOKUP(H188,Mapping!D:E,2,0)</f>
        <v>shaikpet</v>
      </c>
      <c r="J188" s="9" t="s">
        <v>303</v>
      </c>
      <c r="K188" s="12">
        <v>0.19</v>
      </c>
      <c r="L188" s="14" t="str">
        <f t="shared" si="19"/>
        <v>&lt;20%</v>
      </c>
      <c r="M188" s="13">
        <v>0.018</v>
      </c>
      <c r="N188" s="127">
        <v>0.0</v>
      </c>
      <c r="O188" s="9" t="s">
        <v>68</v>
      </c>
      <c r="P188" s="39" t="s">
        <v>1595</v>
      </c>
      <c r="Q188" s="9" t="s">
        <v>957</v>
      </c>
      <c r="R188" s="16" t="s">
        <v>1596</v>
      </c>
      <c r="S188" s="9" t="s">
        <v>68</v>
      </c>
      <c r="T188" s="9" t="s">
        <v>68</v>
      </c>
      <c r="U188" s="9" t="s">
        <v>68</v>
      </c>
      <c r="V188" s="9" t="s">
        <v>68</v>
      </c>
      <c r="W188" s="9" t="s">
        <v>68</v>
      </c>
      <c r="X188" s="9" t="s">
        <v>68</v>
      </c>
      <c r="Y188" s="18" t="s">
        <v>57</v>
      </c>
      <c r="Z188" s="18" t="s">
        <v>58</v>
      </c>
      <c r="AA188" s="18" t="s">
        <v>58</v>
      </c>
      <c r="AB188" s="18" t="s">
        <v>58</v>
      </c>
      <c r="AC188" s="14"/>
      <c r="AD188" s="14"/>
      <c r="AE188" s="14"/>
      <c r="AF188" s="14"/>
      <c r="AG188" s="14" t="str">
        <f t="shared" si="21"/>
        <v>#REF!</v>
      </c>
      <c r="AH188" s="14"/>
      <c r="AI188" s="20"/>
      <c r="AJ188" s="14"/>
      <c r="AK188" s="14"/>
      <c r="AL188" s="14"/>
      <c r="AM188" s="14"/>
      <c r="AN188" s="14"/>
      <c r="AO188" s="14"/>
      <c r="AP188" s="14"/>
      <c r="AQ188" s="14"/>
      <c r="AR188" s="14"/>
    </row>
    <row r="189" ht="22.5" customHeight="1">
      <c r="A189" s="103">
        <v>46071.0</v>
      </c>
      <c r="B189" s="69" t="s">
        <v>1597</v>
      </c>
      <c r="C189" s="8" t="s">
        <v>73</v>
      </c>
      <c r="D189" s="9" t="s">
        <v>61</v>
      </c>
      <c r="E189" s="9" t="s">
        <v>1598</v>
      </c>
      <c r="F189" s="9" t="s">
        <v>1534</v>
      </c>
      <c r="G189" s="10">
        <v>500049.0</v>
      </c>
      <c r="H189" s="9" t="s">
        <v>1599</v>
      </c>
      <c r="I189" s="11" t="str">
        <f>VLOOKUP(H189,Mapping!D:E,2,0)</f>
        <v>Sherilingampally</v>
      </c>
      <c r="J189" s="9" t="s">
        <v>390</v>
      </c>
      <c r="K189" s="12">
        <v>0.22</v>
      </c>
      <c r="L189" s="13" t="str">
        <f t="shared" si="19"/>
        <v>20%+</v>
      </c>
      <c r="M189" s="13">
        <v>0.018</v>
      </c>
      <c r="N189" s="14"/>
      <c r="O189" s="43" t="s">
        <v>1597</v>
      </c>
      <c r="P189" s="9" t="s">
        <v>1600</v>
      </c>
      <c r="Q189" s="9" t="s">
        <v>1534</v>
      </c>
      <c r="R189" s="16" t="s">
        <v>1537</v>
      </c>
      <c r="S189" s="9" t="s">
        <v>1538</v>
      </c>
      <c r="T189" s="9" t="s">
        <v>68</v>
      </c>
      <c r="U189" s="9" t="s">
        <v>68</v>
      </c>
      <c r="V189" s="9" t="s">
        <v>68</v>
      </c>
      <c r="W189" s="9" t="s">
        <v>68</v>
      </c>
      <c r="X189" s="9" t="s">
        <v>68</v>
      </c>
      <c r="Y189" s="18" t="s">
        <v>57</v>
      </c>
      <c r="Z189" s="18" t="s">
        <v>69</v>
      </c>
      <c r="AA189" s="18" t="s">
        <v>57</v>
      </c>
      <c r="AB189" s="18" t="s">
        <v>58</v>
      </c>
      <c r="AC189" s="18" t="s">
        <v>58</v>
      </c>
      <c r="AD189" s="18" t="s">
        <v>69</v>
      </c>
      <c r="AE189" s="35" t="s">
        <v>1601</v>
      </c>
      <c r="AF189" s="14"/>
      <c r="AG189" s="14" t="str">
        <f t="shared" si="21"/>
        <v>#REF!</v>
      </c>
      <c r="AH189" s="14"/>
      <c r="AI189" s="8" t="s">
        <v>71</v>
      </c>
      <c r="AJ189" s="14"/>
      <c r="AK189" s="14"/>
      <c r="AL189" s="14"/>
      <c r="AM189" s="14"/>
      <c r="AN189" s="14"/>
      <c r="AO189" s="14"/>
      <c r="AP189" s="14"/>
      <c r="AQ189" s="14"/>
      <c r="AR189" s="14"/>
    </row>
    <row r="190" ht="22.5" customHeight="1">
      <c r="A190" s="103">
        <v>46071.0</v>
      </c>
      <c r="B190" s="97" t="s">
        <v>1602</v>
      </c>
      <c r="C190" s="8" t="s">
        <v>96</v>
      </c>
      <c r="D190" s="9" t="s">
        <v>61</v>
      </c>
      <c r="E190" s="9" t="s">
        <v>1603</v>
      </c>
      <c r="F190" s="9" t="s">
        <v>1604</v>
      </c>
      <c r="G190" s="10">
        <v>500029.0</v>
      </c>
      <c r="H190" s="9" t="s">
        <v>1605</v>
      </c>
      <c r="I190" s="11" t="str">
        <f>VLOOKUP(H190,Mapping!D:E,2,0)</f>
        <v>Khairathabad</v>
      </c>
      <c r="J190" s="9" t="s">
        <v>50</v>
      </c>
      <c r="K190" s="12">
        <v>0.22</v>
      </c>
      <c r="L190" s="14" t="str">
        <f t="shared" si="19"/>
        <v>20%+</v>
      </c>
      <c r="M190" s="13">
        <v>0.018</v>
      </c>
      <c r="N190" s="127">
        <v>0.0</v>
      </c>
      <c r="O190" s="9" t="s">
        <v>68</v>
      </c>
      <c r="P190" s="9" t="s">
        <v>68</v>
      </c>
      <c r="Q190" s="9" t="s">
        <v>68</v>
      </c>
      <c r="R190" s="16" t="s">
        <v>1606</v>
      </c>
      <c r="S190" s="9" t="s">
        <v>68</v>
      </c>
      <c r="T190" s="9" t="s">
        <v>68</v>
      </c>
      <c r="U190" s="9" t="s">
        <v>68</v>
      </c>
      <c r="V190" s="9" t="s">
        <v>68</v>
      </c>
      <c r="W190" s="9" t="s">
        <v>68</v>
      </c>
      <c r="X190" s="9" t="s">
        <v>68</v>
      </c>
      <c r="Y190" s="18" t="s">
        <v>58</v>
      </c>
      <c r="Z190" s="18" t="s">
        <v>58</v>
      </c>
      <c r="AA190" s="18" t="s">
        <v>58</v>
      </c>
      <c r="AB190" s="18" t="s">
        <v>58</v>
      </c>
      <c r="AC190" s="18" t="s">
        <v>58</v>
      </c>
      <c r="AD190" s="18" t="s">
        <v>58</v>
      </c>
      <c r="AE190" s="14"/>
      <c r="AF190" s="14"/>
      <c r="AG190" s="14" t="str">
        <f t="shared" si="21"/>
        <v>#REF!</v>
      </c>
      <c r="AH190" s="14"/>
      <c r="AI190" s="20"/>
      <c r="AJ190" s="14"/>
      <c r="AK190" s="14"/>
      <c r="AL190" s="14"/>
      <c r="AM190" s="14"/>
      <c r="AN190" s="14"/>
      <c r="AO190" s="14"/>
      <c r="AP190" s="14"/>
      <c r="AQ190" s="14"/>
      <c r="AR190" s="14"/>
    </row>
    <row r="191" ht="22.5" customHeight="1">
      <c r="A191" s="103">
        <v>46071.0</v>
      </c>
      <c r="B191" s="69" t="s">
        <v>1607</v>
      </c>
      <c r="C191" s="8" t="s">
        <v>96</v>
      </c>
      <c r="D191" s="9" t="s">
        <v>46</v>
      </c>
      <c r="E191" s="9" t="s">
        <v>1608</v>
      </c>
      <c r="F191" s="9" t="s">
        <v>1609</v>
      </c>
      <c r="G191" s="10">
        <v>500048.0</v>
      </c>
      <c r="H191" s="9" t="s">
        <v>99</v>
      </c>
      <c r="I191" s="11" t="str">
        <f>VLOOKUP(H191,Mapping!D:E,2,0)</f>
        <v>mehdipatnam</v>
      </c>
      <c r="J191" s="9" t="s">
        <v>50</v>
      </c>
      <c r="K191" s="12">
        <v>0.22</v>
      </c>
      <c r="L191" s="14" t="str">
        <f t="shared" si="19"/>
        <v>20%+</v>
      </c>
      <c r="M191" s="13">
        <v>0.018</v>
      </c>
      <c r="N191" s="127">
        <v>0.0</v>
      </c>
      <c r="O191" s="9" t="s">
        <v>1610</v>
      </c>
      <c r="P191" s="9" t="s">
        <v>1611</v>
      </c>
      <c r="Q191" s="9" t="s">
        <v>1609</v>
      </c>
      <c r="R191" s="16" t="s">
        <v>1612</v>
      </c>
      <c r="S191" s="9" t="s">
        <v>1613</v>
      </c>
      <c r="T191" s="9" t="s">
        <v>1614</v>
      </c>
      <c r="U191" s="9" t="s">
        <v>1014</v>
      </c>
      <c r="V191" s="17">
        <v>5.0200071249951E13</v>
      </c>
      <c r="W191" s="9" t="s">
        <v>289</v>
      </c>
      <c r="X191" s="9" t="s">
        <v>80</v>
      </c>
      <c r="Y191" s="18" t="s">
        <v>57</v>
      </c>
      <c r="Z191" s="18" t="s">
        <v>57</v>
      </c>
      <c r="AA191" s="18" t="s">
        <v>57</v>
      </c>
      <c r="AB191" s="18" t="s">
        <v>57</v>
      </c>
      <c r="AC191" s="18" t="s">
        <v>57</v>
      </c>
      <c r="AD191" s="18" t="s">
        <v>58</v>
      </c>
      <c r="AE191" s="35" t="s">
        <v>1615</v>
      </c>
      <c r="AF191" s="14"/>
      <c r="AG191" s="14" t="str">
        <f t="shared" si="21"/>
        <v>#REF!</v>
      </c>
      <c r="AH191" s="14"/>
      <c r="AI191" s="20"/>
      <c r="AJ191" s="14"/>
      <c r="AK191" s="14"/>
      <c r="AL191" s="14"/>
      <c r="AM191" s="14"/>
      <c r="AN191" s="14"/>
      <c r="AO191" s="14"/>
      <c r="AP191" s="14"/>
      <c r="AQ191" s="14"/>
      <c r="AR191" s="14"/>
    </row>
    <row r="192" ht="22.5" customHeight="1">
      <c r="A192" s="103">
        <v>46071.0</v>
      </c>
      <c r="B192" s="69" t="s">
        <v>1607</v>
      </c>
      <c r="C192" s="8" t="s">
        <v>96</v>
      </c>
      <c r="D192" s="9" t="s">
        <v>46</v>
      </c>
      <c r="E192" s="9" t="s">
        <v>1616</v>
      </c>
      <c r="F192" s="9" t="s">
        <v>1609</v>
      </c>
      <c r="G192" s="98">
        <v>500050.0</v>
      </c>
      <c r="H192" s="99" t="s">
        <v>512</v>
      </c>
      <c r="I192" s="11" t="str">
        <f>VLOOKUP(H192,Mapping!D:E,2,0)</f>
        <v>miyapur</v>
      </c>
      <c r="J192" s="9" t="s">
        <v>390</v>
      </c>
      <c r="K192" s="12">
        <v>0.22</v>
      </c>
      <c r="L192" s="14" t="str">
        <f t="shared" si="19"/>
        <v>20%+</v>
      </c>
      <c r="M192" s="13">
        <v>0.018</v>
      </c>
      <c r="N192" s="127">
        <v>0.0</v>
      </c>
      <c r="O192" s="9" t="s">
        <v>1610</v>
      </c>
      <c r="P192" s="9" t="s">
        <v>1617</v>
      </c>
      <c r="Q192" s="9" t="s">
        <v>1609</v>
      </c>
      <c r="R192" s="16" t="s">
        <v>1612</v>
      </c>
      <c r="S192" s="9" t="s">
        <v>1613</v>
      </c>
      <c r="T192" s="9" t="s">
        <v>1618</v>
      </c>
      <c r="U192" s="9" t="s">
        <v>1014</v>
      </c>
      <c r="V192" s="17">
        <v>5.0200114180997E13</v>
      </c>
      <c r="W192" s="9" t="s">
        <v>289</v>
      </c>
      <c r="X192" s="9" t="s">
        <v>80</v>
      </c>
      <c r="Y192" s="18" t="s">
        <v>57</v>
      </c>
      <c r="Z192" s="18" t="s">
        <v>57</v>
      </c>
      <c r="AA192" s="18" t="s">
        <v>57</v>
      </c>
      <c r="AB192" s="18" t="s">
        <v>57</v>
      </c>
      <c r="AC192" s="18" t="s">
        <v>57</v>
      </c>
      <c r="AD192" s="18" t="s">
        <v>58</v>
      </c>
      <c r="AE192" s="35" t="s">
        <v>1619</v>
      </c>
      <c r="AF192" s="14"/>
      <c r="AG192" s="14" t="str">
        <f t="shared" si="21"/>
        <v>#REF!</v>
      </c>
      <c r="AH192" s="14"/>
      <c r="AI192" s="20"/>
      <c r="AJ192" s="14"/>
      <c r="AK192" s="14"/>
      <c r="AL192" s="14"/>
      <c r="AM192" s="14"/>
      <c r="AN192" s="14"/>
      <c r="AO192" s="14"/>
      <c r="AP192" s="14"/>
      <c r="AQ192" s="14"/>
      <c r="AR192" s="14"/>
    </row>
    <row r="193" ht="22.5" customHeight="1">
      <c r="A193" s="103">
        <v>46071.0</v>
      </c>
      <c r="B193" s="69" t="s">
        <v>1607</v>
      </c>
      <c r="C193" s="8" t="s">
        <v>96</v>
      </c>
      <c r="D193" s="9" t="s">
        <v>46</v>
      </c>
      <c r="E193" s="9" t="s">
        <v>1620</v>
      </c>
      <c r="F193" s="9" t="s">
        <v>1609</v>
      </c>
      <c r="G193" s="10">
        <v>500004.0</v>
      </c>
      <c r="H193" s="9" t="s">
        <v>1621</v>
      </c>
      <c r="I193" s="11" t="str">
        <f>VLOOKUP(H193,Mapping!D:E,2,0)</f>
        <v>masab tank</v>
      </c>
      <c r="J193" s="9" t="s">
        <v>50</v>
      </c>
      <c r="K193" s="12">
        <v>0.22</v>
      </c>
      <c r="L193" s="14" t="str">
        <f t="shared" si="19"/>
        <v>20%+</v>
      </c>
      <c r="M193" s="13">
        <v>0.018</v>
      </c>
      <c r="N193" s="14"/>
      <c r="O193" s="9" t="s">
        <v>1610</v>
      </c>
      <c r="P193" s="15" t="s">
        <v>1622</v>
      </c>
      <c r="Q193" s="9" t="s">
        <v>1609</v>
      </c>
      <c r="R193" s="16" t="s">
        <v>1612</v>
      </c>
      <c r="S193" s="9" t="s">
        <v>1613</v>
      </c>
      <c r="T193" s="9" t="s">
        <v>1623</v>
      </c>
      <c r="U193" s="9" t="s">
        <v>1014</v>
      </c>
      <c r="V193" s="17">
        <v>5.0200021425659E13</v>
      </c>
      <c r="W193" s="9" t="s">
        <v>289</v>
      </c>
      <c r="X193" s="9" t="s">
        <v>80</v>
      </c>
      <c r="Y193" s="88" t="s">
        <v>57</v>
      </c>
      <c r="Z193" s="88" t="s">
        <v>57</v>
      </c>
      <c r="AA193" s="88" t="s">
        <v>57</v>
      </c>
      <c r="AB193" s="88" t="s">
        <v>57</v>
      </c>
      <c r="AC193" s="88" t="s">
        <v>57</v>
      </c>
      <c r="AD193" s="88" t="s">
        <v>58</v>
      </c>
      <c r="AE193" s="102" t="s">
        <v>1624</v>
      </c>
      <c r="AF193" s="14"/>
      <c r="AG193" s="14" t="str">
        <f t="shared" si="21"/>
        <v>#REF!</v>
      </c>
      <c r="AH193" s="14"/>
      <c r="AI193" s="20"/>
      <c r="AJ193" s="14"/>
      <c r="AK193" s="14"/>
      <c r="AL193" s="14"/>
      <c r="AM193" s="14"/>
      <c r="AN193" s="14"/>
      <c r="AO193" s="14"/>
      <c r="AP193" s="14"/>
      <c r="AQ193" s="14"/>
      <c r="AR193" s="14"/>
    </row>
    <row r="194" ht="22.5" customHeight="1">
      <c r="A194" s="103">
        <v>46071.0</v>
      </c>
      <c r="B194" s="69" t="s">
        <v>1625</v>
      </c>
      <c r="C194" s="8" t="s">
        <v>96</v>
      </c>
      <c r="D194" s="9" t="s">
        <v>46</v>
      </c>
      <c r="E194" s="9" t="s">
        <v>1626</v>
      </c>
      <c r="F194" s="9" t="s">
        <v>68</v>
      </c>
      <c r="G194" s="10">
        <v>500003.0</v>
      </c>
      <c r="H194" s="9" t="s">
        <v>160</v>
      </c>
      <c r="I194" s="11" t="str">
        <f>VLOOKUP(H194,Mapping!D:E,2,0)</f>
        <v>ameerpet</v>
      </c>
      <c r="J194" s="9" t="s">
        <v>161</v>
      </c>
      <c r="K194" s="12">
        <v>0.22</v>
      </c>
      <c r="L194" s="14" t="str">
        <f t="shared" si="19"/>
        <v>20%+</v>
      </c>
      <c r="M194" s="13">
        <v>0.018</v>
      </c>
      <c r="N194" s="14"/>
      <c r="O194" s="9" t="s">
        <v>1625</v>
      </c>
      <c r="P194" s="9" t="s">
        <v>1627</v>
      </c>
      <c r="Q194" s="9" t="s">
        <v>1628</v>
      </c>
      <c r="R194" s="16" t="s">
        <v>1629</v>
      </c>
      <c r="S194" s="9" t="s">
        <v>1630</v>
      </c>
      <c r="T194" s="9" t="s">
        <v>1631</v>
      </c>
      <c r="U194" s="9" t="s">
        <v>1439</v>
      </c>
      <c r="V194" s="17">
        <v>4.0322031139E10</v>
      </c>
      <c r="W194" s="9" t="s">
        <v>1632</v>
      </c>
      <c r="X194" s="9" t="s">
        <v>56</v>
      </c>
      <c r="Y194" s="18" t="s">
        <v>58</v>
      </c>
      <c r="Z194" s="18" t="s">
        <v>58</v>
      </c>
      <c r="AA194" s="18" t="s">
        <v>57</v>
      </c>
      <c r="AB194" s="18" t="s">
        <v>57</v>
      </c>
      <c r="AC194" s="18" t="s">
        <v>57</v>
      </c>
      <c r="AD194" s="18" t="s">
        <v>58</v>
      </c>
      <c r="AE194" s="35" t="s">
        <v>1633</v>
      </c>
      <c r="AF194" s="14"/>
      <c r="AG194" s="14" t="str">
        <f t="shared" si="21"/>
        <v>#REF!</v>
      </c>
      <c r="AH194" s="14"/>
      <c r="AI194" s="20"/>
      <c r="AJ194" s="14"/>
      <c r="AK194" s="14"/>
      <c r="AL194" s="14"/>
      <c r="AM194" s="14"/>
      <c r="AN194" s="14"/>
      <c r="AO194" s="14"/>
      <c r="AP194" s="14"/>
      <c r="AQ194" s="14"/>
      <c r="AR194" s="9"/>
    </row>
    <row r="195" ht="22.5" customHeight="1">
      <c r="A195" s="103">
        <v>46071.0</v>
      </c>
      <c r="B195" s="69" t="s">
        <v>1634</v>
      </c>
      <c r="C195" s="8" t="s">
        <v>60</v>
      </c>
      <c r="D195" s="9" t="s">
        <v>46</v>
      </c>
      <c r="E195" s="9" t="s">
        <v>1635</v>
      </c>
      <c r="F195" s="9" t="s">
        <v>1636</v>
      </c>
      <c r="G195" s="10">
        <v>500049.0</v>
      </c>
      <c r="H195" s="9" t="s">
        <v>680</v>
      </c>
      <c r="I195" s="11" t="str">
        <f>VLOOKUP(H195,Mapping!D:E,2,0)</f>
        <v>miyapur</v>
      </c>
      <c r="J195" s="9" t="s">
        <v>390</v>
      </c>
      <c r="K195" s="12">
        <v>0.18</v>
      </c>
      <c r="L195" s="13" t="str">
        <f t="shared" si="19"/>
        <v>&lt;20%</v>
      </c>
      <c r="M195" s="13">
        <v>0.018</v>
      </c>
      <c r="N195" s="14"/>
      <c r="O195" s="15" t="s">
        <v>1634</v>
      </c>
      <c r="P195" s="15" t="s">
        <v>1637</v>
      </c>
      <c r="Q195" s="9" t="s">
        <v>1638</v>
      </c>
      <c r="R195" s="16" t="s">
        <v>1639</v>
      </c>
      <c r="S195" s="9" t="s">
        <v>1640</v>
      </c>
      <c r="T195" s="15" t="s">
        <v>1634</v>
      </c>
      <c r="U195" s="9" t="s">
        <v>1641</v>
      </c>
      <c r="V195" s="17">
        <v>1.48413500000779E15</v>
      </c>
      <c r="W195" s="9" t="s">
        <v>1642</v>
      </c>
      <c r="X195" s="9" t="s">
        <v>80</v>
      </c>
      <c r="Y195" s="91" t="s">
        <v>57</v>
      </c>
      <c r="Z195" s="92" t="s">
        <v>57</v>
      </c>
      <c r="AA195" s="91" t="s">
        <v>57</v>
      </c>
      <c r="AB195" s="91" t="s">
        <v>57</v>
      </c>
      <c r="AC195" s="92" t="s">
        <v>57</v>
      </c>
      <c r="AD195" s="92" t="s">
        <v>69</v>
      </c>
      <c r="AE195" s="93" t="s">
        <v>1643</v>
      </c>
      <c r="AF195" s="14"/>
      <c r="AG195" s="14" t="str">
        <f t="shared" si="21"/>
        <v>#REF!</v>
      </c>
      <c r="AH195" s="14"/>
      <c r="AI195" s="20"/>
      <c r="AJ195" s="14"/>
      <c r="AK195" s="14"/>
      <c r="AL195" s="14"/>
      <c r="AM195" s="14"/>
      <c r="AN195" s="14"/>
      <c r="AO195" s="14"/>
      <c r="AP195" s="14"/>
      <c r="AQ195" s="14"/>
      <c r="AR195" s="14"/>
    </row>
    <row r="196" ht="22.5" customHeight="1">
      <c r="A196" s="129">
        <v>46071.0</v>
      </c>
      <c r="B196" s="69" t="s">
        <v>1644</v>
      </c>
      <c r="C196" s="8" t="s">
        <v>96</v>
      </c>
      <c r="D196" s="9" t="s">
        <v>258</v>
      </c>
      <c r="E196" s="9" t="s">
        <v>1645</v>
      </c>
      <c r="F196" s="9" t="s">
        <v>1646</v>
      </c>
      <c r="G196" s="10">
        <v>500026.0</v>
      </c>
      <c r="H196" s="61" t="s">
        <v>575</v>
      </c>
      <c r="I196" s="11" t="str">
        <f>VLOOKUP(H196,Mapping!D:E,2,0)</f>
        <v>begumpet</v>
      </c>
      <c r="J196" s="61" t="s">
        <v>161</v>
      </c>
      <c r="K196" s="12">
        <v>0.22</v>
      </c>
      <c r="L196" s="14" t="str">
        <f t="shared" si="19"/>
        <v>20%+</v>
      </c>
      <c r="M196" s="13">
        <v>0.018</v>
      </c>
      <c r="N196" s="9"/>
      <c r="O196" s="15" t="s">
        <v>1644</v>
      </c>
      <c r="P196" s="15" t="s">
        <v>1645</v>
      </c>
      <c r="Q196" s="9" t="s">
        <v>1646</v>
      </c>
      <c r="R196" s="16" t="s">
        <v>1647</v>
      </c>
      <c r="S196" s="9" t="s">
        <v>1648</v>
      </c>
      <c r="T196" s="9" t="s">
        <v>1646</v>
      </c>
      <c r="U196" s="9" t="s">
        <v>1129</v>
      </c>
      <c r="V196" s="17">
        <v>5.1100974312E10</v>
      </c>
      <c r="W196" s="9" t="s">
        <v>1649</v>
      </c>
      <c r="X196" s="9" t="s">
        <v>56</v>
      </c>
      <c r="Y196" s="18" t="s">
        <v>57</v>
      </c>
      <c r="Z196" s="18" t="s">
        <v>58</v>
      </c>
      <c r="AA196" s="18" t="s">
        <v>57</v>
      </c>
      <c r="AB196" s="18" t="s">
        <v>57</v>
      </c>
      <c r="AC196" s="18" t="s">
        <v>57</v>
      </c>
      <c r="AD196" s="18" t="s">
        <v>58</v>
      </c>
      <c r="AE196" s="35" t="s">
        <v>1650</v>
      </c>
      <c r="AF196" s="14"/>
      <c r="AG196" s="14"/>
      <c r="AH196" s="14"/>
      <c r="AI196" s="20"/>
      <c r="AJ196" s="14"/>
      <c r="AK196" s="14"/>
      <c r="AL196" s="14"/>
      <c r="AM196" s="14"/>
      <c r="AN196" s="14"/>
      <c r="AO196" s="14"/>
      <c r="AP196" s="14"/>
      <c r="AQ196" s="14"/>
      <c r="AR196" s="14"/>
    </row>
    <row r="197" ht="22.5" customHeight="1">
      <c r="A197" s="103">
        <v>46071.0</v>
      </c>
      <c r="B197" s="69" t="s">
        <v>1651</v>
      </c>
      <c r="C197" s="8" t="s">
        <v>73</v>
      </c>
      <c r="D197" s="9" t="s">
        <v>46</v>
      </c>
      <c r="E197" s="9" t="s">
        <v>1652</v>
      </c>
      <c r="F197" s="9" t="s">
        <v>1653</v>
      </c>
      <c r="G197" s="10">
        <v>500085.0</v>
      </c>
      <c r="H197" s="9" t="s">
        <v>610</v>
      </c>
      <c r="I197" s="11" t="str">
        <f>VLOOKUP(H197,Mapping!D:E,2,0)</f>
        <v>kukatpally</v>
      </c>
      <c r="J197" s="9" t="s">
        <v>390</v>
      </c>
      <c r="K197" s="12">
        <v>0.22</v>
      </c>
      <c r="L197" s="13" t="str">
        <f t="shared" si="19"/>
        <v>20%+</v>
      </c>
      <c r="M197" s="13">
        <v>0.018</v>
      </c>
      <c r="N197" s="127">
        <v>0.0</v>
      </c>
      <c r="O197" s="43" t="s">
        <v>1651</v>
      </c>
      <c r="P197" s="9" t="s">
        <v>1165</v>
      </c>
      <c r="Q197" s="9" t="s">
        <v>1653</v>
      </c>
      <c r="R197" s="16" t="s">
        <v>1654</v>
      </c>
      <c r="S197" s="33" t="s">
        <v>1655</v>
      </c>
      <c r="T197" s="9" t="s">
        <v>1656</v>
      </c>
      <c r="U197" s="9" t="s">
        <v>1439</v>
      </c>
      <c r="V197" s="17">
        <v>5.2210389705E10</v>
      </c>
      <c r="W197" s="9" t="s">
        <v>1657</v>
      </c>
      <c r="X197" s="9" t="s">
        <v>56</v>
      </c>
      <c r="Y197" s="82" t="s">
        <v>57</v>
      </c>
      <c r="Z197" s="82" t="s">
        <v>69</v>
      </c>
      <c r="AA197" s="82" t="s">
        <v>58</v>
      </c>
      <c r="AB197" s="82" t="s">
        <v>58</v>
      </c>
      <c r="AC197" s="82" t="s">
        <v>57</v>
      </c>
      <c r="AD197" s="82" t="s">
        <v>69</v>
      </c>
      <c r="AE197" s="100" t="s">
        <v>1658</v>
      </c>
      <c r="AF197" s="14"/>
      <c r="AG197" s="14" t="str">
        <f t="shared" ref="AG197:AG199" si="22">VLOOKUP(H:H,'Pivot Table 8'!B:C,2,0)</f>
        <v>#REF!</v>
      </c>
      <c r="AH197" s="14"/>
      <c r="AI197" s="20"/>
      <c r="AJ197" s="14"/>
      <c r="AK197" s="14"/>
      <c r="AL197" s="14"/>
      <c r="AM197" s="14"/>
      <c r="AN197" s="14"/>
      <c r="AO197" s="14"/>
      <c r="AP197" s="14"/>
      <c r="AQ197" s="14"/>
      <c r="AR197" s="14"/>
    </row>
    <row r="198" ht="22.5" customHeight="1">
      <c r="A198" s="103">
        <v>46071.0</v>
      </c>
      <c r="B198" s="97" t="s">
        <v>1659</v>
      </c>
      <c r="C198" s="8" t="s">
        <v>45</v>
      </c>
      <c r="D198" s="9" t="s">
        <v>46</v>
      </c>
      <c r="E198" s="9" t="s">
        <v>1660</v>
      </c>
      <c r="F198" s="9" t="s">
        <v>729</v>
      </c>
      <c r="G198" s="10">
        <v>500089.0</v>
      </c>
      <c r="H198" s="9" t="s">
        <v>302</v>
      </c>
      <c r="I198" s="11" t="str">
        <f>VLOOKUP(H198,Mapping!D:E,2,0)</f>
        <v>manikonda</v>
      </c>
      <c r="J198" s="9" t="s">
        <v>303</v>
      </c>
      <c r="K198" s="12">
        <v>0.16</v>
      </c>
      <c r="L198" s="13" t="str">
        <f t="shared" si="19"/>
        <v>&lt;17%</v>
      </c>
      <c r="M198" s="13">
        <v>0.018</v>
      </c>
      <c r="N198" s="14"/>
      <c r="O198" s="9" t="s">
        <v>1661</v>
      </c>
      <c r="P198" s="9" t="s">
        <v>1662</v>
      </c>
      <c r="Q198" s="9" t="s">
        <v>1663</v>
      </c>
      <c r="R198" s="16" t="s">
        <v>1664</v>
      </c>
      <c r="S198" s="9" t="s">
        <v>1665</v>
      </c>
      <c r="T198" s="9" t="s">
        <v>1663</v>
      </c>
      <c r="U198" s="9" t="s">
        <v>1666</v>
      </c>
      <c r="V198" s="17">
        <v>8.62810110011789E14</v>
      </c>
      <c r="W198" s="9" t="s">
        <v>1667</v>
      </c>
      <c r="X198" s="9" t="s">
        <v>56</v>
      </c>
      <c r="Y198" s="18" t="s">
        <v>57</v>
      </c>
      <c r="Z198" s="18" t="s">
        <v>58</v>
      </c>
      <c r="AA198" s="18" t="s">
        <v>57</v>
      </c>
      <c r="AB198" s="18" t="s">
        <v>58</v>
      </c>
      <c r="AC198" s="18" t="s">
        <v>58</v>
      </c>
      <c r="AD198" s="18" t="s">
        <v>58</v>
      </c>
      <c r="AE198" s="39" t="s">
        <v>1668</v>
      </c>
      <c r="AF198" s="14"/>
      <c r="AG198" s="14" t="str">
        <f t="shared" si="22"/>
        <v>#REF!</v>
      </c>
      <c r="AH198" s="14"/>
      <c r="AI198" s="20"/>
      <c r="AJ198" s="14"/>
      <c r="AK198" s="14"/>
      <c r="AL198" s="14"/>
      <c r="AM198" s="14"/>
      <c r="AN198" s="14"/>
      <c r="AO198" s="14"/>
      <c r="AP198" s="14"/>
      <c r="AQ198" s="14"/>
      <c r="AR198" s="14"/>
    </row>
    <row r="199" ht="22.5" customHeight="1">
      <c r="A199" s="103">
        <v>46071.0</v>
      </c>
      <c r="B199" s="69" t="s">
        <v>1669</v>
      </c>
      <c r="C199" s="8" t="s">
        <v>60</v>
      </c>
      <c r="D199" s="9" t="s">
        <v>61</v>
      </c>
      <c r="E199" s="9" t="s">
        <v>1670</v>
      </c>
      <c r="F199" s="9" t="s">
        <v>1671</v>
      </c>
      <c r="G199" s="10">
        <v>500049.0</v>
      </c>
      <c r="H199" s="9" t="s">
        <v>680</v>
      </c>
      <c r="I199" s="11" t="str">
        <f>VLOOKUP(H199,Mapping!D:E,2,0)</f>
        <v>miyapur</v>
      </c>
      <c r="J199" s="9" t="s">
        <v>390</v>
      </c>
      <c r="K199" s="12">
        <v>0.18</v>
      </c>
      <c r="L199" s="13" t="str">
        <f t="shared" si="19"/>
        <v>&lt;20%</v>
      </c>
      <c r="M199" s="13">
        <v>0.018</v>
      </c>
      <c r="N199" s="14"/>
      <c r="O199" s="108" t="s">
        <v>1672</v>
      </c>
      <c r="P199" s="9" t="s">
        <v>1673</v>
      </c>
      <c r="Q199" s="9" t="s">
        <v>1671</v>
      </c>
      <c r="R199" s="16" t="s">
        <v>1674</v>
      </c>
      <c r="S199" s="9" t="s">
        <v>1675</v>
      </c>
      <c r="T199" s="9" t="s">
        <v>1676</v>
      </c>
      <c r="U199" s="9" t="s">
        <v>1677</v>
      </c>
      <c r="V199" s="17">
        <v>5.0200083790791E13</v>
      </c>
      <c r="W199" s="9" t="s">
        <v>1025</v>
      </c>
      <c r="X199" s="9" t="s">
        <v>80</v>
      </c>
      <c r="Y199" s="86" t="s">
        <v>57</v>
      </c>
      <c r="Z199" s="85" t="s">
        <v>57</v>
      </c>
      <c r="AA199" s="86" t="s">
        <v>57</v>
      </c>
      <c r="AB199" s="86" t="s">
        <v>57</v>
      </c>
      <c r="AC199" s="85" t="s">
        <v>58</v>
      </c>
      <c r="AD199" s="85" t="s">
        <v>69</v>
      </c>
      <c r="AE199" s="101" t="s">
        <v>1678</v>
      </c>
      <c r="AF199" s="14"/>
      <c r="AG199" s="14" t="str">
        <f t="shared" si="22"/>
        <v>#REF!</v>
      </c>
      <c r="AH199" s="14"/>
      <c r="AI199" s="20"/>
      <c r="AJ199" s="14"/>
      <c r="AK199" s="14"/>
      <c r="AL199" s="14"/>
      <c r="AM199" s="14"/>
      <c r="AN199" s="14"/>
      <c r="AO199" s="14"/>
      <c r="AP199" s="14"/>
      <c r="AQ199" s="14"/>
      <c r="AR199" s="14"/>
    </row>
    <row r="200" ht="22.5" customHeight="1">
      <c r="A200" s="74">
        <v>46071.0</v>
      </c>
      <c r="B200" s="75" t="s">
        <v>1679</v>
      </c>
      <c r="C200" s="8" t="s">
        <v>144</v>
      </c>
      <c r="D200" s="9" t="s">
        <v>258</v>
      </c>
      <c r="E200" s="9" t="s">
        <v>1680</v>
      </c>
      <c r="F200" s="9" t="s">
        <v>68</v>
      </c>
      <c r="G200" s="10">
        <v>500032.0</v>
      </c>
      <c r="H200" s="9" t="s">
        <v>1530</v>
      </c>
      <c r="I200" s="11" t="str">
        <f>VLOOKUP(H200,Mapping!D:E,2,0)</f>
        <v>hafeezpet</v>
      </c>
      <c r="J200" s="61" t="s">
        <v>390</v>
      </c>
      <c r="K200" s="12">
        <v>0.19</v>
      </c>
      <c r="L200" s="14" t="str">
        <f t="shared" si="19"/>
        <v>&lt;20%</v>
      </c>
      <c r="M200" s="14"/>
      <c r="N200" s="14"/>
      <c r="O200" s="43" t="s">
        <v>1679</v>
      </c>
      <c r="P200" s="9" t="s">
        <v>68</v>
      </c>
      <c r="Q200" s="9" t="s">
        <v>1681</v>
      </c>
      <c r="R200" s="16" t="s">
        <v>1682</v>
      </c>
      <c r="S200" s="9" t="s">
        <v>1683</v>
      </c>
      <c r="T200" s="9" t="s">
        <v>1684</v>
      </c>
      <c r="U200" s="9" t="s">
        <v>1014</v>
      </c>
      <c r="V200" s="17">
        <v>5.0200112298727E13</v>
      </c>
      <c r="W200" s="9" t="s">
        <v>1685</v>
      </c>
      <c r="X200" s="9" t="s">
        <v>80</v>
      </c>
      <c r="Y200" s="14"/>
      <c r="Z200" s="14"/>
      <c r="AA200" s="14"/>
      <c r="AB200" s="14"/>
      <c r="AC200" s="14"/>
      <c r="AD200" s="14"/>
      <c r="AE200" s="14"/>
      <c r="AF200" s="14"/>
      <c r="AG200" s="14"/>
      <c r="AH200" s="14"/>
      <c r="AI200" s="20"/>
      <c r="AJ200" s="14"/>
      <c r="AK200" s="14"/>
      <c r="AL200" s="14"/>
      <c r="AM200" s="14"/>
      <c r="AN200" s="14"/>
      <c r="AO200" s="14"/>
      <c r="AP200" s="14"/>
      <c r="AQ200" s="14"/>
      <c r="AR200" s="14"/>
    </row>
    <row r="201" ht="22.5" customHeight="1">
      <c r="A201" s="74">
        <v>46071.0</v>
      </c>
      <c r="B201" s="138" t="s">
        <v>1684</v>
      </c>
      <c r="C201" s="8" t="s">
        <v>144</v>
      </c>
      <c r="D201" s="9" t="s">
        <v>258</v>
      </c>
      <c r="E201" s="9" t="s">
        <v>1686</v>
      </c>
      <c r="F201" s="9" t="s">
        <v>68</v>
      </c>
      <c r="G201" s="10">
        <v>500032.0</v>
      </c>
      <c r="H201" s="9" t="s">
        <v>1530</v>
      </c>
      <c r="I201" s="11" t="str">
        <f>VLOOKUP(H201,Mapping!D:E,2,0)</f>
        <v>hafeezpet</v>
      </c>
      <c r="J201" s="61" t="s">
        <v>390</v>
      </c>
      <c r="K201" s="12">
        <v>0.19</v>
      </c>
      <c r="L201" s="14" t="str">
        <f t="shared" si="19"/>
        <v>&lt;20%</v>
      </c>
      <c r="M201" s="14"/>
      <c r="N201" s="14"/>
      <c r="O201" s="9" t="s">
        <v>68</v>
      </c>
      <c r="P201" s="9" t="s">
        <v>1687</v>
      </c>
      <c r="Q201" s="9" t="s">
        <v>1681</v>
      </c>
      <c r="R201" s="16" t="s">
        <v>1682</v>
      </c>
      <c r="S201" s="9" t="s">
        <v>1683</v>
      </c>
      <c r="T201" s="9" t="s">
        <v>1684</v>
      </c>
      <c r="U201" s="9" t="s">
        <v>1014</v>
      </c>
      <c r="V201" s="17">
        <v>5.0200112298727E13</v>
      </c>
      <c r="W201" s="9" t="s">
        <v>1685</v>
      </c>
      <c r="X201" s="9" t="s">
        <v>80</v>
      </c>
      <c r="Y201" s="14"/>
      <c r="Z201" s="14"/>
      <c r="AA201" s="14"/>
      <c r="AB201" s="14"/>
      <c r="AC201" s="14"/>
      <c r="AD201" s="14"/>
      <c r="AE201" s="14"/>
      <c r="AF201" s="14"/>
      <c r="AG201" s="14"/>
      <c r="AH201" s="14"/>
      <c r="AI201" s="20"/>
      <c r="AJ201" s="14"/>
      <c r="AK201" s="14"/>
      <c r="AL201" s="14"/>
      <c r="AM201" s="14"/>
      <c r="AN201" s="14"/>
      <c r="AO201" s="14"/>
      <c r="AP201" s="14"/>
      <c r="AQ201" s="14"/>
      <c r="AR201" s="14"/>
    </row>
    <row r="202" ht="22.5" customHeight="1">
      <c r="A202" s="68">
        <v>46072.0</v>
      </c>
      <c r="B202" s="69" t="s">
        <v>1688</v>
      </c>
      <c r="C202" s="8" t="s">
        <v>73</v>
      </c>
      <c r="D202" s="9" t="s">
        <v>258</v>
      </c>
      <c r="E202" s="9" t="s">
        <v>1689</v>
      </c>
      <c r="F202" s="9" t="s">
        <v>1690</v>
      </c>
      <c r="G202" s="10">
        <v>500090.0</v>
      </c>
      <c r="H202" s="9" t="s">
        <v>1691</v>
      </c>
      <c r="I202" s="11" t="str">
        <f>VLOOKUP(H202,Mapping!D:E,2,0)</f>
        <v>miyapur</v>
      </c>
      <c r="J202" s="9" t="s">
        <v>390</v>
      </c>
      <c r="K202" s="12">
        <v>0.22</v>
      </c>
      <c r="L202" s="14" t="str">
        <f t="shared" si="19"/>
        <v>20%+</v>
      </c>
      <c r="M202" s="13">
        <v>0.018</v>
      </c>
      <c r="N202" s="14"/>
      <c r="O202" s="9" t="s">
        <v>1688</v>
      </c>
      <c r="P202" s="9" t="s">
        <v>610</v>
      </c>
      <c r="Q202" s="9" t="s">
        <v>1690</v>
      </c>
      <c r="R202" s="16" t="s">
        <v>1692</v>
      </c>
      <c r="S202" s="9" t="s">
        <v>1693</v>
      </c>
      <c r="T202" s="9" t="s">
        <v>1694</v>
      </c>
      <c r="U202" s="9" t="s">
        <v>738</v>
      </c>
      <c r="V202" s="17">
        <v>5.97073000000553E14</v>
      </c>
      <c r="W202" s="9" t="s">
        <v>1695</v>
      </c>
      <c r="X202" s="9" t="s">
        <v>80</v>
      </c>
      <c r="Y202" s="18" t="s">
        <v>57</v>
      </c>
      <c r="Z202" s="18" t="s">
        <v>57</v>
      </c>
      <c r="AA202" s="18" t="s">
        <v>57</v>
      </c>
      <c r="AB202" s="18" t="s">
        <v>58</v>
      </c>
      <c r="AC202" s="18" t="s">
        <v>58</v>
      </c>
      <c r="AD202" s="18" t="s">
        <v>58</v>
      </c>
      <c r="AE202" s="35" t="s">
        <v>1696</v>
      </c>
      <c r="AF202" s="14"/>
      <c r="AG202" s="14" t="str">
        <f t="shared" ref="AG202:AG205" si="23">VLOOKUP(H:H,'Pivot Table 8'!B:C,2,0)</f>
        <v>#REF!</v>
      </c>
      <c r="AH202" s="14"/>
      <c r="AI202" s="20"/>
      <c r="AJ202" s="14"/>
      <c r="AK202" s="14"/>
      <c r="AL202" s="14"/>
      <c r="AM202" s="14"/>
      <c r="AN202" s="14"/>
      <c r="AO202" s="14"/>
      <c r="AP202" s="14"/>
      <c r="AQ202" s="14"/>
      <c r="AR202" s="14"/>
    </row>
    <row r="203" ht="22.5" customHeight="1">
      <c r="A203" s="110">
        <v>46072.0</v>
      </c>
      <c r="B203" s="69" t="s">
        <v>1697</v>
      </c>
      <c r="C203" s="8" t="s">
        <v>73</v>
      </c>
      <c r="D203" s="9" t="s">
        <v>258</v>
      </c>
      <c r="E203" s="9" t="s">
        <v>1698</v>
      </c>
      <c r="F203" s="9" t="s">
        <v>1699</v>
      </c>
      <c r="G203" s="10">
        <v>500072.0</v>
      </c>
      <c r="H203" s="9" t="s">
        <v>610</v>
      </c>
      <c r="I203" s="11" t="str">
        <f>VLOOKUP(H203,Mapping!D:E,2,0)</f>
        <v>kukatpally</v>
      </c>
      <c r="J203" s="9" t="s">
        <v>390</v>
      </c>
      <c r="K203" s="12">
        <v>0.2</v>
      </c>
      <c r="L203" s="14" t="str">
        <f t="shared" si="19"/>
        <v>20%+</v>
      </c>
      <c r="M203" s="13">
        <v>0.018</v>
      </c>
      <c r="N203" s="14"/>
      <c r="O203" s="9" t="s">
        <v>1700</v>
      </c>
      <c r="P203" s="9" t="s">
        <v>610</v>
      </c>
      <c r="Q203" s="9" t="s">
        <v>1701</v>
      </c>
      <c r="R203" s="16" t="s">
        <v>1702</v>
      </c>
      <c r="S203" s="9" t="s">
        <v>1703</v>
      </c>
      <c r="T203" s="9" t="s">
        <v>1704</v>
      </c>
      <c r="U203" s="9" t="s">
        <v>738</v>
      </c>
      <c r="V203" s="17">
        <v>5.14073000000595E14</v>
      </c>
      <c r="W203" s="9" t="s">
        <v>1705</v>
      </c>
      <c r="X203" s="9" t="s">
        <v>80</v>
      </c>
      <c r="Y203" s="18" t="s">
        <v>57</v>
      </c>
      <c r="Z203" s="18" t="s">
        <v>69</v>
      </c>
      <c r="AA203" s="18" t="s">
        <v>57</v>
      </c>
      <c r="AB203" s="18" t="s">
        <v>58</v>
      </c>
      <c r="AC203" s="18" t="s">
        <v>58</v>
      </c>
      <c r="AD203" s="18" t="s">
        <v>57</v>
      </c>
      <c r="AE203" s="35" t="s">
        <v>1706</v>
      </c>
      <c r="AF203" s="14"/>
      <c r="AG203" s="14" t="str">
        <f t="shared" si="23"/>
        <v>#REF!</v>
      </c>
      <c r="AH203" s="14"/>
      <c r="AI203" s="20"/>
      <c r="AJ203" s="14"/>
      <c r="AK203" s="14"/>
      <c r="AL203" s="14"/>
      <c r="AM203" s="14"/>
      <c r="AN203" s="14"/>
      <c r="AO203" s="14"/>
      <c r="AP203" s="14"/>
      <c r="AQ203" s="14"/>
      <c r="AR203" s="14"/>
    </row>
    <row r="204" ht="22.5" customHeight="1">
      <c r="A204" s="103">
        <v>46072.0</v>
      </c>
      <c r="B204" s="97" t="s">
        <v>1707</v>
      </c>
      <c r="C204" s="8" t="s">
        <v>248</v>
      </c>
      <c r="D204" s="9" t="s">
        <v>46</v>
      </c>
      <c r="E204" s="9" t="s">
        <v>1708</v>
      </c>
      <c r="F204" s="9" t="s">
        <v>1709</v>
      </c>
      <c r="G204" s="10">
        <v>500008.0</v>
      </c>
      <c r="H204" s="9" t="s">
        <v>171</v>
      </c>
      <c r="I204" s="11" t="str">
        <f>VLOOKUP(H204,Mapping!D:E,2,0)</f>
        <v>Langar Houz</v>
      </c>
      <c r="J204" s="9" t="s">
        <v>86</v>
      </c>
      <c r="K204" s="12">
        <v>0.22</v>
      </c>
      <c r="L204" s="14" t="str">
        <f t="shared" si="19"/>
        <v>20%+</v>
      </c>
      <c r="M204" s="13">
        <v>0.018</v>
      </c>
      <c r="N204" s="127">
        <v>0.0</v>
      </c>
      <c r="O204" s="9" t="s">
        <v>1710</v>
      </c>
      <c r="P204" s="9" t="s">
        <v>1711</v>
      </c>
      <c r="Q204" s="9" t="s">
        <v>1709</v>
      </c>
      <c r="R204" s="16" t="s">
        <v>1712</v>
      </c>
      <c r="S204" s="9" t="s">
        <v>1713</v>
      </c>
      <c r="T204" s="9" t="s">
        <v>68</v>
      </c>
      <c r="U204" s="9" t="s">
        <v>68</v>
      </c>
      <c r="V204" s="9" t="s">
        <v>68</v>
      </c>
      <c r="W204" s="9" t="s">
        <v>68</v>
      </c>
      <c r="X204" s="9" t="s">
        <v>68</v>
      </c>
      <c r="Y204" s="88" t="s">
        <v>57</v>
      </c>
      <c r="Z204" s="88" t="s">
        <v>58</v>
      </c>
      <c r="AA204" s="88" t="s">
        <v>58</v>
      </c>
      <c r="AB204" s="88" t="s">
        <v>57</v>
      </c>
      <c r="AC204" s="88" t="s">
        <v>58</v>
      </c>
      <c r="AD204" s="88" t="s">
        <v>58</v>
      </c>
      <c r="AE204" s="102" t="s">
        <v>1121</v>
      </c>
      <c r="AF204" s="14"/>
      <c r="AG204" s="14" t="str">
        <f t="shared" si="23"/>
        <v>#REF!</v>
      </c>
      <c r="AH204" s="14"/>
      <c r="AI204" s="8" t="s">
        <v>1714</v>
      </c>
      <c r="AJ204" s="14"/>
      <c r="AK204" s="14"/>
      <c r="AL204" s="14"/>
      <c r="AM204" s="14"/>
      <c r="AN204" s="14"/>
      <c r="AO204" s="14"/>
      <c r="AP204" s="14"/>
      <c r="AQ204" s="14"/>
      <c r="AR204" s="14"/>
    </row>
    <row r="205" ht="22.5" customHeight="1">
      <c r="A205" s="103">
        <v>46072.0</v>
      </c>
      <c r="B205" s="69" t="s">
        <v>1715</v>
      </c>
      <c r="C205" s="8" t="s">
        <v>73</v>
      </c>
      <c r="D205" s="9" t="s">
        <v>258</v>
      </c>
      <c r="E205" s="9" t="s">
        <v>1716</v>
      </c>
      <c r="F205" s="9" t="s">
        <v>1717</v>
      </c>
      <c r="G205" s="10">
        <v>500085.0</v>
      </c>
      <c r="H205" s="9" t="s">
        <v>610</v>
      </c>
      <c r="I205" s="11" t="str">
        <f>VLOOKUP(H205,Mapping!D:E,2,0)</f>
        <v>kukatpally</v>
      </c>
      <c r="J205" s="9" t="s">
        <v>390</v>
      </c>
      <c r="K205" s="12">
        <v>0.22</v>
      </c>
      <c r="L205" s="14" t="str">
        <f t="shared" si="19"/>
        <v>20%+</v>
      </c>
      <c r="M205" s="13">
        <v>0.018</v>
      </c>
      <c r="N205" s="14"/>
      <c r="O205" s="9" t="s">
        <v>1718</v>
      </c>
      <c r="P205" s="9" t="s">
        <v>610</v>
      </c>
      <c r="Q205" s="9" t="s">
        <v>1717</v>
      </c>
      <c r="R205" s="16" t="s">
        <v>1719</v>
      </c>
      <c r="S205" s="9" t="s">
        <v>1720</v>
      </c>
      <c r="T205" s="9" t="s">
        <v>1721</v>
      </c>
      <c r="U205" s="9" t="s">
        <v>919</v>
      </c>
      <c r="V205" s="17">
        <v>6.30501549672E11</v>
      </c>
      <c r="W205" s="9" t="s">
        <v>1722</v>
      </c>
      <c r="X205" s="9" t="s">
        <v>1723</v>
      </c>
      <c r="Y205" s="18" t="s">
        <v>57</v>
      </c>
      <c r="Z205" s="18" t="s">
        <v>69</v>
      </c>
      <c r="AA205" s="18" t="s">
        <v>57</v>
      </c>
      <c r="AB205" s="18" t="s">
        <v>58</v>
      </c>
      <c r="AC205" s="18" t="s">
        <v>57</v>
      </c>
      <c r="AD205" s="18" t="s">
        <v>69</v>
      </c>
      <c r="AE205" s="35" t="s">
        <v>1724</v>
      </c>
      <c r="AF205" s="14"/>
      <c r="AG205" s="14" t="str">
        <f t="shared" si="23"/>
        <v>#REF!</v>
      </c>
      <c r="AH205" s="14"/>
      <c r="AI205" s="20"/>
      <c r="AJ205" s="14"/>
      <c r="AK205" s="14"/>
      <c r="AL205" s="14"/>
      <c r="AM205" s="14"/>
      <c r="AN205" s="14"/>
      <c r="AO205" s="14"/>
      <c r="AP205" s="14"/>
      <c r="AQ205" s="14"/>
      <c r="AR205" s="14"/>
    </row>
    <row r="206" ht="22.5" customHeight="1">
      <c r="A206" s="103">
        <v>46072.0</v>
      </c>
      <c r="B206" s="97" t="s">
        <v>1725</v>
      </c>
      <c r="C206" s="8" t="s">
        <v>186</v>
      </c>
      <c r="D206" s="9" t="s">
        <v>46</v>
      </c>
      <c r="E206" s="9" t="s">
        <v>1726</v>
      </c>
      <c r="F206" s="9" t="s">
        <v>68</v>
      </c>
      <c r="G206" s="10">
        <v>500084.0</v>
      </c>
      <c r="H206" s="9" t="s">
        <v>389</v>
      </c>
      <c r="I206" s="11" t="str">
        <f>VLOOKUP(H206,Mapping!D:E,2,0)</f>
        <v>Kondapur</v>
      </c>
      <c r="J206" s="9" t="s">
        <v>390</v>
      </c>
      <c r="K206" s="12">
        <v>0.23</v>
      </c>
      <c r="L206" s="14" t="str">
        <f t="shared" si="19"/>
        <v>20%+</v>
      </c>
      <c r="M206" s="13">
        <v>0.018</v>
      </c>
      <c r="N206" s="127">
        <v>0.02</v>
      </c>
      <c r="O206" s="9" t="s">
        <v>1725</v>
      </c>
      <c r="P206" s="9" t="s">
        <v>1727</v>
      </c>
      <c r="Q206" s="9" t="s">
        <v>1728</v>
      </c>
      <c r="R206" s="16" t="s">
        <v>1729</v>
      </c>
      <c r="S206" s="9" t="s">
        <v>68</v>
      </c>
      <c r="T206" s="9" t="s">
        <v>1730</v>
      </c>
      <c r="U206" s="9" t="s">
        <v>254</v>
      </c>
      <c r="V206" s="17">
        <v>8.945296083E9</v>
      </c>
      <c r="W206" s="9" t="s">
        <v>1731</v>
      </c>
      <c r="X206" s="9" t="s">
        <v>56</v>
      </c>
      <c r="Y206" s="18" t="s">
        <v>57</v>
      </c>
      <c r="Z206" s="18" t="s">
        <v>58</v>
      </c>
      <c r="AA206" s="18" t="s">
        <v>57</v>
      </c>
      <c r="AB206" s="18" t="s">
        <v>58</v>
      </c>
      <c r="AC206" s="18" t="s">
        <v>57</v>
      </c>
      <c r="AD206" s="18" t="s">
        <v>58</v>
      </c>
      <c r="AE206" s="40" t="s">
        <v>1732</v>
      </c>
      <c r="AF206" s="33" t="s">
        <v>1733</v>
      </c>
      <c r="AG206" s="9" t="s">
        <v>397</v>
      </c>
      <c r="AH206" s="14"/>
      <c r="AI206" s="20"/>
      <c r="AJ206" s="14"/>
      <c r="AK206" s="14"/>
      <c r="AL206" s="14"/>
      <c r="AM206" s="14"/>
      <c r="AN206" s="14"/>
      <c r="AO206" s="14"/>
      <c r="AP206" s="14"/>
      <c r="AQ206" s="14"/>
      <c r="AR206" s="14"/>
    </row>
    <row r="207" ht="22.5" customHeight="1">
      <c r="A207" s="103">
        <v>46072.0</v>
      </c>
      <c r="B207" s="69" t="s">
        <v>1734</v>
      </c>
      <c r="C207" s="8" t="s">
        <v>144</v>
      </c>
      <c r="D207" s="9" t="s">
        <v>46</v>
      </c>
      <c r="E207" s="9" t="s">
        <v>1735</v>
      </c>
      <c r="F207" s="9" t="s">
        <v>68</v>
      </c>
      <c r="G207" s="10">
        <v>500075.0</v>
      </c>
      <c r="H207" s="9" t="s">
        <v>126</v>
      </c>
      <c r="I207" s="11" t="str">
        <f>VLOOKUP(H207,Mapping!D:E,2,0)</f>
        <v>Langar Houz</v>
      </c>
      <c r="J207" s="9" t="s">
        <v>86</v>
      </c>
      <c r="K207" s="12">
        <v>0.17</v>
      </c>
      <c r="L207" s="14" t="str">
        <f t="shared" si="19"/>
        <v>&lt;20%</v>
      </c>
      <c r="M207" s="13">
        <v>0.018</v>
      </c>
      <c r="N207" s="14"/>
      <c r="O207" s="108" t="s">
        <v>1734</v>
      </c>
      <c r="P207" s="9" t="s">
        <v>1735</v>
      </c>
      <c r="Q207" s="9" t="s">
        <v>1736</v>
      </c>
      <c r="R207" s="16" t="s">
        <v>1737</v>
      </c>
      <c r="S207" s="9" t="s">
        <v>1738</v>
      </c>
      <c r="T207" s="9" t="s">
        <v>1739</v>
      </c>
      <c r="U207" s="9" t="s">
        <v>1740</v>
      </c>
      <c r="V207" s="17">
        <v>6.450147555E9</v>
      </c>
      <c r="W207" s="9" t="s">
        <v>1741</v>
      </c>
      <c r="X207" s="9" t="s">
        <v>56</v>
      </c>
      <c r="Y207" s="18" t="s">
        <v>57</v>
      </c>
      <c r="Z207" s="18" t="s">
        <v>57</v>
      </c>
      <c r="AA207" s="18" t="s">
        <v>58</v>
      </c>
      <c r="AB207" s="18" t="s">
        <v>58</v>
      </c>
      <c r="AC207" s="14"/>
      <c r="AD207" s="14"/>
      <c r="AE207" s="14"/>
      <c r="AF207" s="14"/>
      <c r="AG207" s="14" t="str">
        <f t="shared" ref="AG207:AG208" si="24">VLOOKUP(H:H,'Pivot Table 8'!B:C,2,0)</f>
        <v>#REF!</v>
      </c>
      <c r="AH207" s="14"/>
      <c r="AI207" s="20"/>
      <c r="AJ207" s="14"/>
      <c r="AK207" s="14"/>
      <c r="AL207" s="14"/>
      <c r="AM207" s="14"/>
      <c r="AN207" s="14"/>
      <c r="AO207" s="14"/>
      <c r="AP207" s="14"/>
      <c r="AQ207" s="14"/>
      <c r="AR207" s="14"/>
    </row>
    <row r="208" ht="22.5" customHeight="1">
      <c r="A208" s="110">
        <v>46072.0</v>
      </c>
      <c r="B208" s="97" t="s">
        <v>1742</v>
      </c>
      <c r="C208" s="8" t="s">
        <v>60</v>
      </c>
      <c r="D208" s="9" t="s">
        <v>46</v>
      </c>
      <c r="E208" s="9" t="s">
        <v>1743</v>
      </c>
      <c r="F208" s="9" t="s">
        <v>1744</v>
      </c>
      <c r="G208" s="10">
        <v>500072.0</v>
      </c>
      <c r="H208" s="9" t="s">
        <v>647</v>
      </c>
      <c r="I208" s="9" t="s">
        <v>647</v>
      </c>
      <c r="J208" s="9" t="s">
        <v>390</v>
      </c>
      <c r="K208" s="12">
        <v>0.2</v>
      </c>
      <c r="L208" s="14" t="str">
        <f t="shared" si="19"/>
        <v>20%+</v>
      </c>
      <c r="M208" s="13">
        <v>0.018</v>
      </c>
      <c r="N208" s="14"/>
      <c r="O208" s="15" t="s">
        <v>1742</v>
      </c>
      <c r="P208" s="9" t="s">
        <v>1745</v>
      </c>
      <c r="Q208" s="9" t="s">
        <v>1746</v>
      </c>
      <c r="R208" s="16" t="s">
        <v>1747</v>
      </c>
      <c r="S208" s="9" t="s">
        <v>1748</v>
      </c>
      <c r="T208" s="15" t="s">
        <v>1742</v>
      </c>
      <c r="U208" s="9" t="s">
        <v>738</v>
      </c>
      <c r="V208" s="9" t="s">
        <v>1749</v>
      </c>
      <c r="W208" s="9" t="s">
        <v>1705</v>
      </c>
      <c r="X208" s="9" t="s">
        <v>80</v>
      </c>
      <c r="Y208" s="91" t="s">
        <v>57</v>
      </c>
      <c r="Z208" s="92" t="s">
        <v>58</v>
      </c>
      <c r="AA208" s="91" t="s">
        <v>57</v>
      </c>
      <c r="AB208" s="91" t="s">
        <v>57</v>
      </c>
      <c r="AC208" s="92" t="s">
        <v>58</v>
      </c>
      <c r="AD208" s="92" t="s">
        <v>69</v>
      </c>
      <c r="AE208" s="93" t="s">
        <v>1750</v>
      </c>
      <c r="AF208" s="14"/>
      <c r="AG208" s="14" t="str">
        <f t="shared" si="24"/>
        <v>#REF!</v>
      </c>
      <c r="AH208" s="14"/>
      <c r="AI208" s="20"/>
      <c r="AJ208" s="14"/>
      <c r="AK208" s="14"/>
      <c r="AL208" s="14"/>
      <c r="AM208" s="14"/>
      <c r="AN208" s="14"/>
      <c r="AO208" s="14"/>
      <c r="AP208" s="14"/>
      <c r="AQ208" s="14"/>
      <c r="AR208" s="14"/>
    </row>
    <row r="209" ht="22.5" customHeight="1">
      <c r="A209" s="103">
        <v>46072.0</v>
      </c>
      <c r="B209" s="69" t="s">
        <v>1751</v>
      </c>
      <c r="C209" s="8" t="s">
        <v>186</v>
      </c>
      <c r="D209" s="9" t="s">
        <v>46</v>
      </c>
      <c r="E209" s="9" t="s">
        <v>1752</v>
      </c>
      <c r="F209" s="9" t="s">
        <v>68</v>
      </c>
      <c r="G209" s="10">
        <v>500084.0</v>
      </c>
      <c r="H209" s="9" t="s">
        <v>389</v>
      </c>
      <c r="I209" s="11" t="str">
        <f>VLOOKUP(H209,Mapping!D:E,2,0)</f>
        <v>Kondapur</v>
      </c>
      <c r="J209" s="9" t="s">
        <v>390</v>
      </c>
      <c r="K209" s="12">
        <v>0.26</v>
      </c>
      <c r="L209" s="14" t="str">
        <f t="shared" si="19"/>
        <v>20%+</v>
      </c>
      <c r="M209" s="13">
        <v>0.018</v>
      </c>
      <c r="N209" s="127">
        <v>0.0</v>
      </c>
      <c r="O209" s="43" t="s">
        <v>1751</v>
      </c>
      <c r="P209" s="9" t="s">
        <v>1753</v>
      </c>
      <c r="Q209" s="9" t="s">
        <v>1754</v>
      </c>
      <c r="R209" s="16" t="s">
        <v>1755</v>
      </c>
      <c r="S209" s="9" t="s">
        <v>68</v>
      </c>
      <c r="T209" s="43" t="s">
        <v>1751</v>
      </c>
      <c r="U209" s="9" t="s">
        <v>1129</v>
      </c>
      <c r="V209" s="17">
        <v>4.3352764998E10</v>
      </c>
      <c r="W209" s="9" t="s">
        <v>1756</v>
      </c>
      <c r="X209" s="9" t="s">
        <v>80</v>
      </c>
      <c r="Y209" s="18" t="s">
        <v>57</v>
      </c>
      <c r="Z209" s="18" t="s">
        <v>58</v>
      </c>
      <c r="AA209" s="18" t="s">
        <v>57</v>
      </c>
      <c r="AB209" s="18" t="s">
        <v>57</v>
      </c>
      <c r="AC209" s="18" t="s">
        <v>57</v>
      </c>
      <c r="AD209" s="18" t="s">
        <v>58</v>
      </c>
      <c r="AE209" s="40" t="s">
        <v>1751</v>
      </c>
      <c r="AF209" s="40" t="s">
        <v>1757</v>
      </c>
      <c r="AG209" s="9" t="s">
        <v>397</v>
      </c>
      <c r="AH209" s="14"/>
      <c r="AI209" s="20"/>
      <c r="AJ209" s="14"/>
      <c r="AK209" s="14"/>
      <c r="AL209" s="14"/>
      <c r="AM209" s="14"/>
      <c r="AN209" s="14"/>
      <c r="AO209" s="14"/>
      <c r="AP209" s="14"/>
      <c r="AQ209" s="14"/>
      <c r="AR209" s="14"/>
    </row>
    <row r="210" ht="22.5" customHeight="1">
      <c r="A210" s="68">
        <v>46072.0</v>
      </c>
      <c r="B210" s="69" t="s">
        <v>1758</v>
      </c>
      <c r="C210" s="55" t="s">
        <v>186</v>
      </c>
      <c r="D210" s="9" t="s">
        <v>46</v>
      </c>
      <c r="E210" s="9" t="s">
        <v>1413</v>
      </c>
      <c r="F210" s="9" t="s">
        <v>68</v>
      </c>
      <c r="G210" s="10">
        <v>500084.0</v>
      </c>
      <c r="H210" s="9" t="s">
        <v>389</v>
      </c>
      <c r="I210" s="11" t="str">
        <f>VLOOKUP(H210,Mapping!D:E,2,0)</f>
        <v>Kondapur</v>
      </c>
      <c r="J210" s="9" t="s">
        <v>390</v>
      </c>
      <c r="K210" s="12">
        <v>0.23</v>
      </c>
      <c r="L210" s="14" t="str">
        <f t="shared" si="19"/>
        <v>20%+</v>
      </c>
      <c r="M210" s="13">
        <v>0.018</v>
      </c>
      <c r="N210" s="127">
        <v>0.0</v>
      </c>
      <c r="O210" s="9" t="s">
        <v>1759</v>
      </c>
      <c r="P210" s="9" t="s">
        <v>1760</v>
      </c>
      <c r="Q210" s="9" t="s">
        <v>1417</v>
      </c>
      <c r="R210" s="16" t="s">
        <v>1418</v>
      </c>
      <c r="S210" s="9" t="s">
        <v>68</v>
      </c>
      <c r="T210" s="9" t="s">
        <v>1417</v>
      </c>
      <c r="U210" s="9" t="s">
        <v>1129</v>
      </c>
      <c r="V210" s="17">
        <v>2.00523555986E11</v>
      </c>
      <c r="W210" s="9" t="s">
        <v>1419</v>
      </c>
      <c r="X210" s="9" t="s">
        <v>56</v>
      </c>
      <c r="Y210" s="18" t="s">
        <v>57</v>
      </c>
      <c r="Z210" s="18" t="s">
        <v>58</v>
      </c>
      <c r="AA210" s="18" t="s">
        <v>57</v>
      </c>
      <c r="AB210" s="18" t="s">
        <v>69</v>
      </c>
      <c r="AC210" s="18" t="s">
        <v>57</v>
      </c>
      <c r="AD210" s="18" t="s">
        <v>58</v>
      </c>
      <c r="AE210" s="40" t="s">
        <v>1761</v>
      </c>
      <c r="AF210" s="40" t="s">
        <v>1762</v>
      </c>
      <c r="AG210" s="9" t="s">
        <v>397</v>
      </c>
      <c r="AH210" s="14"/>
      <c r="AI210" s="20"/>
      <c r="AJ210" s="14"/>
      <c r="AK210" s="14"/>
      <c r="AL210" s="14"/>
      <c r="AM210" s="14"/>
      <c r="AN210" s="14"/>
      <c r="AO210" s="14"/>
      <c r="AP210" s="14"/>
      <c r="AQ210" s="14"/>
      <c r="AR210" s="14"/>
    </row>
    <row r="211" ht="22.5" customHeight="1">
      <c r="A211" s="103">
        <v>46072.0</v>
      </c>
      <c r="B211" s="69" t="s">
        <v>1763</v>
      </c>
      <c r="C211" s="8" t="s">
        <v>564</v>
      </c>
      <c r="D211" s="9" t="s">
        <v>46</v>
      </c>
      <c r="E211" s="9" t="s">
        <v>1764</v>
      </c>
      <c r="F211" s="9" t="s">
        <v>1765</v>
      </c>
      <c r="G211" s="10">
        <v>500016.0</v>
      </c>
      <c r="H211" s="9" t="s">
        <v>203</v>
      </c>
      <c r="I211" s="11" t="str">
        <f>VLOOKUP(H211,Mapping!D:E,2,0)</f>
        <v>panjagutta</v>
      </c>
      <c r="J211" s="9" t="s">
        <v>161</v>
      </c>
      <c r="K211" s="12">
        <v>0.18</v>
      </c>
      <c r="L211" s="14" t="str">
        <f t="shared" si="19"/>
        <v>&lt;20%</v>
      </c>
      <c r="M211" s="13">
        <v>0.018</v>
      </c>
      <c r="N211" s="9" t="s">
        <v>68</v>
      </c>
      <c r="O211" s="9" t="s">
        <v>1766</v>
      </c>
      <c r="P211" s="9" t="s">
        <v>1767</v>
      </c>
      <c r="Q211" s="9" t="s">
        <v>1768</v>
      </c>
      <c r="R211" s="16" t="s">
        <v>1769</v>
      </c>
      <c r="S211" s="9" t="s">
        <v>1770</v>
      </c>
      <c r="T211" s="9" t="s">
        <v>1763</v>
      </c>
      <c r="U211" s="9" t="s">
        <v>1740</v>
      </c>
      <c r="V211" s="17">
        <v>9.15018156E9</v>
      </c>
      <c r="W211" s="9" t="s">
        <v>1771</v>
      </c>
      <c r="X211" s="9" t="s">
        <v>80</v>
      </c>
      <c r="Y211" s="18" t="s">
        <v>57</v>
      </c>
      <c r="Z211" s="18" t="s">
        <v>58</v>
      </c>
      <c r="AA211" s="18" t="s">
        <v>58</v>
      </c>
      <c r="AB211" s="18" t="s">
        <v>58</v>
      </c>
      <c r="AC211" s="18" t="s">
        <v>58</v>
      </c>
      <c r="AD211" s="18" t="s">
        <v>57</v>
      </c>
      <c r="AE211" s="14"/>
      <c r="AF211" s="14"/>
      <c r="AG211" s="14" t="str">
        <f t="shared" ref="AG211:AG216" si="25">VLOOKUP(H:H,'Pivot Table 8'!B:C,2,0)</f>
        <v>#REF!</v>
      </c>
      <c r="AH211" s="14"/>
      <c r="AI211" s="20"/>
      <c r="AJ211" s="14"/>
      <c r="AK211" s="14"/>
      <c r="AL211" s="14"/>
      <c r="AM211" s="14"/>
      <c r="AN211" s="14"/>
      <c r="AO211" s="14"/>
      <c r="AP211" s="14"/>
      <c r="AQ211" s="14"/>
      <c r="AR211" s="14"/>
    </row>
    <row r="212" ht="22.5" customHeight="1">
      <c r="A212" s="110">
        <v>46072.0</v>
      </c>
      <c r="B212" s="97" t="s">
        <v>1772</v>
      </c>
      <c r="C212" s="8" t="s">
        <v>96</v>
      </c>
      <c r="D212" s="9" t="s">
        <v>1773</v>
      </c>
      <c r="E212" s="9" t="s">
        <v>1774</v>
      </c>
      <c r="F212" s="9" t="s">
        <v>1775</v>
      </c>
      <c r="G212" s="56">
        <v>500086.0</v>
      </c>
      <c r="H212" s="15" t="s">
        <v>126</v>
      </c>
      <c r="I212" s="11" t="str">
        <f>VLOOKUP(H212,Mapping!D:E,2,0)</f>
        <v>Langar Houz</v>
      </c>
      <c r="J212" s="9" t="s">
        <v>86</v>
      </c>
      <c r="K212" s="12">
        <v>0.22</v>
      </c>
      <c r="L212" s="14" t="str">
        <f t="shared" si="19"/>
        <v>20%+</v>
      </c>
      <c r="M212" s="13">
        <v>0.018</v>
      </c>
      <c r="N212" s="127">
        <v>0.0</v>
      </c>
      <c r="O212" s="107" t="s">
        <v>1776</v>
      </c>
      <c r="P212" s="9" t="s">
        <v>1777</v>
      </c>
      <c r="Q212" s="9" t="s">
        <v>1775</v>
      </c>
      <c r="R212" s="16" t="s">
        <v>1778</v>
      </c>
      <c r="S212" s="9" t="s">
        <v>1779</v>
      </c>
      <c r="T212" s="9" t="s">
        <v>1776</v>
      </c>
      <c r="U212" s="9" t="s">
        <v>1780</v>
      </c>
      <c r="V212" s="17">
        <v>5.0200082449899E13</v>
      </c>
      <c r="W212" s="9" t="s">
        <v>1781</v>
      </c>
      <c r="X212" s="9" t="s">
        <v>80</v>
      </c>
      <c r="Y212" s="18" t="s">
        <v>57</v>
      </c>
      <c r="Z212" s="18" t="s">
        <v>57</v>
      </c>
      <c r="AA212" s="18" t="s">
        <v>57</v>
      </c>
      <c r="AB212" s="18" t="s">
        <v>57</v>
      </c>
      <c r="AC212" s="18" t="s">
        <v>58</v>
      </c>
      <c r="AD212" s="18" t="s">
        <v>58</v>
      </c>
      <c r="AE212" s="39" t="s">
        <v>1782</v>
      </c>
      <c r="AF212" s="14"/>
      <c r="AG212" s="14" t="str">
        <f t="shared" si="25"/>
        <v>#REF!</v>
      </c>
      <c r="AH212" s="14"/>
      <c r="AI212" s="20"/>
      <c r="AJ212" s="14"/>
      <c r="AK212" s="14"/>
      <c r="AL212" s="14"/>
      <c r="AM212" s="14"/>
      <c r="AN212" s="14"/>
      <c r="AO212" s="14"/>
      <c r="AP212" s="14"/>
      <c r="AQ212" s="14"/>
      <c r="AR212" s="14"/>
    </row>
    <row r="213" ht="22.5" customHeight="1">
      <c r="A213" s="103">
        <v>46072.0</v>
      </c>
      <c r="B213" s="69" t="s">
        <v>1783</v>
      </c>
      <c r="C213" s="8" t="s">
        <v>45</v>
      </c>
      <c r="D213" s="9" t="s">
        <v>46</v>
      </c>
      <c r="E213" s="9" t="s">
        <v>1784</v>
      </c>
      <c r="F213" s="9" t="s">
        <v>68</v>
      </c>
      <c r="G213" s="10">
        <v>500089.0</v>
      </c>
      <c r="H213" s="9" t="s">
        <v>302</v>
      </c>
      <c r="I213" s="11" t="str">
        <f>VLOOKUP(H213,Mapping!D:E,2,0)</f>
        <v>manikonda</v>
      </c>
      <c r="J213" s="9" t="s">
        <v>303</v>
      </c>
      <c r="K213" s="12">
        <v>0.2</v>
      </c>
      <c r="L213" s="14" t="str">
        <f t="shared" si="19"/>
        <v>20%+</v>
      </c>
      <c r="M213" s="13">
        <v>0.018</v>
      </c>
      <c r="N213" s="14"/>
      <c r="O213" s="43" t="s">
        <v>1785</v>
      </c>
      <c r="P213" s="9" t="s">
        <v>1786</v>
      </c>
      <c r="Q213" s="43" t="s">
        <v>1787</v>
      </c>
      <c r="R213" s="16" t="s">
        <v>68</v>
      </c>
      <c r="S213" s="9" t="s">
        <v>68</v>
      </c>
      <c r="T213" s="43" t="s">
        <v>1787</v>
      </c>
      <c r="U213" s="9" t="s">
        <v>1788</v>
      </c>
      <c r="V213" s="17">
        <v>1.52661900000512E14</v>
      </c>
      <c r="W213" s="9" t="s">
        <v>1789</v>
      </c>
      <c r="X213" s="9" t="s">
        <v>80</v>
      </c>
      <c r="Y213" s="18" t="s">
        <v>57</v>
      </c>
      <c r="Z213" s="18" t="s">
        <v>58</v>
      </c>
      <c r="AA213" s="18" t="s">
        <v>58</v>
      </c>
      <c r="AB213" s="18" t="s">
        <v>58</v>
      </c>
      <c r="AC213" s="18" t="s">
        <v>58</v>
      </c>
      <c r="AD213" s="18" t="s">
        <v>58</v>
      </c>
      <c r="AE213" s="39" t="s">
        <v>1790</v>
      </c>
      <c r="AF213" s="14"/>
      <c r="AG213" s="14" t="str">
        <f t="shared" si="25"/>
        <v>#REF!</v>
      </c>
      <c r="AH213" s="14"/>
      <c r="AI213" s="20"/>
      <c r="AJ213" s="14"/>
      <c r="AK213" s="14"/>
      <c r="AL213" s="14"/>
      <c r="AM213" s="14"/>
      <c r="AN213" s="14"/>
      <c r="AO213" s="14"/>
      <c r="AP213" s="14"/>
      <c r="AQ213" s="14"/>
      <c r="AR213" s="14"/>
    </row>
    <row r="214" ht="22.5" customHeight="1">
      <c r="A214" s="103">
        <v>46072.0</v>
      </c>
      <c r="B214" s="69" t="s">
        <v>1791</v>
      </c>
      <c r="C214" s="8" t="s">
        <v>248</v>
      </c>
      <c r="D214" s="9" t="s">
        <v>61</v>
      </c>
      <c r="E214" s="9" t="s">
        <v>1792</v>
      </c>
      <c r="F214" s="9" t="s">
        <v>1793</v>
      </c>
      <c r="G214" s="10">
        <v>500019.0</v>
      </c>
      <c r="H214" s="9" t="s">
        <v>623</v>
      </c>
      <c r="I214" s="11" t="str">
        <f>VLOOKUP(H214,Mapping!D:E,2,0)</f>
        <v>Sherilingampally</v>
      </c>
      <c r="J214" s="9" t="s">
        <v>390</v>
      </c>
      <c r="K214" s="12">
        <v>0.22</v>
      </c>
      <c r="L214" s="14" t="str">
        <f t="shared" si="19"/>
        <v>20%+</v>
      </c>
      <c r="M214" s="13">
        <v>0.018</v>
      </c>
      <c r="N214" s="127">
        <v>0.0</v>
      </c>
      <c r="O214" s="9" t="s">
        <v>1794</v>
      </c>
      <c r="P214" s="9" t="s">
        <v>1795</v>
      </c>
      <c r="Q214" s="9" t="s">
        <v>1796</v>
      </c>
      <c r="R214" s="16" t="s">
        <v>1797</v>
      </c>
      <c r="S214" s="9" t="s">
        <v>1798</v>
      </c>
      <c r="T214" s="9" t="s">
        <v>1794</v>
      </c>
      <c r="U214" s="9" t="s">
        <v>703</v>
      </c>
      <c r="V214" s="17">
        <v>1.0225700253E10</v>
      </c>
      <c r="W214" s="9" t="s">
        <v>704</v>
      </c>
      <c r="X214" s="9" t="s">
        <v>80</v>
      </c>
      <c r="Y214" s="18" t="s">
        <v>57</v>
      </c>
      <c r="Z214" s="18" t="s">
        <v>57</v>
      </c>
      <c r="AA214" s="18" t="s">
        <v>57</v>
      </c>
      <c r="AB214" s="18" t="s">
        <v>57</v>
      </c>
      <c r="AC214" s="18" t="s">
        <v>58</v>
      </c>
      <c r="AD214" s="18" t="s">
        <v>58</v>
      </c>
      <c r="AE214" s="35" t="s">
        <v>1799</v>
      </c>
      <c r="AF214" s="14"/>
      <c r="AG214" s="14" t="str">
        <f t="shared" si="25"/>
        <v>#REF!</v>
      </c>
      <c r="AH214" s="9" t="s">
        <v>1800</v>
      </c>
      <c r="AI214" s="20"/>
      <c r="AJ214" s="14"/>
      <c r="AK214" s="14"/>
      <c r="AL214" s="14"/>
      <c r="AM214" s="14"/>
      <c r="AN214" s="14"/>
      <c r="AO214" s="14"/>
      <c r="AP214" s="14"/>
      <c r="AQ214" s="14"/>
      <c r="AR214" s="14"/>
    </row>
    <row r="215" ht="22.5" customHeight="1">
      <c r="A215" s="103">
        <v>46072.0</v>
      </c>
      <c r="B215" s="97" t="s">
        <v>1801</v>
      </c>
      <c r="C215" s="8" t="s">
        <v>241</v>
      </c>
      <c r="D215" s="9" t="s">
        <v>46</v>
      </c>
      <c r="E215" s="39" t="s">
        <v>1802</v>
      </c>
      <c r="F215" s="9" t="s">
        <v>1803</v>
      </c>
      <c r="G215" s="10">
        <v>500081.0</v>
      </c>
      <c r="H215" s="9" t="s">
        <v>1804</v>
      </c>
      <c r="I215" s="11" t="str">
        <f>VLOOKUP(H215,Mapping!D:E,2,0)</f>
        <v>Hitech-City</v>
      </c>
      <c r="J215" s="9" t="s">
        <v>148</v>
      </c>
      <c r="K215" s="12">
        <v>0.22</v>
      </c>
      <c r="L215" s="14" t="str">
        <f t="shared" si="19"/>
        <v>20%+</v>
      </c>
      <c r="M215" s="13">
        <v>0.018</v>
      </c>
      <c r="N215" s="9" t="s">
        <v>68</v>
      </c>
      <c r="O215" s="9" t="s">
        <v>1801</v>
      </c>
      <c r="P215" s="39" t="s">
        <v>1805</v>
      </c>
      <c r="Q215" s="9" t="s">
        <v>1803</v>
      </c>
      <c r="R215" s="16" t="s">
        <v>1806</v>
      </c>
      <c r="S215" s="9" t="s">
        <v>1807</v>
      </c>
      <c r="T215" s="9" t="s">
        <v>1808</v>
      </c>
      <c r="U215" s="9" t="s">
        <v>1809</v>
      </c>
      <c r="V215" s="17">
        <v>1.01220051002355E14</v>
      </c>
      <c r="W215" s="9" t="s">
        <v>1810</v>
      </c>
      <c r="X215" s="9" t="s">
        <v>56</v>
      </c>
      <c r="Y215" s="18" t="s">
        <v>57</v>
      </c>
      <c r="Z215" s="18" t="s">
        <v>57</v>
      </c>
      <c r="AA215" s="18" t="s">
        <v>57</v>
      </c>
      <c r="AB215" s="18" t="s">
        <v>57</v>
      </c>
      <c r="AC215" s="18" t="s">
        <v>57</v>
      </c>
      <c r="AD215" s="18" t="s">
        <v>69</v>
      </c>
      <c r="AE215" s="39" t="s">
        <v>1811</v>
      </c>
      <c r="AF215" s="14"/>
      <c r="AG215" s="14" t="str">
        <f t="shared" si="25"/>
        <v>#REF!</v>
      </c>
      <c r="AH215" s="9" t="s">
        <v>1812</v>
      </c>
      <c r="AI215" s="20"/>
      <c r="AJ215" s="14"/>
      <c r="AK215" s="14"/>
      <c r="AL215" s="14"/>
      <c r="AM215" s="14"/>
      <c r="AN215" s="14"/>
      <c r="AO215" s="14"/>
      <c r="AP215" s="14"/>
      <c r="AQ215" s="14"/>
      <c r="AR215" s="14"/>
    </row>
    <row r="216" ht="22.5" customHeight="1">
      <c r="A216" s="103">
        <v>46072.0</v>
      </c>
      <c r="B216" s="97" t="s">
        <v>1813</v>
      </c>
      <c r="C216" s="8" t="s">
        <v>186</v>
      </c>
      <c r="D216" s="9" t="s">
        <v>46</v>
      </c>
      <c r="E216" s="9" t="s">
        <v>1814</v>
      </c>
      <c r="F216" s="9" t="s">
        <v>68</v>
      </c>
      <c r="G216" s="10">
        <v>500050.0</v>
      </c>
      <c r="H216" s="9" t="s">
        <v>1815</v>
      </c>
      <c r="I216" s="11" t="str">
        <f>VLOOKUP(H216,Mapping!D:E,2,0)</f>
        <v>miyapur</v>
      </c>
      <c r="J216" s="9" t="s">
        <v>390</v>
      </c>
      <c r="K216" s="12">
        <v>0.15</v>
      </c>
      <c r="L216" s="14" t="str">
        <f t="shared" si="19"/>
        <v>&lt;17%</v>
      </c>
      <c r="M216" s="13">
        <v>0.018</v>
      </c>
      <c r="N216" s="127">
        <v>0.02</v>
      </c>
      <c r="O216" s="107" t="s">
        <v>1816</v>
      </c>
      <c r="P216" s="9" t="s">
        <v>1817</v>
      </c>
      <c r="Q216" s="9" t="s">
        <v>1818</v>
      </c>
      <c r="R216" s="16" t="s">
        <v>1819</v>
      </c>
      <c r="S216" s="9" t="s">
        <v>1820</v>
      </c>
      <c r="T216" s="107" t="s">
        <v>1821</v>
      </c>
      <c r="U216" s="9" t="s">
        <v>1129</v>
      </c>
      <c r="V216" s="17">
        <v>2.0025035345E10</v>
      </c>
      <c r="W216" s="9" t="s">
        <v>1822</v>
      </c>
      <c r="X216" s="9" t="s">
        <v>56</v>
      </c>
      <c r="Y216" s="18" t="s">
        <v>57</v>
      </c>
      <c r="Z216" s="18" t="s">
        <v>58</v>
      </c>
      <c r="AA216" s="18" t="s">
        <v>57</v>
      </c>
      <c r="AB216" s="18" t="s">
        <v>57</v>
      </c>
      <c r="AC216" s="18" t="s">
        <v>58</v>
      </c>
      <c r="AD216" s="18" t="s">
        <v>58</v>
      </c>
      <c r="AE216" s="40" t="s">
        <v>1823</v>
      </c>
      <c r="AF216" s="40" t="s">
        <v>1824</v>
      </c>
      <c r="AG216" s="14" t="str">
        <f t="shared" si="25"/>
        <v>#REF!</v>
      </c>
      <c r="AH216" s="14"/>
      <c r="AI216" s="20"/>
      <c r="AJ216" s="14"/>
      <c r="AK216" s="14"/>
      <c r="AL216" s="14"/>
      <c r="AM216" s="14"/>
      <c r="AN216" s="14"/>
      <c r="AO216" s="14"/>
      <c r="AP216" s="14"/>
      <c r="AQ216" s="14"/>
      <c r="AR216" s="14"/>
    </row>
    <row r="217" ht="22.5" customHeight="1">
      <c r="A217" s="103">
        <v>46072.0</v>
      </c>
      <c r="B217" s="69" t="s">
        <v>1816</v>
      </c>
      <c r="C217" s="8" t="s">
        <v>186</v>
      </c>
      <c r="D217" s="9" t="s">
        <v>46</v>
      </c>
      <c r="E217" s="39" t="s">
        <v>1825</v>
      </c>
      <c r="F217" s="9" t="s">
        <v>68</v>
      </c>
      <c r="G217" s="10">
        <v>500084.0</v>
      </c>
      <c r="H217" s="9" t="s">
        <v>389</v>
      </c>
      <c r="I217" s="11" t="str">
        <f>VLOOKUP(H217,Mapping!D:E,2,0)</f>
        <v>Kondapur</v>
      </c>
      <c r="J217" s="9" t="s">
        <v>390</v>
      </c>
      <c r="K217" s="12">
        <v>0.15</v>
      </c>
      <c r="L217" s="14" t="str">
        <f t="shared" si="19"/>
        <v>&lt;17%</v>
      </c>
      <c r="M217" s="13">
        <v>0.018</v>
      </c>
      <c r="N217" s="127">
        <v>0.02</v>
      </c>
      <c r="O217" s="9" t="s">
        <v>1816</v>
      </c>
      <c r="P217" s="9" t="s">
        <v>1826</v>
      </c>
      <c r="Q217" s="9" t="s">
        <v>1818</v>
      </c>
      <c r="R217" s="16" t="s">
        <v>1819</v>
      </c>
      <c r="S217" s="9" t="s">
        <v>1820</v>
      </c>
      <c r="T217" s="9" t="s">
        <v>1821</v>
      </c>
      <c r="U217" s="9" t="s">
        <v>1129</v>
      </c>
      <c r="V217" s="17">
        <v>2.0025035345E10</v>
      </c>
      <c r="W217" s="9" t="s">
        <v>1822</v>
      </c>
      <c r="X217" s="9" t="s">
        <v>56</v>
      </c>
      <c r="Y217" s="82" t="s">
        <v>57</v>
      </c>
      <c r="Z217" s="82" t="s">
        <v>58</v>
      </c>
      <c r="AA217" s="82" t="s">
        <v>57</v>
      </c>
      <c r="AB217" s="82" t="s">
        <v>57</v>
      </c>
      <c r="AC217" s="82" t="s">
        <v>58</v>
      </c>
      <c r="AD217" s="82" t="s">
        <v>58</v>
      </c>
      <c r="AE217" s="83" t="s">
        <v>1827</v>
      </c>
      <c r="AF217" s="39" t="s">
        <v>1828</v>
      </c>
      <c r="AG217" s="9" t="s">
        <v>397</v>
      </c>
      <c r="AH217" s="14"/>
      <c r="AI217" s="20"/>
      <c r="AJ217" s="14"/>
      <c r="AK217" s="14"/>
      <c r="AL217" s="14"/>
      <c r="AM217" s="14"/>
      <c r="AN217" s="14"/>
      <c r="AO217" s="14"/>
      <c r="AP217" s="14"/>
      <c r="AQ217" s="14"/>
      <c r="AR217" s="14"/>
    </row>
    <row r="218" ht="22.5" customHeight="1">
      <c r="A218" s="110">
        <v>46072.0</v>
      </c>
      <c r="B218" s="97" t="s">
        <v>1829</v>
      </c>
      <c r="C218" s="8" t="s">
        <v>73</v>
      </c>
      <c r="D218" s="9" t="s">
        <v>46</v>
      </c>
      <c r="E218" s="9" t="s">
        <v>1830</v>
      </c>
      <c r="F218" s="9" t="s">
        <v>1831</v>
      </c>
      <c r="G218" s="10">
        <v>500072.0</v>
      </c>
      <c r="H218" s="9" t="s">
        <v>647</v>
      </c>
      <c r="I218" s="9" t="s">
        <v>647</v>
      </c>
      <c r="J218" s="9" t="s">
        <v>390</v>
      </c>
      <c r="K218" s="12">
        <v>0.22</v>
      </c>
      <c r="L218" s="14" t="str">
        <f t="shared" si="19"/>
        <v>20%+</v>
      </c>
      <c r="M218" s="13">
        <v>0.018</v>
      </c>
      <c r="N218" s="14"/>
      <c r="O218" s="15" t="s">
        <v>1829</v>
      </c>
      <c r="P218" s="15" t="s">
        <v>1165</v>
      </c>
      <c r="Q218" s="9" t="s">
        <v>1831</v>
      </c>
      <c r="R218" s="16" t="s">
        <v>1719</v>
      </c>
      <c r="S218" s="9" t="s">
        <v>68</v>
      </c>
      <c r="T218" s="9" t="s">
        <v>1721</v>
      </c>
      <c r="U218" s="9" t="s">
        <v>919</v>
      </c>
      <c r="V218" s="17">
        <v>6.30501549672E11</v>
      </c>
      <c r="W218" s="9" t="s">
        <v>1722</v>
      </c>
      <c r="X218" s="9" t="s">
        <v>56</v>
      </c>
      <c r="Y218" s="18" t="s">
        <v>58</v>
      </c>
      <c r="Z218" s="18" t="s">
        <v>69</v>
      </c>
      <c r="AA218" s="18" t="s">
        <v>58</v>
      </c>
      <c r="AB218" s="18" t="s">
        <v>58</v>
      </c>
      <c r="AC218" s="18" t="s">
        <v>58</v>
      </c>
      <c r="AD218" s="18" t="s">
        <v>69</v>
      </c>
      <c r="AE218" s="14"/>
      <c r="AF218" s="14"/>
      <c r="AG218" s="14" t="str">
        <f>VLOOKUP(H:H,'Pivot Table 8'!B:C,2,0)</f>
        <v>#REF!</v>
      </c>
      <c r="AH218" s="14"/>
      <c r="AI218" s="20"/>
      <c r="AJ218" s="14"/>
      <c r="AK218" s="14"/>
      <c r="AL218" s="14"/>
      <c r="AM218" s="14"/>
      <c r="AN218" s="14"/>
      <c r="AO218" s="14"/>
      <c r="AP218" s="14"/>
      <c r="AQ218" s="14"/>
      <c r="AR218" s="14"/>
    </row>
    <row r="219" ht="22.5" customHeight="1">
      <c r="A219" s="110">
        <v>46072.0</v>
      </c>
      <c r="B219" s="97" t="s">
        <v>1832</v>
      </c>
      <c r="C219" s="8" t="s">
        <v>186</v>
      </c>
      <c r="D219" s="9" t="s">
        <v>61</v>
      </c>
      <c r="E219" s="39" t="s">
        <v>1833</v>
      </c>
      <c r="F219" s="9" t="s">
        <v>68</v>
      </c>
      <c r="G219" s="10">
        <v>500084.0</v>
      </c>
      <c r="H219" s="9" t="s">
        <v>389</v>
      </c>
      <c r="I219" s="11" t="str">
        <f>VLOOKUP(H219,Mapping!D:E,2,0)</f>
        <v>Kondapur</v>
      </c>
      <c r="J219" s="9" t="s">
        <v>390</v>
      </c>
      <c r="K219" s="12">
        <v>0.17</v>
      </c>
      <c r="L219" s="14" t="str">
        <f t="shared" si="19"/>
        <v>&lt;20%</v>
      </c>
      <c r="M219" s="13">
        <v>0.018</v>
      </c>
      <c r="N219" s="14"/>
      <c r="O219" s="9" t="s">
        <v>1834</v>
      </c>
      <c r="P219" s="39" t="s">
        <v>1835</v>
      </c>
      <c r="Q219" s="9" t="s">
        <v>1836</v>
      </c>
      <c r="R219" s="60" t="s">
        <v>1837</v>
      </c>
      <c r="S219" s="16" t="s">
        <v>1838</v>
      </c>
      <c r="T219" s="9" t="s">
        <v>1839</v>
      </c>
      <c r="U219" s="9" t="s">
        <v>1014</v>
      </c>
      <c r="V219" s="17">
        <v>5.020010164945E13</v>
      </c>
      <c r="W219" s="9" t="s">
        <v>1840</v>
      </c>
      <c r="X219" s="9" t="s">
        <v>80</v>
      </c>
      <c r="Y219" s="18" t="s">
        <v>57</v>
      </c>
      <c r="Z219" s="18" t="s">
        <v>58</v>
      </c>
      <c r="AA219" s="18" t="s">
        <v>57</v>
      </c>
      <c r="AB219" s="18" t="s">
        <v>57</v>
      </c>
      <c r="AC219" s="18" t="s">
        <v>57</v>
      </c>
      <c r="AD219" s="18" t="s">
        <v>58</v>
      </c>
      <c r="AE219" s="40" t="s">
        <v>1841</v>
      </c>
      <c r="AF219" s="40" t="s">
        <v>1842</v>
      </c>
      <c r="AG219" s="9" t="s">
        <v>397</v>
      </c>
      <c r="AH219" s="14"/>
      <c r="AI219" s="20"/>
      <c r="AJ219" s="14"/>
      <c r="AK219" s="14"/>
      <c r="AL219" s="14"/>
      <c r="AM219" s="14"/>
      <c r="AN219" s="14"/>
      <c r="AO219" s="14"/>
      <c r="AP219" s="14"/>
      <c r="AQ219" s="14"/>
      <c r="AR219" s="14"/>
    </row>
    <row r="220" ht="22.5" customHeight="1">
      <c r="A220" s="68">
        <v>46072.0</v>
      </c>
      <c r="B220" s="69" t="s">
        <v>1843</v>
      </c>
      <c r="C220" s="8" t="s">
        <v>45</v>
      </c>
      <c r="D220" s="9" t="s">
        <v>46</v>
      </c>
      <c r="E220" s="9" t="s">
        <v>1844</v>
      </c>
      <c r="F220" s="9" t="s">
        <v>68</v>
      </c>
      <c r="G220" s="10">
        <v>500032.0</v>
      </c>
      <c r="H220" s="9" t="s">
        <v>903</v>
      </c>
      <c r="I220" s="11" t="str">
        <f>VLOOKUP(H220,Mapping!D:E,2,0)</f>
        <v>gachibowli</v>
      </c>
      <c r="J220" s="9" t="s">
        <v>148</v>
      </c>
      <c r="K220" s="12">
        <v>0.19</v>
      </c>
      <c r="L220" s="14" t="str">
        <f t="shared" si="19"/>
        <v>&lt;20%</v>
      </c>
      <c r="M220" s="13">
        <v>0.018</v>
      </c>
      <c r="N220" s="9" t="s">
        <v>68</v>
      </c>
      <c r="O220" s="15" t="s">
        <v>1843</v>
      </c>
      <c r="P220" s="9" t="s">
        <v>1844</v>
      </c>
      <c r="Q220" s="9" t="s">
        <v>1845</v>
      </c>
      <c r="R220" s="16" t="s">
        <v>1846</v>
      </c>
      <c r="S220" s="9" t="s">
        <v>1847</v>
      </c>
      <c r="T220" s="9" t="s">
        <v>1848</v>
      </c>
      <c r="U220" s="9" t="s">
        <v>662</v>
      </c>
      <c r="V220" s="17">
        <v>1.2511040000335E15</v>
      </c>
      <c r="W220" s="9" t="s">
        <v>1849</v>
      </c>
      <c r="X220" s="9" t="s">
        <v>56</v>
      </c>
      <c r="Y220" s="18" t="s">
        <v>58</v>
      </c>
      <c r="Z220" s="18" t="s">
        <v>58</v>
      </c>
      <c r="AA220" s="18" t="s">
        <v>58</v>
      </c>
      <c r="AB220" s="18" t="s">
        <v>58</v>
      </c>
      <c r="AC220" s="18" t="s">
        <v>58</v>
      </c>
      <c r="AD220" s="18" t="s">
        <v>58</v>
      </c>
      <c r="AE220" s="14"/>
      <c r="AF220" s="14"/>
      <c r="AG220" s="14" t="str">
        <f t="shared" ref="AG220:AG227" si="26">VLOOKUP(H:H,'Pivot Table 8'!B:C,2,0)</f>
        <v>#REF!</v>
      </c>
      <c r="AH220" s="9" t="s">
        <v>1850</v>
      </c>
      <c r="AI220" s="20"/>
      <c r="AJ220" s="14"/>
      <c r="AK220" s="14"/>
      <c r="AL220" s="14"/>
      <c r="AM220" s="14"/>
      <c r="AN220" s="14"/>
      <c r="AO220" s="14"/>
      <c r="AP220" s="14"/>
      <c r="AQ220" s="14"/>
      <c r="AR220" s="14"/>
    </row>
    <row r="221" ht="22.5" customHeight="1">
      <c r="A221" s="68">
        <v>46072.0</v>
      </c>
      <c r="B221" s="69" t="s">
        <v>1851</v>
      </c>
      <c r="C221" s="8" t="s">
        <v>60</v>
      </c>
      <c r="D221" s="9" t="s">
        <v>258</v>
      </c>
      <c r="E221" s="39" t="s">
        <v>1852</v>
      </c>
      <c r="F221" s="9" t="s">
        <v>1853</v>
      </c>
      <c r="G221" s="10">
        <v>500072.0</v>
      </c>
      <c r="H221" s="9" t="s">
        <v>610</v>
      </c>
      <c r="I221" s="11" t="str">
        <f>VLOOKUP(H221,Mapping!D:E,2,0)</f>
        <v>kukatpally</v>
      </c>
      <c r="J221" s="9" t="s">
        <v>390</v>
      </c>
      <c r="K221" s="12">
        <v>0.2</v>
      </c>
      <c r="L221" s="14" t="str">
        <f t="shared" si="19"/>
        <v>20%+</v>
      </c>
      <c r="M221" s="13">
        <v>0.018</v>
      </c>
      <c r="N221" s="14"/>
      <c r="O221" s="9" t="s">
        <v>1851</v>
      </c>
      <c r="P221" s="39" t="s">
        <v>1854</v>
      </c>
      <c r="Q221" s="9" t="s">
        <v>1853</v>
      </c>
      <c r="R221" s="16" t="s">
        <v>1855</v>
      </c>
      <c r="S221" s="9" t="s">
        <v>1856</v>
      </c>
      <c r="T221" s="9" t="s">
        <v>1857</v>
      </c>
      <c r="U221" s="9" t="s">
        <v>1858</v>
      </c>
      <c r="V221" s="17">
        <v>4.3968656032E10</v>
      </c>
      <c r="W221" s="9" t="s">
        <v>1859</v>
      </c>
      <c r="X221" s="9" t="s">
        <v>56</v>
      </c>
      <c r="Y221" s="86" t="s">
        <v>57</v>
      </c>
      <c r="Z221" s="85" t="s">
        <v>58</v>
      </c>
      <c r="AA221" s="86" t="s">
        <v>57</v>
      </c>
      <c r="AB221" s="86" t="s">
        <v>57</v>
      </c>
      <c r="AC221" s="85" t="s">
        <v>58</v>
      </c>
      <c r="AD221" s="85" t="s">
        <v>69</v>
      </c>
      <c r="AE221" s="101" t="s">
        <v>1860</v>
      </c>
      <c r="AF221" s="14"/>
      <c r="AG221" s="14" t="str">
        <f t="shared" si="26"/>
        <v>#REF!</v>
      </c>
      <c r="AH221" s="14"/>
      <c r="AI221" s="20"/>
      <c r="AJ221" s="14"/>
      <c r="AK221" s="14"/>
      <c r="AL221" s="14"/>
      <c r="AM221" s="14"/>
      <c r="AN221" s="14"/>
      <c r="AO221" s="14"/>
      <c r="AP221" s="14"/>
      <c r="AQ221" s="14"/>
      <c r="AR221" s="14"/>
    </row>
    <row r="222" ht="22.5" customHeight="1">
      <c r="A222" s="103">
        <v>46072.0</v>
      </c>
      <c r="B222" s="97" t="s">
        <v>1861</v>
      </c>
      <c r="C222" s="8" t="s">
        <v>73</v>
      </c>
      <c r="D222" s="9" t="s">
        <v>258</v>
      </c>
      <c r="E222" s="9" t="s">
        <v>1862</v>
      </c>
      <c r="F222" s="9" t="s">
        <v>1863</v>
      </c>
      <c r="G222" s="10">
        <v>500085.0</v>
      </c>
      <c r="H222" s="9" t="s">
        <v>610</v>
      </c>
      <c r="I222" s="11" t="str">
        <f>VLOOKUP(H222,Mapping!D:E,2,0)</f>
        <v>kukatpally</v>
      </c>
      <c r="J222" s="9" t="s">
        <v>390</v>
      </c>
      <c r="K222" s="12">
        <v>0.22</v>
      </c>
      <c r="L222" s="14" t="str">
        <f t="shared" si="19"/>
        <v>20%+</v>
      </c>
      <c r="M222" s="13">
        <v>0.018</v>
      </c>
      <c r="N222" s="127">
        <v>0.0</v>
      </c>
      <c r="O222" s="107" t="s">
        <v>1861</v>
      </c>
      <c r="P222" s="9" t="s">
        <v>610</v>
      </c>
      <c r="Q222" s="9" t="s">
        <v>1863</v>
      </c>
      <c r="R222" s="16" t="s">
        <v>1864</v>
      </c>
      <c r="S222" s="9" t="s">
        <v>1865</v>
      </c>
      <c r="T222" s="9" t="s">
        <v>1863</v>
      </c>
      <c r="U222" s="9" t="s">
        <v>1564</v>
      </c>
      <c r="V222" s="17">
        <v>5.0200020614888E13</v>
      </c>
      <c r="W222" s="9" t="s">
        <v>1866</v>
      </c>
      <c r="X222" s="9" t="s">
        <v>80</v>
      </c>
      <c r="Y222" s="18" t="s">
        <v>57</v>
      </c>
      <c r="Z222" s="18" t="s">
        <v>69</v>
      </c>
      <c r="AA222" s="18" t="s">
        <v>57</v>
      </c>
      <c r="AB222" s="18" t="s">
        <v>57</v>
      </c>
      <c r="AC222" s="18" t="s">
        <v>58</v>
      </c>
      <c r="AD222" s="18" t="s">
        <v>69</v>
      </c>
      <c r="AE222" s="35" t="s">
        <v>1867</v>
      </c>
      <c r="AF222" s="14"/>
      <c r="AG222" s="14" t="str">
        <f t="shared" si="26"/>
        <v>#REF!</v>
      </c>
      <c r="AH222" s="14"/>
      <c r="AI222" s="20"/>
      <c r="AJ222" s="14"/>
      <c r="AK222" s="14"/>
      <c r="AL222" s="14"/>
      <c r="AM222" s="14"/>
      <c r="AN222" s="14"/>
      <c r="AO222" s="14"/>
      <c r="AP222" s="14"/>
      <c r="AQ222" s="14"/>
      <c r="AR222" s="14"/>
    </row>
    <row r="223" ht="22.5" customHeight="1">
      <c r="A223" s="103">
        <v>46072.0</v>
      </c>
      <c r="B223" s="68" t="s">
        <v>1868</v>
      </c>
      <c r="C223" s="8" t="s">
        <v>241</v>
      </c>
      <c r="D223" s="9" t="s">
        <v>61</v>
      </c>
      <c r="E223" s="39" t="s">
        <v>1869</v>
      </c>
      <c r="F223" s="9" t="s">
        <v>1870</v>
      </c>
      <c r="G223" s="10">
        <v>500084.0</v>
      </c>
      <c r="H223" s="9" t="s">
        <v>623</v>
      </c>
      <c r="I223" s="11" t="str">
        <f>VLOOKUP(H223,Mapping!D:E,2,0)</f>
        <v>Sherilingampally</v>
      </c>
      <c r="J223" s="9" t="s">
        <v>390</v>
      </c>
      <c r="K223" s="12">
        <v>0.22</v>
      </c>
      <c r="L223" s="14" t="str">
        <f t="shared" si="19"/>
        <v>20%+</v>
      </c>
      <c r="M223" s="13">
        <v>0.018</v>
      </c>
      <c r="N223" s="9" t="s">
        <v>68</v>
      </c>
      <c r="O223" s="9" t="s">
        <v>1868</v>
      </c>
      <c r="P223" s="39" t="s">
        <v>1871</v>
      </c>
      <c r="Q223" s="9" t="s">
        <v>1872</v>
      </c>
      <c r="R223" s="16" t="s">
        <v>1873</v>
      </c>
      <c r="S223" s="9" t="s">
        <v>1874</v>
      </c>
      <c r="T223" s="9" t="s">
        <v>1875</v>
      </c>
      <c r="U223" s="9" t="s">
        <v>1876</v>
      </c>
      <c r="V223" s="17">
        <v>2.049401213E9</v>
      </c>
      <c r="W223" s="9" t="s">
        <v>1877</v>
      </c>
      <c r="X223" s="9" t="s">
        <v>56</v>
      </c>
      <c r="Y223" s="18" t="s">
        <v>57</v>
      </c>
      <c r="Z223" s="18" t="s">
        <v>69</v>
      </c>
      <c r="AA223" s="18" t="s">
        <v>57</v>
      </c>
      <c r="AB223" s="18" t="s">
        <v>69</v>
      </c>
      <c r="AC223" s="18" t="s">
        <v>57</v>
      </c>
      <c r="AD223" s="18" t="s">
        <v>69</v>
      </c>
      <c r="AE223" s="39" t="s">
        <v>1878</v>
      </c>
      <c r="AF223" s="14"/>
      <c r="AG223" s="14" t="str">
        <f t="shared" si="26"/>
        <v>#REF!</v>
      </c>
      <c r="AH223" s="9" t="s">
        <v>1879</v>
      </c>
      <c r="AI223" s="20"/>
      <c r="AJ223" s="14"/>
      <c r="AK223" s="14"/>
      <c r="AL223" s="14"/>
      <c r="AM223" s="14"/>
      <c r="AN223" s="14"/>
      <c r="AO223" s="14"/>
      <c r="AP223" s="14"/>
      <c r="AQ223" s="14"/>
      <c r="AR223" s="14"/>
    </row>
    <row r="224" ht="22.5" customHeight="1">
      <c r="A224" s="103">
        <v>46072.0</v>
      </c>
      <c r="B224" s="97" t="s">
        <v>1880</v>
      </c>
      <c r="C224" s="8" t="s">
        <v>45</v>
      </c>
      <c r="D224" s="9" t="s">
        <v>46</v>
      </c>
      <c r="E224" s="9" t="s">
        <v>1881</v>
      </c>
      <c r="F224" s="9" t="s">
        <v>68</v>
      </c>
      <c r="G224" s="10">
        <v>500032.0</v>
      </c>
      <c r="H224" s="9" t="s">
        <v>903</v>
      </c>
      <c r="I224" s="11" t="str">
        <f>VLOOKUP(H224,Mapping!D:E,2,0)</f>
        <v>gachibowli</v>
      </c>
      <c r="J224" s="9" t="s">
        <v>148</v>
      </c>
      <c r="K224" s="12">
        <v>0.19</v>
      </c>
      <c r="L224" s="14" t="str">
        <f t="shared" si="19"/>
        <v>&lt;20%</v>
      </c>
      <c r="M224" s="13">
        <v>0.018</v>
      </c>
      <c r="N224" s="9" t="s">
        <v>68</v>
      </c>
      <c r="O224" s="107" t="s">
        <v>1880</v>
      </c>
      <c r="P224" s="9" t="s">
        <v>1881</v>
      </c>
      <c r="Q224" s="9" t="s">
        <v>1845</v>
      </c>
      <c r="R224" s="16" t="s">
        <v>1882</v>
      </c>
      <c r="S224" s="9" t="s">
        <v>1883</v>
      </c>
      <c r="T224" s="9" t="s">
        <v>1884</v>
      </c>
      <c r="U224" s="9" t="s">
        <v>1885</v>
      </c>
      <c r="V224" s="17">
        <v>1.03020010002391E15</v>
      </c>
      <c r="W224" s="9" t="s">
        <v>1886</v>
      </c>
      <c r="X224" s="9" t="s">
        <v>56</v>
      </c>
      <c r="Y224" s="18" t="s">
        <v>58</v>
      </c>
      <c r="Z224" s="18" t="s">
        <v>58</v>
      </c>
      <c r="AA224" s="18" t="s">
        <v>58</v>
      </c>
      <c r="AB224" s="18" t="s">
        <v>58</v>
      </c>
      <c r="AC224" s="18" t="s">
        <v>58</v>
      </c>
      <c r="AD224" s="18" t="s">
        <v>58</v>
      </c>
      <c r="AE224" s="14"/>
      <c r="AF224" s="14"/>
      <c r="AG224" s="14" t="str">
        <f t="shared" si="26"/>
        <v>#REF!</v>
      </c>
      <c r="AH224" s="9" t="s">
        <v>1850</v>
      </c>
      <c r="AI224" s="20"/>
      <c r="AJ224" s="14"/>
      <c r="AK224" s="14"/>
      <c r="AL224" s="14"/>
      <c r="AM224" s="14"/>
      <c r="AN224" s="14"/>
      <c r="AO224" s="14"/>
      <c r="AP224" s="14"/>
      <c r="AQ224" s="14"/>
      <c r="AR224" s="14"/>
    </row>
    <row r="225" ht="22.5" customHeight="1">
      <c r="A225" s="103">
        <v>46072.0</v>
      </c>
      <c r="B225" s="69" t="s">
        <v>1887</v>
      </c>
      <c r="C225" s="8" t="s">
        <v>96</v>
      </c>
      <c r="D225" s="9" t="s">
        <v>46</v>
      </c>
      <c r="E225" s="9" t="s">
        <v>1888</v>
      </c>
      <c r="F225" s="9" t="s">
        <v>1889</v>
      </c>
      <c r="G225" s="10">
        <v>500050.0</v>
      </c>
      <c r="H225" s="9" t="s">
        <v>512</v>
      </c>
      <c r="I225" s="11" t="str">
        <f>VLOOKUP(H225,Mapping!D:E,2,0)</f>
        <v>miyapur</v>
      </c>
      <c r="J225" s="9" t="s">
        <v>390</v>
      </c>
      <c r="K225" s="12">
        <v>0.22</v>
      </c>
      <c r="L225" s="14" t="str">
        <f t="shared" si="19"/>
        <v>20%+</v>
      </c>
      <c r="M225" s="13">
        <v>0.018</v>
      </c>
      <c r="N225" s="14"/>
      <c r="O225" s="9" t="s">
        <v>1890</v>
      </c>
      <c r="P225" s="9" t="s">
        <v>1891</v>
      </c>
      <c r="Q225" s="9" t="s">
        <v>1892</v>
      </c>
      <c r="R225" s="16" t="s">
        <v>1893</v>
      </c>
      <c r="S225" s="9" t="s">
        <v>1894</v>
      </c>
      <c r="T225" s="9" t="s">
        <v>1895</v>
      </c>
      <c r="U225" s="9" t="s">
        <v>307</v>
      </c>
      <c r="V225" s="17" t="s">
        <v>1896</v>
      </c>
      <c r="W225" s="9" t="s">
        <v>1897</v>
      </c>
      <c r="X225" s="9" t="s">
        <v>56</v>
      </c>
      <c r="Y225" s="18" t="s">
        <v>57</v>
      </c>
      <c r="Z225" s="18" t="s">
        <v>58</v>
      </c>
      <c r="AA225" s="18" t="s">
        <v>57</v>
      </c>
      <c r="AB225" s="18" t="s">
        <v>57</v>
      </c>
      <c r="AC225" s="18" t="s">
        <v>57</v>
      </c>
      <c r="AD225" s="18" t="s">
        <v>58</v>
      </c>
      <c r="AE225" s="35" t="s">
        <v>1898</v>
      </c>
      <c r="AF225" s="14"/>
      <c r="AG225" s="14" t="str">
        <f t="shared" si="26"/>
        <v>#REF!</v>
      </c>
      <c r="AH225" s="14"/>
      <c r="AI225" s="20"/>
      <c r="AJ225" s="14"/>
      <c r="AK225" s="14"/>
      <c r="AL225" s="14"/>
      <c r="AM225" s="14"/>
      <c r="AN225" s="14"/>
      <c r="AO225" s="14"/>
      <c r="AP225" s="14"/>
      <c r="AQ225" s="14"/>
      <c r="AR225" s="14"/>
    </row>
    <row r="226" ht="22.5" customHeight="1">
      <c r="A226" s="103">
        <v>46072.0</v>
      </c>
      <c r="B226" s="97" t="s">
        <v>1899</v>
      </c>
      <c r="C226" s="8" t="s">
        <v>45</v>
      </c>
      <c r="D226" s="9" t="s">
        <v>46</v>
      </c>
      <c r="E226" s="9" t="s">
        <v>1900</v>
      </c>
      <c r="F226" s="9" t="s">
        <v>68</v>
      </c>
      <c r="G226" s="10">
        <v>500032.0</v>
      </c>
      <c r="H226" s="9" t="s">
        <v>903</v>
      </c>
      <c r="I226" s="11" t="str">
        <f>VLOOKUP(H226,Mapping!D:E,2,0)</f>
        <v>gachibowli</v>
      </c>
      <c r="J226" s="9" t="s">
        <v>148</v>
      </c>
      <c r="K226" s="12">
        <v>0.19</v>
      </c>
      <c r="L226" s="14" t="str">
        <f t="shared" si="19"/>
        <v>&lt;20%</v>
      </c>
      <c r="M226" s="13">
        <v>0.018</v>
      </c>
      <c r="N226" s="9" t="s">
        <v>68</v>
      </c>
      <c r="O226" s="43" t="s">
        <v>1901</v>
      </c>
      <c r="P226" s="9" t="s">
        <v>1844</v>
      </c>
      <c r="Q226" s="9" t="s">
        <v>1845</v>
      </c>
      <c r="R226" s="16" t="s">
        <v>1882</v>
      </c>
      <c r="S226" s="9" t="s">
        <v>1902</v>
      </c>
      <c r="T226" s="9" t="s">
        <v>1884</v>
      </c>
      <c r="U226" s="9" t="s">
        <v>1885</v>
      </c>
      <c r="V226" s="17">
        <v>1.03020010002391E15</v>
      </c>
      <c r="W226" s="9" t="s">
        <v>1886</v>
      </c>
      <c r="X226" s="9" t="s">
        <v>56</v>
      </c>
      <c r="Y226" s="18" t="s">
        <v>58</v>
      </c>
      <c r="Z226" s="18" t="s">
        <v>58</v>
      </c>
      <c r="AA226" s="18" t="s">
        <v>58</v>
      </c>
      <c r="AB226" s="18" t="s">
        <v>58</v>
      </c>
      <c r="AC226" s="18" t="s">
        <v>58</v>
      </c>
      <c r="AD226" s="18" t="s">
        <v>58</v>
      </c>
      <c r="AE226" s="14"/>
      <c r="AF226" s="14"/>
      <c r="AG226" s="14" t="str">
        <f t="shared" si="26"/>
        <v>#REF!</v>
      </c>
      <c r="AH226" s="9" t="s">
        <v>1850</v>
      </c>
      <c r="AI226" s="20"/>
      <c r="AJ226" s="14"/>
      <c r="AK226" s="14"/>
      <c r="AL226" s="14"/>
      <c r="AM226" s="14"/>
      <c r="AN226" s="14"/>
      <c r="AO226" s="14"/>
      <c r="AP226" s="14"/>
      <c r="AQ226" s="14"/>
      <c r="AR226" s="14"/>
    </row>
    <row r="227" ht="22.5" customHeight="1">
      <c r="A227" s="103">
        <v>46072.0</v>
      </c>
      <c r="B227" s="69" t="s">
        <v>1903</v>
      </c>
      <c r="C227" s="8" t="s">
        <v>45</v>
      </c>
      <c r="D227" s="9" t="s">
        <v>46</v>
      </c>
      <c r="E227" s="9" t="s">
        <v>68</v>
      </c>
      <c r="F227" s="9" t="s">
        <v>1904</v>
      </c>
      <c r="G227" s="10">
        <v>500032.0</v>
      </c>
      <c r="H227" s="9" t="s">
        <v>716</v>
      </c>
      <c r="I227" s="11" t="str">
        <f>VLOOKUP(H227,Mapping!D:E,2,0)</f>
        <v>nanakramguda</v>
      </c>
      <c r="J227" s="9" t="s">
        <v>303</v>
      </c>
      <c r="K227" s="12">
        <v>0.2</v>
      </c>
      <c r="L227" s="14" t="str">
        <f t="shared" si="19"/>
        <v>20%+</v>
      </c>
      <c r="M227" s="13">
        <v>0.018</v>
      </c>
      <c r="N227" s="9" t="s">
        <v>68</v>
      </c>
      <c r="O227" s="9" t="s">
        <v>68</v>
      </c>
      <c r="P227" s="9" t="s">
        <v>68</v>
      </c>
      <c r="Q227" s="9" t="s">
        <v>1905</v>
      </c>
      <c r="R227" s="16" t="s">
        <v>1906</v>
      </c>
      <c r="S227" s="9" t="s">
        <v>1907</v>
      </c>
      <c r="T227" s="9" t="s">
        <v>1908</v>
      </c>
      <c r="U227" s="9" t="s">
        <v>1583</v>
      </c>
      <c r="V227" s="17">
        <v>4.2302071794E10</v>
      </c>
      <c r="W227" s="9" t="s">
        <v>1909</v>
      </c>
      <c r="X227" s="9" t="s">
        <v>56</v>
      </c>
      <c r="Y227" s="18" t="s">
        <v>58</v>
      </c>
      <c r="Z227" s="18" t="s">
        <v>58</v>
      </c>
      <c r="AA227" s="18" t="s">
        <v>58</v>
      </c>
      <c r="AB227" s="18" t="s">
        <v>58</v>
      </c>
      <c r="AC227" s="18" t="s">
        <v>58</v>
      </c>
      <c r="AD227" s="18" t="s">
        <v>58</v>
      </c>
      <c r="AE227" s="14"/>
      <c r="AF227" s="14"/>
      <c r="AG227" s="14" t="str">
        <f t="shared" si="26"/>
        <v>#REF!</v>
      </c>
      <c r="AH227" s="9" t="s">
        <v>1850</v>
      </c>
      <c r="AI227" s="20"/>
      <c r="AJ227" s="14"/>
      <c r="AK227" s="14"/>
      <c r="AL227" s="14"/>
      <c r="AM227" s="14"/>
      <c r="AN227" s="14"/>
      <c r="AO227" s="14"/>
      <c r="AP227" s="14"/>
      <c r="AQ227" s="14"/>
      <c r="AR227" s="14"/>
    </row>
    <row r="228" ht="22.5" customHeight="1">
      <c r="A228" s="103">
        <v>46073.0</v>
      </c>
      <c r="B228" s="97" t="s">
        <v>1910</v>
      </c>
      <c r="C228" s="8" t="s">
        <v>241</v>
      </c>
      <c r="D228" s="9" t="s">
        <v>68</v>
      </c>
      <c r="E228" s="9" t="s">
        <v>68</v>
      </c>
      <c r="F228" s="9" t="s">
        <v>68</v>
      </c>
      <c r="G228" s="9" t="s">
        <v>68</v>
      </c>
      <c r="H228" s="9" t="s">
        <v>68</v>
      </c>
      <c r="I228" s="9" t="s">
        <v>1038</v>
      </c>
      <c r="J228" s="11" t="str">
        <f>VLOOKUP(I228,Mapping!A:B,2,0)</f>
        <v>Zone 3 Raidurg</v>
      </c>
      <c r="K228" s="12">
        <v>0.22</v>
      </c>
      <c r="L228" s="14" t="str">
        <f t="shared" si="19"/>
        <v>20%+</v>
      </c>
      <c r="M228" s="13">
        <v>0.018</v>
      </c>
      <c r="N228" s="9" t="s">
        <v>68</v>
      </c>
      <c r="O228" s="9" t="s">
        <v>68</v>
      </c>
      <c r="P228" s="9" t="s">
        <v>68</v>
      </c>
      <c r="Q228" s="9" t="s">
        <v>1911</v>
      </c>
      <c r="R228" s="9" t="s">
        <v>68</v>
      </c>
      <c r="S228" s="9" t="s">
        <v>68</v>
      </c>
      <c r="T228" s="9" t="s">
        <v>68</v>
      </c>
      <c r="U228" s="9" t="s">
        <v>68</v>
      </c>
      <c r="V228" s="9" t="s">
        <v>68</v>
      </c>
      <c r="W228" s="9" t="s">
        <v>68</v>
      </c>
      <c r="X228" s="9" t="s">
        <v>68</v>
      </c>
      <c r="Y228" s="18" t="s">
        <v>58</v>
      </c>
      <c r="Z228" s="18" t="s">
        <v>58</v>
      </c>
      <c r="AA228" s="18" t="s">
        <v>58</v>
      </c>
      <c r="AB228" s="18" t="s">
        <v>58</v>
      </c>
      <c r="AC228" s="18" t="s">
        <v>69</v>
      </c>
      <c r="AD228" s="18" t="s">
        <v>69</v>
      </c>
      <c r="AE228" s="14"/>
      <c r="AF228" s="14"/>
      <c r="AH228" s="14"/>
      <c r="AI228" s="20"/>
      <c r="AJ228" s="14"/>
      <c r="AK228" s="14"/>
      <c r="AL228" s="14"/>
      <c r="AM228" s="14"/>
      <c r="AN228" s="14"/>
      <c r="AO228" s="14"/>
      <c r="AP228" s="14"/>
      <c r="AQ228" s="14"/>
      <c r="AR228" s="14"/>
    </row>
    <row r="229" ht="22.5" customHeight="1">
      <c r="A229" s="103">
        <v>46073.0</v>
      </c>
      <c r="B229" s="69" t="s">
        <v>1912</v>
      </c>
      <c r="C229" s="8" t="s">
        <v>96</v>
      </c>
      <c r="D229" s="9" t="s">
        <v>46</v>
      </c>
      <c r="E229" s="9" t="s">
        <v>1913</v>
      </c>
      <c r="F229" s="9" t="s">
        <v>1914</v>
      </c>
      <c r="G229" s="10">
        <v>500008.0</v>
      </c>
      <c r="H229" s="9" t="s">
        <v>137</v>
      </c>
      <c r="I229" s="11" t="str">
        <f>VLOOKUP(H229,Mapping!D:E,2,0)</f>
        <v>tolichowki</v>
      </c>
      <c r="J229" s="9" t="s">
        <v>86</v>
      </c>
      <c r="K229" s="12">
        <v>0.19</v>
      </c>
      <c r="L229" s="14" t="str">
        <f t="shared" si="19"/>
        <v>&lt;20%</v>
      </c>
      <c r="M229" s="13">
        <v>0.018</v>
      </c>
      <c r="N229" s="14"/>
      <c r="O229" s="9" t="s">
        <v>1915</v>
      </c>
      <c r="P229" s="9" t="s">
        <v>1913</v>
      </c>
      <c r="Q229" s="9" t="s">
        <v>1914</v>
      </c>
      <c r="R229" s="16" t="s">
        <v>1916</v>
      </c>
      <c r="S229" s="9" t="s">
        <v>1917</v>
      </c>
      <c r="T229" s="9" t="s">
        <v>68</v>
      </c>
      <c r="U229" s="9" t="s">
        <v>68</v>
      </c>
      <c r="V229" s="9" t="s">
        <v>68</v>
      </c>
      <c r="W229" s="9" t="s">
        <v>68</v>
      </c>
      <c r="X229" s="9" t="s">
        <v>68</v>
      </c>
      <c r="Y229" s="14"/>
      <c r="Z229" s="14"/>
      <c r="AA229" s="14"/>
      <c r="AB229" s="14"/>
      <c r="AC229" s="14"/>
      <c r="AD229" s="14"/>
      <c r="AE229" s="9">
        <v>9.121858951E9</v>
      </c>
      <c r="AF229" s="14"/>
      <c r="AG229" s="14" t="str">
        <f>VLOOKUP(H:H,'Pivot Table 8'!B:C,2,0)</f>
        <v>#REF!</v>
      </c>
      <c r="AH229" s="14"/>
      <c r="AI229" s="20"/>
      <c r="AJ229" s="14"/>
      <c r="AK229" s="14"/>
      <c r="AL229" s="14"/>
      <c r="AM229" s="14"/>
      <c r="AN229" s="14"/>
      <c r="AO229" s="14"/>
      <c r="AP229" s="14"/>
      <c r="AQ229" s="14"/>
      <c r="AR229" s="14"/>
    </row>
    <row r="230" ht="22.5" customHeight="1">
      <c r="A230" s="103">
        <v>46073.0</v>
      </c>
      <c r="B230" s="97" t="s">
        <v>1918</v>
      </c>
      <c r="C230" s="8" t="s">
        <v>1919</v>
      </c>
      <c r="D230" s="9" t="s">
        <v>46</v>
      </c>
      <c r="E230" s="9" t="s">
        <v>1920</v>
      </c>
      <c r="F230" s="9" t="s">
        <v>1921</v>
      </c>
      <c r="G230" s="10">
        <v>500086.0</v>
      </c>
      <c r="H230" s="9" t="s">
        <v>117</v>
      </c>
      <c r="I230" s="11" t="str">
        <f>VLOOKUP(H230,Mapping!D:E,2,0)</f>
        <v>mehdipatnam</v>
      </c>
      <c r="J230" s="9" t="s">
        <v>50</v>
      </c>
      <c r="K230" s="12">
        <v>0.22</v>
      </c>
      <c r="L230" s="14" t="str">
        <f t="shared" si="19"/>
        <v>20%+</v>
      </c>
      <c r="M230" s="13">
        <v>0.018</v>
      </c>
      <c r="N230" s="127">
        <v>0.0</v>
      </c>
      <c r="O230" s="9" t="s">
        <v>1918</v>
      </c>
      <c r="P230" s="9" t="s">
        <v>1922</v>
      </c>
      <c r="Q230" s="9" t="s">
        <v>1921</v>
      </c>
      <c r="R230" s="16" t="s">
        <v>1923</v>
      </c>
      <c r="S230" s="9" t="s">
        <v>1924</v>
      </c>
      <c r="T230" s="9" t="s">
        <v>1921</v>
      </c>
      <c r="U230" s="9" t="s">
        <v>1925</v>
      </c>
      <c r="V230" s="17">
        <v>1.05000415666E11</v>
      </c>
      <c r="W230" s="9" t="s">
        <v>1926</v>
      </c>
      <c r="X230" s="9" t="s">
        <v>56</v>
      </c>
      <c r="Y230" s="18" t="s">
        <v>57</v>
      </c>
      <c r="Z230" s="18" t="s">
        <v>58</v>
      </c>
      <c r="AA230" s="18" t="s">
        <v>57</v>
      </c>
      <c r="AB230" s="18" t="s">
        <v>57</v>
      </c>
      <c r="AC230" s="18" t="s">
        <v>58</v>
      </c>
      <c r="AD230" s="18" t="s">
        <v>58</v>
      </c>
      <c r="AE230" s="35" t="s">
        <v>1927</v>
      </c>
      <c r="AF230" s="14"/>
      <c r="AG230" s="9" t="s">
        <v>1928</v>
      </c>
      <c r="AH230" s="9" t="s">
        <v>1929</v>
      </c>
      <c r="AI230" s="8" t="s">
        <v>1930</v>
      </c>
      <c r="AJ230" s="14"/>
      <c r="AK230" s="14"/>
      <c r="AL230" s="14"/>
      <c r="AM230" s="14"/>
      <c r="AN230" s="14"/>
      <c r="AO230" s="14"/>
      <c r="AP230" s="14"/>
      <c r="AQ230" s="14"/>
      <c r="AR230" s="14"/>
    </row>
    <row r="231" ht="22.5" customHeight="1">
      <c r="A231" s="110">
        <v>46073.0</v>
      </c>
      <c r="B231" s="69" t="s">
        <v>1931</v>
      </c>
      <c r="C231" s="8" t="s">
        <v>144</v>
      </c>
      <c r="D231" s="9" t="s">
        <v>46</v>
      </c>
      <c r="E231" s="9" t="s">
        <v>1932</v>
      </c>
      <c r="F231" s="9" t="s">
        <v>68</v>
      </c>
      <c r="G231" s="10">
        <v>500018.0</v>
      </c>
      <c r="H231" s="9" t="s">
        <v>160</v>
      </c>
      <c r="I231" s="11" t="str">
        <f>VLOOKUP(H231,Mapping!D:E,2,0)</f>
        <v>ameerpet</v>
      </c>
      <c r="J231" s="61" t="s">
        <v>161</v>
      </c>
      <c r="K231" s="12">
        <v>0.2</v>
      </c>
      <c r="L231" s="14" t="str">
        <f t="shared" si="19"/>
        <v>20%+</v>
      </c>
      <c r="M231" s="13">
        <v>0.018</v>
      </c>
      <c r="N231" s="14"/>
      <c r="O231" s="9" t="s">
        <v>1933</v>
      </c>
      <c r="P231" s="9" t="s">
        <v>1934</v>
      </c>
      <c r="Q231" s="9" t="s">
        <v>1933</v>
      </c>
      <c r="R231" s="16" t="s">
        <v>1935</v>
      </c>
      <c r="S231" s="9" t="s">
        <v>68</v>
      </c>
      <c r="T231" s="9" t="s">
        <v>1936</v>
      </c>
      <c r="U231" s="9" t="s">
        <v>1110</v>
      </c>
      <c r="V231" s="17">
        <v>3.5180100000723E14</v>
      </c>
      <c r="W231" s="9" t="s">
        <v>1937</v>
      </c>
      <c r="X231" s="9" t="s">
        <v>56</v>
      </c>
      <c r="Y231" s="18" t="s">
        <v>57</v>
      </c>
      <c r="Z231" s="18" t="s">
        <v>58</v>
      </c>
      <c r="AA231" s="18" t="s">
        <v>57</v>
      </c>
      <c r="AB231" s="18" t="s">
        <v>57</v>
      </c>
      <c r="AC231" s="14"/>
      <c r="AD231" s="14"/>
      <c r="AE231" s="14"/>
      <c r="AF231" s="14"/>
      <c r="AH231" s="14"/>
      <c r="AI231" s="20"/>
      <c r="AJ231" s="14"/>
      <c r="AK231" s="14"/>
      <c r="AL231" s="14"/>
      <c r="AM231" s="14"/>
      <c r="AN231" s="14"/>
      <c r="AO231" s="14"/>
      <c r="AP231" s="14"/>
      <c r="AQ231" s="14"/>
      <c r="AR231" s="14"/>
    </row>
    <row r="232" ht="22.5" customHeight="1">
      <c r="A232" s="110">
        <v>46073.0</v>
      </c>
      <c r="B232" s="97" t="s">
        <v>1938</v>
      </c>
      <c r="C232" s="8" t="s">
        <v>186</v>
      </c>
      <c r="D232" s="9" t="s">
        <v>61</v>
      </c>
      <c r="E232" s="9" t="s">
        <v>1939</v>
      </c>
      <c r="F232" s="9" t="s">
        <v>68</v>
      </c>
      <c r="G232" s="10">
        <v>500081.0</v>
      </c>
      <c r="H232" s="9" t="s">
        <v>1940</v>
      </c>
      <c r="I232" s="11" t="str">
        <f>VLOOKUP(H232,Mapping!D:E,2,0)</f>
        <v>Hitech-City</v>
      </c>
      <c r="J232" s="9" t="s">
        <v>148</v>
      </c>
      <c r="K232" s="12">
        <v>0.23</v>
      </c>
      <c r="L232" s="14" t="str">
        <f t="shared" si="19"/>
        <v>20%+</v>
      </c>
      <c r="M232" s="13">
        <v>0.018</v>
      </c>
      <c r="N232" s="127">
        <v>0.02</v>
      </c>
      <c r="O232" s="9" t="s">
        <v>1941</v>
      </c>
      <c r="P232" s="9" t="s">
        <v>1942</v>
      </c>
      <c r="Q232" s="9" t="s">
        <v>1943</v>
      </c>
      <c r="R232" s="16" t="s">
        <v>1944</v>
      </c>
      <c r="S232" s="9" t="s">
        <v>1945</v>
      </c>
      <c r="T232" s="9" t="s">
        <v>1946</v>
      </c>
      <c r="U232" s="9" t="s">
        <v>1947</v>
      </c>
      <c r="V232" s="17">
        <v>8.146469729E9</v>
      </c>
      <c r="W232" s="9" t="s">
        <v>1948</v>
      </c>
      <c r="X232" s="9" t="s">
        <v>1949</v>
      </c>
      <c r="Y232" s="18" t="s">
        <v>57</v>
      </c>
      <c r="Z232" s="18" t="s">
        <v>58</v>
      </c>
      <c r="AA232" s="18" t="s">
        <v>57</v>
      </c>
      <c r="AB232" s="18" t="s">
        <v>57</v>
      </c>
      <c r="AC232" s="18" t="s">
        <v>57</v>
      </c>
      <c r="AD232" s="18" t="s">
        <v>58</v>
      </c>
      <c r="AE232" s="40" t="s">
        <v>1938</v>
      </c>
      <c r="AF232" s="35" t="s">
        <v>1950</v>
      </c>
      <c r="AG232" s="14" t="str">
        <f>VLOOKUP(H:H,'Pivot Table 8'!B:C,2,0)</f>
        <v>#REF!</v>
      </c>
      <c r="AH232" s="14"/>
      <c r="AI232" s="20"/>
      <c r="AJ232" s="14"/>
      <c r="AK232" s="14"/>
      <c r="AL232" s="14"/>
      <c r="AM232" s="14"/>
      <c r="AN232" s="14"/>
      <c r="AO232" s="14"/>
      <c r="AP232" s="14"/>
      <c r="AQ232" s="14"/>
      <c r="AR232" s="14"/>
    </row>
    <row r="233" ht="22.5" customHeight="1">
      <c r="A233" s="103">
        <v>46073.0</v>
      </c>
      <c r="B233" s="68" t="s">
        <v>1037</v>
      </c>
      <c r="C233" s="8" t="s">
        <v>241</v>
      </c>
      <c r="D233" s="9" t="s">
        <v>46</v>
      </c>
      <c r="E233" s="39" t="s">
        <v>1951</v>
      </c>
      <c r="F233" s="9" t="s">
        <v>1952</v>
      </c>
      <c r="G233" s="10">
        <v>500032.0</v>
      </c>
      <c r="H233" s="9" t="s">
        <v>903</v>
      </c>
      <c r="I233" s="11" t="str">
        <f>VLOOKUP(H233,Mapping!D:E,2,0)</f>
        <v>gachibowli</v>
      </c>
      <c r="J233" s="61" t="s">
        <v>148</v>
      </c>
      <c r="K233" s="9" t="s">
        <v>68</v>
      </c>
      <c r="L233" s="14" t="str">
        <f t="shared" si="19"/>
        <v>20%+</v>
      </c>
      <c r="M233" s="13">
        <v>0.018</v>
      </c>
      <c r="N233" s="14"/>
      <c r="O233" s="121" t="s">
        <v>1037</v>
      </c>
      <c r="P233" s="15" t="s">
        <v>1953</v>
      </c>
      <c r="Q233" s="9" t="s">
        <v>1952</v>
      </c>
      <c r="R233" s="16" t="s">
        <v>1954</v>
      </c>
      <c r="S233" s="9" t="s">
        <v>1955</v>
      </c>
      <c r="T233" s="15" t="s">
        <v>1037</v>
      </c>
      <c r="U233" s="9" t="s">
        <v>1956</v>
      </c>
      <c r="V233" s="17">
        <v>1.0082960313E10</v>
      </c>
      <c r="W233" s="9" t="s">
        <v>1957</v>
      </c>
      <c r="X233" s="9" t="s">
        <v>80</v>
      </c>
      <c r="Y233" s="18" t="s">
        <v>58</v>
      </c>
      <c r="Z233" s="18" t="s">
        <v>69</v>
      </c>
      <c r="AA233" s="18" t="s">
        <v>69</v>
      </c>
      <c r="AB233" s="18" t="s">
        <v>58</v>
      </c>
      <c r="AC233" s="18" t="s">
        <v>58</v>
      </c>
      <c r="AD233" s="18" t="s">
        <v>69</v>
      </c>
      <c r="AE233" s="14"/>
      <c r="AF233" s="14"/>
      <c r="AH233" s="9" t="s">
        <v>1958</v>
      </c>
      <c r="AI233" s="20"/>
      <c r="AJ233" s="14"/>
      <c r="AK233" s="14"/>
      <c r="AL233" s="14"/>
      <c r="AM233" s="14"/>
      <c r="AN233" s="14"/>
      <c r="AO233" s="14"/>
      <c r="AP233" s="14"/>
      <c r="AQ233" s="14"/>
      <c r="AR233" s="14"/>
    </row>
    <row r="234" ht="22.5" customHeight="1">
      <c r="A234" s="103">
        <v>46073.0</v>
      </c>
      <c r="B234" s="97" t="s">
        <v>1959</v>
      </c>
      <c r="C234" s="8" t="s">
        <v>73</v>
      </c>
      <c r="D234" s="9" t="s">
        <v>61</v>
      </c>
      <c r="E234" s="9" t="s">
        <v>1960</v>
      </c>
      <c r="F234" s="9" t="s">
        <v>624</v>
      </c>
      <c r="G234" s="10">
        <v>500049.0</v>
      </c>
      <c r="H234" s="9" t="s">
        <v>1961</v>
      </c>
      <c r="I234" s="11" t="str">
        <f>VLOOKUP(H234,Mapping!D:E,2,0)</f>
        <v>miyapur</v>
      </c>
      <c r="J234" s="9" t="s">
        <v>390</v>
      </c>
      <c r="K234" s="12">
        <v>0.22</v>
      </c>
      <c r="L234" s="14" t="str">
        <f t="shared" si="19"/>
        <v>20%+</v>
      </c>
      <c r="M234" s="13">
        <v>0.018</v>
      </c>
      <c r="N234" s="127">
        <v>0.0</v>
      </c>
      <c r="O234" s="133" t="s">
        <v>1959</v>
      </c>
      <c r="P234" s="9" t="s">
        <v>1961</v>
      </c>
      <c r="Q234" s="9" t="s">
        <v>1962</v>
      </c>
      <c r="R234" s="16" t="s">
        <v>1963</v>
      </c>
      <c r="S234" s="9" t="s">
        <v>68</v>
      </c>
      <c r="T234" s="9" t="s">
        <v>68</v>
      </c>
      <c r="U234" s="9" t="s">
        <v>68</v>
      </c>
      <c r="V234" s="9" t="s">
        <v>68</v>
      </c>
      <c r="W234" s="9" t="s">
        <v>68</v>
      </c>
      <c r="X234" s="9" t="s">
        <v>68</v>
      </c>
      <c r="Y234" s="18" t="s">
        <v>57</v>
      </c>
      <c r="Z234" s="18" t="s">
        <v>69</v>
      </c>
      <c r="AA234" s="18" t="s">
        <v>57</v>
      </c>
      <c r="AB234" s="18" t="s">
        <v>58</v>
      </c>
      <c r="AC234" s="18" t="s">
        <v>58</v>
      </c>
      <c r="AD234" s="18" t="s">
        <v>69</v>
      </c>
      <c r="AE234" s="35" t="s">
        <v>1964</v>
      </c>
      <c r="AF234" s="14"/>
      <c r="AG234" s="14" t="str">
        <f>VLOOKUP(H:H,'Pivot Table 8'!B:C,2,0)</f>
        <v>#REF!</v>
      </c>
      <c r="AH234" s="14"/>
      <c r="AI234" s="8" t="s">
        <v>71</v>
      </c>
      <c r="AJ234" s="14"/>
      <c r="AK234" s="14"/>
      <c r="AL234" s="14"/>
      <c r="AM234" s="14"/>
      <c r="AN234" s="14"/>
      <c r="AO234" s="14"/>
      <c r="AP234" s="14"/>
      <c r="AQ234" s="14"/>
      <c r="AR234" s="14"/>
    </row>
    <row r="235" ht="22.5" customHeight="1">
      <c r="A235" s="103">
        <v>46073.0</v>
      </c>
      <c r="B235" s="69" t="s">
        <v>1965</v>
      </c>
      <c r="C235" s="8" t="s">
        <v>96</v>
      </c>
      <c r="D235" s="9" t="s">
        <v>46</v>
      </c>
      <c r="E235" s="9" t="s">
        <v>1920</v>
      </c>
      <c r="F235" s="9" t="s">
        <v>1921</v>
      </c>
      <c r="G235" s="10">
        <v>500086.0</v>
      </c>
      <c r="H235" s="9" t="s">
        <v>1966</v>
      </c>
      <c r="I235" s="11" t="str">
        <f>VLOOKUP(H235,Mapping!D:E,2,0)</f>
        <v>mehdipatnam</v>
      </c>
      <c r="J235" s="9" t="s">
        <v>50</v>
      </c>
      <c r="K235" s="12">
        <v>0.22</v>
      </c>
      <c r="L235" s="14" t="str">
        <f t="shared" si="19"/>
        <v>20%+</v>
      </c>
      <c r="M235" s="13">
        <v>0.018</v>
      </c>
      <c r="N235" s="127">
        <v>0.0</v>
      </c>
      <c r="O235" s="43" t="s">
        <v>1965</v>
      </c>
      <c r="P235" s="9" t="s">
        <v>1967</v>
      </c>
      <c r="Q235" s="9" t="s">
        <v>1921</v>
      </c>
      <c r="R235" s="16" t="s">
        <v>1968</v>
      </c>
      <c r="S235" s="9" t="s">
        <v>1924</v>
      </c>
      <c r="T235" s="9" t="s">
        <v>1921</v>
      </c>
      <c r="U235" s="9" t="s">
        <v>1925</v>
      </c>
      <c r="V235" s="17">
        <v>1.05000415666E11</v>
      </c>
      <c r="W235" s="9" t="s">
        <v>1969</v>
      </c>
      <c r="X235" s="9" t="s">
        <v>56</v>
      </c>
      <c r="Y235" s="18" t="s">
        <v>57</v>
      </c>
      <c r="Z235" s="18" t="s">
        <v>58</v>
      </c>
      <c r="AA235" s="18" t="s">
        <v>57</v>
      </c>
      <c r="AB235" s="18" t="s">
        <v>57</v>
      </c>
      <c r="AC235" s="18" t="s">
        <v>57</v>
      </c>
      <c r="AD235" s="18" t="s">
        <v>58</v>
      </c>
      <c r="AE235" s="35" t="s">
        <v>1970</v>
      </c>
      <c r="AF235" s="14"/>
      <c r="AG235" s="9" t="s">
        <v>1928</v>
      </c>
      <c r="AH235" s="14"/>
      <c r="AI235" s="20"/>
      <c r="AJ235" s="14"/>
      <c r="AK235" s="14"/>
      <c r="AL235" s="14"/>
      <c r="AM235" s="14"/>
      <c r="AN235" s="14"/>
      <c r="AO235" s="14"/>
      <c r="AP235" s="14"/>
      <c r="AQ235" s="14"/>
      <c r="AR235" s="14"/>
    </row>
    <row r="236" ht="22.5" customHeight="1">
      <c r="A236" s="103">
        <v>46073.0</v>
      </c>
      <c r="B236" s="97" t="s">
        <v>1971</v>
      </c>
      <c r="C236" s="8" t="s">
        <v>73</v>
      </c>
      <c r="D236" s="9" t="s">
        <v>46</v>
      </c>
      <c r="E236" s="9" t="s">
        <v>1972</v>
      </c>
      <c r="F236" s="9" t="s">
        <v>68</v>
      </c>
      <c r="G236" s="10">
        <v>500072.0</v>
      </c>
      <c r="H236" s="9" t="s">
        <v>1165</v>
      </c>
      <c r="I236" s="11" t="str">
        <f>VLOOKUP(H236,Mapping!D:E,2,0)</f>
        <v>kukatpally</v>
      </c>
      <c r="J236" s="9" t="s">
        <v>390</v>
      </c>
      <c r="K236" s="12">
        <v>0.22</v>
      </c>
      <c r="L236" s="14" t="str">
        <f t="shared" si="19"/>
        <v>20%+</v>
      </c>
      <c r="M236" s="13">
        <v>0.018</v>
      </c>
      <c r="N236" s="127">
        <v>0.0</v>
      </c>
      <c r="O236" s="75" t="s">
        <v>1971</v>
      </c>
      <c r="P236" s="9" t="s">
        <v>610</v>
      </c>
      <c r="Q236" s="9" t="s">
        <v>1973</v>
      </c>
      <c r="R236" s="16" t="s">
        <v>1974</v>
      </c>
      <c r="S236" s="9" t="s">
        <v>1975</v>
      </c>
      <c r="T236" s="43" t="s">
        <v>1973</v>
      </c>
      <c r="U236" s="9" t="s">
        <v>1976</v>
      </c>
      <c r="V236" s="17">
        <v>1.11210100048593E14</v>
      </c>
      <c r="W236" s="9" t="s">
        <v>1977</v>
      </c>
      <c r="X236" s="9" t="s">
        <v>56</v>
      </c>
      <c r="Y236" s="18" t="s">
        <v>57</v>
      </c>
      <c r="Z236" s="18" t="s">
        <v>69</v>
      </c>
      <c r="AA236" s="18" t="s">
        <v>58</v>
      </c>
      <c r="AB236" s="18" t="s">
        <v>58</v>
      </c>
      <c r="AC236" s="18" t="s">
        <v>58</v>
      </c>
      <c r="AD236" s="18" t="s">
        <v>69</v>
      </c>
      <c r="AE236" s="35" t="s">
        <v>1978</v>
      </c>
      <c r="AF236" s="14"/>
      <c r="AG236" s="14" t="str">
        <f>VLOOKUP(H:H,'Pivot Table 8'!B:C,2,0)</f>
        <v>#REF!</v>
      </c>
      <c r="AH236" s="14"/>
      <c r="AI236" s="20"/>
      <c r="AJ236" s="14"/>
      <c r="AK236" s="14"/>
      <c r="AL236" s="14"/>
      <c r="AM236" s="14"/>
      <c r="AN236" s="14"/>
      <c r="AO236" s="14"/>
      <c r="AP236" s="14"/>
      <c r="AQ236" s="14"/>
      <c r="AR236" s="14"/>
    </row>
    <row r="237" ht="22.5" customHeight="1">
      <c r="A237" s="103">
        <v>46073.0</v>
      </c>
      <c r="B237" s="69" t="s">
        <v>1979</v>
      </c>
      <c r="C237" s="8" t="s">
        <v>186</v>
      </c>
      <c r="D237" s="9" t="s">
        <v>46</v>
      </c>
      <c r="E237" s="9" t="s">
        <v>1980</v>
      </c>
      <c r="F237" s="9" t="s">
        <v>1981</v>
      </c>
      <c r="G237" s="10">
        <v>500084.0</v>
      </c>
      <c r="H237" s="9" t="s">
        <v>1982</v>
      </c>
      <c r="I237" s="11" t="str">
        <f>VLOOKUP(H237,Mapping!D:E,2,0)</f>
        <v>Hitech-City</v>
      </c>
      <c r="J237" s="9" t="s">
        <v>148</v>
      </c>
      <c r="K237" s="12">
        <v>0.23</v>
      </c>
      <c r="L237" s="14" t="str">
        <f t="shared" si="19"/>
        <v>20%+</v>
      </c>
      <c r="M237" s="13">
        <v>0.018</v>
      </c>
      <c r="N237" s="127">
        <v>0.02</v>
      </c>
      <c r="O237" s="108" t="s">
        <v>1983</v>
      </c>
      <c r="P237" s="9" t="s">
        <v>1984</v>
      </c>
      <c r="Q237" s="9" t="s">
        <v>1985</v>
      </c>
      <c r="R237" s="16" t="s">
        <v>1986</v>
      </c>
      <c r="S237" s="9" t="s">
        <v>68</v>
      </c>
      <c r="T237" s="9" t="s">
        <v>1987</v>
      </c>
      <c r="U237" s="9" t="s">
        <v>1988</v>
      </c>
      <c r="V237" s="17">
        <v>4.0710100033245E13</v>
      </c>
      <c r="W237" s="9" t="s">
        <v>1989</v>
      </c>
      <c r="X237" s="9" t="s">
        <v>56</v>
      </c>
      <c r="Y237" s="18" t="s">
        <v>57</v>
      </c>
      <c r="Z237" s="18" t="s">
        <v>58</v>
      </c>
      <c r="AA237" s="18" t="s">
        <v>57</v>
      </c>
      <c r="AB237" s="18" t="s">
        <v>57</v>
      </c>
      <c r="AC237" s="18" t="s">
        <v>57</v>
      </c>
      <c r="AD237" s="18" t="s">
        <v>58</v>
      </c>
      <c r="AE237" s="40" t="s">
        <v>1990</v>
      </c>
      <c r="AF237" s="35" t="s">
        <v>1950</v>
      </c>
      <c r="AG237" s="9" t="s">
        <v>1991</v>
      </c>
      <c r="AH237" s="14"/>
      <c r="AI237" s="20"/>
      <c r="AJ237" s="14"/>
      <c r="AK237" s="14"/>
      <c r="AL237" s="14"/>
      <c r="AM237" s="14"/>
      <c r="AN237" s="14"/>
      <c r="AO237" s="14"/>
      <c r="AP237" s="14"/>
      <c r="AQ237" s="14"/>
      <c r="AR237" s="14"/>
    </row>
    <row r="238" ht="22.5" customHeight="1">
      <c r="A238" s="103">
        <v>46073.0</v>
      </c>
      <c r="B238" s="97" t="s">
        <v>1992</v>
      </c>
      <c r="C238" s="8" t="s">
        <v>186</v>
      </c>
      <c r="D238" s="9" t="s">
        <v>46</v>
      </c>
      <c r="E238" s="9" t="s">
        <v>1993</v>
      </c>
      <c r="F238" s="9" t="s">
        <v>1981</v>
      </c>
      <c r="G238" s="10">
        <v>500084.0</v>
      </c>
      <c r="H238" s="9" t="s">
        <v>1982</v>
      </c>
      <c r="I238" s="11" t="str">
        <f>VLOOKUP(H238,Mapping!D:E,2,0)</f>
        <v>Hitech-City</v>
      </c>
      <c r="J238" s="9" t="s">
        <v>148</v>
      </c>
      <c r="K238" s="12">
        <v>0.23</v>
      </c>
      <c r="L238" s="14" t="str">
        <f t="shared" si="19"/>
        <v>20%+</v>
      </c>
      <c r="M238" s="13">
        <v>0.018</v>
      </c>
      <c r="N238" s="127">
        <v>0.02</v>
      </c>
      <c r="O238" s="107" t="s">
        <v>1983</v>
      </c>
      <c r="P238" s="9" t="s">
        <v>1994</v>
      </c>
      <c r="Q238" s="9" t="s">
        <v>1985</v>
      </c>
      <c r="R238" s="16" t="s">
        <v>1986</v>
      </c>
      <c r="S238" s="9" t="s">
        <v>68</v>
      </c>
      <c r="T238" s="9" t="s">
        <v>1987</v>
      </c>
      <c r="U238" s="9" t="s">
        <v>1988</v>
      </c>
      <c r="V238" s="17">
        <v>4.0710100033245E13</v>
      </c>
      <c r="W238" s="9" t="s">
        <v>1989</v>
      </c>
      <c r="X238" s="9" t="s">
        <v>56</v>
      </c>
      <c r="Y238" s="18" t="s">
        <v>57</v>
      </c>
      <c r="Z238" s="18" t="s">
        <v>58</v>
      </c>
      <c r="AA238" s="18" t="s">
        <v>57</v>
      </c>
      <c r="AB238" s="18" t="s">
        <v>57</v>
      </c>
      <c r="AC238" s="18" t="s">
        <v>57</v>
      </c>
      <c r="AD238" s="18" t="s">
        <v>58</v>
      </c>
      <c r="AE238" s="40" t="s">
        <v>1995</v>
      </c>
      <c r="AF238" s="35" t="s">
        <v>1950</v>
      </c>
      <c r="AG238" s="9" t="s">
        <v>1991</v>
      </c>
      <c r="AH238" s="14"/>
      <c r="AI238" s="20"/>
      <c r="AJ238" s="14"/>
      <c r="AK238" s="14"/>
      <c r="AL238" s="14"/>
      <c r="AM238" s="14"/>
      <c r="AN238" s="14"/>
      <c r="AO238" s="14"/>
      <c r="AP238" s="14"/>
      <c r="AQ238" s="14"/>
      <c r="AR238" s="14"/>
    </row>
    <row r="239" ht="22.5" customHeight="1">
      <c r="A239" s="103">
        <v>46073.0</v>
      </c>
      <c r="B239" s="69" t="s">
        <v>1996</v>
      </c>
      <c r="C239" s="8" t="s">
        <v>186</v>
      </c>
      <c r="D239" s="9" t="s">
        <v>46</v>
      </c>
      <c r="E239" s="9" t="s">
        <v>1997</v>
      </c>
      <c r="F239" s="9" t="s">
        <v>1981</v>
      </c>
      <c r="G239" s="10">
        <v>500084.0</v>
      </c>
      <c r="H239" s="9" t="s">
        <v>1982</v>
      </c>
      <c r="I239" s="11" t="str">
        <f>VLOOKUP(H239,Mapping!D:E,2,0)</f>
        <v>Hitech-City</v>
      </c>
      <c r="J239" s="9" t="s">
        <v>148</v>
      </c>
      <c r="K239" s="12">
        <v>0.23</v>
      </c>
      <c r="L239" s="14" t="str">
        <f t="shared" si="19"/>
        <v>20%+</v>
      </c>
      <c r="M239" s="13">
        <v>0.018</v>
      </c>
      <c r="N239" s="127">
        <v>0.02</v>
      </c>
      <c r="O239" s="108" t="s">
        <v>1983</v>
      </c>
      <c r="P239" s="9" t="s">
        <v>1994</v>
      </c>
      <c r="Q239" s="9" t="s">
        <v>1985</v>
      </c>
      <c r="R239" s="16" t="s">
        <v>1986</v>
      </c>
      <c r="S239" s="9" t="s">
        <v>68</v>
      </c>
      <c r="T239" s="9" t="s">
        <v>1987</v>
      </c>
      <c r="U239" s="9" t="s">
        <v>1988</v>
      </c>
      <c r="V239" s="17">
        <v>4.0710100033245E13</v>
      </c>
      <c r="W239" s="9" t="s">
        <v>1989</v>
      </c>
      <c r="X239" s="9" t="s">
        <v>56</v>
      </c>
      <c r="Y239" s="18" t="s">
        <v>57</v>
      </c>
      <c r="Z239" s="18" t="s">
        <v>58</v>
      </c>
      <c r="AA239" s="18" t="s">
        <v>57</v>
      </c>
      <c r="AB239" s="18" t="s">
        <v>57</v>
      </c>
      <c r="AC239" s="18" t="s">
        <v>57</v>
      </c>
      <c r="AD239" s="18" t="s">
        <v>58</v>
      </c>
      <c r="AE239" s="40" t="s">
        <v>1998</v>
      </c>
      <c r="AF239" s="35" t="s">
        <v>1950</v>
      </c>
      <c r="AG239" s="9" t="s">
        <v>1999</v>
      </c>
      <c r="AH239" s="14"/>
      <c r="AI239" s="20"/>
      <c r="AJ239" s="14"/>
      <c r="AK239" s="14"/>
      <c r="AL239" s="14"/>
      <c r="AM239" s="14"/>
      <c r="AN239" s="14"/>
      <c r="AO239" s="14"/>
      <c r="AP239" s="14"/>
      <c r="AQ239" s="14"/>
      <c r="AR239" s="14"/>
    </row>
    <row r="240" ht="22.5" customHeight="1">
      <c r="A240" s="103">
        <v>46073.0</v>
      </c>
      <c r="B240" s="97" t="s">
        <v>2000</v>
      </c>
      <c r="C240" s="8" t="s">
        <v>186</v>
      </c>
      <c r="D240" s="9" t="s">
        <v>46</v>
      </c>
      <c r="E240" s="9" t="s">
        <v>1993</v>
      </c>
      <c r="F240" s="9" t="s">
        <v>1981</v>
      </c>
      <c r="G240" s="10">
        <v>500084.0</v>
      </c>
      <c r="H240" s="9" t="s">
        <v>1982</v>
      </c>
      <c r="I240" s="11" t="str">
        <f>VLOOKUP(H240,Mapping!D:E,2,0)</f>
        <v>Hitech-City</v>
      </c>
      <c r="J240" s="9" t="s">
        <v>148</v>
      </c>
      <c r="K240" s="12">
        <v>0.23</v>
      </c>
      <c r="L240" s="14" t="str">
        <f t="shared" si="19"/>
        <v>20%+</v>
      </c>
      <c r="M240" s="13">
        <v>0.018</v>
      </c>
      <c r="N240" s="127">
        <v>0.02</v>
      </c>
      <c r="O240" s="9" t="s">
        <v>1983</v>
      </c>
      <c r="P240" s="9" t="s">
        <v>2001</v>
      </c>
      <c r="Q240" s="9" t="s">
        <v>1985</v>
      </c>
      <c r="R240" s="16" t="s">
        <v>1986</v>
      </c>
      <c r="S240" s="9" t="s">
        <v>68</v>
      </c>
      <c r="T240" s="107" t="s">
        <v>1987</v>
      </c>
      <c r="U240" s="9" t="s">
        <v>1988</v>
      </c>
      <c r="V240" s="17">
        <v>4.0710100033245E13</v>
      </c>
      <c r="W240" s="9" t="s">
        <v>1989</v>
      </c>
      <c r="X240" s="9" t="s">
        <v>56</v>
      </c>
      <c r="Y240" s="18" t="s">
        <v>57</v>
      </c>
      <c r="Z240" s="18" t="s">
        <v>58</v>
      </c>
      <c r="AA240" s="18" t="s">
        <v>57</v>
      </c>
      <c r="AB240" s="18" t="s">
        <v>57</v>
      </c>
      <c r="AC240" s="18" t="s">
        <v>57</v>
      </c>
      <c r="AD240" s="18" t="s">
        <v>58</v>
      </c>
      <c r="AE240" s="40" t="s">
        <v>2002</v>
      </c>
      <c r="AF240" s="35" t="s">
        <v>1950</v>
      </c>
      <c r="AG240" s="9" t="s">
        <v>1991</v>
      </c>
      <c r="AH240" s="14"/>
      <c r="AI240" s="20"/>
      <c r="AJ240" s="14"/>
      <c r="AK240" s="14"/>
      <c r="AL240" s="14"/>
      <c r="AM240" s="14"/>
      <c r="AN240" s="14"/>
      <c r="AO240" s="14"/>
      <c r="AP240" s="14"/>
      <c r="AQ240" s="14"/>
      <c r="AR240" s="14"/>
    </row>
    <row r="241" ht="22.5" customHeight="1">
      <c r="A241" s="103">
        <v>46073.0</v>
      </c>
      <c r="B241" s="69" t="s">
        <v>2003</v>
      </c>
      <c r="C241" s="8" t="s">
        <v>564</v>
      </c>
      <c r="D241" s="9" t="s">
        <v>258</v>
      </c>
      <c r="E241" s="9" t="s">
        <v>68</v>
      </c>
      <c r="F241" s="9" t="s">
        <v>68</v>
      </c>
      <c r="G241" s="10" t="s">
        <v>68</v>
      </c>
      <c r="H241" s="10" t="s">
        <v>2004</v>
      </c>
      <c r="I241" s="10" t="s">
        <v>2004</v>
      </c>
      <c r="J241" s="10" t="s">
        <v>2004</v>
      </c>
      <c r="K241" s="12">
        <v>0.2</v>
      </c>
      <c r="L241" s="14" t="str">
        <f t="shared" si="19"/>
        <v>20%+</v>
      </c>
      <c r="M241" s="13">
        <v>0.018</v>
      </c>
      <c r="N241" s="9"/>
      <c r="O241" s="139" t="s">
        <v>2004</v>
      </c>
      <c r="P241" s="10" t="s">
        <v>2004</v>
      </c>
      <c r="Q241" s="10" t="s">
        <v>2004</v>
      </c>
      <c r="R241" s="10" t="s">
        <v>2004</v>
      </c>
      <c r="S241" s="10" t="s">
        <v>2004</v>
      </c>
      <c r="T241" s="10" t="s">
        <v>68</v>
      </c>
      <c r="U241" s="10" t="s">
        <v>2004</v>
      </c>
      <c r="V241" s="10" t="s">
        <v>2004</v>
      </c>
      <c r="W241" s="10" t="s">
        <v>2004</v>
      </c>
      <c r="X241" s="10" t="s">
        <v>2004</v>
      </c>
      <c r="Y241" s="14"/>
      <c r="Z241" s="14"/>
      <c r="AA241" s="14"/>
      <c r="AB241" s="14"/>
      <c r="AC241" s="14"/>
      <c r="AD241" s="14"/>
      <c r="AE241" s="14"/>
      <c r="AF241" s="14"/>
      <c r="AG241" s="14"/>
      <c r="AH241" s="14"/>
      <c r="AI241" s="20"/>
      <c r="AJ241" s="14"/>
      <c r="AK241" s="14"/>
      <c r="AL241" s="14"/>
      <c r="AM241" s="14"/>
      <c r="AN241" s="14"/>
      <c r="AO241" s="14"/>
      <c r="AP241" s="14"/>
      <c r="AQ241" s="14"/>
      <c r="AR241" s="14"/>
    </row>
    <row r="242" ht="22.5" customHeight="1">
      <c r="A242" s="103">
        <v>46073.0</v>
      </c>
      <c r="B242" s="97" t="s">
        <v>2005</v>
      </c>
      <c r="C242" s="8" t="s">
        <v>248</v>
      </c>
      <c r="D242" s="9" t="s">
        <v>46</v>
      </c>
      <c r="E242" s="9" t="s">
        <v>2006</v>
      </c>
      <c r="F242" s="9" t="s">
        <v>2007</v>
      </c>
      <c r="G242" s="10">
        <v>500089.0</v>
      </c>
      <c r="H242" s="9" t="s">
        <v>85</v>
      </c>
      <c r="I242" s="11" t="str">
        <f>VLOOKUP(H242,Mapping!D:E,2,0)</f>
        <v>Langar Houz</v>
      </c>
      <c r="J242" s="9" t="s">
        <v>86</v>
      </c>
      <c r="K242" s="12">
        <v>0.22</v>
      </c>
      <c r="L242" s="14" t="str">
        <f t="shared" si="19"/>
        <v>20%+</v>
      </c>
      <c r="M242" s="13">
        <v>0.018</v>
      </c>
      <c r="N242" s="127">
        <v>0.0</v>
      </c>
      <c r="O242" s="43" t="s">
        <v>2005</v>
      </c>
      <c r="P242" s="9" t="s">
        <v>2008</v>
      </c>
      <c r="Q242" s="9" t="s">
        <v>244</v>
      </c>
      <c r="R242" s="16" t="s">
        <v>2009</v>
      </c>
      <c r="S242" s="9" t="s">
        <v>2010</v>
      </c>
      <c r="T242" s="9" t="s">
        <v>244</v>
      </c>
      <c r="U242" s="9" t="s">
        <v>2011</v>
      </c>
      <c r="V242" s="17">
        <v>1.613912506E9</v>
      </c>
      <c r="W242" s="9" t="s">
        <v>106</v>
      </c>
      <c r="X242" s="9" t="s">
        <v>56</v>
      </c>
      <c r="Y242" s="18" t="s">
        <v>57</v>
      </c>
      <c r="Z242" s="18" t="s">
        <v>58</v>
      </c>
      <c r="AA242" s="18" t="s">
        <v>57</v>
      </c>
      <c r="AB242" s="18" t="s">
        <v>57</v>
      </c>
      <c r="AC242" s="18" t="s">
        <v>57</v>
      </c>
      <c r="AD242" s="18" t="s">
        <v>58</v>
      </c>
      <c r="AE242" s="140" t="s">
        <v>2012</v>
      </c>
      <c r="AF242" s="14"/>
      <c r="AG242" s="14" t="str">
        <f>VLOOKUP(H:H,'Pivot Table 8'!B:C,2,0)</f>
        <v>#REF!</v>
      </c>
      <c r="AH242" s="9" t="s">
        <v>1546</v>
      </c>
      <c r="AI242" s="20"/>
      <c r="AJ242" s="14"/>
      <c r="AK242" s="14"/>
      <c r="AL242" s="14"/>
      <c r="AM242" s="14"/>
      <c r="AN242" s="14"/>
      <c r="AO242" s="14"/>
      <c r="AP242" s="14"/>
      <c r="AQ242" s="14"/>
      <c r="AR242" s="14"/>
    </row>
    <row r="243" ht="22.5" customHeight="1">
      <c r="A243" s="103">
        <v>46073.0</v>
      </c>
      <c r="B243" s="69" t="s">
        <v>2013</v>
      </c>
      <c r="C243" s="8" t="s">
        <v>2014</v>
      </c>
      <c r="D243" s="9" t="s">
        <v>61</v>
      </c>
      <c r="E243" s="9" t="s">
        <v>2015</v>
      </c>
      <c r="F243" s="9" t="s">
        <v>68</v>
      </c>
      <c r="G243" s="10">
        <v>500033.0</v>
      </c>
      <c r="H243" s="9" t="s">
        <v>2016</v>
      </c>
      <c r="I243" s="9" t="s">
        <v>2016</v>
      </c>
      <c r="J243" s="9" t="s">
        <v>86</v>
      </c>
      <c r="K243" s="12">
        <v>0.2</v>
      </c>
      <c r="L243" s="14" t="str">
        <f t="shared" si="19"/>
        <v>20%+</v>
      </c>
      <c r="M243" s="13">
        <v>0.018</v>
      </c>
      <c r="N243" s="9" t="s">
        <v>68</v>
      </c>
      <c r="O243" s="9" t="s">
        <v>2017</v>
      </c>
      <c r="P243" s="9" t="s">
        <v>2015</v>
      </c>
      <c r="Q243" s="9" t="s">
        <v>2018</v>
      </c>
      <c r="R243" s="16" t="s">
        <v>2019</v>
      </c>
      <c r="S243" s="9" t="s">
        <v>2020</v>
      </c>
      <c r="T243" s="9" t="s">
        <v>2021</v>
      </c>
      <c r="U243" s="9" t="s">
        <v>1014</v>
      </c>
      <c r="V243" s="17">
        <v>5.0200098504039E13</v>
      </c>
      <c r="W243" s="9" t="s">
        <v>2022</v>
      </c>
      <c r="X243" s="9" t="s">
        <v>80</v>
      </c>
      <c r="Y243" s="14"/>
      <c r="Z243" s="14"/>
      <c r="AA243" s="14"/>
      <c r="AB243" s="14"/>
      <c r="AC243" s="14"/>
      <c r="AD243" s="14"/>
      <c r="AE243" s="14"/>
      <c r="AF243" s="14"/>
      <c r="AH243" s="14"/>
      <c r="AI243" s="20"/>
      <c r="AJ243" s="14"/>
      <c r="AK243" s="14"/>
      <c r="AL243" s="14"/>
      <c r="AM243" s="14"/>
      <c r="AN243" s="14"/>
      <c r="AO243" s="14"/>
      <c r="AP243" s="14"/>
      <c r="AQ243" s="14"/>
      <c r="AR243" s="14"/>
    </row>
    <row r="244" ht="22.5" customHeight="1">
      <c r="A244" s="103">
        <v>46073.0</v>
      </c>
      <c r="B244" s="121" t="s">
        <v>2023</v>
      </c>
      <c r="C244" s="8" t="s">
        <v>241</v>
      </c>
      <c r="D244" s="9" t="s">
        <v>46</v>
      </c>
      <c r="E244" s="9" t="s">
        <v>2024</v>
      </c>
      <c r="F244" s="9" t="s">
        <v>2025</v>
      </c>
      <c r="G244" s="10">
        <v>500032.0</v>
      </c>
      <c r="H244" s="9" t="s">
        <v>903</v>
      </c>
      <c r="I244" s="11" t="str">
        <f>VLOOKUP(H244,Mapping!D:E,2,0)</f>
        <v>gachibowli</v>
      </c>
      <c r="J244" s="61" t="s">
        <v>148</v>
      </c>
      <c r="K244" s="12">
        <v>0.22</v>
      </c>
      <c r="L244" s="14" t="str">
        <f t="shared" si="19"/>
        <v>20%+</v>
      </c>
      <c r="M244" s="13">
        <v>0.018</v>
      </c>
      <c r="N244" s="9" t="s">
        <v>68</v>
      </c>
      <c r="O244" s="9" t="s">
        <v>2023</v>
      </c>
      <c r="P244" s="9" t="s">
        <v>68</v>
      </c>
      <c r="Q244" s="9" t="s">
        <v>2025</v>
      </c>
      <c r="R244" s="16" t="s">
        <v>2026</v>
      </c>
      <c r="S244" s="9" t="s">
        <v>2027</v>
      </c>
      <c r="T244" s="15" t="s">
        <v>2028</v>
      </c>
      <c r="U244" s="9" t="s">
        <v>2029</v>
      </c>
      <c r="V244" s="17">
        <v>9.24020055483053E14</v>
      </c>
      <c r="W244" s="9" t="s">
        <v>2030</v>
      </c>
      <c r="X244" s="9" t="s">
        <v>80</v>
      </c>
      <c r="Y244" s="18" t="s">
        <v>57</v>
      </c>
      <c r="Z244" s="18" t="s">
        <v>57</v>
      </c>
      <c r="AA244" s="18" t="s">
        <v>58</v>
      </c>
      <c r="AB244" s="18" t="s">
        <v>57</v>
      </c>
      <c r="AC244" s="18" t="s">
        <v>57</v>
      </c>
      <c r="AD244" s="18" t="s">
        <v>57</v>
      </c>
      <c r="AE244" s="33" t="s">
        <v>2031</v>
      </c>
      <c r="AF244" s="14"/>
      <c r="AH244" s="14"/>
      <c r="AI244" s="20"/>
      <c r="AJ244" s="14"/>
      <c r="AK244" s="14"/>
      <c r="AL244" s="14"/>
      <c r="AM244" s="14"/>
      <c r="AN244" s="14"/>
      <c r="AO244" s="14"/>
      <c r="AP244" s="14"/>
      <c r="AQ244" s="14"/>
      <c r="AR244" s="14"/>
    </row>
    <row r="245" ht="22.5" customHeight="1">
      <c r="A245" s="141">
        <v>46073.0</v>
      </c>
      <c r="B245" s="142" t="s">
        <v>2032</v>
      </c>
      <c r="C245" s="143" t="s">
        <v>241</v>
      </c>
      <c r="D245" s="144" t="s">
        <v>61</v>
      </c>
      <c r="E245" s="144" t="s">
        <v>68</v>
      </c>
      <c r="F245" s="144" t="s">
        <v>68</v>
      </c>
      <c r="G245" s="145" t="s">
        <v>68</v>
      </c>
      <c r="H245" s="145" t="s">
        <v>68</v>
      </c>
      <c r="I245" s="144" t="s">
        <v>1038</v>
      </c>
      <c r="J245" s="146" t="str">
        <f>VLOOKUP(I245,Mapping!A:B,2,0)</f>
        <v>Zone 3 Raidurg</v>
      </c>
      <c r="K245" s="147">
        <v>0.2</v>
      </c>
      <c r="L245" s="148" t="str">
        <f t="shared" si="19"/>
        <v>20%+</v>
      </c>
      <c r="M245" s="149">
        <v>0.018</v>
      </c>
      <c r="N245" s="148"/>
      <c r="O245" s="150" t="s">
        <v>68</v>
      </c>
      <c r="P245" s="145" t="s">
        <v>68</v>
      </c>
      <c r="Q245" s="145" t="s">
        <v>68</v>
      </c>
      <c r="R245" s="145" t="s">
        <v>68</v>
      </c>
      <c r="S245" s="145" t="s">
        <v>68</v>
      </c>
      <c r="T245" s="145" t="s">
        <v>68</v>
      </c>
      <c r="U245" s="145" t="s">
        <v>68</v>
      </c>
      <c r="V245" s="145" t="s">
        <v>68</v>
      </c>
      <c r="W245" s="145" t="s">
        <v>68</v>
      </c>
      <c r="X245" s="145" t="s">
        <v>68</v>
      </c>
      <c r="Y245" s="148"/>
      <c r="Z245" s="148"/>
      <c r="AA245" s="148"/>
      <c r="AB245" s="148"/>
      <c r="AC245" s="148"/>
      <c r="AD245" s="148"/>
      <c r="AE245" s="148"/>
      <c r="AF245" s="148"/>
      <c r="AG245" s="148"/>
      <c r="AH245" s="144" t="s">
        <v>2033</v>
      </c>
      <c r="AI245" s="151"/>
      <c r="AJ245" s="148"/>
      <c r="AK245" s="148"/>
      <c r="AL245" s="148"/>
      <c r="AM245" s="148"/>
      <c r="AN245" s="148"/>
      <c r="AO245" s="148"/>
      <c r="AP245" s="148"/>
      <c r="AQ245" s="148"/>
      <c r="AR245" s="148"/>
    </row>
    <row r="246" ht="22.5" customHeight="1">
      <c r="A246" s="81">
        <v>46073.0</v>
      </c>
      <c r="B246" s="138" t="s">
        <v>2034</v>
      </c>
      <c r="C246" s="8" t="s">
        <v>60</v>
      </c>
      <c r="D246" s="9" t="s">
        <v>68</v>
      </c>
      <c r="E246" s="9" t="s">
        <v>68</v>
      </c>
      <c r="F246" s="9" t="s">
        <v>68</v>
      </c>
      <c r="G246" s="9" t="s">
        <v>68</v>
      </c>
      <c r="H246" s="9" t="s">
        <v>68</v>
      </c>
      <c r="I246" s="9" t="s">
        <v>68</v>
      </c>
      <c r="J246" s="9" t="s">
        <v>68</v>
      </c>
      <c r="K246" s="12">
        <v>0.2</v>
      </c>
      <c r="L246" s="9" t="s">
        <v>68</v>
      </c>
      <c r="M246" s="9" t="s">
        <v>68</v>
      </c>
      <c r="N246" s="9"/>
      <c r="O246" s="9" t="s">
        <v>68</v>
      </c>
      <c r="P246" s="9" t="s">
        <v>68</v>
      </c>
      <c r="Q246" s="9" t="s">
        <v>68</v>
      </c>
      <c r="R246" s="9" t="s">
        <v>68</v>
      </c>
      <c r="S246" s="9" t="s">
        <v>68</v>
      </c>
      <c r="T246" s="9" t="s">
        <v>68</v>
      </c>
      <c r="U246" s="9" t="s">
        <v>68</v>
      </c>
      <c r="V246" s="9" t="s">
        <v>68</v>
      </c>
      <c r="W246" s="9" t="s">
        <v>68</v>
      </c>
      <c r="X246" s="9" t="s">
        <v>68</v>
      </c>
      <c r="Y246" s="18" t="s">
        <v>58</v>
      </c>
      <c r="Z246" s="18" t="s">
        <v>58</v>
      </c>
      <c r="AA246" s="18" t="s">
        <v>58</v>
      </c>
      <c r="AB246" s="18" t="s">
        <v>58</v>
      </c>
      <c r="AC246" s="18" t="s">
        <v>58</v>
      </c>
      <c r="AD246" s="18" t="s">
        <v>58</v>
      </c>
      <c r="AE246" s="14"/>
      <c r="AF246" s="14"/>
      <c r="AG246" s="14"/>
      <c r="AH246" s="14"/>
      <c r="AI246" s="20"/>
      <c r="AJ246" s="14"/>
      <c r="AK246" s="14"/>
      <c r="AL246" s="14"/>
      <c r="AM246" s="14"/>
      <c r="AN246" s="14"/>
      <c r="AO246" s="14"/>
      <c r="AP246" s="14"/>
      <c r="AQ246" s="14"/>
      <c r="AR246" s="14"/>
    </row>
    <row r="247" ht="22.5" customHeight="1">
      <c r="A247" s="103">
        <v>46074.0</v>
      </c>
      <c r="B247" s="69" t="s">
        <v>2035</v>
      </c>
      <c r="C247" s="8" t="s">
        <v>144</v>
      </c>
      <c r="D247" s="9" t="s">
        <v>258</v>
      </c>
      <c r="E247" s="9" t="s">
        <v>68</v>
      </c>
      <c r="F247" s="9" t="s">
        <v>68</v>
      </c>
      <c r="G247" s="9" t="s">
        <v>68</v>
      </c>
      <c r="H247" s="9" t="s">
        <v>1165</v>
      </c>
      <c r="I247" s="10" t="str">
        <f>VLOOKUP(H247,Mapping!D:E,2,0)</f>
        <v>kukatpally</v>
      </c>
      <c r="J247" s="11" t="str">
        <f>VLOOKUP(I247,Mapping!A:B,2,0)</f>
        <v>Zone 5 Kukatpally</v>
      </c>
      <c r="K247" s="9" t="s">
        <v>68</v>
      </c>
      <c r="L247" s="14" t="str">
        <f t="shared" ref="L247:L376" si="27">if(K247=0,"0",(if(K247&lt;15%,"&lt;15%",if(K247&lt;17%,"&lt;17%",IF(K247&lt;20%,"&lt;20%","20%+")))))</f>
        <v>20%+</v>
      </c>
      <c r="M247" s="13">
        <v>0.018</v>
      </c>
      <c r="N247" s="9"/>
      <c r="O247" s="9" t="s">
        <v>68</v>
      </c>
      <c r="P247" s="9" t="s">
        <v>68</v>
      </c>
      <c r="Q247" s="9" t="s">
        <v>68</v>
      </c>
      <c r="R247" s="9" t="s">
        <v>68</v>
      </c>
      <c r="S247" s="9" t="s">
        <v>68</v>
      </c>
      <c r="T247" s="9" t="s">
        <v>68</v>
      </c>
      <c r="U247" s="9" t="s">
        <v>68</v>
      </c>
      <c r="V247" s="9" t="s">
        <v>68</v>
      </c>
      <c r="W247" s="9" t="s">
        <v>68</v>
      </c>
      <c r="X247" s="9" t="s">
        <v>68</v>
      </c>
      <c r="Y247" s="18" t="s">
        <v>58</v>
      </c>
      <c r="Z247" s="18" t="s">
        <v>58</v>
      </c>
      <c r="AA247" s="18" t="s">
        <v>58</v>
      </c>
      <c r="AB247" s="18" t="s">
        <v>58</v>
      </c>
      <c r="AC247" s="18" t="s">
        <v>58</v>
      </c>
      <c r="AD247" s="14"/>
      <c r="AE247" s="14"/>
      <c r="AF247" s="14"/>
      <c r="AH247" s="14"/>
      <c r="AI247" s="20"/>
      <c r="AJ247" s="14"/>
      <c r="AK247" s="14"/>
      <c r="AL247" s="14"/>
      <c r="AM247" s="14"/>
      <c r="AN247" s="14"/>
      <c r="AO247" s="14"/>
      <c r="AP247" s="14"/>
      <c r="AQ247" s="14"/>
      <c r="AR247" s="14"/>
    </row>
    <row r="248" ht="22.5" customHeight="1">
      <c r="A248" s="68">
        <v>46074.0</v>
      </c>
      <c r="B248" s="69" t="s">
        <v>2036</v>
      </c>
      <c r="C248" s="8" t="s">
        <v>144</v>
      </c>
      <c r="D248" s="9" t="s">
        <v>258</v>
      </c>
      <c r="E248" s="9" t="s">
        <v>68</v>
      </c>
      <c r="F248" s="9" t="s">
        <v>68</v>
      </c>
      <c r="G248" s="9" t="s">
        <v>68</v>
      </c>
      <c r="H248" s="9" t="s">
        <v>1165</v>
      </c>
      <c r="I248" s="10" t="str">
        <f>VLOOKUP(H248,Mapping!D:E,2,0)</f>
        <v>kukatpally</v>
      </c>
      <c r="J248" s="11" t="str">
        <f>VLOOKUP(I248,Mapping!A:B,2,0)</f>
        <v>Zone 5 Kukatpally</v>
      </c>
      <c r="K248" s="9" t="s">
        <v>68</v>
      </c>
      <c r="L248" s="14" t="str">
        <f t="shared" si="27"/>
        <v>20%+</v>
      </c>
      <c r="M248" s="13">
        <v>0.018</v>
      </c>
      <c r="N248" s="9"/>
      <c r="O248" s="9" t="s">
        <v>68</v>
      </c>
      <c r="P248" s="9" t="s">
        <v>68</v>
      </c>
      <c r="Q248" s="9" t="s">
        <v>68</v>
      </c>
      <c r="R248" s="9" t="s">
        <v>68</v>
      </c>
      <c r="S248" s="9" t="s">
        <v>68</v>
      </c>
      <c r="T248" s="9" t="s">
        <v>68</v>
      </c>
      <c r="U248" s="9" t="s">
        <v>68</v>
      </c>
      <c r="V248" s="9" t="s">
        <v>68</v>
      </c>
      <c r="W248" s="9" t="s">
        <v>68</v>
      </c>
      <c r="X248" s="9" t="s">
        <v>68</v>
      </c>
      <c r="Y248" s="14"/>
      <c r="Z248" s="14"/>
      <c r="AA248" s="14"/>
      <c r="AB248" s="14"/>
      <c r="AC248" s="14"/>
      <c r="AD248" s="14"/>
      <c r="AE248" s="14"/>
      <c r="AF248" s="14"/>
      <c r="AH248" s="14"/>
      <c r="AI248" s="20"/>
      <c r="AJ248" s="14"/>
      <c r="AK248" s="14"/>
      <c r="AL248" s="14"/>
      <c r="AM248" s="14"/>
      <c r="AN248" s="14"/>
      <c r="AO248" s="14"/>
      <c r="AP248" s="14"/>
      <c r="AQ248" s="14"/>
      <c r="AR248" s="14"/>
    </row>
    <row r="249" ht="22.5" customHeight="1">
      <c r="A249" s="103">
        <v>46074.0</v>
      </c>
      <c r="B249" s="69" t="s">
        <v>2037</v>
      </c>
      <c r="C249" s="8" t="s">
        <v>144</v>
      </c>
      <c r="D249" s="9" t="s">
        <v>258</v>
      </c>
      <c r="E249" s="9" t="s">
        <v>2038</v>
      </c>
      <c r="F249" s="9" t="s">
        <v>68</v>
      </c>
      <c r="G249" s="10">
        <v>500049.0</v>
      </c>
      <c r="H249" s="9" t="s">
        <v>1961</v>
      </c>
      <c r="I249" s="11" t="str">
        <f>VLOOKUP(H249,Mapping!D:E,2,0)</f>
        <v>miyapur</v>
      </c>
      <c r="J249" s="61" t="s">
        <v>390</v>
      </c>
      <c r="K249" s="9" t="s">
        <v>68</v>
      </c>
      <c r="L249" s="14" t="str">
        <f t="shared" si="27"/>
        <v>20%+</v>
      </c>
      <c r="M249" s="13">
        <v>0.018</v>
      </c>
      <c r="N249" s="9"/>
      <c r="O249" s="9" t="s">
        <v>2039</v>
      </c>
      <c r="P249" s="9" t="s">
        <v>2038</v>
      </c>
      <c r="Q249" s="9" t="s">
        <v>2039</v>
      </c>
      <c r="R249" s="16" t="s">
        <v>2040</v>
      </c>
      <c r="S249" s="9" t="s">
        <v>2041</v>
      </c>
      <c r="T249" s="9" t="s">
        <v>2042</v>
      </c>
      <c r="U249" s="9" t="s">
        <v>1129</v>
      </c>
      <c r="V249" s="17">
        <v>2.0050083625E10</v>
      </c>
      <c r="W249" s="9" t="s">
        <v>2043</v>
      </c>
      <c r="X249" s="9" t="s">
        <v>56</v>
      </c>
      <c r="Y249" s="18" t="s">
        <v>57</v>
      </c>
      <c r="Z249" s="18" t="s">
        <v>58</v>
      </c>
      <c r="AA249" s="18" t="s">
        <v>57</v>
      </c>
      <c r="AB249" s="18" t="s">
        <v>57</v>
      </c>
      <c r="AC249" s="14"/>
      <c r="AD249" s="14"/>
      <c r="AE249" s="14"/>
      <c r="AF249" s="14"/>
      <c r="AH249" s="14"/>
      <c r="AI249" s="20"/>
      <c r="AJ249" s="14"/>
      <c r="AK249" s="14"/>
      <c r="AL249" s="14"/>
      <c r="AM249" s="14"/>
      <c r="AN249" s="14"/>
      <c r="AO249" s="14"/>
      <c r="AP249" s="14"/>
      <c r="AQ249" s="14"/>
      <c r="AR249" s="14"/>
    </row>
    <row r="250" ht="22.5" customHeight="1">
      <c r="A250" s="103">
        <v>46074.0</v>
      </c>
      <c r="B250" s="97" t="s">
        <v>2044</v>
      </c>
      <c r="C250" s="8" t="s">
        <v>241</v>
      </c>
      <c r="D250" s="9" t="s">
        <v>46</v>
      </c>
      <c r="E250" s="9" t="s">
        <v>2045</v>
      </c>
      <c r="F250" s="9" t="s">
        <v>2046</v>
      </c>
      <c r="G250" s="10">
        <v>500049.0</v>
      </c>
      <c r="H250" s="9" t="s">
        <v>1530</v>
      </c>
      <c r="I250" s="11" t="str">
        <f>VLOOKUP(H250,Mapping!D:E,2,0)</f>
        <v>hafeezpet</v>
      </c>
      <c r="J250" s="9" t="s">
        <v>390</v>
      </c>
      <c r="K250" s="12">
        <v>0.22</v>
      </c>
      <c r="L250" s="14" t="str">
        <f t="shared" si="27"/>
        <v>20%+</v>
      </c>
      <c r="M250" s="13">
        <v>0.018</v>
      </c>
      <c r="N250" s="9" t="s">
        <v>68</v>
      </c>
      <c r="O250" s="15" t="s">
        <v>2047</v>
      </c>
      <c r="P250" s="15" t="s">
        <v>2048</v>
      </c>
      <c r="Q250" s="9" t="s">
        <v>2046</v>
      </c>
      <c r="R250" s="16" t="s">
        <v>2049</v>
      </c>
      <c r="S250" s="9" t="s">
        <v>2050</v>
      </c>
      <c r="T250" s="9" t="s">
        <v>2046</v>
      </c>
      <c r="U250" s="9" t="s">
        <v>2051</v>
      </c>
      <c r="V250" s="17" t="s">
        <v>2052</v>
      </c>
      <c r="W250" s="9" t="s">
        <v>2053</v>
      </c>
      <c r="X250" s="9" t="s">
        <v>56</v>
      </c>
      <c r="Y250" s="18" t="s">
        <v>57</v>
      </c>
      <c r="Z250" s="18" t="s">
        <v>57</v>
      </c>
      <c r="AA250" s="18" t="s">
        <v>57</v>
      </c>
      <c r="AB250" s="18" t="s">
        <v>2054</v>
      </c>
      <c r="AC250" s="18" t="s">
        <v>57</v>
      </c>
      <c r="AD250" s="18" t="s">
        <v>69</v>
      </c>
      <c r="AE250" s="33" t="s">
        <v>2055</v>
      </c>
      <c r="AF250" s="14"/>
      <c r="AH250" s="14"/>
      <c r="AI250" s="20"/>
      <c r="AJ250" s="14"/>
      <c r="AK250" s="14"/>
      <c r="AL250" s="14"/>
      <c r="AM250" s="14"/>
      <c r="AN250" s="14"/>
      <c r="AO250" s="14"/>
      <c r="AP250" s="14"/>
      <c r="AQ250" s="14"/>
      <c r="AR250" s="14"/>
    </row>
    <row r="251" ht="22.5" customHeight="1">
      <c r="A251" s="103">
        <v>46074.0</v>
      </c>
      <c r="B251" s="69" t="s">
        <v>2056</v>
      </c>
      <c r="C251" s="8" t="s">
        <v>241</v>
      </c>
      <c r="D251" s="9" t="s">
        <v>46</v>
      </c>
      <c r="E251" s="39" t="s">
        <v>2057</v>
      </c>
      <c r="F251" s="9" t="s">
        <v>68</v>
      </c>
      <c r="G251" s="10">
        <v>500050.0</v>
      </c>
      <c r="H251" s="9" t="s">
        <v>512</v>
      </c>
      <c r="I251" s="11" t="str">
        <f>VLOOKUP(H251,Mapping!D:E,2,0)</f>
        <v>miyapur</v>
      </c>
      <c r="J251" s="9" t="s">
        <v>390</v>
      </c>
      <c r="K251" s="9" t="s">
        <v>68</v>
      </c>
      <c r="L251" s="14" t="str">
        <f t="shared" si="27"/>
        <v>20%+</v>
      </c>
      <c r="M251" s="13">
        <v>0.018</v>
      </c>
      <c r="N251" s="9" t="s">
        <v>68</v>
      </c>
      <c r="O251" s="15" t="s">
        <v>2056</v>
      </c>
      <c r="P251" s="39" t="s">
        <v>2058</v>
      </c>
      <c r="Q251" s="9" t="s">
        <v>2059</v>
      </c>
      <c r="R251" s="16" t="s">
        <v>2060</v>
      </c>
      <c r="S251" s="10" t="s">
        <v>68</v>
      </c>
      <c r="T251" s="10" t="s">
        <v>68</v>
      </c>
      <c r="U251" s="10" t="s">
        <v>68</v>
      </c>
      <c r="V251" s="10" t="s">
        <v>68</v>
      </c>
      <c r="W251" s="10" t="s">
        <v>68</v>
      </c>
      <c r="X251" s="10" t="s">
        <v>68</v>
      </c>
      <c r="Y251" s="18" t="s">
        <v>57</v>
      </c>
      <c r="Z251" s="18" t="s">
        <v>69</v>
      </c>
      <c r="AA251" s="18" t="s">
        <v>57</v>
      </c>
      <c r="AB251" s="18" t="s">
        <v>57</v>
      </c>
      <c r="AC251" s="18" t="s">
        <v>57</v>
      </c>
      <c r="AD251" s="18" t="s">
        <v>69</v>
      </c>
      <c r="AE251" s="39" t="s">
        <v>2061</v>
      </c>
      <c r="AF251" s="14"/>
      <c r="AH251" s="9"/>
      <c r="AI251" s="8" t="s">
        <v>71</v>
      </c>
      <c r="AJ251" s="14"/>
      <c r="AK251" s="14"/>
      <c r="AL251" s="14"/>
      <c r="AM251" s="14"/>
      <c r="AN251" s="14"/>
      <c r="AO251" s="14"/>
      <c r="AP251" s="14"/>
      <c r="AQ251" s="14"/>
      <c r="AR251" s="14"/>
    </row>
    <row r="252" ht="22.5" customHeight="1">
      <c r="A252" s="103">
        <v>46074.0</v>
      </c>
      <c r="B252" s="97" t="s">
        <v>2062</v>
      </c>
      <c r="C252" s="8" t="s">
        <v>241</v>
      </c>
      <c r="D252" s="9" t="s">
        <v>61</v>
      </c>
      <c r="E252" s="9" t="s">
        <v>68</v>
      </c>
      <c r="F252" s="9" t="s">
        <v>2063</v>
      </c>
      <c r="G252" s="10" t="s">
        <v>68</v>
      </c>
      <c r="H252" s="10" t="s">
        <v>68</v>
      </c>
      <c r="I252" s="9" t="s">
        <v>1961</v>
      </c>
      <c r="J252" s="11" t="str">
        <f>VLOOKUP(I252,Mapping!A:B,2,0)</f>
        <v>Zone 5 Kukatpally</v>
      </c>
      <c r="K252" s="12">
        <v>0.22</v>
      </c>
      <c r="L252" s="14" t="str">
        <f t="shared" si="27"/>
        <v>20%+</v>
      </c>
      <c r="M252" s="13">
        <v>0.018</v>
      </c>
      <c r="N252" s="9" t="s">
        <v>68</v>
      </c>
      <c r="O252" s="9" t="s">
        <v>68</v>
      </c>
      <c r="P252" s="9" t="s">
        <v>68</v>
      </c>
      <c r="Q252" s="9" t="s">
        <v>952</v>
      </c>
      <c r="R252" s="16" t="s">
        <v>2064</v>
      </c>
      <c r="S252" s="9" t="s">
        <v>68</v>
      </c>
      <c r="T252" s="9" t="s">
        <v>68</v>
      </c>
      <c r="U252" s="9" t="s">
        <v>68</v>
      </c>
      <c r="V252" s="9" t="s">
        <v>68</v>
      </c>
      <c r="W252" s="9" t="s">
        <v>68</v>
      </c>
      <c r="X252" s="9" t="s">
        <v>68</v>
      </c>
      <c r="Y252" s="18" t="s">
        <v>58</v>
      </c>
      <c r="Z252" s="18" t="s">
        <v>58</v>
      </c>
      <c r="AA252" s="18" t="s">
        <v>58</v>
      </c>
      <c r="AB252" s="18" t="s">
        <v>58</v>
      </c>
      <c r="AC252" s="18" t="s">
        <v>58</v>
      </c>
      <c r="AD252" s="18" t="s">
        <v>69</v>
      </c>
      <c r="AE252" s="14"/>
      <c r="AF252" s="14"/>
      <c r="AH252" s="14"/>
      <c r="AI252" s="20"/>
      <c r="AJ252" s="14"/>
      <c r="AK252" s="14"/>
      <c r="AL252" s="14"/>
      <c r="AM252" s="14"/>
      <c r="AN252" s="14"/>
      <c r="AO252" s="14"/>
      <c r="AP252" s="14"/>
      <c r="AQ252" s="14"/>
      <c r="AR252" s="14"/>
    </row>
    <row r="253" ht="22.5" customHeight="1">
      <c r="A253" s="103">
        <v>46074.0</v>
      </c>
      <c r="B253" s="69" t="s">
        <v>2047</v>
      </c>
      <c r="C253" s="8" t="s">
        <v>241</v>
      </c>
      <c r="D253" s="9" t="s">
        <v>46</v>
      </c>
      <c r="E253" s="9" t="s">
        <v>2045</v>
      </c>
      <c r="F253" s="9" t="s">
        <v>2046</v>
      </c>
      <c r="G253" s="10">
        <v>500049.0</v>
      </c>
      <c r="H253" s="9" t="s">
        <v>1530</v>
      </c>
      <c r="I253" s="11" t="str">
        <f>VLOOKUP(H253,Mapping!D:E,2,0)</f>
        <v>hafeezpet</v>
      </c>
      <c r="J253" s="9" t="s">
        <v>390</v>
      </c>
      <c r="K253" s="12">
        <v>0.22</v>
      </c>
      <c r="L253" s="14" t="str">
        <f t="shared" si="27"/>
        <v>20%+</v>
      </c>
      <c r="M253" s="13">
        <v>0.018</v>
      </c>
      <c r="N253" s="9" t="s">
        <v>68</v>
      </c>
      <c r="O253" s="15" t="s">
        <v>2047</v>
      </c>
      <c r="P253" s="15" t="s">
        <v>2048</v>
      </c>
      <c r="Q253" s="9" t="s">
        <v>2046</v>
      </c>
      <c r="R253" s="16" t="s">
        <v>2049</v>
      </c>
      <c r="S253" s="9" t="s">
        <v>2050</v>
      </c>
      <c r="T253" s="9" t="s">
        <v>2046</v>
      </c>
      <c r="U253" s="9" t="s">
        <v>2051</v>
      </c>
      <c r="V253" s="17" t="s">
        <v>2052</v>
      </c>
      <c r="W253" s="9" t="s">
        <v>2053</v>
      </c>
      <c r="X253" s="9" t="s">
        <v>56</v>
      </c>
      <c r="Y253" s="18" t="s">
        <v>57</v>
      </c>
      <c r="Z253" s="18" t="s">
        <v>69</v>
      </c>
      <c r="AA253" s="18" t="s">
        <v>57</v>
      </c>
      <c r="AB253" s="18" t="s">
        <v>69</v>
      </c>
      <c r="AC253" s="18" t="s">
        <v>57</v>
      </c>
      <c r="AD253" s="18" t="s">
        <v>69</v>
      </c>
      <c r="AE253" s="33" t="s">
        <v>2055</v>
      </c>
      <c r="AF253" s="14"/>
      <c r="AH253" s="9" t="s">
        <v>2065</v>
      </c>
      <c r="AI253" s="20"/>
      <c r="AJ253" s="14"/>
      <c r="AK253" s="14"/>
      <c r="AL253" s="14"/>
      <c r="AM253" s="14"/>
      <c r="AN253" s="14"/>
      <c r="AO253" s="14"/>
      <c r="AP253" s="14"/>
      <c r="AQ253" s="14"/>
      <c r="AR253" s="14"/>
    </row>
    <row r="254" ht="22.5" customHeight="1">
      <c r="A254" s="103">
        <v>46074.0</v>
      </c>
      <c r="B254" s="97" t="s">
        <v>2066</v>
      </c>
      <c r="C254" s="8" t="s">
        <v>45</v>
      </c>
      <c r="D254" s="9" t="s">
        <v>46</v>
      </c>
      <c r="E254" s="9" t="s">
        <v>2067</v>
      </c>
      <c r="F254" s="9" t="s">
        <v>68</v>
      </c>
      <c r="G254" s="10">
        <v>500089.0</v>
      </c>
      <c r="H254" s="9" t="s">
        <v>302</v>
      </c>
      <c r="I254" s="11" t="str">
        <f>VLOOKUP(H254,Mapping!D:E,2,0)</f>
        <v>manikonda</v>
      </c>
      <c r="J254" s="9" t="s">
        <v>303</v>
      </c>
      <c r="K254" s="12">
        <v>0.2</v>
      </c>
      <c r="L254" s="14" t="str">
        <f t="shared" si="27"/>
        <v>20%+</v>
      </c>
      <c r="M254" s="13">
        <v>0.018</v>
      </c>
      <c r="N254" s="9" t="s">
        <v>68</v>
      </c>
      <c r="O254" s="9" t="s">
        <v>2068</v>
      </c>
      <c r="P254" s="9" t="s">
        <v>68</v>
      </c>
      <c r="Q254" s="9" t="s">
        <v>2069</v>
      </c>
      <c r="R254" s="16" t="s">
        <v>2070</v>
      </c>
      <c r="S254" s="9" t="s">
        <v>2071</v>
      </c>
      <c r="T254" s="9" t="s">
        <v>2072</v>
      </c>
      <c r="U254" s="9" t="s">
        <v>2073</v>
      </c>
      <c r="V254" s="17">
        <v>5.0100782714211E13</v>
      </c>
      <c r="W254" s="9" t="s">
        <v>2074</v>
      </c>
      <c r="X254" s="9" t="s">
        <v>56</v>
      </c>
      <c r="Y254" s="18" t="s">
        <v>58</v>
      </c>
      <c r="Z254" s="18" t="s">
        <v>58</v>
      </c>
      <c r="AA254" s="18" t="s">
        <v>58</v>
      </c>
      <c r="AB254" s="18" t="s">
        <v>58</v>
      </c>
      <c r="AC254" s="18" t="s">
        <v>58</v>
      </c>
      <c r="AD254" s="18" t="s">
        <v>58</v>
      </c>
      <c r="AE254" s="14"/>
      <c r="AF254" s="14"/>
      <c r="AG254" s="14" t="str">
        <f>VLOOKUP(H:H,'Pivot Table 8'!B:C,2,0)</f>
        <v>#REF!</v>
      </c>
      <c r="AH254" s="9" t="s">
        <v>1850</v>
      </c>
      <c r="AI254" s="20"/>
      <c r="AJ254" s="14"/>
      <c r="AK254" s="14"/>
      <c r="AL254" s="14"/>
      <c r="AM254" s="14"/>
      <c r="AN254" s="14"/>
      <c r="AO254" s="14"/>
      <c r="AP254" s="14"/>
      <c r="AQ254" s="14"/>
      <c r="AR254" s="14"/>
    </row>
    <row r="255" ht="22.5" customHeight="1">
      <c r="A255" s="68">
        <v>46074.0</v>
      </c>
      <c r="B255" s="69" t="s">
        <v>2075</v>
      </c>
      <c r="C255" s="8" t="s">
        <v>45</v>
      </c>
      <c r="D255" s="9" t="s">
        <v>46</v>
      </c>
      <c r="E255" s="9" t="s">
        <v>2076</v>
      </c>
      <c r="F255" s="9" t="s">
        <v>68</v>
      </c>
      <c r="G255" s="10">
        <v>500032.0</v>
      </c>
      <c r="H255" s="9" t="s">
        <v>903</v>
      </c>
      <c r="I255" s="11" t="str">
        <f>VLOOKUP(H255,Mapping!D:E,2,0)</f>
        <v>gachibowli</v>
      </c>
      <c r="J255" s="9" t="s">
        <v>148</v>
      </c>
      <c r="K255" s="12">
        <v>0.2</v>
      </c>
      <c r="L255" s="14" t="str">
        <f t="shared" si="27"/>
        <v>20%+</v>
      </c>
      <c r="M255" s="13">
        <v>0.018</v>
      </c>
      <c r="N255" s="9" t="s">
        <v>68</v>
      </c>
      <c r="O255" s="9" t="s">
        <v>2077</v>
      </c>
      <c r="P255" s="9" t="s">
        <v>2078</v>
      </c>
      <c r="Q255" s="9" t="s">
        <v>2079</v>
      </c>
      <c r="R255" s="16" t="s">
        <v>2080</v>
      </c>
      <c r="S255" s="9" t="s">
        <v>2081</v>
      </c>
      <c r="T255" s="9" t="s">
        <v>2082</v>
      </c>
      <c r="U255" s="9" t="s">
        <v>2011</v>
      </c>
      <c r="V255" s="17">
        <v>5.712286063E9</v>
      </c>
      <c r="W255" s="9" t="s">
        <v>2083</v>
      </c>
      <c r="X255" s="9" t="s">
        <v>80</v>
      </c>
      <c r="Y255" s="18" t="s">
        <v>58</v>
      </c>
      <c r="Z255" s="18" t="s">
        <v>58</v>
      </c>
      <c r="AA255" s="18" t="s">
        <v>58</v>
      </c>
      <c r="AB255" s="18" t="s">
        <v>58</v>
      </c>
      <c r="AC255" s="18" t="s">
        <v>58</v>
      </c>
      <c r="AD255" s="18" t="s">
        <v>58</v>
      </c>
      <c r="AE255" s="14"/>
      <c r="AF255" s="14"/>
      <c r="AH255" s="9" t="s">
        <v>1850</v>
      </c>
      <c r="AI255" s="20"/>
      <c r="AJ255" s="14"/>
      <c r="AK255" s="14"/>
      <c r="AL255" s="14"/>
      <c r="AM255" s="14"/>
      <c r="AN255" s="14"/>
      <c r="AO255" s="14"/>
      <c r="AP255" s="14"/>
      <c r="AQ255" s="14"/>
      <c r="AR255" s="14"/>
    </row>
    <row r="256" ht="22.5" customHeight="1">
      <c r="A256" s="103">
        <v>46074.0</v>
      </c>
      <c r="B256" s="97" t="s">
        <v>2084</v>
      </c>
      <c r="C256" s="8" t="s">
        <v>45</v>
      </c>
      <c r="D256" s="9" t="s">
        <v>46</v>
      </c>
      <c r="E256" s="9" t="s">
        <v>2085</v>
      </c>
      <c r="F256" s="9" t="s">
        <v>68</v>
      </c>
      <c r="G256" s="10">
        <v>500032.0</v>
      </c>
      <c r="H256" s="9" t="s">
        <v>903</v>
      </c>
      <c r="I256" s="11" t="str">
        <f>VLOOKUP(H256,Mapping!D:E,2,0)</f>
        <v>gachibowli</v>
      </c>
      <c r="J256" s="9" t="s">
        <v>148</v>
      </c>
      <c r="K256" s="12">
        <v>0.2</v>
      </c>
      <c r="L256" s="14" t="str">
        <f t="shared" si="27"/>
        <v>20%+</v>
      </c>
      <c r="M256" s="13">
        <v>0.018</v>
      </c>
      <c r="N256" s="9" t="s">
        <v>68</v>
      </c>
      <c r="O256" s="9" t="s">
        <v>2077</v>
      </c>
      <c r="P256" s="9" t="s">
        <v>2078</v>
      </c>
      <c r="Q256" s="9" t="s">
        <v>2079</v>
      </c>
      <c r="R256" s="16" t="s">
        <v>2086</v>
      </c>
      <c r="S256" s="9" t="s">
        <v>2081</v>
      </c>
      <c r="T256" s="9" t="s">
        <v>2082</v>
      </c>
      <c r="U256" s="9" t="s">
        <v>2011</v>
      </c>
      <c r="V256" s="17">
        <v>5.712286063E9</v>
      </c>
      <c r="W256" s="9" t="s">
        <v>2083</v>
      </c>
      <c r="X256" s="9" t="s">
        <v>80</v>
      </c>
      <c r="Y256" s="18" t="s">
        <v>58</v>
      </c>
      <c r="Z256" s="18" t="s">
        <v>58</v>
      </c>
      <c r="AA256" s="18" t="s">
        <v>58</v>
      </c>
      <c r="AB256" s="18" t="s">
        <v>58</v>
      </c>
      <c r="AC256" s="18" t="s">
        <v>58</v>
      </c>
      <c r="AD256" s="18" t="s">
        <v>58</v>
      </c>
      <c r="AE256" s="14"/>
      <c r="AF256" s="14"/>
      <c r="AG256" s="14" t="str">
        <f>VLOOKUP(H:H,'Pivot Table 8'!B:C,2,0)</f>
        <v>#REF!</v>
      </c>
      <c r="AH256" s="9" t="s">
        <v>1850</v>
      </c>
      <c r="AI256" s="20"/>
      <c r="AJ256" s="14"/>
      <c r="AK256" s="14"/>
      <c r="AL256" s="14"/>
      <c r="AM256" s="14"/>
      <c r="AN256" s="14"/>
      <c r="AO256" s="14"/>
      <c r="AP256" s="14"/>
      <c r="AQ256" s="14"/>
      <c r="AR256" s="14"/>
    </row>
    <row r="257" ht="22.5" customHeight="1">
      <c r="A257" s="103">
        <v>46074.0</v>
      </c>
      <c r="B257" s="110" t="s">
        <v>2087</v>
      </c>
      <c r="C257" s="8" t="s">
        <v>186</v>
      </c>
      <c r="D257" s="9" t="s">
        <v>46</v>
      </c>
      <c r="E257" s="9" t="s">
        <v>2088</v>
      </c>
      <c r="F257" s="9" t="s">
        <v>68</v>
      </c>
      <c r="G257" s="10">
        <v>500081.0</v>
      </c>
      <c r="H257" s="9" t="s">
        <v>2089</v>
      </c>
      <c r="I257" s="11" t="str">
        <f>VLOOKUP(H257,Mapping!D:E,2,0)</f>
        <v>Hitech-City</v>
      </c>
      <c r="J257" s="9" t="s">
        <v>148</v>
      </c>
      <c r="K257" s="12">
        <v>0.17</v>
      </c>
      <c r="L257" s="14" t="str">
        <f t="shared" si="27"/>
        <v>&lt;20%</v>
      </c>
      <c r="M257" s="13">
        <v>0.018</v>
      </c>
      <c r="N257" s="127">
        <v>0.02</v>
      </c>
      <c r="O257" s="9" t="s">
        <v>2090</v>
      </c>
      <c r="P257" s="9" t="s">
        <v>2091</v>
      </c>
      <c r="Q257" s="9" t="s">
        <v>2092</v>
      </c>
      <c r="R257" s="16" t="s">
        <v>2093</v>
      </c>
      <c r="S257" s="9" t="s">
        <v>2094</v>
      </c>
      <c r="T257" s="9" t="s">
        <v>2095</v>
      </c>
      <c r="U257" s="9" t="s">
        <v>2096</v>
      </c>
      <c r="V257" s="17">
        <v>8.9989981258E10</v>
      </c>
      <c r="W257" s="9" t="s">
        <v>2097</v>
      </c>
      <c r="X257" s="9" t="s">
        <v>80</v>
      </c>
      <c r="Y257" s="18" t="s">
        <v>57</v>
      </c>
      <c r="Z257" s="18" t="s">
        <v>57</v>
      </c>
      <c r="AA257" s="18" t="s">
        <v>57</v>
      </c>
      <c r="AB257" s="18" t="s">
        <v>57</v>
      </c>
      <c r="AC257" s="18" t="s">
        <v>57</v>
      </c>
      <c r="AD257" s="18" t="s">
        <v>58</v>
      </c>
      <c r="AE257" s="40" t="s">
        <v>2098</v>
      </c>
      <c r="AF257" s="40" t="s">
        <v>2099</v>
      </c>
      <c r="AH257" s="14"/>
      <c r="AI257" s="20"/>
      <c r="AJ257" s="14"/>
      <c r="AK257" s="14"/>
      <c r="AL257" s="14"/>
      <c r="AM257" s="14"/>
      <c r="AN257" s="14"/>
      <c r="AO257" s="14"/>
      <c r="AP257" s="14"/>
      <c r="AQ257" s="14"/>
      <c r="AR257" s="14"/>
    </row>
    <row r="258" ht="22.5" customHeight="1">
      <c r="A258" s="103">
        <v>46074.0</v>
      </c>
      <c r="B258" s="69" t="s">
        <v>2100</v>
      </c>
      <c r="C258" s="8" t="s">
        <v>186</v>
      </c>
      <c r="D258" s="9" t="s">
        <v>46</v>
      </c>
      <c r="E258" s="9" t="s">
        <v>2101</v>
      </c>
      <c r="F258" s="9" t="s">
        <v>68</v>
      </c>
      <c r="G258" s="10">
        <v>500019.0</v>
      </c>
      <c r="H258" s="9" t="s">
        <v>1940</v>
      </c>
      <c r="I258" s="11" t="str">
        <f>VLOOKUP(H258,Mapping!D:E,2,0)</f>
        <v>Hitech-City</v>
      </c>
      <c r="J258" s="9" t="s">
        <v>148</v>
      </c>
      <c r="K258" s="12">
        <v>0.2</v>
      </c>
      <c r="L258" s="14" t="str">
        <f t="shared" si="27"/>
        <v>20%+</v>
      </c>
      <c r="M258" s="13">
        <v>0.018</v>
      </c>
      <c r="N258" s="127">
        <v>0.02</v>
      </c>
      <c r="O258" s="9" t="s">
        <v>2102</v>
      </c>
      <c r="P258" s="9" t="s">
        <v>2103</v>
      </c>
      <c r="Q258" s="9" t="s">
        <v>2104</v>
      </c>
      <c r="R258" s="16" t="s">
        <v>2105</v>
      </c>
      <c r="S258" s="9" t="s">
        <v>2106</v>
      </c>
      <c r="T258" s="9" t="s">
        <v>2107</v>
      </c>
      <c r="U258" s="9" t="s">
        <v>2108</v>
      </c>
      <c r="V258" s="17">
        <v>1.8630370215E11</v>
      </c>
      <c r="W258" s="9" t="s">
        <v>1283</v>
      </c>
      <c r="X258" s="9" t="s">
        <v>56</v>
      </c>
      <c r="Y258" s="18" t="s">
        <v>57</v>
      </c>
      <c r="Z258" s="18" t="s">
        <v>58</v>
      </c>
      <c r="AA258" s="18" t="s">
        <v>57</v>
      </c>
      <c r="AB258" s="18" t="s">
        <v>57</v>
      </c>
      <c r="AC258" s="18" t="s">
        <v>57</v>
      </c>
      <c r="AD258" s="18" t="s">
        <v>58</v>
      </c>
      <c r="AE258" s="40" t="s">
        <v>2109</v>
      </c>
      <c r="AF258" s="40" t="s">
        <v>2110</v>
      </c>
      <c r="AH258" s="14"/>
      <c r="AI258" s="20"/>
      <c r="AJ258" s="14"/>
      <c r="AK258" s="14"/>
      <c r="AL258" s="14"/>
      <c r="AM258" s="14"/>
      <c r="AN258" s="14"/>
      <c r="AO258" s="14"/>
      <c r="AP258" s="14"/>
      <c r="AQ258" s="14"/>
      <c r="AR258" s="14"/>
    </row>
    <row r="259" ht="22.5" customHeight="1">
      <c r="A259" s="103">
        <v>46074.0</v>
      </c>
      <c r="B259" s="69" t="s">
        <v>2111</v>
      </c>
      <c r="C259" s="8" t="s">
        <v>186</v>
      </c>
      <c r="D259" s="9" t="s">
        <v>2112</v>
      </c>
      <c r="E259" s="9" t="s">
        <v>2113</v>
      </c>
      <c r="F259" s="9" t="s">
        <v>68</v>
      </c>
      <c r="G259" s="10">
        <v>500019.0</v>
      </c>
      <c r="H259" s="9" t="s">
        <v>2089</v>
      </c>
      <c r="I259" s="11" t="str">
        <f>VLOOKUP(H259,Mapping!D:E,2,0)</f>
        <v>Hitech-City</v>
      </c>
      <c r="J259" s="61" t="s">
        <v>148</v>
      </c>
      <c r="K259" s="12">
        <v>0.2</v>
      </c>
      <c r="L259" s="14" t="str">
        <f t="shared" si="27"/>
        <v>20%+</v>
      </c>
      <c r="M259" s="13">
        <v>0.018</v>
      </c>
      <c r="N259" s="127">
        <v>0.02</v>
      </c>
      <c r="O259" s="9" t="s">
        <v>2114</v>
      </c>
      <c r="P259" s="9" t="s">
        <v>2115</v>
      </c>
      <c r="Q259" s="9" t="s">
        <v>2116</v>
      </c>
      <c r="R259" s="16" t="s">
        <v>2105</v>
      </c>
      <c r="S259" s="9" t="s">
        <v>68</v>
      </c>
      <c r="T259" s="9" t="s">
        <v>2117</v>
      </c>
      <c r="U259" s="9" t="s">
        <v>415</v>
      </c>
      <c r="V259" s="67">
        <v>1.8630370215E11</v>
      </c>
      <c r="W259" s="17" t="s">
        <v>1283</v>
      </c>
      <c r="X259" s="9" t="s">
        <v>56</v>
      </c>
      <c r="Y259" s="18" t="s">
        <v>57</v>
      </c>
      <c r="Z259" s="18" t="s">
        <v>58</v>
      </c>
      <c r="AA259" s="18" t="s">
        <v>57</v>
      </c>
      <c r="AB259" s="18" t="s">
        <v>57</v>
      </c>
      <c r="AC259" s="18" t="s">
        <v>57</v>
      </c>
      <c r="AD259" s="18" t="s">
        <v>58</v>
      </c>
      <c r="AE259" s="40" t="s">
        <v>2109</v>
      </c>
      <c r="AF259" s="40" t="s">
        <v>2110</v>
      </c>
      <c r="AG259" s="14"/>
      <c r="AH259" s="14"/>
      <c r="AI259" s="20"/>
      <c r="AJ259" s="14"/>
      <c r="AK259" s="14"/>
      <c r="AL259" s="14"/>
      <c r="AM259" s="14"/>
      <c r="AN259" s="14"/>
      <c r="AO259" s="14"/>
      <c r="AP259" s="14"/>
      <c r="AQ259" s="14"/>
      <c r="AR259" s="14"/>
    </row>
    <row r="260" ht="22.5" customHeight="1">
      <c r="A260" s="81">
        <v>46074.0</v>
      </c>
      <c r="B260" s="138" t="s">
        <v>2118</v>
      </c>
      <c r="C260" s="8" t="s">
        <v>186</v>
      </c>
      <c r="D260" s="9" t="s">
        <v>46</v>
      </c>
      <c r="E260" s="9" t="s">
        <v>2119</v>
      </c>
      <c r="F260" s="9" t="s">
        <v>68</v>
      </c>
      <c r="G260" s="10">
        <v>500084.0</v>
      </c>
      <c r="H260" s="9" t="s">
        <v>389</v>
      </c>
      <c r="I260" s="11" t="str">
        <f>VLOOKUP(H260,Mapping!D:E,2,0)</f>
        <v>Kondapur</v>
      </c>
      <c r="J260" s="61" t="s">
        <v>390</v>
      </c>
      <c r="K260" s="12">
        <v>0.2</v>
      </c>
      <c r="L260" s="14" t="str">
        <f t="shared" si="27"/>
        <v>20%+</v>
      </c>
      <c r="M260" s="14"/>
      <c r="N260" s="127">
        <v>0.02</v>
      </c>
      <c r="O260" s="9" t="s">
        <v>2120</v>
      </c>
      <c r="P260" s="9" t="s">
        <v>2121</v>
      </c>
      <c r="Q260" s="9" t="s">
        <v>2122</v>
      </c>
      <c r="R260" s="16" t="s">
        <v>2123</v>
      </c>
      <c r="S260" s="9" t="s">
        <v>68</v>
      </c>
      <c r="T260" s="9" t="s">
        <v>2124</v>
      </c>
      <c r="U260" s="9" t="s">
        <v>254</v>
      </c>
      <c r="V260" s="17">
        <v>6.450790386E9</v>
      </c>
      <c r="W260" s="9" t="s">
        <v>2125</v>
      </c>
      <c r="X260" s="9" t="s">
        <v>56</v>
      </c>
      <c r="Y260" s="14"/>
      <c r="Z260" s="14"/>
      <c r="AA260" s="14"/>
      <c r="AB260" s="14"/>
      <c r="AC260" s="14"/>
      <c r="AD260" s="14"/>
      <c r="AE260" s="14"/>
      <c r="AF260" s="14"/>
      <c r="AG260" s="14"/>
      <c r="AH260" s="14"/>
      <c r="AI260" s="20"/>
      <c r="AJ260" s="14"/>
      <c r="AK260" s="14"/>
      <c r="AL260" s="14"/>
      <c r="AM260" s="14"/>
      <c r="AN260" s="14"/>
      <c r="AO260" s="14"/>
      <c r="AP260" s="14"/>
      <c r="AQ260" s="14"/>
      <c r="AR260" s="14"/>
    </row>
    <row r="261" ht="22.5" customHeight="1">
      <c r="A261" s="103">
        <v>46075.0</v>
      </c>
      <c r="B261" s="69" t="s">
        <v>2126</v>
      </c>
      <c r="C261" s="8" t="s">
        <v>96</v>
      </c>
      <c r="D261" s="9" t="s">
        <v>258</v>
      </c>
      <c r="E261" s="39" t="s">
        <v>2127</v>
      </c>
      <c r="F261" s="9" t="s">
        <v>68</v>
      </c>
      <c r="G261" s="10">
        <v>500045.0</v>
      </c>
      <c r="H261" s="9" t="s">
        <v>1041</v>
      </c>
      <c r="I261" s="11" t="str">
        <f>VLOOKUP(H261,Mapping!D:E,2,0)</f>
        <v>yousufguda</v>
      </c>
      <c r="J261" s="61" t="s">
        <v>161</v>
      </c>
      <c r="K261" s="12">
        <v>0.22</v>
      </c>
      <c r="L261" s="14" t="str">
        <f t="shared" si="27"/>
        <v>20%+</v>
      </c>
      <c r="M261" s="13">
        <v>0.018</v>
      </c>
      <c r="N261" s="9" t="s">
        <v>2128</v>
      </c>
      <c r="O261" s="9" t="s">
        <v>2129</v>
      </c>
      <c r="P261" s="39" t="s">
        <v>2130</v>
      </c>
      <c r="Q261" s="9" t="s">
        <v>2131</v>
      </c>
      <c r="R261" s="9" t="s">
        <v>2132</v>
      </c>
      <c r="S261" s="9" t="s">
        <v>68</v>
      </c>
      <c r="T261" s="9" t="s">
        <v>68</v>
      </c>
      <c r="U261" s="9" t="s">
        <v>68</v>
      </c>
      <c r="V261" s="9" t="s">
        <v>68</v>
      </c>
      <c r="W261" s="9" t="s">
        <v>68</v>
      </c>
      <c r="X261" s="9" t="s">
        <v>68</v>
      </c>
      <c r="Y261" s="18" t="s">
        <v>57</v>
      </c>
      <c r="Z261" s="18" t="s">
        <v>58</v>
      </c>
      <c r="AA261" s="18" t="s">
        <v>57</v>
      </c>
      <c r="AB261" s="18" t="s">
        <v>57</v>
      </c>
      <c r="AC261" s="18" t="s">
        <v>57</v>
      </c>
      <c r="AD261" s="18" t="s">
        <v>58</v>
      </c>
      <c r="AE261" s="35" t="s">
        <v>2133</v>
      </c>
      <c r="AF261" s="14"/>
      <c r="AH261" s="14"/>
      <c r="AI261" s="8" t="s">
        <v>71</v>
      </c>
      <c r="AJ261" s="14"/>
      <c r="AK261" s="14"/>
      <c r="AL261" s="14"/>
      <c r="AM261" s="14"/>
      <c r="AN261" s="14"/>
      <c r="AO261" s="14"/>
      <c r="AP261" s="14"/>
      <c r="AQ261" s="14"/>
      <c r="AR261" s="14"/>
    </row>
    <row r="262" ht="22.5" customHeight="1">
      <c r="A262" s="110">
        <v>46076.0</v>
      </c>
      <c r="B262" s="90" t="s">
        <v>2134</v>
      </c>
      <c r="C262" s="8" t="s">
        <v>186</v>
      </c>
      <c r="D262" s="9" t="s">
        <v>61</v>
      </c>
      <c r="E262" s="9" t="s">
        <v>2135</v>
      </c>
      <c r="F262" s="9" t="s">
        <v>68</v>
      </c>
      <c r="G262" s="10">
        <v>500046.0</v>
      </c>
      <c r="H262" s="9" t="s">
        <v>68</v>
      </c>
      <c r="I262" s="9" t="s">
        <v>1424</v>
      </c>
      <c r="J262" s="11" t="str">
        <f>VLOOKUP(I262,Mapping!A:B,2,0)</f>
        <v>Zone 4 Hi-tech City</v>
      </c>
      <c r="K262" s="12">
        <v>0.21</v>
      </c>
      <c r="L262" s="14" t="str">
        <f t="shared" si="27"/>
        <v>20%+</v>
      </c>
      <c r="M262" s="13">
        <v>0.018</v>
      </c>
      <c r="N262" s="127">
        <v>0.02</v>
      </c>
      <c r="O262" s="9" t="s">
        <v>2136</v>
      </c>
      <c r="P262" s="9" t="s">
        <v>2137</v>
      </c>
      <c r="Q262" s="15" t="s">
        <v>1500</v>
      </c>
      <c r="R262" s="16" t="s">
        <v>2138</v>
      </c>
      <c r="S262" s="9" t="s">
        <v>2139</v>
      </c>
      <c r="T262" s="9" t="s">
        <v>2136</v>
      </c>
      <c r="U262" s="9" t="s">
        <v>215</v>
      </c>
      <c r="V262" s="17">
        <v>1.45361900001302E14</v>
      </c>
      <c r="W262" s="9" t="s">
        <v>2140</v>
      </c>
      <c r="X262" s="9" t="s">
        <v>80</v>
      </c>
      <c r="Y262" s="18" t="s">
        <v>57</v>
      </c>
      <c r="Z262" s="18" t="s">
        <v>58</v>
      </c>
      <c r="AA262" s="18" t="s">
        <v>57</v>
      </c>
      <c r="AB262" s="18" t="s">
        <v>57</v>
      </c>
      <c r="AC262" s="18" t="s">
        <v>57</v>
      </c>
      <c r="AD262" s="18" t="s">
        <v>58</v>
      </c>
      <c r="AE262" s="40" t="s">
        <v>2141</v>
      </c>
      <c r="AF262" s="40" t="s">
        <v>2141</v>
      </c>
      <c r="AH262" s="14"/>
      <c r="AI262" s="20"/>
      <c r="AJ262" s="14"/>
      <c r="AK262" s="14"/>
      <c r="AL262" s="14"/>
      <c r="AM262" s="14"/>
      <c r="AN262" s="14"/>
      <c r="AO262" s="14"/>
      <c r="AP262" s="14"/>
      <c r="AQ262" s="14"/>
      <c r="AR262" s="14"/>
    </row>
    <row r="263" ht="22.5" customHeight="1">
      <c r="A263" s="103">
        <v>46076.0</v>
      </c>
      <c r="B263" s="69" t="s">
        <v>2142</v>
      </c>
      <c r="C263" s="8" t="s">
        <v>45</v>
      </c>
      <c r="D263" s="9" t="s">
        <v>61</v>
      </c>
      <c r="E263" s="152" t="s">
        <v>2143</v>
      </c>
      <c r="F263" s="9" t="s">
        <v>68</v>
      </c>
      <c r="G263" s="10">
        <v>500085.0</v>
      </c>
      <c r="H263" s="9" t="s">
        <v>1198</v>
      </c>
      <c r="I263" s="11" t="str">
        <f>VLOOKUP(H263,Mapping!D:E,2,0)</f>
        <v>kukatpally</v>
      </c>
      <c r="J263" s="9" t="s">
        <v>390</v>
      </c>
      <c r="K263" s="12">
        <v>0.2</v>
      </c>
      <c r="L263" s="14" t="str">
        <f t="shared" si="27"/>
        <v>20%+</v>
      </c>
      <c r="M263" s="13">
        <v>0.018</v>
      </c>
      <c r="N263" s="14"/>
      <c r="O263" s="43" t="s">
        <v>2142</v>
      </c>
      <c r="P263" s="152" t="s">
        <v>2144</v>
      </c>
      <c r="Q263" s="9" t="s">
        <v>2145</v>
      </c>
      <c r="R263" s="16" t="s">
        <v>2146</v>
      </c>
      <c r="S263" s="99" t="s">
        <v>2147</v>
      </c>
      <c r="T263" s="9" t="s">
        <v>2142</v>
      </c>
      <c r="U263" s="9" t="s">
        <v>2148</v>
      </c>
      <c r="V263" s="17">
        <v>2.59494969626E11</v>
      </c>
      <c r="W263" s="9" t="s">
        <v>2149</v>
      </c>
      <c r="X263" s="9" t="s">
        <v>80</v>
      </c>
      <c r="Y263" s="18" t="s">
        <v>57</v>
      </c>
      <c r="Z263" s="18" t="s">
        <v>57</v>
      </c>
      <c r="AA263" s="18" t="s">
        <v>58</v>
      </c>
      <c r="AB263" s="18" t="s">
        <v>57</v>
      </c>
      <c r="AC263" s="18" t="s">
        <v>58</v>
      </c>
      <c r="AD263" s="18" t="s">
        <v>58</v>
      </c>
      <c r="AE263" s="35" t="s">
        <v>2150</v>
      </c>
      <c r="AF263" s="14"/>
      <c r="AH263" s="9" t="s">
        <v>1850</v>
      </c>
      <c r="AI263" s="20"/>
      <c r="AJ263" s="14"/>
      <c r="AK263" s="14"/>
      <c r="AL263" s="14"/>
      <c r="AM263" s="14"/>
      <c r="AN263" s="14"/>
      <c r="AO263" s="14"/>
      <c r="AP263" s="14"/>
      <c r="AQ263" s="14"/>
      <c r="AR263" s="14"/>
    </row>
    <row r="264" ht="22.5" customHeight="1">
      <c r="A264" s="110">
        <v>46076.0</v>
      </c>
      <c r="B264" s="97" t="s">
        <v>2151</v>
      </c>
      <c r="C264" s="8" t="s">
        <v>1919</v>
      </c>
      <c r="D264" s="9" t="s">
        <v>258</v>
      </c>
      <c r="E264" s="9" t="s">
        <v>2152</v>
      </c>
      <c r="F264" s="9" t="s">
        <v>2153</v>
      </c>
      <c r="G264" s="10">
        <v>500086.0</v>
      </c>
      <c r="H264" s="9" t="s">
        <v>2154</v>
      </c>
      <c r="I264" s="11" t="str">
        <f>VLOOKUP(H264,Mapping!D:E,2,0)</f>
        <v>mehdipatnam</v>
      </c>
      <c r="J264" s="9" t="s">
        <v>50</v>
      </c>
      <c r="K264" s="12">
        <v>0.22</v>
      </c>
      <c r="L264" s="14" t="str">
        <f t="shared" si="27"/>
        <v>20%+</v>
      </c>
      <c r="M264" s="13">
        <v>0.018</v>
      </c>
      <c r="N264" s="127">
        <v>0.0</v>
      </c>
      <c r="O264" s="9" t="s">
        <v>2155</v>
      </c>
      <c r="P264" s="9" t="s">
        <v>2156</v>
      </c>
      <c r="Q264" s="9" t="s">
        <v>2153</v>
      </c>
      <c r="R264" s="16" t="s">
        <v>2157</v>
      </c>
      <c r="S264" s="9" t="s">
        <v>2158</v>
      </c>
      <c r="T264" s="9" t="s">
        <v>2153</v>
      </c>
      <c r="U264" s="9" t="s">
        <v>2159</v>
      </c>
      <c r="V264" s="17">
        <v>5.449926959E9</v>
      </c>
      <c r="W264" s="9" t="s">
        <v>2160</v>
      </c>
      <c r="X264" s="9" t="s">
        <v>80</v>
      </c>
      <c r="Y264" s="18" t="s">
        <v>57</v>
      </c>
      <c r="Z264" s="18" t="s">
        <v>58</v>
      </c>
      <c r="AA264" s="18" t="s">
        <v>57</v>
      </c>
      <c r="AB264" s="18" t="s">
        <v>58</v>
      </c>
      <c r="AC264" s="18" t="s">
        <v>58</v>
      </c>
      <c r="AD264" s="18" t="s">
        <v>57</v>
      </c>
      <c r="AE264" s="33" t="s">
        <v>2161</v>
      </c>
      <c r="AF264" s="14"/>
      <c r="AG264" s="15" t="s">
        <v>2162</v>
      </c>
      <c r="AH264" s="9" t="s">
        <v>2163</v>
      </c>
      <c r="AI264" s="8" t="s">
        <v>343</v>
      </c>
      <c r="AJ264" s="14"/>
      <c r="AK264" s="14"/>
      <c r="AL264" s="14"/>
      <c r="AM264" s="14"/>
      <c r="AN264" s="14"/>
      <c r="AO264" s="14"/>
      <c r="AP264" s="14"/>
      <c r="AQ264" s="14"/>
      <c r="AR264" s="14"/>
    </row>
    <row r="265" ht="22.5" customHeight="1">
      <c r="A265" s="103">
        <v>46076.0</v>
      </c>
      <c r="B265" s="69" t="s">
        <v>2164</v>
      </c>
      <c r="C265" s="8" t="s">
        <v>186</v>
      </c>
      <c r="D265" s="9" t="s">
        <v>258</v>
      </c>
      <c r="E265" s="39" t="s">
        <v>2165</v>
      </c>
      <c r="F265" s="9" t="s">
        <v>68</v>
      </c>
      <c r="G265" s="10">
        <v>500084.0</v>
      </c>
      <c r="H265" s="9" t="s">
        <v>389</v>
      </c>
      <c r="I265" s="11" t="str">
        <f>VLOOKUP(H265,Mapping!D:E,2,0)</f>
        <v>Kondapur</v>
      </c>
      <c r="J265" s="9" t="s">
        <v>390</v>
      </c>
      <c r="K265" s="12">
        <v>0.2</v>
      </c>
      <c r="L265" s="14" t="str">
        <f t="shared" si="27"/>
        <v>20%+</v>
      </c>
      <c r="M265" s="13">
        <v>0.018</v>
      </c>
      <c r="N265" s="127">
        <v>0.0</v>
      </c>
      <c r="O265" s="9" t="s">
        <v>2166</v>
      </c>
      <c r="P265" s="9" t="s">
        <v>2167</v>
      </c>
      <c r="Q265" s="9" t="s">
        <v>2168</v>
      </c>
      <c r="R265" s="16" t="s">
        <v>2169</v>
      </c>
      <c r="S265" s="9" t="s">
        <v>2170</v>
      </c>
      <c r="T265" s="9" t="s">
        <v>2171</v>
      </c>
      <c r="U265" s="9" t="s">
        <v>2172</v>
      </c>
      <c r="V265" s="17">
        <v>6.0561936317E10</v>
      </c>
      <c r="W265" s="9" t="s">
        <v>2173</v>
      </c>
      <c r="X265" s="9" t="s">
        <v>80</v>
      </c>
      <c r="Y265" s="18" t="s">
        <v>57</v>
      </c>
      <c r="Z265" s="18" t="s">
        <v>57</v>
      </c>
      <c r="AA265" s="18" t="s">
        <v>57</v>
      </c>
      <c r="AB265" s="18" t="s">
        <v>57</v>
      </c>
      <c r="AC265" s="18" t="s">
        <v>57</v>
      </c>
      <c r="AD265" s="18" t="s">
        <v>58</v>
      </c>
      <c r="AE265" s="77" t="s">
        <v>2174</v>
      </c>
      <c r="AF265" s="40" t="s">
        <v>2175</v>
      </c>
      <c r="AH265" s="14"/>
      <c r="AI265" s="20"/>
      <c r="AJ265" s="14"/>
      <c r="AK265" s="14"/>
      <c r="AL265" s="14"/>
      <c r="AM265" s="14"/>
      <c r="AN265" s="14"/>
      <c r="AO265" s="14"/>
      <c r="AP265" s="14"/>
      <c r="AQ265" s="14"/>
      <c r="AR265" s="14"/>
    </row>
    <row r="266" ht="22.5" customHeight="1">
      <c r="A266" s="103">
        <v>46076.0</v>
      </c>
      <c r="B266" s="97" t="s">
        <v>2176</v>
      </c>
      <c r="C266" s="8" t="s">
        <v>186</v>
      </c>
      <c r="D266" s="9" t="s">
        <v>258</v>
      </c>
      <c r="E266" s="39" t="s">
        <v>2177</v>
      </c>
      <c r="F266" s="9" t="s">
        <v>68</v>
      </c>
      <c r="G266" s="10">
        <v>500084.0</v>
      </c>
      <c r="H266" s="9" t="s">
        <v>389</v>
      </c>
      <c r="I266" s="11" t="str">
        <f>VLOOKUP(H266,Mapping!D:E,2,0)</f>
        <v>Kondapur</v>
      </c>
      <c r="J266" s="9" t="s">
        <v>390</v>
      </c>
      <c r="K266" s="12">
        <v>0.2</v>
      </c>
      <c r="L266" s="14" t="str">
        <f t="shared" si="27"/>
        <v>20%+</v>
      </c>
      <c r="M266" s="13">
        <v>0.018</v>
      </c>
      <c r="N266" s="127">
        <v>0.0</v>
      </c>
      <c r="O266" s="9" t="s">
        <v>2166</v>
      </c>
      <c r="P266" s="9" t="s">
        <v>2167</v>
      </c>
      <c r="Q266" s="9" t="s">
        <v>2168</v>
      </c>
      <c r="R266" s="16" t="s">
        <v>2169</v>
      </c>
      <c r="S266" s="9" t="s">
        <v>68</v>
      </c>
      <c r="T266" s="9" t="s">
        <v>2171</v>
      </c>
      <c r="U266" s="9" t="s">
        <v>2172</v>
      </c>
      <c r="V266" s="17">
        <v>6.0561936317E10</v>
      </c>
      <c r="W266" s="9" t="s">
        <v>2173</v>
      </c>
      <c r="X266" s="9" t="s">
        <v>80</v>
      </c>
      <c r="Y266" s="18" t="s">
        <v>57</v>
      </c>
      <c r="Z266" s="18" t="s">
        <v>57</v>
      </c>
      <c r="AA266" s="18" t="s">
        <v>57</v>
      </c>
      <c r="AB266" s="18" t="s">
        <v>57</v>
      </c>
      <c r="AC266" s="18" t="s">
        <v>57</v>
      </c>
      <c r="AD266" s="18" t="s">
        <v>58</v>
      </c>
      <c r="AE266" s="40" t="s">
        <v>2178</v>
      </c>
      <c r="AF266" s="40" t="s">
        <v>2175</v>
      </c>
      <c r="AH266" s="14"/>
      <c r="AI266" s="20"/>
      <c r="AJ266" s="14"/>
      <c r="AK266" s="14"/>
      <c r="AL266" s="14"/>
      <c r="AM266" s="14"/>
      <c r="AN266" s="14"/>
      <c r="AO266" s="14"/>
      <c r="AP266" s="14"/>
      <c r="AQ266" s="14"/>
      <c r="AR266" s="14"/>
    </row>
    <row r="267" ht="22.5" customHeight="1">
      <c r="A267" s="103">
        <v>46076.0</v>
      </c>
      <c r="B267" s="121" t="s">
        <v>2179</v>
      </c>
      <c r="C267" s="8" t="s">
        <v>186</v>
      </c>
      <c r="D267" s="9" t="s">
        <v>258</v>
      </c>
      <c r="E267" s="9" t="s">
        <v>2180</v>
      </c>
      <c r="F267" s="9" t="s">
        <v>68</v>
      </c>
      <c r="G267" s="10">
        <v>500032.0</v>
      </c>
      <c r="H267" s="9" t="s">
        <v>716</v>
      </c>
      <c r="I267" s="11" t="str">
        <f>VLOOKUP(H267,Mapping!D:E,2,0)</f>
        <v>nanakramguda</v>
      </c>
      <c r="J267" s="9" t="s">
        <v>303</v>
      </c>
      <c r="K267" s="12">
        <v>0.2</v>
      </c>
      <c r="L267" s="14" t="str">
        <f t="shared" si="27"/>
        <v>20%+</v>
      </c>
      <c r="M267" s="13">
        <v>0.018</v>
      </c>
      <c r="N267" s="14"/>
      <c r="O267" s="43" t="s">
        <v>2179</v>
      </c>
      <c r="P267" s="9" t="s">
        <v>2181</v>
      </c>
      <c r="Q267" s="9" t="s">
        <v>2182</v>
      </c>
      <c r="R267" s="16" t="s">
        <v>2183</v>
      </c>
      <c r="S267" s="9" t="s">
        <v>2184</v>
      </c>
      <c r="T267" s="9" t="s">
        <v>2185</v>
      </c>
      <c r="U267" s="9" t="s">
        <v>877</v>
      </c>
      <c r="V267" s="17">
        <v>1.10031112647E11</v>
      </c>
      <c r="W267" s="9" t="s">
        <v>2186</v>
      </c>
      <c r="X267" s="9" t="s">
        <v>56</v>
      </c>
      <c r="Y267" s="18" t="s">
        <v>57</v>
      </c>
      <c r="Z267" s="18" t="s">
        <v>58</v>
      </c>
      <c r="AA267" s="18" t="s">
        <v>57</v>
      </c>
      <c r="AB267" s="18" t="s">
        <v>57</v>
      </c>
      <c r="AC267" s="18" t="s">
        <v>57</v>
      </c>
      <c r="AD267" s="18" t="s">
        <v>58</v>
      </c>
      <c r="AE267" s="40" t="s">
        <v>2179</v>
      </c>
      <c r="AF267" s="40" t="s">
        <v>2187</v>
      </c>
      <c r="AH267" s="14"/>
      <c r="AI267" s="20"/>
      <c r="AJ267" s="14"/>
      <c r="AK267" s="14"/>
      <c r="AL267" s="14"/>
      <c r="AM267" s="14"/>
      <c r="AN267" s="14"/>
      <c r="AO267" s="14"/>
      <c r="AP267" s="14"/>
      <c r="AQ267" s="14"/>
      <c r="AR267" s="14"/>
    </row>
    <row r="268" ht="22.5" customHeight="1">
      <c r="A268" s="103">
        <v>46076.0</v>
      </c>
      <c r="B268" s="97" t="s">
        <v>2188</v>
      </c>
      <c r="C268" s="8" t="s">
        <v>73</v>
      </c>
      <c r="D268" s="9" t="s">
        <v>46</v>
      </c>
      <c r="E268" s="9" t="s">
        <v>2189</v>
      </c>
      <c r="F268" s="9" t="s">
        <v>2190</v>
      </c>
      <c r="G268" s="10">
        <v>500085.0</v>
      </c>
      <c r="H268" s="9" t="s">
        <v>1198</v>
      </c>
      <c r="I268" s="11" t="str">
        <f>VLOOKUP(H268,Mapping!D:E,2,0)</f>
        <v>kukatpally</v>
      </c>
      <c r="J268" s="9" t="s">
        <v>390</v>
      </c>
      <c r="K268" s="12">
        <v>0.22</v>
      </c>
      <c r="L268" s="14" t="str">
        <f t="shared" si="27"/>
        <v>20%+</v>
      </c>
      <c r="M268" s="13">
        <v>0.018</v>
      </c>
      <c r="N268" s="14"/>
      <c r="O268" s="43" t="s">
        <v>2188</v>
      </c>
      <c r="P268" s="9" t="s">
        <v>1198</v>
      </c>
      <c r="Q268" s="9" t="s">
        <v>2190</v>
      </c>
      <c r="R268" s="16" t="s">
        <v>2191</v>
      </c>
      <c r="S268" s="9" t="s">
        <v>2192</v>
      </c>
      <c r="T268" s="9" t="s">
        <v>68</v>
      </c>
      <c r="U268" s="9" t="s">
        <v>68</v>
      </c>
      <c r="V268" s="9" t="s">
        <v>68</v>
      </c>
      <c r="W268" s="9" t="s">
        <v>68</v>
      </c>
      <c r="X268" s="9" t="s">
        <v>68</v>
      </c>
      <c r="Y268" s="18" t="s">
        <v>57</v>
      </c>
      <c r="Z268" s="18" t="s">
        <v>69</v>
      </c>
      <c r="AA268" s="18" t="s">
        <v>58</v>
      </c>
      <c r="AB268" s="18" t="s">
        <v>58</v>
      </c>
      <c r="AC268" s="18" t="s">
        <v>58</v>
      </c>
      <c r="AD268" s="18" t="s">
        <v>69</v>
      </c>
      <c r="AE268" s="35" t="s">
        <v>2193</v>
      </c>
      <c r="AF268" s="14"/>
      <c r="AH268" s="14"/>
      <c r="AI268" s="8" t="s">
        <v>71</v>
      </c>
      <c r="AJ268" s="14"/>
      <c r="AK268" s="14"/>
      <c r="AL268" s="14"/>
      <c r="AM268" s="14"/>
      <c r="AN268" s="14"/>
      <c r="AO268" s="14"/>
      <c r="AP268" s="14"/>
      <c r="AQ268" s="14"/>
      <c r="AR268" s="14"/>
    </row>
    <row r="269" ht="22.5" customHeight="1">
      <c r="A269" s="103">
        <v>46076.0</v>
      </c>
      <c r="B269" s="69" t="s">
        <v>2194</v>
      </c>
      <c r="C269" s="8" t="s">
        <v>186</v>
      </c>
      <c r="D269" s="9" t="s">
        <v>61</v>
      </c>
      <c r="E269" s="9" t="s">
        <v>2195</v>
      </c>
      <c r="F269" s="9" t="s">
        <v>68</v>
      </c>
      <c r="G269" s="10">
        <v>500081.0</v>
      </c>
      <c r="H269" s="9" t="s">
        <v>147</v>
      </c>
      <c r="I269" s="11" t="str">
        <f>VLOOKUP(H269,Mapping!D:E,2,0)</f>
        <v>madhapur</v>
      </c>
      <c r="J269" s="61" t="s">
        <v>148</v>
      </c>
      <c r="K269" s="12">
        <v>0.23</v>
      </c>
      <c r="L269" s="14" t="str">
        <f t="shared" si="27"/>
        <v>20%+</v>
      </c>
      <c r="M269" s="13">
        <v>0.018</v>
      </c>
      <c r="N269" s="127">
        <v>0.02</v>
      </c>
      <c r="O269" s="9" t="s">
        <v>2196</v>
      </c>
      <c r="P269" s="9" t="s">
        <v>2197</v>
      </c>
      <c r="Q269" s="9" t="s">
        <v>2198</v>
      </c>
      <c r="R269" s="16" t="s">
        <v>2199</v>
      </c>
      <c r="S269" s="9" t="s">
        <v>68</v>
      </c>
      <c r="T269" s="9" t="s">
        <v>2200</v>
      </c>
      <c r="U269" s="9" t="s">
        <v>1014</v>
      </c>
      <c r="V269" s="17">
        <v>5.0100788335152E13</v>
      </c>
      <c r="W269" s="9" t="s">
        <v>2201</v>
      </c>
      <c r="X269" s="9" t="s">
        <v>56</v>
      </c>
      <c r="Y269" s="18" t="s">
        <v>57</v>
      </c>
      <c r="Z269" s="18" t="s">
        <v>58</v>
      </c>
      <c r="AA269" s="18" t="s">
        <v>57</v>
      </c>
      <c r="AB269" s="18" t="s">
        <v>57</v>
      </c>
      <c r="AC269" s="18" t="s">
        <v>57</v>
      </c>
      <c r="AD269" s="18" t="s">
        <v>58</v>
      </c>
      <c r="AE269" s="40" t="s">
        <v>2202</v>
      </c>
      <c r="AF269" s="39" t="s">
        <v>2203</v>
      </c>
      <c r="AH269" s="14"/>
      <c r="AI269" s="20"/>
      <c r="AJ269" s="14"/>
      <c r="AK269" s="14"/>
      <c r="AL269" s="14"/>
      <c r="AM269" s="14"/>
      <c r="AN269" s="14"/>
      <c r="AO269" s="14"/>
      <c r="AP269" s="14"/>
      <c r="AQ269" s="14"/>
      <c r="AR269" s="14"/>
    </row>
    <row r="270" ht="22.5" customHeight="1">
      <c r="A270" s="103">
        <v>46076.0</v>
      </c>
      <c r="B270" s="97" t="s">
        <v>2204</v>
      </c>
      <c r="C270" s="8" t="s">
        <v>186</v>
      </c>
      <c r="D270" s="9" t="s">
        <v>61</v>
      </c>
      <c r="E270" s="9" t="s">
        <v>2195</v>
      </c>
      <c r="F270" s="9" t="s">
        <v>68</v>
      </c>
      <c r="G270" s="10">
        <v>500081.0</v>
      </c>
      <c r="H270" s="9" t="s">
        <v>147</v>
      </c>
      <c r="I270" s="11" t="str">
        <f>VLOOKUP(H270,Mapping!D:E,2,0)</f>
        <v>madhapur</v>
      </c>
      <c r="J270" s="61" t="s">
        <v>148</v>
      </c>
      <c r="K270" s="12">
        <v>0.23</v>
      </c>
      <c r="L270" s="14" t="str">
        <f t="shared" si="27"/>
        <v>20%+</v>
      </c>
      <c r="M270" s="13">
        <v>0.018</v>
      </c>
      <c r="N270" s="127">
        <v>0.02</v>
      </c>
      <c r="O270" s="9" t="s">
        <v>2196</v>
      </c>
      <c r="P270" s="9" t="s">
        <v>2197</v>
      </c>
      <c r="Q270" s="9" t="s">
        <v>2198</v>
      </c>
      <c r="R270" s="16" t="s">
        <v>2199</v>
      </c>
      <c r="S270" s="9" t="s">
        <v>68</v>
      </c>
      <c r="T270" s="9" t="s">
        <v>2200</v>
      </c>
      <c r="U270" s="9" t="s">
        <v>1014</v>
      </c>
      <c r="V270" s="17">
        <v>5.0100788335152E13</v>
      </c>
      <c r="W270" s="9" t="s">
        <v>2201</v>
      </c>
      <c r="X270" s="9" t="s">
        <v>56</v>
      </c>
      <c r="Y270" s="18" t="s">
        <v>57</v>
      </c>
      <c r="Z270" s="18" t="s">
        <v>58</v>
      </c>
      <c r="AA270" s="18" t="s">
        <v>57</v>
      </c>
      <c r="AB270" s="18" t="s">
        <v>57</v>
      </c>
      <c r="AC270" s="18" t="s">
        <v>57</v>
      </c>
      <c r="AD270" s="18" t="s">
        <v>58</v>
      </c>
      <c r="AE270" s="40" t="s">
        <v>2205</v>
      </c>
      <c r="AF270" s="99" t="s">
        <v>2206</v>
      </c>
      <c r="AH270" s="14"/>
      <c r="AI270" s="20"/>
      <c r="AJ270" s="14"/>
      <c r="AK270" s="14"/>
      <c r="AL270" s="14"/>
      <c r="AM270" s="14"/>
      <c r="AN270" s="14"/>
      <c r="AO270" s="14"/>
      <c r="AP270" s="14"/>
      <c r="AQ270" s="14"/>
      <c r="AR270" s="14"/>
    </row>
    <row r="271" ht="22.5" customHeight="1">
      <c r="A271" s="103">
        <v>46076.0</v>
      </c>
      <c r="B271" s="68" t="s">
        <v>2207</v>
      </c>
      <c r="C271" s="8" t="s">
        <v>186</v>
      </c>
      <c r="D271" s="9" t="s">
        <v>61</v>
      </c>
      <c r="E271" s="9" t="s">
        <v>2195</v>
      </c>
      <c r="F271" s="9" t="s">
        <v>68</v>
      </c>
      <c r="G271" s="10">
        <v>500081.0</v>
      </c>
      <c r="H271" s="9" t="s">
        <v>147</v>
      </c>
      <c r="I271" s="11" t="str">
        <f>VLOOKUP(H271,Mapping!D:E,2,0)</f>
        <v>madhapur</v>
      </c>
      <c r="J271" s="61" t="s">
        <v>148</v>
      </c>
      <c r="K271" s="12">
        <v>0.23</v>
      </c>
      <c r="L271" s="14" t="str">
        <f t="shared" si="27"/>
        <v>20%+</v>
      </c>
      <c r="M271" s="13">
        <v>0.018</v>
      </c>
      <c r="N271" s="127">
        <v>0.02</v>
      </c>
      <c r="O271" s="9" t="s">
        <v>2196</v>
      </c>
      <c r="P271" s="9" t="s">
        <v>2197</v>
      </c>
      <c r="Q271" s="9" t="s">
        <v>2198</v>
      </c>
      <c r="R271" s="16" t="s">
        <v>2199</v>
      </c>
      <c r="S271" s="9" t="s">
        <v>68</v>
      </c>
      <c r="T271" s="9" t="s">
        <v>2200</v>
      </c>
      <c r="U271" s="9" t="s">
        <v>1014</v>
      </c>
      <c r="V271" s="17">
        <v>5.0100788335152E13</v>
      </c>
      <c r="W271" s="9" t="s">
        <v>2201</v>
      </c>
      <c r="X271" s="9" t="s">
        <v>56</v>
      </c>
      <c r="Y271" s="18" t="s">
        <v>57</v>
      </c>
      <c r="Z271" s="18" t="s">
        <v>58</v>
      </c>
      <c r="AA271" s="18" t="s">
        <v>57</v>
      </c>
      <c r="AB271" s="18" t="s">
        <v>57</v>
      </c>
      <c r="AC271" s="18" t="s">
        <v>57</v>
      </c>
      <c r="AD271" s="18" t="s">
        <v>58</v>
      </c>
      <c r="AE271" s="40" t="s">
        <v>2208</v>
      </c>
      <c r="AF271" s="99" t="s">
        <v>2209</v>
      </c>
      <c r="AH271" s="14"/>
      <c r="AI271" s="20"/>
      <c r="AJ271" s="14"/>
      <c r="AK271" s="14"/>
      <c r="AL271" s="14"/>
      <c r="AM271" s="14"/>
      <c r="AN271" s="14"/>
      <c r="AO271" s="14"/>
      <c r="AP271" s="14"/>
      <c r="AQ271" s="14"/>
      <c r="AR271" s="14"/>
    </row>
    <row r="272" ht="22.5" customHeight="1">
      <c r="A272" s="103">
        <v>46076.0</v>
      </c>
      <c r="B272" s="97" t="s">
        <v>2210</v>
      </c>
      <c r="C272" s="8" t="s">
        <v>186</v>
      </c>
      <c r="D272" s="9" t="s">
        <v>61</v>
      </c>
      <c r="E272" s="9" t="s">
        <v>2195</v>
      </c>
      <c r="F272" s="9" t="s">
        <v>68</v>
      </c>
      <c r="G272" s="10">
        <v>500081.0</v>
      </c>
      <c r="H272" s="9" t="s">
        <v>147</v>
      </c>
      <c r="I272" s="11" t="str">
        <f>VLOOKUP(H272,Mapping!D:E,2,0)</f>
        <v>madhapur</v>
      </c>
      <c r="J272" s="61" t="s">
        <v>148</v>
      </c>
      <c r="K272" s="12">
        <v>0.23</v>
      </c>
      <c r="L272" s="14" t="str">
        <f t="shared" si="27"/>
        <v>20%+</v>
      </c>
      <c r="M272" s="13">
        <v>0.018</v>
      </c>
      <c r="N272" s="127">
        <v>0.02</v>
      </c>
      <c r="O272" s="9" t="s">
        <v>2196</v>
      </c>
      <c r="P272" s="9" t="s">
        <v>2197</v>
      </c>
      <c r="Q272" s="9" t="s">
        <v>2198</v>
      </c>
      <c r="R272" s="16" t="s">
        <v>2199</v>
      </c>
      <c r="S272" s="9" t="s">
        <v>68</v>
      </c>
      <c r="T272" s="9" t="s">
        <v>2200</v>
      </c>
      <c r="U272" s="9" t="s">
        <v>1014</v>
      </c>
      <c r="V272" s="17">
        <v>5.0100788335152E13</v>
      </c>
      <c r="W272" s="9" t="s">
        <v>2201</v>
      </c>
      <c r="X272" s="9" t="s">
        <v>56</v>
      </c>
      <c r="Y272" s="18" t="s">
        <v>57</v>
      </c>
      <c r="Z272" s="18" t="s">
        <v>58</v>
      </c>
      <c r="AA272" s="18" t="s">
        <v>57</v>
      </c>
      <c r="AB272" s="18" t="s">
        <v>57</v>
      </c>
      <c r="AC272" s="18" t="s">
        <v>57</v>
      </c>
      <c r="AD272" s="18" t="s">
        <v>58</v>
      </c>
      <c r="AE272" s="40" t="s">
        <v>2211</v>
      </c>
      <c r="AF272" s="99" t="s">
        <v>2212</v>
      </c>
      <c r="AH272" s="14"/>
      <c r="AI272" s="20"/>
      <c r="AJ272" s="14"/>
      <c r="AK272" s="14"/>
      <c r="AL272" s="14"/>
      <c r="AM272" s="14"/>
      <c r="AN272" s="14"/>
      <c r="AO272" s="14"/>
      <c r="AP272" s="14"/>
      <c r="AQ272" s="14"/>
      <c r="AR272" s="14"/>
    </row>
    <row r="273" ht="22.5" customHeight="1">
      <c r="A273" s="103">
        <v>46076.0</v>
      </c>
      <c r="B273" s="97" t="s">
        <v>2213</v>
      </c>
      <c r="C273" s="8" t="s">
        <v>186</v>
      </c>
      <c r="D273" s="9" t="s">
        <v>61</v>
      </c>
      <c r="E273" s="9" t="s">
        <v>2195</v>
      </c>
      <c r="F273" s="9" t="s">
        <v>68</v>
      </c>
      <c r="G273" s="10">
        <v>500081.0</v>
      </c>
      <c r="H273" s="9" t="s">
        <v>147</v>
      </c>
      <c r="I273" s="11" t="str">
        <f>VLOOKUP(H273,Mapping!D:E,2,0)</f>
        <v>madhapur</v>
      </c>
      <c r="J273" s="61" t="s">
        <v>148</v>
      </c>
      <c r="K273" s="12">
        <v>0.23</v>
      </c>
      <c r="L273" s="14" t="str">
        <f t="shared" si="27"/>
        <v>20%+</v>
      </c>
      <c r="M273" s="13">
        <v>0.018</v>
      </c>
      <c r="N273" s="127">
        <v>0.02</v>
      </c>
      <c r="O273" s="9" t="s">
        <v>2196</v>
      </c>
      <c r="P273" s="9" t="s">
        <v>2197</v>
      </c>
      <c r="Q273" s="9" t="s">
        <v>2198</v>
      </c>
      <c r="R273" s="16" t="s">
        <v>2199</v>
      </c>
      <c r="S273" s="9" t="s">
        <v>68</v>
      </c>
      <c r="T273" s="9" t="s">
        <v>2200</v>
      </c>
      <c r="U273" s="9" t="s">
        <v>1014</v>
      </c>
      <c r="V273" s="17">
        <v>5.0100788335152E13</v>
      </c>
      <c r="W273" s="9" t="s">
        <v>2201</v>
      </c>
      <c r="X273" s="9" t="s">
        <v>56</v>
      </c>
      <c r="Y273" s="18" t="s">
        <v>57</v>
      </c>
      <c r="Z273" s="18" t="s">
        <v>58</v>
      </c>
      <c r="AA273" s="18" t="s">
        <v>57</v>
      </c>
      <c r="AB273" s="18" t="s">
        <v>57</v>
      </c>
      <c r="AC273" s="18" t="s">
        <v>57</v>
      </c>
      <c r="AD273" s="18" t="s">
        <v>58</v>
      </c>
      <c r="AE273" s="40" t="s">
        <v>2214</v>
      </c>
      <c r="AF273" s="99" t="s">
        <v>2215</v>
      </c>
      <c r="AH273" s="14"/>
      <c r="AI273" s="20"/>
      <c r="AJ273" s="14"/>
      <c r="AK273" s="14"/>
      <c r="AL273" s="14"/>
      <c r="AM273" s="14"/>
      <c r="AN273" s="14"/>
      <c r="AO273" s="14"/>
      <c r="AP273" s="14"/>
      <c r="AQ273" s="14"/>
      <c r="AR273" s="14"/>
    </row>
    <row r="274" ht="22.5" customHeight="1">
      <c r="A274" s="103">
        <v>46076.0</v>
      </c>
      <c r="B274" s="97" t="s">
        <v>2216</v>
      </c>
      <c r="C274" s="8" t="s">
        <v>564</v>
      </c>
      <c r="D274" s="9" t="s">
        <v>68</v>
      </c>
      <c r="E274" s="39" t="s">
        <v>2217</v>
      </c>
      <c r="F274" s="15" t="s">
        <v>2218</v>
      </c>
      <c r="G274" s="10">
        <v>500034.0</v>
      </c>
      <c r="H274" s="9" t="s">
        <v>1550</v>
      </c>
      <c r="I274" s="11" t="str">
        <f>VLOOKUP(H274,Mapping!D:E,2,0)</f>
        <v>panjagutta</v>
      </c>
      <c r="J274" s="9" t="s">
        <v>161</v>
      </c>
      <c r="K274" s="12">
        <v>0.17</v>
      </c>
      <c r="L274" s="14" t="str">
        <f t="shared" si="27"/>
        <v>&lt;20%</v>
      </c>
      <c r="M274" s="13">
        <v>0.018</v>
      </c>
      <c r="N274" s="127">
        <v>0.02</v>
      </c>
      <c r="O274" s="43" t="s">
        <v>2216</v>
      </c>
      <c r="P274" s="39" t="s">
        <v>2219</v>
      </c>
      <c r="Q274" s="9" t="s">
        <v>2218</v>
      </c>
      <c r="R274" s="16" t="s">
        <v>2220</v>
      </c>
      <c r="S274" s="9" t="s">
        <v>68</v>
      </c>
      <c r="T274" s="15" t="s">
        <v>2216</v>
      </c>
      <c r="U274" s="9" t="s">
        <v>1014</v>
      </c>
      <c r="V274" s="17">
        <v>5.0200104900798E13</v>
      </c>
      <c r="W274" s="9" t="s">
        <v>2221</v>
      </c>
      <c r="X274" s="9" t="s">
        <v>80</v>
      </c>
      <c r="Y274" s="18" t="s">
        <v>57</v>
      </c>
      <c r="Z274" s="18" t="s">
        <v>57</v>
      </c>
      <c r="AA274" s="18" t="s">
        <v>57</v>
      </c>
      <c r="AB274" s="18" t="s">
        <v>58</v>
      </c>
      <c r="AC274" s="18" t="s">
        <v>58</v>
      </c>
      <c r="AD274" s="18" t="s">
        <v>58</v>
      </c>
      <c r="AE274" s="9"/>
      <c r="AF274" s="14"/>
      <c r="AH274" s="14"/>
      <c r="AI274" s="20"/>
      <c r="AJ274" s="14"/>
      <c r="AK274" s="14"/>
      <c r="AL274" s="14"/>
      <c r="AM274" s="14"/>
      <c r="AN274" s="14"/>
      <c r="AO274" s="14"/>
      <c r="AP274" s="14"/>
      <c r="AQ274" s="14"/>
      <c r="AR274" s="14"/>
    </row>
    <row r="275" ht="22.5" customHeight="1">
      <c r="A275" s="103">
        <v>46076.0</v>
      </c>
      <c r="B275" s="69" t="s">
        <v>2222</v>
      </c>
      <c r="C275" s="8" t="s">
        <v>248</v>
      </c>
      <c r="D275" s="9" t="s">
        <v>258</v>
      </c>
      <c r="E275" s="9" t="s">
        <v>2223</v>
      </c>
      <c r="F275" s="9" t="s">
        <v>2224</v>
      </c>
      <c r="G275" s="10">
        <v>500008.0</v>
      </c>
      <c r="H275" s="9" t="s">
        <v>137</v>
      </c>
      <c r="I275" s="11" t="str">
        <f>VLOOKUP(H275,Mapping!D:E,2,0)</f>
        <v>tolichowki</v>
      </c>
      <c r="J275" s="9" t="s">
        <v>86</v>
      </c>
      <c r="K275" s="12">
        <v>0.22</v>
      </c>
      <c r="L275" s="14" t="str">
        <f t="shared" si="27"/>
        <v>20%+</v>
      </c>
      <c r="M275" s="13">
        <v>0.018</v>
      </c>
      <c r="N275" s="127">
        <v>0.0</v>
      </c>
      <c r="O275" s="9" t="s">
        <v>2224</v>
      </c>
      <c r="P275" s="9" t="s">
        <v>2225</v>
      </c>
      <c r="Q275" s="9" t="s">
        <v>2226</v>
      </c>
      <c r="R275" s="16" t="s">
        <v>2227</v>
      </c>
      <c r="S275" s="16" t="s">
        <v>68</v>
      </c>
      <c r="T275" s="16" t="s">
        <v>68</v>
      </c>
      <c r="U275" s="16" t="s">
        <v>68</v>
      </c>
      <c r="V275" s="153" t="s">
        <v>68</v>
      </c>
      <c r="W275" s="16" t="s">
        <v>68</v>
      </c>
      <c r="X275" s="16" t="s">
        <v>68</v>
      </c>
      <c r="Y275" s="18" t="s">
        <v>57</v>
      </c>
      <c r="Z275" s="18" t="s">
        <v>58</v>
      </c>
      <c r="AA275" s="18" t="s">
        <v>58</v>
      </c>
      <c r="AB275" s="18" t="s">
        <v>58</v>
      </c>
      <c r="AC275" s="18" t="s">
        <v>58</v>
      </c>
      <c r="AD275" s="18" t="s">
        <v>58</v>
      </c>
      <c r="AE275" s="35" t="s">
        <v>2228</v>
      </c>
      <c r="AF275" s="14"/>
      <c r="AH275" s="9" t="s">
        <v>1546</v>
      </c>
      <c r="AI275" s="8" t="s">
        <v>71</v>
      </c>
      <c r="AJ275" s="14"/>
      <c r="AK275" s="14"/>
      <c r="AL275" s="14"/>
      <c r="AM275" s="14"/>
      <c r="AN275" s="14"/>
      <c r="AO275" s="14"/>
      <c r="AP275" s="14"/>
      <c r="AQ275" s="14"/>
      <c r="AR275" s="14"/>
    </row>
    <row r="276" ht="22.5" customHeight="1">
      <c r="A276" s="68">
        <v>46076.0</v>
      </c>
      <c r="B276" s="69" t="s">
        <v>2229</v>
      </c>
      <c r="C276" s="8" t="s">
        <v>45</v>
      </c>
      <c r="D276" s="9" t="s">
        <v>68</v>
      </c>
      <c r="E276" s="9" t="s">
        <v>2230</v>
      </c>
      <c r="F276" s="9" t="s">
        <v>68</v>
      </c>
      <c r="G276" s="10">
        <v>500085.0</v>
      </c>
      <c r="H276" s="9" t="s">
        <v>1198</v>
      </c>
      <c r="I276" s="11" t="str">
        <f>VLOOKUP(H276,Mapping!D:E,2,0)</f>
        <v>kukatpally</v>
      </c>
      <c r="J276" s="9" t="s">
        <v>390</v>
      </c>
      <c r="K276" s="12">
        <v>0.2</v>
      </c>
      <c r="L276" s="14" t="str">
        <f t="shared" si="27"/>
        <v>20%+</v>
      </c>
      <c r="M276" s="13">
        <v>0.018</v>
      </c>
      <c r="N276" s="14"/>
      <c r="O276" s="43" t="s">
        <v>2231</v>
      </c>
      <c r="P276" s="9" t="s">
        <v>2232</v>
      </c>
      <c r="Q276" s="9" t="s">
        <v>2233</v>
      </c>
      <c r="R276" s="16" t="s">
        <v>2234</v>
      </c>
      <c r="S276" s="9" t="s">
        <v>2235</v>
      </c>
      <c r="T276" s="9" t="s">
        <v>68</v>
      </c>
      <c r="U276" s="9" t="s">
        <v>68</v>
      </c>
      <c r="V276" s="9" t="s">
        <v>68</v>
      </c>
      <c r="W276" s="9" t="s">
        <v>68</v>
      </c>
      <c r="X276" s="9" t="s">
        <v>68</v>
      </c>
      <c r="Y276" s="18" t="s">
        <v>58</v>
      </c>
      <c r="Z276" s="18" t="s">
        <v>58</v>
      </c>
      <c r="AA276" s="18" t="s">
        <v>58</v>
      </c>
      <c r="AB276" s="18" t="s">
        <v>58</v>
      </c>
      <c r="AC276" s="18" t="s">
        <v>58</v>
      </c>
      <c r="AD276" s="18" t="s">
        <v>58</v>
      </c>
      <c r="AE276" s="14"/>
      <c r="AF276" s="14"/>
      <c r="AH276" s="9" t="s">
        <v>2236</v>
      </c>
      <c r="AI276" s="20"/>
      <c r="AJ276" s="14"/>
      <c r="AK276" s="14"/>
      <c r="AL276" s="14"/>
      <c r="AM276" s="14"/>
      <c r="AN276" s="14"/>
      <c r="AO276" s="14"/>
      <c r="AP276" s="14"/>
      <c r="AQ276" s="14"/>
      <c r="AR276" s="14"/>
    </row>
    <row r="277" ht="22.5" customHeight="1">
      <c r="A277" s="68">
        <v>46076.0</v>
      </c>
      <c r="B277" s="69" t="s">
        <v>2237</v>
      </c>
      <c r="C277" s="8" t="s">
        <v>564</v>
      </c>
      <c r="D277" s="9" t="s">
        <v>68</v>
      </c>
      <c r="E277" s="9" t="s">
        <v>68</v>
      </c>
      <c r="F277" s="9" t="s">
        <v>2238</v>
      </c>
      <c r="G277" s="154"/>
      <c r="H277" s="10" t="s">
        <v>2004</v>
      </c>
      <c r="I277" s="11" t="str">
        <f>VLOOKUP(H277,Mapping!D:E,2,0)</f>
        <v>#N/A</v>
      </c>
      <c r="J277" s="155"/>
      <c r="K277" s="12">
        <v>0.2</v>
      </c>
      <c r="L277" s="14" t="str">
        <f t="shared" si="27"/>
        <v>20%+</v>
      </c>
      <c r="M277" s="13">
        <v>0.018</v>
      </c>
      <c r="N277" s="9"/>
      <c r="O277" s="156" t="s">
        <v>2004</v>
      </c>
      <c r="P277" s="10" t="s">
        <v>2004</v>
      </c>
      <c r="Q277" s="10" t="s">
        <v>2004</v>
      </c>
      <c r="R277" s="10" t="s">
        <v>2004</v>
      </c>
      <c r="S277" s="10" t="s">
        <v>2004</v>
      </c>
      <c r="T277" s="10" t="s">
        <v>68</v>
      </c>
      <c r="U277" s="10" t="s">
        <v>2004</v>
      </c>
      <c r="V277" s="10" t="s">
        <v>2004</v>
      </c>
      <c r="W277" s="10" t="s">
        <v>2004</v>
      </c>
      <c r="X277" s="10" t="s">
        <v>2004</v>
      </c>
      <c r="Y277" s="14"/>
      <c r="Z277" s="14"/>
      <c r="AA277" s="14"/>
      <c r="AB277" s="14"/>
      <c r="AC277" s="14"/>
      <c r="AD277" s="14"/>
      <c r="AE277" s="14"/>
      <c r="AF277" s="14"/>
      <c r="AG277" s="14"/>
      <c r="AH277" s="14"/>
      <c r="AI277" s="20"/>
      <c r="AJ277" s="14"/>
      <c r="AK277" s="14"/>
      <c r="AL277" s="14"/>
      <c r="AM277" s="14"/>
      <c r="AN277" s="14"/>
      <c r="AO277" s="14"/>
      <c r="AP277" s="14"/>
      <c r="AQ277" s="14"/>
      <c r="AR277" s="14"/>
    </row>
    <row r="278" ht="22.5" customHeight="1">
      <c r="A278" s="103">
        <v>46076.0</v>
      </c>
      <c r="B278" s="97" t="s">
        <v>2239</v>
      </c>
      <c r="C278" s="8" t="s">
        <v>1919</v>
      </c>
      <c r="D278" s="9" t="s">
        <v>258</v>
      </c>
      <c r="E278" s="9" t="s">
        <v>2240</v>
      </c>
      <c r="F278" s="9" t="s">
        <v>2241</v>
      </c>
      <c r="G278" s="10">
        <v>500091.0</v>
      </c>
      <c r="H278" s="15" t="s">
        <v>68</v>
      </c>
      <c r="I278" s="15" t="s">
        <v>1424</v>
      </c>
      <c r="J278" s="11" t="str">
        <f>VLOOKUP(I278,Mapping!A:B,2,0)</f>
        <v>Zone 4 Hi-tech City</v>
      </c>
      <c r="K278" s="12">
        <v>0.2</v>
      </c>
      <c r="L278" s="14" t="str">
        <f t="shared" si="27"/>
        <v>20%+</v>
      </c>
      <c r="M278" s="13">
        <v>0.018</v>
      </c>
      <c r="N278" s="127">
        <v>0.0</v>
      </c>
      <c r="O278" s="9" t="s">
        <v>2242</v>
      </c>
      <c r="P278" s="9" t="s">
        <v>2240</v>
      </c>
      <c r="Q278" s="9" t="s">
        <v>2243</v>
      </c>
      <c r="R278" s="16" t="s">
        <v>2244</v>
      </c>
      <c r="S278" s="9" t="s">
        <v>2245</v>
      </c>
      <c r="T278" s="9" t="s">
        <v>2246</v>
      </c>
      <c r="U278" s="9" t="s">
        <v>796</v>
      </c>
      <c r="V278" s="17">
        <v>5.7201000019505E13</v>
      </c>
      <c r="W278" s="9" t="s">
        <v>2247</v>
      </c>
      <c r="X278" s="9" t="s">
        <v>56</v>
      </c>
      <c r="Y278" s="18" t="s">
        <v>57</v>
      </c>
      <c r="Z278" s="18" t="s">
        <v>57</v>
      </c>
      <c r="AA278" s="18" t="s">
        <v>57</v>
      </c>
      <c r="AB278" s="18" t="s">
        <v>57</v>
      </c>
      <c r="AC278" s="18" t="s">
        <v>58</v>
      </c>
      <c r="AD278" s="18" t="s">
        <v>57</v>
      </c>
      <c r="AE278" s="33" t="s">
        <v>2248</v>
      </c>
      <c r="AF278" s="14"/>
      <c r="AH278" s="9" t="s">
        <v>2249</v>
      </c>
      <c r="AI278" s="20"/>
      <c r="AJ278" s="14"/>
      <c r="AK278" s="14"/>
      <c r="AL278" s="14"/>
      <c r="AM278" s="14"/>
      <c r="AN278" s="14"/>
      <c r="AO278" s="14"/>
      <c r="AP278" s="14"/>
      <c r="AQ278" s="14"/>
      <c r="AR278" s="14"/>
    </row>
    <row r="279" ht="22.5" customHeight="1">
      <c r="A279" s="103">
        <v>46076.0</v>
      </c>
      <c r="B279" s="97" t="s">
        <v>2250</v>
      </c>
      <c r="C279" s="8" t="s">
        <v>1919</v>
      </c>
      <c r="D279" s="9" t="s">
        <v>258</v>
      </c>
      <c r="E279" s="9" t="s">
        <v>2251</v>
      </c>
      <c r="F279" s="9" t="s">
        <v>2241</v>
      </c>
      <c r="G279" s="10">
        <v>500091.0</v>
      </c>
      <c r="H279" s="9" t="s">
        <v>2154</v>
      </c>
      <c r="I279" s="11" t="str">
        <f>VLOOKUP(H279,Mapping!D:E,2,0)</f>
        <v>mehdipatnam</v>
      </c>
      <c r="J279" s="9" t="s">
        <v>50</v>
      </c>
      <c r="K279" s="12">
        <v>0.2</v>
      </c>
      <c r="L279" s="14" t="str">
        <f t="shared" si="27"/>
        <v>20%+</v>
      </c>
      <c r="M279" s="13">
        <v>0.018</v>
      </c>
      <c r="N279" s="127">
        <v>0.0</v>
      </c>
      <c r="O279" s="9" t="s">
        <v>2241</v>
      </c>
      <c r="P279" s="9" t="s">
        <v>2252</v>
      </c>
      <c r="Q279" s="9" t="s">
        <v>2243</v>
      </c>
      <c r="R279" s="16" t="s">
        <v>2244</v>
      </c>
      <c r="S279" s="9" t="s">
        <v>2245</v>
      </c>
      <c r="T279" s="9" t="s">
        <v>2241</v>
      </c>
      <c r="U279" s="9" t="s">
        <v>1110</v>
      </c>
      <c r="V279" s="17">
        <v>5.7201000019505E13</v>
      </c>
      <c r="W279" s="9" t="s">
        <v>2247</v>
      </c>
      <c r="X279" s="9" t="s">
        <v>56</v>
      </c>
      <c r="Y279" s="18" t="s">
        <v>57</v>
      </c>
      <c r="Z279" s="18" t="s">
        <v>57</v>
      </c>
      <c r="AA279" s="18" t="s">
        <v>57</v>
      </c>
      <c r="AB279" s="18" t="s">
        <v>57</v>
      </c>
      <c r="AC279" s="18" t="s">
        <v>57</v>
      </c>
      <c r="AD279" s="18" t="s">
        <v>57</v>
      </c>
      <c r="AE279" s="35" t="s">
        <v>2248</v>
      </c>
      <c r="AF279" s="9" t="s">
        <v>2253</v>
      </c>
      <c r="AG279" s="15" t="s">
        <v>2162</v>
      </c>
      <c r="AH279" s="14"/>
      <c r="AI279" s="20"/>
      <c r="AJ279" s="14"/>
      <c r="AK279" s="14"/>
      <c r="AL279" s="14"/>
      <c r="AM279" s="14"/>
      <c r="AN279" s="14"/>
      <c r="AO279" s="14"/>
      <c r="AP279" s="14"/>
      <c r="AQ279" s="14"/>
      <c r="AR279" s="14"/>
    </row>
    <row r="280" ht="22.5" customHeight="1">
      <c r="A280" s="103">
        <v>46076.0</v>
      </c>
      <c r="B280" s="97" t="s">
        <v>2254</v>
      </c>
      <c r="C280" s="8" t="s">
        <v>45</v>
      </c>
      <c r="D280" s="9" t="s">
        <v>46</v>
      </c>
      <c r="E280" s="9" t="s">
        <v>2255</v>
      </c>
      <c r="F280" s="9" t="s">
        <v>68</v>
      </c>
      <c r="G280" s="10">
        <v>500049.0</v>
      </c>
      <c r="H280" s="9" t="s">
        <v>1961</v>
      </c>
      <c r="I280" s="11" t="str">
        <f>VLOOKUP(H280,Mapping!D:E,2,0)</f>
        <v>miyapur</v>
      </c>
      <c r="J280" s="9" t="s">
        <v>390</v>
      </c>
      <c r="K280" s="12">
        <v>0.2</v>
      </c>
      <c r="L280" s="14" t="str">
        <f t="shared" si="27"/>
        <v>20%+</v>
      </c>
      <c r="M280" s="13">
        <v>0.018</v>
      </c>
      <c r="N280" s="14"/>
      <c r="O280" s="15" t="s">
        <v>2256</v>
      </c>
      <c r="P280" s="9" t="s">
        <v>2257</v>
      </c>
      <c r="Q280" s="9" t="s">
        <v>2258</v>
      </c>
      <c r="R280" s="16" t="s">
        <v>2259</v>
      </c>
      <c r="S280" s="9" t="s">
        <v>2260</v>
      </c>
      <c r="T280" s="9" t="s">
        <v>2261</v>
      </c>
      <c r="U280" s="9" t="s">
        <v>307</v>
      </c>
      <c r="V280" s="17">
        <v>1.51212201000258E15</v>
      </c>
      <c r="W280" s="9" t="s">
        <v>2262</v>
      </c>
      <c r="X280" s="9" t="s">
        <v>56</v>
      </c>
      <c r="Y280" s="18" t="s">
        <v>57</v>
      </c>
      <c r="Z280" s="18" t="s">
        <v>58</v>
      </c>
      <c r="AA280" s="18" t="s">
        <v>58</v>
      </c>
      <c r="AB280" s="18" t="s">
        <v>58</v>
      </c>
      <c r="AC280" s="18" t="s">
        <v>58</v>
      </c>
      <c r="AD280" s="18" t="s">
        <v>58</v>
      </c>
      <c r="AE280" s="35" t="s">
        <v>2263</v>
      </c>
      <c r="AF280" s="14"/>
      <c r="AH280" s="14"/>
      <c r="AI280" s="20"/>
      <c r="AJ280" s="14"/>
      <c r="AK280" s="14"/>
      <c r="AL280" s="14"/>
      <c r="AM280" s="14"/>
      <c r="AN280" s="14"/>
      <c r="AO280" s="14"/>
      <c r="AP280" s="14"/>
      <c r="AQ280" s="14"/>
      <c r="AR280" s="14"/>
    </row>
    <row r="281" ht="22.5" customHeight="1">
      <c r="A281" s="103">
        <v>46076.0</v>
      </c>
      <c r="B281" s="69" t="s">
        <v>2264</v>
      </c>
      <c r="C281" s="8" t="s">
        <v>73</v>
      </c>
      <c r="D281" s="9" t="s">
        <v>258</v>
      </c>
      <c r="E281" s="9" t="s">
        <v>2265</v>
      </c>
      <c r="F281" s="9" t="s">
        <v>2190</v>
      </c>
      <c r="G281" s="10">
        <v>500085.0</v>
      </c>
      <c r="H281" s="9" t="s">
        <v>1198</v>
      </c>
      <c r="I281" s="11" t="str">
        <f>VLOOKUP(H281,Mapping!D:E,2,0)</f>
        <v>kukatpally</v>
      </c>
      <c r="J281" s="9" t="s">
        <v>390</v>
      </c>
      <c r="K281" s="12">
        <v>0.22</v>
      </c>
      <c r="L281" s="14" t="str">
        <f t="shared" si="27"/>
        <v>20%+</v>
      </c>
      <c r="M281" s="13">
        <v>0.018</v>
      </c>
      <c r="N281" s="14"/>
      <c r="O281" s="43" t="s">
        <v>2264</v>
      </c>
      <c r="P281" s="9" t="s">
        <v>1198</v>
      </c>
      <c r="Q281" s="9" t="s">
        <v>2190</v>
      </c>
      <c r="R281" s="16" t="s">
        <v>2191</v>
      </c>
      <c r="S281" s="9" t="s">
        <v>2192</v>
      </c>
      <c r="T281" s="9" t="s">
        <v>68</v>
      </c>
      <c r="U281" s="9" t="s">
        <v>68</v>
      </c>
      <c r="V281" s="9" t="s">
        <v>68</v>
      </c>
      <c r="W281" s="9" t="s">
        <v>68</v>
      </c>
      <c r="X281" s="9" t="s">
        <v>68</v>
      </c>
      <c r="Y281" s="18" t="s">
        <v>57</v>
      </c>
      <c r="Z281" s="18" t="s">
        <v>69</v>
      </c>
      <c r="AA281" s="18" t="s">
        <v>58</v>
      </c>
      <c r="AB281" s="18" t="s">
        <v>58</v>
      </c>
      <c r="AC281" s="18" t="s">
        <v>58</v>
      </c>
      <c r="AD281" s="18" t="s">
        <v>69</v>
      </c>
      <c r="AE281" s="35" t="s">
        <v>2266</v>
      </c>
      <c r="AF281" s="14"/>
      <c r="AH281" s="14"/>
      <c r="AI281" s="8" t="s">
        <v>71</v>
      </c>
      <c r="AJ281" s="14"/>
      <c r="AK281" s="14"/>
      <c r="AL281" s="14"/>
      <c r="AM281" s="14"/>
      <c r="AN281" s="14"/>
      <c r="AO281" s="14"/>
      <c r="AP281" s="14"/>
      <c r="AQ281" s="14"/>
      <c r="AR281" s="14"/>
    </row>
    <row r="282" ht="22.5" customHeight="1">
      <c r="A282" s="103">
        <v>46076.0</v>
      </c>
      <c r="B282" s="157" t="s">
        <v>2267</v>
      </c>
      <c r="C282" s="8" t="s">
        <v>186</v>
      </c>
      <c r="D282" s="9" t="s">
        <v>61</v>
      </c>
      <c r="E282" s="9" t="s">
        <v>2135</v>
      </c>
      <c r="F282" s="9" t="s">
        <v>68</v>
      </c>
      <c r="G282" s="10">
        <v>500046.0</v>
      </c>
      <c r="H282" s="9" t="s">
        <v>68</v>
      </c>
      <c r="I282" s="9" t="s">
        <v>1424</v>
      </c>
      <c r="J282" s="11" t="str">
        <f>VLOOKUP(I282,Mapping!A:B,2,0)</f>
        <v>Zone 4 Hi-tech City</v>
      </c>
      <c r="K282" s="12">
        <v>0.21</v>
      </c>
      <c r="L282" s="14" t="str">
        <f t="shared" si="27"/>
        <v>20%+</v>
      </c>
      <c r="M282" s="13">
        <v>0.018</v>
      </c>
      <c r="N282" s="127">
        <v>0.02</v>
      </c>
      <c r="O282" s="9" t="s">
        <v>2136</v>
      </c>
      <c r="P282" s="9" t="s">
        <v>2137</v>
      </c>
      <c r="Q282" s="15" t="s">
        <v>1500</v>
      </c>
      <c r="R282" s="16" t="s">
        <v>2138</v>
      </c>
      <c r="S282" s="9" t="s">
        <v>2139</v>
      </c>
      <c r="T282" s="9" t="s">
        <v>2136</v>
      </c>
      <c r="U282" s="9" t="s">
        <v>215</v>
      </c>
      <c r="V282" s="17">
        <v>1.45361900001302E14</v>
      </c>
      <c r="W282" s="9" t="s">
        <v>2140</v>
      </c>
      <c r="X282" s="9" t="s">
        <v>80</v>
      </c>
      <c r="Y282" s="18" t="s">
        <v>57</v>
      </c>
      <c r="Z282" s="18" t="s">
        <v>58</v>
      </c>
      <c r="AA282" s="18" t="s">
        <v>57</v>
      </c>
      <c r="AB282" s="18" t="s">
        <v>57</v>
      </c>
      <c r="AC282" s="18" t="s">
        <v>57</v>
      </c>
      <c r="AD282" s="18" t="s">
        <v>58</v>
      </c>
      <c r="AE282" s="40" t="s">
        <v>2141</v>
      </c>
      <c r="AF282" s="40" t="s">
        <v>2141</v>
      </c>
      <c r="AH282" s="14"/>
      <c r="AI282" s="20"/>
      <c r="AJ282" s="14"/>
      <c r="AK282" s="14"/>
      <c r="AL282" s="14"/>
      <c r="AM282" s="14"/>
      <c r="AN282" s="14"/>
      <c r="AO282" s="14"/>
      <c r="AP282" s="14"/>
      <c r="AQ282" s="14"/>
      <c r="AR282" s="14"/>
    </row>
    <row r="283" ht="22.5" customHeight="1">
      <c r="A283" s="68">
        <v>46076.0</v>
      </c>
      <c r="B283" s="69" t="s">
        <v>2268</v>
      </c>
      <c r="C283" s="8" t="s">
        <v>186</v>
      </c>
      <c r="D283" s="9" t="s">
        <v>46</v>
      </c>
      <c r="E283" s="9" t="s">
        <v>2269</v>
      </c>
      <c r="F283" s="9" t="s">
        <v>68</v>
      </c>
      <c r="G283" s="10">
        <v>500046.0</v>
      </c>
      <c r="H283" s="9" t="s">
        <v>716</v>
      </c>
      <c r="I283" s="11" t="str">
        <f>VLOOKUP(H283,Mapping!D:E,2,0)</f>
        <v>nanakramguda</v>
      </c>
      <c r="J283" s="9" t="s">
        <v>303</v>
      </c>
      <c r="K283" s="12">
        <v>0.21</v>
      </c>
      <c r="L283" s="14" t="str">
        <f t="shared" si="27"/>
        <v>20%+</v>
      </c>
      <c r="M283" s="13">
        <v>0.018</v>
      </c>
      <c r="N283" s="127">
        <v>0.02</v>
      </c>
      <c r="O283" s="9" t="s">
        <v>2270</v>
      </c>
      <c r="P283" s="9" t="s">
        <v>2137</v>
      </c>
      <c r="Q283" s="9" t="s">
        <v>2271</v>
      </c>
      <c r="R283" s="16" t="s">
        <v>2272</v>
      </c>
      <c r="S283" s="9" t="s">
        <v>2273</v>
      </c>
      <c r="T283" s="9" t="s">
        <v>2274</v>
      </c>
      <c r="U283" s="9" t="s">
        <v>215</v>
      </c>
      <c r="V283" s="17">
        <v>1.19650700001669E14</v>
      </c>
      <c r="W283" s="9" t="s">
        <v>2275</v>
      </c>
      <c r="X283" s="9" t="s">
        <v>56</v>
      </c>
      <c r="Y283" s="18" t="s">
        <v>57</v>
      </c>
      <c r="Z283" s="18" t="s">
        <v>57</v>
      </c>
      <c r="AA283" s="18" t="s">
        <v>57</v>
      </c>
      <c r="AB283" s="18" t="s">
        <v>57</v>
      </c>
      <c r="AC283" s="18" t="s">
        <v>58</v>
      </c>
      <c r="AD283" s="18" t="s">
        <v>58</v>
      </c>
      <c r="AE283" s="40" t="s">
        <v>2276</v>
      </c>
      <c r="AF283" s="39" t="s">
        <v>2277</v>
      </c>
      <c r="AH283" s="14"/>
      <c r="AI283" s="20"/>
      <c r="AJ283" s="14"/>
      <c r="AK283" s="14"/>
      <c r="AL283" s="14"/>
      <c r="AM283" s="14"/>
      <c r="AN283" s="14"/>
      <c r="AO283" s="14"/>
      <c r="AP283" s="14"/>
      <c r="AQ283" s="14"/>
      <c r="AR283" s="14"/>
    </row>
    <row r="284" ht="22.5" customHeight="1">
      <c r="A284" s="103">
        <v>46076.0</v>
      </c>
      <c r="B284" s="69" t="s">
        <v>2278</v>
      </c>
      <c r="C284" s="8" t="s">
        <v>186</v>
      </c>
      <c r="D284" s="9" t="s">
        <v>258</v>
      </c>
      <c r="E284" s="9" t="s">
        <v>2279</v>
      </c>
      <c r="F284" s="9" t="s">
        <v>68</v>
      </c>
      <c r="G284" s="10">
        <v>500084.0</v>
      </c>
      <c r="H284" s="9" t="s">
        <v>389</v>
      </c>
      <c r="I284" s="11" t="str">
        <f>VLOOKUP(H284,Mapping!D:E,2,0)</f>
        <v>Kondapur</v>
      </c>
      <c r="J284" s="9" t="s">
        <v>390</v>
      </c>
      <c r="K284" s="12">
        <v>0.23</v>
      </c>
      <c r="L284" s="14" t="str">
        <f t="shared" si="27"/>
        <v>20%+</v>
      </c>
      <c r="M284" s="13">
        <v>0.018</v>
      </c>
      <c r="N284" s="127">
        <v>0.02</v>
      </c>
      <c r="O284" s="9" t="s">
        <v>2278</v>
      </c>
      <c r="P284" s="9" t="s">
        <v>2167</v>
      </c>
      <c r="Q284" s="9" t="s">
        <v>2280</v>
      </c>
      <c r="R284" s="16" t="s">
        <v>2281</v>
      </c>
      <c r="S284" s="9" t="s">
        <v>68</v>
      </c>
      <c r="T284" s="9" t="s">
        <v>2282</v>
      </c>
      <c r="U284" s="9" t="s">
        <v>939</v>
      </c>
      <c r="V284" s="17">
        <v>5.936315853E9</v>
      </c>
      <c r="W284" s="9" t="s">
        <v>2283</v>
      </c>
      <c r="X284" s="9" t="s">
        <v>56</v>
      </c>
      <c r="Y284" s="18" t="s">
        <v>57</v>
      </c>
      <c r="Z284" s="18" t="s">
        <v>58</v>
      </c>
      <c r="AA284" s="18" t="s">
        <v>57</v>
      </c>
      <c r="AB284" s="18" t="s">
        <v>57</v>
      </c>
      <c r="AC284" s="18" t="s">
        <v>57</v>
      </c>
      <c r="AD284" s="18" t="s">
        <v>58</v>
      </c>
      <c r="AE284" s="40" t="s">
        <v>2284</v>
      </c>
      <c r="AF284" s="40" t="s">
        <v>2285</v>
      </c>
      <c r="AH284" s="14"/>
      <c r="AI284" s="20"/>
      <c r="AJ284" s="14"/>
      <c r="AK284" s="14"/>
      <c r="AL284" s="14"/>
      <c r="AM284" s="14"/>
      <c r="AN284" s="14"/>
      <c r="AO284" s="14"/>
      <c r="AP284" s="14"/>
      <c r="AQ284" s="14"/>
      <c r="AR284" s="14"/>
    </row>
    <row r="285" ht="22.5" customHeight="1">
      <c r="A285" s="103">
        <v>46077.0</v>
      </c>
      <c r="B285" s="97" t="s">
        <v>2286</v>
      </c>
      <c r="C285" s="8" t="s">
        <v>144</v>
      </c>
      <c r="D285" s="9" t="s">
        <v>258</v>
      </c>
      <c r="E285" s="39" t="s">
        <v>2287</v>
      </c>
      <c r="F285" s="9" t="s">
        <v>2288</v>
      </c>
      <c r="G285" s="10">
        <v>500075.0</v>
      </c>
      <c r="H285" s="9" t="s">
        <v>1559</v>
      </c>
      <c r="I285" s="11" t="str">
        <f>VLOOKUP(H285,Mapping!D:E,2,0)</f>
        <v>Nanakramguda</v>
      </c>
      <c r="J285" s="61" t="s">
        <v>303</v>
      </c>
      <c r="K285" s="12">
        <v>0.2</v>
      </c>
      <c r="L285" s="14" t="str">
        <f t="shared" si="27"/>
        <v>20%+</v>
      </c>
      <c r="M285" s="13">
        <v>0.018</v>
      </c>
      <c r="N285" s="9"/>
      <c r="O285" s="9" t="s">
        <v>68</v>
      </c>
      <c r="P285" s="99" t="s">
        <v>2289</v>
      </c>
      <c r="Q285" s="9" t="s">
        <v>2290</v>
      </c>
      <c r="R285" s="16" t="s">
        <v>2291</v>
      </c>
      <c r="S285" s="9" t="s">
        <v>2292</v>
      </c>
      <c r="T285" s="9" t="s">
        <v>68</v>
      </c>
      <c r="U285" s="9" t="s">
        <v>68</v>
      </c>
      <c r="V285" s="9" t="s">
        <v>68</v>
      </c>
      <c r="W285" s="9" t="s">
        <v>68</v>
      </c>
      <c r="X285" s="9" t="s">
        <v>68</v>
      </c>
      <c r="Y285" s="18" t="s">
        <v>57</v>
      </c>
      <c r="Z285" s="18" t="s">
        <v>58</v>
      </c>
      <c r="AA285" s="18" t="s">
        <v>58</v>
      </c>
      <c r="AB285" s="14"/>
      <c r="AC285" s="14"/>
      <c r="AD285" s="14"/>
      <c r="AE285" s="14"/>
      <c r="AF285" s="14"/>
      <c r="AH285" s="14"/>
      <c r="AI285" s="20"/>
      <c r="AJ285" s="14"/>
      <c r="AK285" s="14"/>
      <c r="AL285" s="14"/>
      <c r="AM285" s="14"/>
      <c r="AN285" s="14"/>
      <c r="AO285" s="14"/>
      <c r="AP285" s="14"/>
      <c r="AQ285" s="14"/>
      <c r="AR285" s="14"/>
    </row>
    <row r="286" ht="22.5" customHeight="1">
      <c r="A286" s="103">
        <v>46077.0</v>
      </c>
      <c r="B286" s="69" t="s">
        <v>2293</v>
      </c>
      <c r="C286" s="8" t="s">
        <v>144</v>
      </c>
      <c r="D286" s="9" t="s">
        <v>46</v>
      </c>
      <c r="E286" s="39" t="s">
        <v>2294</v>
      </c>
      <c r="F286" s="9" t="s">
        <v>68</v>
      </c>
      <c r="G286" s="154"/>
      <c r="H286" s="9" t="s">
        <v>1559</v>
      </c>
      <c r="I286" s="11" t="str">
        <f>VLOOKUP(H286,Mapping!D:E,2,0)</f>
        <v>Nanakramguda</v>
      </c>
      <c r="J286" s="61" t="s">
        <v>303</v>
      </c>
      <c r="K286" s="12">
        <v>0.2</v>
      </c>
      <c r="L286" s="14" t="str">
        <f t="shared" si="27"/>
        <v>20%+</v>
      </c>
      <c r="M286" s="13">
        <v>0.018</v>
      </c>
      <c r="N286" s="14"/>
      <c r="O286" s="9" t="s">
        <v>729</v>
      </c>
      <c r="P286" s="9" t="s">
        <v>2295</v>
      </c>
      <c r="Q286" s="9" t="s">
        <v>2296</v>
      </c>
      <c r="R286" s="16" t="s">
        <v>2291</v>
      </c>
      <c r="S286" s="9" t="s">
        <v>2297</v>
      </c>
      <c r="T286" s="9" t="s">
        <v>2296</v>
      </c>
      <c r="U286" s="9" t="s">
        <v>919</v>
      </c>
      <c r="V286" s="17">
        <v>5.69305500026E11</v>
      </c>
      <c r="W286" s="9" t="s">
        <v>2298</v>
      </c>
      <c r="X286" s="9" t="s">
        <v>80</v>
      </c>
      <c r="Y286" s="18" t="s">
        <v>57</v>
      </c>
      <c r="Z286" s="18" t="s">
        <v>58</v>
      </c>
      <c r="AA286" s="18" t="s">
        <v>57</v>
      </c>
      <c r="AB286" s="18" t="s">
        <v>57</v>
      </c>
      <c r="AC286" s="18" t="s">
        <v>58</v>
      </c>
      <c r="AD286" s="14"/>
      <c r="AE286" s="14"/>
      <c r="AF286" s="14"/>
      <c r="AH286" s="14"/>
      <c r="AI286" s="20"/>
      <c r="AJ286" s="14"/>
      <c r="AK286" s="14"/>
      <c r="AL286" s="14"/>
      <c r="AM286" s="14"/>
      <c r="AN286" s="14"/>
      <c r="AO286" s="14"/>
      <c r="AP286" s="14"/>
      <c r="AQ286" s="14"/>
      <c r="AR286" s="14"/>
    </row>
    <row r="287" ht="22.5" customHeight="1">
      <c r="A287" s="110">
        <v>46077.0</v>
      </c>
      <c r="B287" s="97" t="s">
        <v>2299</v>
      </c>
      <c r="C287" s="8" t="s">
        <v>241</v>
      </c>
      <c r="D287" s="9" t="s">
        <v>46</v>
      </c>
      <c r="E287" s="9" t="s">
        <v>2300</v>
      </c>
      <c r="F287" s="9" t="s">
        <v>2301</v>
      </c>
      <c r="G287" s="10">
        <v>500016.0</v>
      </c>
      <c r="H287" s="9" t="s">
        <v>203</v>
      </c>
      <c r="I287" s="11" t="str">
        <f>VLOOKUP(H287,Mapping!D:E,2,0)</f>
        <v>panjagutta</v>
      </c>
      <c r="J287" s="15" t="s">
        <v>161</v>
      </c>
      <c r="K287" s="12">
        <v>0.22</v>
      </c>
      <c r="L287" s="14" t="str">
        <f t="shared" si="27"/>
        <v>20%+</v>
      </c>
      <c r="M287" s="13">
        <v>0.018</v>
      </c>
      <c r="N287" s="9" t="s">
        <v>68</v>
      </c>
      <c r="O287" s="15" t="s">
        <v>2299</v>
      </c>
      <c r="P287" s="15" t="s">
        <v>2300</v>
      </c>
      <c r="Q287" s="9" t="s">
        <v>2301</v>
      </c>
      <c r="R287" s="16" t="s">
        <v>2302</v>
      </c>
      <c r="S287" s="9" t="s">
        <v>2303</v>
      </c>
      <c r="T287" s="15" t="s">
        <v>2299</v>
      </c>
      <c r="U287" s="9" t="s">
        <v>1014</v>
      </c>
      <c r="V287" s="17">
        <v>5.0200100066906E13</v>
      </c>
      <c r="W287" s="9" t="s">
        <v>569</v>
      </c>
      <c r="X287" s="9" t="s">
        <v>80</v>
      </c>
      <c r="Y287" s="18" t="s">
        <v>57</v>
      </c>
      <c r="Z287" s="18" t="s">
        <v>69</v>
      </c>
      <c r="AA287" s="18" t="s">
        <v>57</v>
      </c>
      <c r="AB287" s="18" t="s">
        <v>69</v>
      </c>
      <c r="AC287" s="18" t="s">
        <v>57</v>
      </c>
      <c r="AD287" s="18" t="s">
        <v>69</v>
      </c>
      <c r="AE287" s="39" t="s">
        <v>2304</v>
      </c>
      <c r="AF287" s="14"/>
      <c r="AH287" s="14"/>
      <c r="AI287" s="20"/>
      <c r="AJ287" s="14"/>
      <c r="AK287" s="14"/>
      <c r="AL287" s="14"/>
      <c r="AM287" s="14"/>
      <c r="AN287" s="14"/>
      <c r="AO287" s="14"/>
      <c r="AP287" s="14"/>
      <c r="AQ287" s="14"/>
      <c r="AR287" s="14"/>
    </row>
    <row r="288" ht="22.5" customHeight="1">
      <c r="A288" s="103">
        <v>46077.0</v>
      </c>
      <c r="B288" s="97" t="s">
        <v>2305</v>
      </c>
      <c r="C288" s="8" t="s">
        <v>186</v>
      </c>
      <c r="D288" s="9" t="s">
        <v>258</v>
      </c>
      <c r="E288" s="9" t="s">
        <v>2306</v>
      </c>
      <c r="F288" s="9" t="s">
        <v>1307</v>
      </c>
      <c r="G288" s="10">
        <v>500018.0</v>
      </c>
      <c r="H288" s="9" t="s">
        <v>203</v>
      </c>
      <c r="I288" s="11" t="str">
        <f>VLOOKUP(H288,Mapping!D:E,2,0)</f>
        <v>panjagutta</v>
      </c>
      <c r="J288" s="15" t="s">
        <v>390</v>
      </c>
      <c r="K288" s="12">
        <v>0.23</v>
      </c>
      <c r="L288" s="14" t="str">
        <f t="shared" si="27"/>
        <v>20%+</v>
      </c>
      <c r="M288" s="13">
        <v>0.018</v>
      </c>
      <c r="N288" s="127">
        <v>0.02</v>
      </c>
      <c r="O288" s="9" t="s">
        <v>2307</v>
      </c>
      <c r="P288" s="9" t="s">
        <v>2308</v>
      </c>
      <c r="Q288" s="9" t="s">
        <v>1307</v>
      </c>
      <c r="R288" s="16" t="s">
        <v>2309</v>
      </c>
      <c r="S288" s="9" t="s">
        <v>68</v>
      </c>
      <c r="T288" s="9" t="s">
        <v>2310</v>
      </c>
      <c r="U288" s="9" t="s">
        <v>54</v>
      </c>
      <c r="V288" s="17">
        <v>3.499010005873E12</v>
      </c>
      <c r="W288" s="9" t="s">
        <v>2311</v>
      </c>
      <c r="X288" s="9" t="s">
        <v>56</v>
      </c>
      <c r="Y288" s="18" t="s">
        <v>57</v>
      </c>
      <c r="Z288" s="18" t="s">
        <v>58</v>
      </c>
      <c r="AA288" s="18" t="s">
        <v>57</v>
      </c>
      <c r="AB288" s="18" t="s">
        <v>57</v>
      </c>
      <c r="AC288" s="18" t="s">
        <v>58</v>
      </c>
      <c r="AD288" s="18" t="s">
        <v>58</v>
      </c>
      <c r="AE288" s="40" t="s">
        <v>2312</v>
      </c>
      <c r="AF288" s="9" t="s">
        <v>2313</v>
      </c>
      <c r="AH288" s="14"/>
      <c r="AI288" s="20"/>
      <c r="AJ288" s="14"/>
      <c r="AK288" s="14"/>
      <c r="AL288" s="14"/>
      <c r="AM288" s="14"/>
      <c r="AN288" s="14"/>
      <c r="AO288" s="14"/>
      <c r="AP288" s="14"/>
      <c r="AQ288" s="14"/>
      <c r="AR288" s="14"/>
    </row>
    <row r="289" ht="22.5" customHeight="1">
      <c r="A289" s="103">
        <v>46077.0</v>
      </c>
      <c r="B289" s="97" t="s">
        <v>2314</v>
      </c>
      <c r="C289" s="8" t="s">
        <v>186</v>
      </c>
      <c r="D289" s="9" t="s">
        <v>258</v>
      </c>
      <c r="E289" s="9" t="s">
        <v>2315</v>
      </c>
      <c r="F289" s="9" t="s">
        <v>68</v>
      </c>
      <c r="G289" s="10">
        <v>500081.0</v>
      </c>
      <c r="H289" s="9" t="s">
        <v>2089</v>
      </c>
      <c r="I289" s="11" t="str">
        <f>VLOOKUP(H289,Mapping!D:E,2,0)</f>
        <v>Hitech-City</v>
      </c>
      <c r="J289" s="61" t="s">
        <v>148</v>
      </c>
      <c r="K289" s="12">
        <v>0.23</v>
      </c>
      <c r="L289" s="14" t="str">
        <f t="shared" si="27"/>
        <v>20%+</v>
      </c>
      <c r="M289" s="13">
        <v>0.018</v>
      </c>
      <c r="N289" s="127">
        <v>0.02</v>
      </c>
      <c r="O289" s="9" t="s">
        <v>2316</v>
      </c>
      <c r="P289" s="9" t="s">
        <v>2317</v>
      </c>
      <c r="Q289" s="9" t="s">
        <v>2318</v>
      </c>
      <c r="R289" s="16" t="s">
        <v>2319</v>
      </c>
      <c r="S289" s="9" t="s">
        <v>2320</v>
      </c>
      <c r="T289" s="9" t="s">
        <v>2321</v>
      </c>
      <c r="U289" s="9" t="s">
        <v>1129</v>
      </c>
      <c r="V289" s="17">
        <v>6.2229638385E10</v>
      </c>
      <c r="W289" s="9" t="s">
        <v>2322</v>
      </c>
      <c r="X289" s="9" t="s">
        <v>56</v>
      </c>
      <c r="Y289" s="18" t="s">
        <v>57</v>
      </c>
      <c r="Z289" s="18" t="s">
        <v>58</v>
      </c>
      <c r="AA289" s="18" t="s">
        <v>57</v>
      </c>
      <c r="AB289" s="18" t="s">
        <v>57</v>
      </c>
      <c r="AC289" s="18" t="s">
        <v>57</v>
      </c>
      <c r="AD289" s="18" t="s">
        <v>58</v>
      </c>
      <c r="AE289" s="40" t="s">
        <v>2323</v>
      </c>
      <c r="AF289" s="40" t="s">
        <v>2324</v>
      </c>
      <c r="AH289" s="14"/>
      <c r="AI289" s="20"/>
      <c r="AJ289" s="14"/>
      <c r="AK289" s="14"/>
      <c r="AL289" s="14"/>
      <c r="AM289" s="14"/>
      <c r="AN289" s="14"/>
      <c r="AO289" s="14"/>
      <c r="AP289" s="14"/>
      <c r="AQ289" s="14"/>
      <c r="AR289" s="14"/>
    </row>
    <row r="290" ht="22.5" customHeight="1">
      <c r="A290" s="68">
        <v>46077.0</v>
      </c>
      <c r="B290" s="69" t="s">
        <v>2325</v>
      </c>
      <c r="C290" s="8" t="s">
        <v>241</v>
      </c>
      <c r="D290" s="9" t="s">
        <v>46</v>
      </c>
      <c r="E290" s="9" t="s">
        <v>2326</v>
      </c>
      <c r="F290" s="9" t="s">
        <v>2327</v>
      </c>
      <c r="G290" s="10">
        <v>500016.0</v>
      </c>
      <c r="H290" s="9" t="s">
        <v>203</v>
      </c>
      <c r="I290" s="11" t="str">
        <f>VLOOKUP(H290,Mapping!D:E,2,0)</f>
        <v>panjagutta</v>
      </c>
      <c r="J290" s="15" t="s">
        <v>161</v>
      </c>
      <c r="K290" s="12">
        <v>0.22</v>
      </c>
      <c r="L290" s="14" t="str">
        <f t="shared" si="27"/>
        <v>20%+</v>
      </c>
      <c r="M290" s="13">
        <v>0.018</v>
      </c>
      <c r="N290" s="9" t="s">
        <v>68</v>
      </c>
      <c r="O290" s="15" t="s">
        <v>2325</v>
      </c>
      <c r="P290" s="15" t="s">
        <v>2328</v>
      </c>
      <c r="Q290" s="9" t="s">
        <v>2327</v>
      </c>
      <c r="R290" s="16" t="s">
        <v>2329</v>
      </c>
      <c r="S290" s="9" t="s">
        <v>2330</v>
      </c>
      <c r="T290" s="9" t="s">
        <v>2327</v>
      </c>
      <c r="U290" s="9" t="s">
        <v>307</v>
      </c>
      <c r="V290" s="17">
        <v>5.08302010003947E14</v>
      </c>
      <c r="W290" s="9" t="s">
        <v>2331</v>
      </c>
      <c r="X290" s="9" t="s">
        <v>56</v>
      </c>
      <c r="Y290" s="18" t="s">
        <v>57</v>
      </c>
      <c r="Z290" s="18" t="s">
        <v>69</v>
      </c>
      <c r="AA290" s="18" t="s">
        <v>57</v>
      </c>
      <c r="AB290" s="18" t="s">
        <v>57</v>
      </c>
      <c r="AC290" s="18" t="s">
        <v>57</v>
      </c>
      <c r="AD290" s="18" t="s">
        <v>69</v>
      </c>
      <c r="AE290" s="35" t="s">
        <v>2332</v>
      </c>
      <c r="AF290" s="14"/>
      <c r="AH290" s="14"/>
      <c r="AI290" s="20"/>
      <c r="AJ290" s="14"/>
      <c r="AK290" s="14"/>
      <c r="AL290" s="14"/>
      <c r="AM290" s="14"/>
      <c r="AN290" s="14"/>
      <c r="AO290" s="14"/>
      <c r="AP290" s="14"/>
      <c r="AQ290" s="14"/>
      <c r="AR290" s="14"/>
    </row>
    <row r="291" ht="22.5" customHeight="1">
      <c r="A291" s="68">
        <v>46077.0</v>
      </c>
      <c r="B291" s="69" t="s">
        <v>2333</v>
      </c>
      <c r="C291" s="8" t="s">
        <v>186</v>
      </c>
      <c r="D291" s="9" t="s">
        <v>46</v>
      </c>
      <c r="E291" s="9" t="s">
        <v>2315</v>
      </c>
      <c r="F291" s="9" t="s">
        <v>68</v>
      </c>
      <c r="G291" s="10">
        <v>500081.0</v>
      </c>
      <c r="H291" s="9" t="s">
        <v>2089</v>
      </c>
      <c r="I291" s="11" t="str">
        <f>VLOOKUP(H291,Mapping!D:E,2,0)</f>
        <v>Hitech-City</v>
      </c>
      <c r="J291" s="61" t="s">
        <v>148</v>
      </c>
      <c r="K291" s="12">
        <v>0.23</v>
      </c>
      <c r="L291" s="14" t="str">
        <f t="shared" si="27"/>
        <v>20%+</v>
      </c>
      <c r="M291" s="13">
        <v>0.018</v>
      </c>
      <c r="N291" s="127">
        <v>0.02</v>
      </c>
      <c r="O291" s="9" t="s">
        <v>2316</v>
      </c>
      <c r="P291" s="9" t="s">
        <v>2317</v>
      </c>
      <c r="Q291" s="9" t="s">
        <v>2334</v>
      </c>
      <c r="R291" s="16" t="s">
        <v>2335</v>
      </c>
      <c r="S291" s="9" t="s">
        <v>2320</v>
      </c>
      <c r="T291" s="9" t="s">
        <v>2336</v>
      </c>
      <c r="U291" s="9" t="s">
        <v>1014</v>
      </c>
      <c r="V291" s="17">
        <v>5.020011269819E12</v>
      </c>
      <c r="W291" s="9" t="s">
        <v>2337</v>
      </c>
      <c r="X291" s="9" t="s">
        <v>80</v>
      </c>
      <c r="Y291" s="18" t="s">
        <v>57</v>
      </c>
      <c r="Z291" s="18" t="s">
        <v>58</v>
      </c>
      <c r="AA291" s="18" t="s">
        <v>57</v>
      </c>
      <c r="AB291" s="18" t="s">
        <v>57</v>
      </c>
      <c r="AC291" s="18" t="s">
        <v>57</v>
      </c>
      <c r="AD291" s="18" t="s">
        <v>58</v>
      </c>
      <c r="AE291" s="40" t="s">
        <v>2338</v>
      </c>
      <c r="AF291" s="40" t="s">
        <v>2324</v>
      </c>
      <c r="AH291" s="14"/>
      <c r="AI291" s="20"/>
      <c r="AJ291" s="14"/>
      <c r="AK291" s="14"/>
      <c r="AL291" s="14"/>
      <c r="AM291" s="14"/>
      <c r="AN291" s="14"/>
      <c r="AO291" s="14"/>
      <c r="AP291" s="14"/>
      <c r="AQ291" s="14"/>
      <c r="AR291" s="14"/>
    </row>
    <row r="292" ht="22.5" customHeight="1">
      <c r="A292" s="110">
        <v>46077.0</v>
      </c>
      <c r="B292" s="97" t="s">
        <v>2339</v>
      </c>
      <c r="C292" s="8" t="s">
        <v>241</v>
      </c>
      <c r="D292" s="9" t="s">
        <v>46</v>
      </c>
      <c r="E292" s="9" t="s">
        <v>2340</v>
      </c>
      <c r="F292" s="9" t="s">
        <v>2341</v>
      </c>
      <c r="G292" s="10">
        <v>500018.0</v>
      </c>
      <c r="H292" s="9" t="s">
        <v>203</v>
      </c>
      <c r="I292" s="11" t="str">
        <f>VLOOKUP(H292,Mapping!D:E,2,0)</f>
        <v>panjagutta</v>
      </c>
      <c r="J292" s="15" t="s">
        <v>161</v>
      </c>
      <c r="K292" s="12">
        <v>0.22</v>
      </c>
      <c r="L292" s="14" t="str">
        <f t="shared" si="27"/>
        <v>20%+</v>
      </c>
      <c r="M292" s="13">
        <v>0.018</v>
      </c>
      <c r="N292" s="9" t="s">
        <v>68</v>
      </c>
      <c r="O292" s="43" t="s">
        <v>2339</v>
      </c>
      <c r="P292" s="9" t="s">
        <v>68</v>
      </c>
      <c r="Q292" s="9" t="s">
        <v>2341</v>
      </c>
      <c r="R292" s="16" t="s">
        <v>2342</v>
      </c>
      <c r="S292" s="10" t="s">
        <v>68</v>
      </c>
      <c r="T292" s="10" t="s">
        <v>68</v>
      </c>
      <c r="U292" s="10" t="s">
        <v>68</v>
      </c>
      <c r="V292" s="10" t="s">
        <v>68</v>
      </c>
      <c r="W292" s="10" t="s">
        <v>68</v>
      </c>
      <c r="X292" s="10" t="s">
        <v>68</v>
      </c>
      <c r="Y292" s="18" t="s">
        <v>58</v>
      </c>
      <c r="Z292" s="18" t="s">
        <v>58</v>
      </c>
      <c r="AA292" s="18" t="s">
        <v>58</v>
      </c>
      <c r="AB292" s="18" t="s">
        <v>58</v>
      </c>
      <c r="AC292" s="18" t="s">
        <v>58</v>
      </c>
      <c r="AD292" s="18" t="s">
        <v>58</v>
      </c>
      <c r="AE292" s="14"/>
      <c r="AF292" s="14"/>
      <c r="AH292" s="9" t="s">
        <v>2343</v>
      </c>
      <c r="AI292" s="20"/>
      <c r="AJ292" s="14"/>
      <c r="AK292" s="14"/>
      <c r="AL292" s="14"/>
      <c r="AM292" s="14"/>
      <c r="AN292" s="14"/>
      <c r="AO292" s="14"/>
      <c r="AP292" s="14"/>
      <c r="AQ292" s="14"/>
      <c r="AR292" s="14"/>
    </row>
    <row r="293" ht="22.5" customHeight="1">
      <c r="A293" s="110">
        <v>46077.0</v>
      </c>
      <c r="B293" s="97" t="s">
        <v>2344</v>
      </c>
      <c r="C293" s="8" t="s">
        <v>96</v>
      </c>
      <c r="D293" s="9" t="s">
        <v>46</v>
      </c>
      <c r="E293" s="9" t="s">
        <v>2345</v>
      </c>
      <c r="F293" s="9" t="s">
        <v>2346</v>
      </c>
      <c r="G293" s="10">
        <v>500086.0</v>
      </c>
      <c r="H293" s="9" t="s">
        <v>1966</v>
      </c>
      <c r="I293" s="11" t="str">
        <f>VLOOKUP(H293,Mapping!D:E,2,0)</f>
        <v>mehdipatnam</v>
      </c>
      <c r="J293" s="9" t="s">
        <v>50</v>
      </c>
      <c r="K293" s="12">
        <v>0.2</v>
      </c>
      <c r="L293" s="14" t="str">
        <f t="shared" si="27"/>
        <v>20%+</v>
      </c>
      <c r="M293" s="13">
        <v>0.018</v>
      </c>
      <c r="N293" s="14"/>
      <c r="O293" s="9" t="s">
        <v>2347</v>
      </c>
      <c r="P293" s="9" t="s">
        <v>2348</v>
      </c>
      <c r="Q293" s="9" t="s">
        <v>2349</v>
      </c>
      <c r="R293" s="16" t="s">
        <v>2350</v>
      </c>
      <c r="S293" s="9" t="s">
        <v>2351</v>
      </c>
      <c r="T293" s="9" t="s">
        <v>2352</v>
      </c>
      <c r="U293" s="9" t="s">
        <v>1564</v>
      </c>
      <c r="V293" s="17">
        <v>5.0100133454017E13</v>
      </c>
      <c r="W293" s="9" t="s">
        <v>725</v>
      </c>
      <c r="X293" s="9" t="s">
        <v>56</v>
      </c>
      <c r="Y293" s="18" t="s">
        <v>57</v>
      </c>
      <c r="Z293" s="18" t="s">
        <v>58</v>
      </c>
      <c r="AA293" s="18" t="s">
        <v>57</v>
      </c>
      <c r="AB293" s="18" t="s">
        <v>57</v>
      </c>
      <c r="AC293" s="18" t="s">
        <v>57</v>
      </c>
      <c r="AD293" s="18" t="s">
        <v>58</v>
      </c>
      <c r="AE293" s="35" t="s">
        <v>2353</v>
      </c>
      <c r="AF293" s="14"/>
      <c r="AH293" s="14"/>
      <c r="AI293" s="20"/>
      <c r="AJ293" s="14"/>
      <c r="AK293" s="14"/>
      <c r="AL293" s="14"/>
      <c r="AM293" s="14"/>
      <c r="AN293" s="14"/>
      <c r="AO293" s="14"/>
      <c r="AP293" s="14"/>
      <c r="AQ293" s="14"/>
      <c r="AR293" s="14"/>
    </row>
    <row r="294" ht="22.5" customHeight="1">
      <c r="A294" s="103">
        <v>46077.0</v>
      </c>
      <c r="B294" s="97" t="s">
        <v>2354</v>
      </c>
      <c r="C294" s="8" t="s">
        <v>96</v>
      </c>
      <c r="D294" s="9" t="s">
        <v>46</v>
      </c>
      <c r="E294" s="9" t="s">
        <v>2355</v>
      </c>
      <c r="F294" s="9" t="s">
        <v>1008</v>
      </c>
      <c r="G294" s="10">
        <v>500032.0</v>
      </c>
      <c r="H294" s="9" t="s">
        <v>2016</v>
      </c>
      <c r="I294" s="9" t="s">
        <v>2016</v>
      </c>
      <c r="J294" s="9" t="s">
        <v>86</v>
      </c>
      <c r="K294" s="12">
        <v>0.22</v>
      </c>
      <c r="L294" s="14" t="str">
        <f t="shared" si="27"/>
        <v>20%+</v>
      </c>
      <c r="M294" s="13">
        <v>0.018</v>
      </c>
      <c r="N294" s="127">
        <v>0.0</v>
      </c>
      <c r="O294" s="9" t="s">
        <v>2356</v>
      </c>
      <c r="P294" s="9" t="s">
        <v>2357</v>
      </c>
      <c r="Q294" s="9" t="s">
        <v>1008</v>
      </c>
      <c r="R294" s="16" t="s">
        <v>2358</v>
      </c>
      <c r="S294" s="9" t="s">
        <v>2359</v>
      </c>
      <c r="T294" s="9" t="s">
        <v>2360</v>
      </c>
      <c r="U294" s="9" t="s">
        <v>215</v>
      </c>
      <c r="V294" s="17">
        <v>9.761900006867E12</v>
      </c>
      <c r="W294" s="9" t="s">
        <v>2361</v>
      </c>
      <c r="X294" s="9" t="s">
        <v>56</v>
      </c>
      <c r="Y294" s="18" t="s">
        <v>57</v>
      </c>
      <c r="Z294" s="18" t="s">
        <v>58</v>
      </c>
      <c r="AA294" s="18" t="s">
        <v>57</v>
      </c>
      <c r="AB294" s="18" t="s">
        <v>57</v>
      </c>
      <c r="AC294" s="18" t="s">
        <v>57</v>
      </c>
      <c r="AD294" s="18" t="s">
        <v>58</v>
      </c>
      <c r="AE294" s="35" t="s">
        <v>2362</v>
      </c>
      <c r="AF294" s="14"/>
      <c r="AH294" s="14"/>
      <c r="AI294" s="20"/>
      <c r="AJ294" s="14"/>
      <c r="AK294" s="14"/>
      <c r="AL294" s="14"/>
      <c r="AM294" s="14"/>
      <c r="AN294" s="14"/>
      <c r="AO294" s="14"/>
      <c r="AP294" s="14"/>
      <c r="AQ294" s="14"/>
      <c r="AR294" s="14"/>
    </row>
    <row r="295" ht="22.5" customHeight="1">
      <c r="A295" s="68">
        <v>46077.0</v>
      </c>
      <c r="B295" s="69" t="s">
        <v>2363</v>
      </c>
      <c r="C295" s="8" t="s">
        <v>248</v>
      </c>
      <c r="D295" s="9" t="s">
        <v>258</v>
      </c>
      <c r="E295" s="9" t="s">
        <v>2364</v>
      </c>
      <c r="F295" s="9" t="s">
        <v>2365</v>
      </c>
      <c r="G295" s="10">
        <v>500086.0</v>
      </c>
      <c r="H295" s="9" t="s">
        <v>126</v>
      </c>
      <c r="I295" s="11" t="str">
        <f>VLOOKUP(H295,Mapping!D:E,2,0)</f>
        <v>Langar Houz</v>
      </c>
      <c r="J295" s="9" t="s">
        <v>50</v>
      </c>
      <c r="K295" s="12">
        <v>0.22</v>
      </c>
      <c r="L295" s="14" t="str">
        <f t="shared" si="27"/>
        <v>20%+</v>
      </c>
      <c r="M295" s="13">
        <v>0.018</v>
      </c>
      <c r="N295" s="14"/>
      <c r="O295" s="43" t="s">
        <v>2366</v>
      </c>
      <c r="P295" s="9" t="s">
        <v>2367</v>
      </c>
      <c r="Q295" s="9" t="s">
        <v>2368</v>
      </c>
      <c r="R295" s="16" t="s">
        <v>2369</v>
      </c>
      <c r="S295" s="9" t="s">
        <v>2370</v>
      </c>
      <c r="T295" s="9" t="s">
        <v>2365</v>
      </c>
      <c r="U295" s="9" t="s">
        <v>2371</v>
      </c>
      <c r="V295" s="17">
        <v>1.945624313E9</v>
      </c>
      <c r="W295" s="9" t="s">
        <v>2372</v>
      </c>
      <c r="X295" s="9" t="s">
        <v>56</v>
      </c>
      <c r="Y295" s="18" t="s">
        <v>57</v>
      </c>
      <c r="Z295" s="18" t="s">
        <v>58</v>
      </c>
      <c r="AA295" s="18" t="s">
        <v>57</v>
      </c>
      <c r="AB295" s="18" t="s">
        <v>57</v>
      </c>
      <c r="AC295" s="18" t="s">
        <v>58</v>
      </c>
      <c r="AD295" s="18" t="s">
        <v>58</v>
      </c>
      <c r="AE295" s="35" t="s">
        <v>2373</v>
      </c>
      <c r="AF295" s="14"/>
      <c r="AH295" s="9" t="s">
        <v>1800</v>
      </c>
      <c r="AI295" s="20"/>
      <c r="AJ295" s="14"/>
      <c r="AK295" s="14"/>
      <c r="AL295" s="14"/>
      <c r="AM295" s="14"/>
      <c r="AN295" s="14"/>
      <c r="AO295" s="14"/>
      <c r="AP295" s="14"/>
      <c r="AQ295" s="14"/>
      <c r="AR295" s="14"/>
    </row>
    <row r="296" ht="22.5" customHeight="1">
      <c r="A296" s="103">
        <v>46077.0</v>
      </c>
      <c r="B296" s="69" t="s">
        <v>2374</v>
      </c>
      <c r="C296" s="8" t="s">
        <v>96</v>
      </c>
      <c r="D296" s="9" t="s">
        <v>258</v>
      </c>
      <c r="E296" s="9" t="s">
        <v>2364</v>
      </c>
      <c r="F296" s="9" t="s">
        <v>2365</v>
      </c>
      <c r="G296" s="10">
        <v>500086.0</v>
      </c>
      <c r="H296" s="9" t="s">
        <v>126</v>
      </c>
      <c r="I296" s="11" t="str">
        <f>VLOOKUP(H296,Mapping!D:E,2,0)</f>
        <v>Langar Houz</v>
      </c>
      <c r="J296" s="9" t="s">
        <v>50</v>
      </c>
      <c r="K296" s="12">
        <v>0.22</v>
      </c>
      <c r="L296" s="14" t="str">
        <f t="shared" si="27"/>
        <v>20%+</v>
      </c>
      <c r="M296" s="13">
        <v>0.018</v>
      </c>
      <c r="N296" s="14"/>
      <c r="O296" s="43" t="s">
        <v>2366</v>
      </c>
      <c r="P296" s="9" t="s">
        <v>2375</v>
      </c>
      <c r="Q296" s="9" t="s">
        <v>2368</v>
      </c>
      <c r="R296" s="16" t="s">
        <v>2369</v>
      </c>
      <c r="S296" s="9" t="s">
        <v>2370</v>
      </c>
      <c r="T296" s="9" t="s">
        <v>2365</v>
      </c>
      <c r="U296" s="9" t="s">
        <v>2371</v>
      </c>
      <c r="V296" s="17">
        <v>1.945624313E9</v>
      </c>
      <c r="W296" s="9" t="s">
        <v>2372</v>
      </c>
      <c r="X296" s="9" t="s">
        <v>56</v>
      </c>
      <c r="Y296" s="18" t="s">
        <v>57</v>
      </c>
      <c r="Z296" s="18" t="s">
        <v>58</v>
      </c>
      <c r="AA296" s="18" t="s">
        <v>57</v>
      </c>
      <c r="AB296" s="18" t="s">
        <v>57</v>
      </c>
      <c r="AC296" s="18" t="s">
        <v>57</v>
      </c>
      <c r="AD296" s="18" t="s">
        <v>58</v>
      </c>
      <c r="AE296" s="35" t="s">
        <v>2376</v>
      </c>
      <c r="AF296" s="14"/>
      <c r="AH296" s="14"/>
      <c r="AI296" s="20"/>
      <c r="AJ296" s="14"/>
      <c r="AK296" s="14"/>
      <c r="AL296" s="14"/>
      <c r="AM296" s="14"/>
      <c r="AN296" s="14"/>
      <c r="AO296" s="14"/>
      <c r="AP296" s="14"/>
      <c r="AQ296" s="14"/>
      <c r="AR296" s="14"/>
    </row>
    <row r="297" ht="22.5" customHeight="1">
      <c r="A297" s="103">
        <v>46077.0</v>
      </c>
      <c r="B297" s="97" t="s">
        <v>2377</v>
      </c>
      <c r="C297" s="8" t="s">
        <v>186</v>
      </c>
      <c r="D297" s="9" t="s">
        <v>258</v>
      </c>
      <c r="E297" s="9" t="s">
        <v>2315</v>
      </c>
      <c r="F297" s="9" t="s">
        <v>68</v>
      </c>
      <c r="G297" s="10">
        <v>500081.0</v>
      </c>
      <c r="H297" s="9" t="s">
        <v>2089</v>
      </c>
      <c r="I297" s="11" t="str">
        <f>VLOOKUP(H297,Mapping!D:E,2,0)</f>
        <v>Hitech-City</v>
      </c>
      <c r="J297" s="61" t="s">
        <v>148</v>
      </c>
      <c r="K297" s="12">
        <v>0.23</v>
      </c>
      <c r="L297" s="14" t="str">
        <f t="shared" si="27"/>
        <v>20%+</v>
      </c>
      <c r="M297" s="13">
        <v>0.018</v>
      </c>
      <c r="N297" s="127">
        <v>0.02</v>
      </c>
      <c r="O297" s="9" t="s">
        <v>2378</v>
      </c>
      <c r="P297" s="9" t="s">
        <v>2317</v>
      </c>
      <c r="Q297" s="9" t="s">
        <v>2379</v>
      </c>
      <c r="R297" s="16" t="s">
        <v>2380</v>
      </c>
      <c r="S297" s="9" t="s">
        <v>68</v>
      </c>
      <c r="T297" s="9" t="s">
        <v>2378</v>
      </c>
      <c r="U297" s="9" t="s">
        <v>2381</v>
      </c>
      <c r="V297" s="17" t="s">
        <v>2382</v>
      </c>
      <c r="W297" s="9" t="s">
        <v>2383</v>
      </c>
      <c r="X297" s="9" t="s">
        <v>56</v>
      </c>
      <c r="Y297" s="18" t="s">
        <v>57</v>
      </c>
      <c r="Z297" s="18" t="s">
        <v>58</v>
      </c>
      <c r="AA297" s="18" t="s">
        <v>57</v>
      </c>
      <c r="AB297" s="18" t="s">
        <v>57</v>
      </c>
      <c r="AC297" s="18" t="s">
        <v>57</v>
      </c>
      <c r="AD297" s="18" t="s">
        <v>58</v>
      </c>
      <c r="AE297" s="40" t="s">
        <v>2384</v>
      </c>
      <c r="AF297" s="40" t="s">
        <v>2324</v>
      </c>
      <c r="AH297" s="14"/>
      <c r="AI297" s="20"/>
      <c r="AJ297" s="14"/>
      <c r="AK297" s="14"/>
      <c r="AL297" s="14"/>
      <c r="AM297" s="14"/>
      <c r="AN297" s="14"/>
      <c r="AO297" s="14"/>
      <c r="AP297" s="14"/>
      <c r="AQ297" s="14"/>
      <c r="AR297" s="14"/>
    </row>
    <row r="298" ht="22.5" customHeight="1">
      <c r="A298" s="103">
        <v>46077.0</v>
      </c>
      <c r="B298" s="69" t="s">
        <v>2385</v>
      </c>
      <c r="C298" s="8" t="s">
        <v>96</v>
      </c>
      <c r="D298" s="9" t="s">
        <v>258</v>
      </c>
      <c r="E298" s="9" t="s">
        <v>2386</v>
      </c>
      <c r="F298" s="9" t="s">
        <v>2387</v>
      </c>
      <c r="G298" s="10">
        <v>500086.0</v>
      </c>
      <c r="H298" s="9" t="s">
        <v>2388</v>
      </c>
      <c r="I298" s="11" t="str">
        <f>VLOOKUP(H298,Mapping!D:E,2,0)</f>
        <v>mehdipatnam</v>
      </c>
      <c r="J298" s="9" t="s">
        <v>50</v>
      </c>
      <c r="K298" s="12">
        <v>0.2</v>
      </c>
      <c r="L298" s="14" t="str">
        <f t="shared" si="27"/>
        <v>20%+</v>
      </c>
      <c r="M298" s="13">
        <v>0.018</v>
      </c>
      <c r="N298" s="14"/>
      <c r="O298" s="9" t="s">
        <v>2385</v>
      </c>
      <c r="P298" s="9" t="s">
        <v>2389</v>
      </c>
      <c r="Q298" s="9" t="s">
        <v>2387</v>
      </c>
      <c r="R298" s="9" t="s">
        <v>2390</v>
      </c>
      <c r="S298" s="9" t="s">
        <v>2391</v>
      </c>
      <c r="T298" s="9" t="s">
        <v>2385</v>
      </c>
      <c r="U298" s="9" t="s">
        <v>2392</v>
      </c>
      <c r="V298" s="17">
        <v>2.9001200000945E13</v>
      </c>
      <c r="W298" s="9" t="s">
        <v>2393</v>
      </c>
      <c r="X298" s="9" t="s">
        <v>80</v>
      </c>
      <c r="Y298" s="18" t="s">
        <v>57</v>
      </c>
      <c r="Z298" s="18" t="s">
        <v>58</v>
      </c>
      <c r="AA298" s="18" t="s">
        <v>57</v>
      </c>
      <c r="AB298" s="18" t="s">
        <v>57</v>
      </c>
      <c r="AC298" s="18" t="s">
        <v>57</v>
      </c>
      <c r="AD298" s="18" t="s">
        <v>58</v>
      </c>
      <c r="AE298" s="35" t="s">
        <v>2394</v>
      </c>
      <c r="AF298" s="14"/>
      <c r="AH298" s="14"/>
      <c r="AI298" s="20"/>
      <c r="AJ298" s="14"/>
      <c r="AK298" s="14"/>
      <c r="AL298" s="14"/>
      <c r="AM298" s="14"/>
      <c r="AN298" s="14"/>
      <c r="AO298" s="14"/>
      <c r="AP298" s="14"/>
      <c r="AQ298" s="14"/>
      <c r="AR298" s="14"/>
    </row>
    <row r="299" ht="22.5" customHeight="1">
      <c r="A299" s="110">
        <v>46077.0</v>
      </c>
      <c r="B299" s="97" t="s">
        <v>2385</v>
      </c>
      <c r="C299" s="8" t="s">
        <v>248</v>
      </c>
      <c r="D299" s="9" t="s">
        <v>258</v>
      </c>
      <c r="E299" s="9" t="s">
        <v>2395</v>
      </c>
      <c r="F299" s="9" t="s">
        <v>68</v>
      </c>
      <c r="G299" s="10">
        <v>500086.0</v>
      </c>
      <c r="H299" s="9" t="s">
        <v>2388</v>
      </c>
      <c r="I299" s="11" t="str">
        <f>VLOOKUP(H299,Mapping!D:E,2,0)</f>
        <v>mehdipatnam</v>
      </c>
      <c r="J299" s="9" t="s">
        <v>50</v>
      </c>
      <c r="K299" s="12">
        <v>0.2</v>
      </c>
      <c r="L299" s="14" t="str">
        <f t="shared" si="27"/>
        <v>20%+</v>
      </c>
      <c r="M299" s="13">
        <v>0.018</v>
      </c>
      <c r="N299" s="127">
        <v>0.0</v>
      </c>
      <c r="O299" s="9" t="s">
        <v>2396</v>
      </c>
      <c r="P299" s="9" t="s">
        <v>2397</v>
      </c>
      <c r="Q299" s="9" t="s">
        <v>68</v>
      </c>
      <c r="R299" s="9" t="s">
        <v>68</v>
      </c>
      <c r="S299" s="9" t="s">
        <v>68</v>
      </c>
      <c r="T299" s="9" t="s">
        <v>68</v>
      </c>
      <c r="U299" s="9" t="s">
        <v>2398</v>
      </c>
      <c r="V299" s="17">
        <v>1.6211110000434E14</v>
      </c>
      <c r="W299" s="9" t="s">
        <v>2399</v>
      </c>
      <c r="X299" s="9" t="s">
        <v>68</v>
      </c>
      <c r="Y299" s="18" t="s">
        <v>57</v>
      </c>
      <c r="Z299" s="18" t="s">
        <v>57</v>
      </c>
      <c r="AA299" s="18" t="s">
        <v>57</v>
      </c>
      <c r="AB299" s="18" t="s">
        <v>57</v>
      </c>
      <c r="AC299" s="18" t="s">
        <v>57</v>
      </c>
      <c r="AD299" s="18" t="s">
        <v>58</v>
      </c>
      <c r="AE299" s="33" t="s">
        <v>2400</v>
      </c>
      <c r="AF299" s="14"/>
      <c r="AH299" s="9" t="s">
        <v>2401</v>
      </c>
      <c r="AI299" s="8" t="s">
        <v>71</v>
      </c>
      <c r="AJ299" s="14"/>
      <c r="AK299" s="14"/>
      <c r="AL299" s="14"/>
      <c r="AM299" s="14"/>
      <c r="AN299" s="14"/>
      <c r="AO299" s="14"/>
      <c r="AP299" s="14"/>
      <c r="AQ299" s="14"/>
      <c r="AR299" s="14"/>
    </row>
    <row r="300" ht="22.5" customHeight="1">
      <c r="A300" s="103">
        <v>46077.0</v>
      </c>
      <c r="B300" s="97" t="s">
        <v>2402</v>
      </c>
      <c r="C300" s="8" t="s">
        <v>45</v>
      </c>
      <c r="D300" s="9" t="s">
        <v>46</v>
      </c>
      <c r="E300" s="9" t="s">
        <v>2403</v>
      </c>
      <c r="F300" s="9" t="s">
        <v>68</v>
      </c>
      <c r="G300" s="10">
        <v>500072.0</v>
      </c>
      <c r="H300" s="9" t="s">
        <v>1165</v>
      </c>
      <c r="I300" s="11" t="str">
        <f>VLOOKUP(H300,Mapping!D:E,2,0)</f>
        <v>kukatpally</v>
      </c>
      <c r="J300" s="9" t="s">
        <v>390</v>
      </c>
      <c r="K300" s="9" t="s">
        <v>68</v>
      </c>
      <c r="L300" s="14" t="str">
        <f t="shared" si="27"/>
        <v>20%+</v>
      </c>
      <c r="M300" s="13">
        <v>0.018</v>
      </c>
      <c r="N300" s="14"/>
      <c r="O300" s="43" t="s">
        <v>2402</v>
      </c>
      <c r="P300" s="9" t="s">
        <v>2404</v>
      </c>
      <c r="Q300" s="15" t="s">
        <v>2402</v>
      </c>
      <c r="R300" s="16" t="s">
        <v>2405</v>
      </c>
      <c r="S300" s="9" t="s">
        <v>2406</v>
      </c>
      <c r="T300" s="15" t="s">
        <v>2402</v>
      </c>
      <c r="U300" s="9" t="s">
        <v>939</v>
      </c>
      <c r="V300" s="17">
        <v>3.498426213E9</v>
      </c>
      <c r="W300" s="9" t="s">
        <v>2407</v>
      </c>
      <c r="X300" s="9" t="s">
        <v>56</v>
      </c>
      <c r="Y300" s="18" t="s">
        <v>57</v>
      </c>
      <c r="Z300" s="18" t="s">
        <v>58</v>
      </c>
      <c r="AA300" s="18" t="s">
        <v>58</v>
      </c>
      <c r="AB300" s="18" t="s">
        <v>57</v>
      </c>
      <c r="AC300" s="18" t="s">
        <v>58</v>
      </c>
      <c r="AD300" s="18" t="s">
        <v>58</v>
      </c>
      <c r="AE300" s="39" t="s">
        <v>2408</v>
      </c>
      <c r="AF300" s="14"/>
      <c r="AH300" s="14"/>
      <c r="AI300" s="20"/>
      <c r="AJ300" s="14"/>
      <c r="AK300" s="14"/>
      <c r="AL300" s="14"/>
      <c r="AM300" s="14"/>
      <c r="AN300" s="14"/>
      <c r="AO300" s="14"/>
      <c r="AP300" s="14"/>
      <c r="AQ300" s="14"/>
      <c r="AR300" s="14"/>
    </row>
    <row r="301" ht="22.5" customHeight="1">
      <c r="A301" s="103">
        <v>46077.0</v>
      </c>
      <c r="B301" s="69" t="s">
        <v>2409</v>
      </c>
      <c r="C301" s="8" t="s">
        <v>45</v>
      </c>
      <c r="D301" s="9" t="s">
        <v>61</v>
      </c>
      <c r="E301" s="9" t="s">
        <v>2410</v>
      </c>
      <c r="F301" s="9" t="s">
        <v>68</v>
      </c>
      <c r="G301" s="10">
        <v>500075.0</v>
      </c>
      <c r="H301" s="9" t="s">
        <v>1559</v>
      </c>
      <c r="I301" s="11" t="str">
        <f>VLOOKUP(H301,Mapping!D:E,2,0)</f>
        <v>Nanakramguda</v>
      </c>
      <c r="J301" s="61" t="s">
        <v>303</v>
      </c>
      <c r="K301" s="12">
        <v>0.19</v>
      </c>
      <c r="L301" s="14" t="str">
        <f t="shared" si="27"/>
        <v>&lt;20%</v>
      </c>
      <c r="M301" s="13">
        <v>0.018</v>
      </c>
      <c r="N301" s="127">
        <v>0.0</v>
      </c>
      <c r="O301" s="43" t="s">
        <v>2409</v>
      </c>
      <c r="P301" s="9" t="s">
        <v>2411</v>
      </c>
      <c r="Q301" s="9" t="s">
        <v>2412</v>
      </c>
      <c r="R301" s="16" t="s">
        <v>2413</v>
      </c>
      <c r="S301" s="9" t="s">
        <v>2414</v>
      </c>
      <c r="T301" s="9" t="s">
        <v>2412</v>
      </c>
      <c r="U301" s="9" t="s">
        <v>877</v>
      </c>
      <c r="V301" s="17">
        <v>1.10124467306E11</v>
      </c>
      <c r="W301" s="9" t="s">
        <v>2415</v>
      </c>
      <c r="X301" s="9" t="s">
        <v>56</v>
      </c>
      <c r="Y301" s="18" t="s">
        <v>57</v>
      </c>
      <c r="Z301" s="18" t="s">
        <v>58</v>
      </c>
      <c r="AA301" s="18" t="s">
        <v>58</v>
      </c>
      <c r="AB301" s="18" t="s">
        <v>57</v>
      </c>
      <c r="AC301" s="18" t="s">
        <v>58</v>
      </c>
      <c r="AD301" s="18" t="s">
        <v>58</v>
      </c>
      <c r="AE301" s="39" t="s">
        <v>2416</v>
      </c>
      <c r="AF301" s="14"/>
      <c r="AH301" s="14"/>
      <c r="AI301" s="20"/>
      <c r="AJ301" s="14"/>
      <c r="AK301" s="14"/>
      <c r="AL301" s="14"/>
      <c r="AM301" s="14"/>
      <c r="AN301" s="14"/>
      <c r="AO301" s="14"/>
      <c r="AP301" s="14"/>
      <c r="AQ301" s="14"/>
      <c r="AR301" s="14"/>
    </row>
    <row r="302" ht="22.5" customHeight="1">
      <c r="A302" s="158">
        <v>46077.0</v>
      </c>
      <c r="B302" s="159" t="s">
        <v>2239</v>
      </c>
      <c r="C302" s="8" t="s">
        <v>1919</v>
      </c>
      <c r="D302" s="9" t="s">
        <v>46</v>
      </c>
      <c r="E302" s="9" t="s">
        <v>2417</v>
      </c>
      <c r="F302" s="9" t="s">
        <v>2418</v>
      </c>
      <c r="G302" s="10">
        <v>500046.0</v>
      </c>
      <c r="H302" s="9" t="s">
        <v>903</v>
      </c>
      <c r="I302" s="11" t="str">
        <f>VLOOKUP(H302,Mapping!D:E,2,0)</f>
        <v>gachibowli</v>
      </c>
      <c r="J302" s="61" t="s">
        <v>148</v>
      </c>
      <c r="K302" s="12">
        <v>0.2</v>
      </c>
      <c r="L302" s="14" t="str">
        <f t="shared" si="27"/>
        <v>20%+</v>
      </c>
      <c r="M302" s="13">
        <v>0.018</v>
      </c>
      <c r="N302" s="127">
        <v>0.0</v>
      </c>
      <c r="O302" s="9" t="s">
        <v>2418</v>
      </c>
      <c r="P302" s="9" t="s">
        <v>2417</v>
      </c>
      <c r="Q302" s="9" t="s">
        <v>2418</v>
      </c>
      <c r="R302" s="16" t="s">
        <v>2419</v>
      </c>
      <c r="S302" s="9" t="s">
        <v>2420</v>
      </c>
      <c r="T302" s="9" t="s">
        <v>2239</v>
      </c>
      <c r="U302" s="9" t="s">
        <v>2421</v>
      </c>
      <c r="V302" s="17">
        <v>2.3780200001972E13</v>
      </c>
      <c r="W302" s="9" t="s">
        <v>2422</v>
      </c>
      <c r="X302" s="9" t="s">
        <v>80</v>
      </c>
      <c r="Y302" s="18" t="s">
        <v>57</v>
      </c>
      <c r="Z302" s="18" t="s">
        <v>57</v>
      </c>
      <c r="AA302" s="18" t="s">
        <v>57</v>
      </c>
      <c r="AB302" s="18" t="s">
        <v>57</v>
      </c>
      <c r="AC302" s="18" t="s">
        <v>57</v>
      </c>
      <c r="AD302" s="18" t="s">
        <v>57</v>
      </c>
      <c r="AE302" s="35" t="s">
        <v>2423</v>
      </c>
      <c r="AF302" s="9" t="s">
        <v>2424</v>
      </c>
      <c r="AG302" s="15" t="s">
        <v>903</v>
      </c>
      <c r="AH302" s="14"/>
      <c r="AI302" s="20"/>
      <c r="AJ302" s="14"/>
      <c r="AK302" s="14"/>
      <c r="AL302" s="14"/>
      <c r="AM302" s="14"/>
      <c r="AN302" s="14"/>
      <c r="AO302" s="14"/>
      <c r="AP302" s="14"/>
      <c r="AQ302" s="14"/>
      <c r="AR302" s="14"/>
    </row>
    <row r="303" ht="22.5" customHeight="1">
      <c r="A303" s="158">
        <v>46077.0</v>
      </c>
      <c r="B303" s="160" t="s">
        <v>2425</v>
      </c>
      <c r="C303" s="8" t="s">
        <v>1919</v>
      </c>
      <c r="D303" s="9" t="s">
        <v>258</v>
      </c>
      <c r="E303" s="9" t="s">
        <v>2426</v>
      </c>
      <c r="F303" s="9" t="s">
        <v>2427</v>
      </c>
      <c r="G303" s="10">
        <v>500030.0</v>
      </c>
      <c r="H303" s="9" t="s">
        <v>2388</v>
      </c>
      <c r="I303" s="11" t="str">
        <f>VLOOKUP(H303,Mapping!D:E,2,0)</f>
        <v>mehdipatnam</v>
      </c>
      <c r="J303" s="61" t="s">
        <v>50</v>
      </c>
      <c r="K303" s="12">
        <v>0.22</v>
      </c>
      <c r="L303" s="14" t="str">
        <f t="shared" si="27"/>
        <v>20%+</v>
      </c>
      <c r="M303" s="13">
        <v>0.018</v>
      </c>
      <c r="N303" s="14"/>
      <c r="O303" s="9" t="s">
        <v>2427</v>
      </c>
      <c r="P303" s="9" t="s">
        <v>2426</v>
      </c>
      <c r="Q303" s="9" t="s">
        <v>2427</v>
      </c>
      <c r="R303" s="16" t="s">
        <v>2428</v>
      </c>
      <c r="S303" s="9" t="s">
        <v>2429</v>
      </c>
      <c r="T303" s="9" t="s">
        <v>2430</v>
      </c>
      <c r="U303" s="9" t="s">
        <v>2381</v>
      </c>
      <c r="V303" s="17">
        <v>1.97405500141E11</v>
      </c>
      <c r="W303" s="9" t="s">
        <v>2431</v>
      </c>
      <c r="X303" s="9" t="s">
        <v>80</v>
      </c>
      <c r="Y303" s="18" t="s">
        <v>57</v>
      </c>
      <c r="Z303" s="18" t="s">
        <v>57</v>
      </c>
      <c r="AA303" s="18" t="s">
        <v>57</v>
      </c>
      <c r="AB303" s="18" t="s">
        <v>57</v>
      </c>
      <c r="AC303" s="18" t="s">
        <v>57</v>
      </c>
      <c r="AD303" s="18" t="s">
        <v>58</v>
      </c>
      <c r="AE303" s="35" t="s">
        <v>2432</v>
      </c>
      <c r="AF303" s="9" t="s">
        <v>2433</v>
      </c>
      <c r="AG303" s="15" t="s">
        <v>2162</v>
      </c>
      <c r="AH303" s="14"/>
      <c r="AI303" s="8" t="s">
        <v>2434</v>
      </c>
      <c r="AJ303" s="14"/>
      <c r="AK303" s="14"/>
      <c r="AL303" s="14"/>
      <c r="AM303" s="14"/>
      <c r="AN303" s="14"/>
      <c r="AO303" s="14"/>
      <c r="AP303" s="14"/>
      <c r="AQ303" s="14"/>
      <c r="AR303" s="14"/>
    </row>
    <row r="304" ht="22.5" customHeight="1">
      <c r="A304" s="110">
        <v>46077.0</v>
      </c>
      <c r="B304" s="97" t="s">
        <v>2435</v>
      </c>
      <c r="C304" s="8" t="s">
        <v>241</v>
      </c>
      <c r="D304" s="9" t="s">
        <v>46</v>
      </c>
      <c r="E304" s="9" t="s">
        <v>2436</v>
      </c>
      <c r="F304" s="9" t="s">
        <v>2437</v>
      </c>
      <c r="G304" s="10">
        <v>500018.0</v>
      </c>
      <c r="H304" s="9" t="s">
        <v>1041</v>
      </c>
      <c r="I304" s="11" t="str">
        <f>VLOOKUP(H304,Mapping!D:E,2,0)</f>
        <v>yousufguda</v>
      </c>
      <c r="J304" s="15" t="s">
        <v>161</v>
      </c>
      <c r="K304" s="12">
        <v>0.22</v>
      </c>
      <c r="L304" s="14" t="str">
        <f t="shared" si="27"/>
        <v>20%+</v>
      </c>
      <c r="M304" s="13">
        <v>0.018</v>
      </c>
      <c r="N304" s="9" t="s">
        <v>68</v>
      </c>
      <c r="O304" s="9" t="s">
        <v>68</v>
      </c>
      <c r="P304" s="9" t="s">
        <v>68</v>
      </c>
      <c r="Q304" s="9" t="s">
        <v>2437</v>
      </c>
      <c r="R304" s="16" t="s">
        <v>2438</v>
      </c>
      <c r="S304" s="10" t="s">
        <v>68</v>
      </c>
      <c r="T304" s="10" t="s">
        <v>68</v>
      </c>
      <c r="U304" s="10" t="s">
        <v>68</v>
      </c>
      <c r="V304" s="10" t="s">
        <v>68</v>
      </c>
      <c r="W304" s="10" t="s">
        <v>68</v>
      </c>
      <c r="X304" s="10" t="s">
        <v>68</v>
      </c>
      <c r="Y304" s="18" t="s">
        <v>58</v>
      </c>
      <c r="Z304" s="18" t="s">
        <v>58</v>
      </c>
      <c r="AA304" s="18" t="s">
        <v>58</v>
      </c>
      <c r="AB304" s="18" t="s">
        <v>58</v>
      </c>
      <c r="AC304" s="18" t="s">
        <v>58</v>
      </c>
      <c r="AD304" s="18" t="s">
        <v>69</v>
      </c>
      <c r="AE304" s="14"/>
      <c r="AF304" s="14"/>
      <c r="AH304" s="9" t="s">
        <v>2439</v>
      </c>
      <c r="AI304" s="20"/>
      <c r="AJ304" s="14"/>
      <c r="AK304" s="14"/>
      <c r="AL304" s="14"/>
      <c r="AM304" s="14"/>
      <c r="AN304" s="14"/>
      <c r="AO304" s="14"/>
      <c r="AP304" s="14"/>
      <c r="AQ304" s="14"/>
      <c r="AR304" s="14"/>
    </row>
    <row r="305" ht="22.5" customHeight="1">
      <c r="A305" s="68">
        <v>46078.0</v>
      </c>
      <c r="B305" s="69" t="s">
        <v>2440</v>
      </c>
      <c r="C305" s="8" t="s">
        <v>186</v>
      </c>
      <c r="D305" s="9" t="s">
        <v>61</v>
      </c>
      <c r="E305" s="39" t="s">
        <v>2441</v>
      </c>
      <c r="F305" s="9" t="s">
        <v>68</v>
      </c>
      <c r="G305" s="10">
        <v>500032.0</v>
      </c>
      <c r="H305" s="9" t="s">
        <v>903</v>
      </c>
      <c r="I305" s="11" t="str">
        <f>VLOOKUP(H305,Mapping!D:E,2,0)</f>
        <v>gachibowli</v>
      </c>
      <c r="J305" s="61" t="s">
        <v>148</v>
      </c>
      <c r="K305" s="12">
        <v>0.18</v>
      </c>
      <c r="L305" s="14" t="str">
        <f t="shared" si="27"/>
        <v>&lt;20%</v>
      </c>
      <c r="M305" s="13">
        <v>0.018</v>
      </c>
      <c r="N305" s="127">
        <v>0.02</v>
      </c>
      <c r="O305" s="43" t="s">
        <v>2440</v>
      </c>
      <c r="P305" s="39" t="s">
        <v>2442</v>
      </c>
      <c r="Q305" s="9" t="s">
        <v>2443</v>
      </c>
      <c r="R305" s="16" t="s">
        <v>2444</v>
      </c>
      <c r="S305" s="9" t="s">
        <v>2445</v>
      </c>
      <c r="T305" s="9" t="s">
        <v>2446</v>
      </c>
      <c r="U305" s="9" t="s">
        <v>2447</v>
      </c>
      <c r="V305" s="17">
        <v>5.0200112176575E13</v>
      </c>
      <c r="W305" s="9" t="s">
        <v>2448</v>
      </c>
      <c r="X305" s="9" t="s">
        <v>80</v>
      </c>
      <c r="Y305" s="18" t="s">
        <v>57</v>
      </c>
      <c r="Z305" s="18" t="s">
        <v>57</v>
      </c>
      <c r="AA305" s="18" t="s">
        <v>57</v>
      </c>
      <c r="AB305" s="18" t="s">
        <v>57</v>
      </c>
      <c r="AC305" s="18" t="s">
        <v>57</v>
      </c>
      <c r="AD305" s="18" t="s">
        <v>58</v>
      </c>
      <c r="AE305" s="40" t="s">
        <v>2440</v>
      </c>
      <c r="AF305" s="40" t="s">
        <v>2449</v>
      </c>
      <c r="AH305" s="14"/>
      <c r="AI305" s="20"/>
      <c r="AJ305" s="14"/>
      <c r="AK305" s="14"/>
      <c r="AL305" s="14"/>
      <c r="AM305" s="14"/>
      <c r="AN305" s="14"/>
      <c r="AO305" s="14"/>
      <c r="AP305" s="14"/>
      <c r="AQ305" s="14"/>
      <c r="AR305" s="14"/>
    </row>
    <row r="306" ht="22.5" customHeight="1">
      <c r="A306" s="158">
        <v>46078.0</v>
      </c>
      <c r="B306" s="159" t="s">
        <v>2450</v>
      </c>
      <c r="C306" s="8" t="s">
        <v>73</v>
      </c>
      <c r="D306" s="9" t="s">
        <v>258</v>
      </c>
      <c r="E306" s="9" t="s">
        <v>2451</v>
      </c>
      <c r="F306" s="9" t="s">
        <v>2452</v>
      </c>
      <c r="G306" s="10">
        <v>500085.0</v>
      </c>
      <c r="H306" s="9" t="s">
        <v>1165</v>
      </c>
      <c r="I306" s="11" t="str">
        <f>VLOOKUP(H306,Mapping!D:E,2,0)</f>
        <v>kukatpally</v>
      </c>
      <c r="J306" s="15" t="s">
        <v>390</v>
      </c>
      <c r="K306" s="12">
        <v>0.22</v>
      </c>
      <c r="L306" s="14" t="str">
        <f t="shared" si="27"/>
        <v>20%+</v>
      </c>
      <c r="M306" s="13">
        <v>0.018</v>
      </c>
      <c r="N306" s="127">
        <v>0.0</v>
      </c>
      <c r="O306" s="43" t="s">
        <v>2450</v>
      </c>
      <c r="P306" s="9" t="s">
        <v>1165</v>
      </c>
      <c r="Q306" s="9" t="s">
        <v>2452</v>
      </c>
      <c r="R306" s="16" t="s">
        <v>2453</v>
      </c>
      <c r="S306" s="9" t="s">
        <v>2454</v>
      </c>
      <c r="T306" s="15" t="s">
        <v>2455</v>
      </c>
      <c r="U306" s="9" t="s">
        <v>2456</v>
      </c>
      <c r="V306" s="17">
        <v>8.447212963E9</v>
      </c>
      <c r="W306" s="9" t="s">
        <v>2457</v>
      </c>
      <c r="X306" s="9" t="s">
        <v>80</v>
      </c>
      <c r="Y306" s="18" t="s">
        <v>57</v>
      </c>
      <c r="Z306" s="18" t="s">
        <v>57</v>
      </c>
      <c r="AA306" s="18" t="s">
        <v>57</v>
      </c>
      <c r="AB306" s="18" t="s">
        <v>57</v>
      </c>
      <c r="AC306" s="18" t="s">
        <v>58</v>
      </c>
      <c r="AD306" s="18" t="s">
        <v>57</v>
      </c>
      <c r="AE306" s="35" t="s">
        <v>2458</v>
      </c>
      <c r="AF306" s="14"/>
      <c r="AH306" s="14"/>
      <c r="AI306" s="20"/>
      <c r="AJ306" s="14"/>
      <c r="AK306" s="14"/>
      <c r="AL306" s="14"/>
      <c r="AM306" s="14"/>
      <c r="AN306" s="14"/>
      <c r="AO306" s="14"/>
      <c r="AP306" s="14"/>
      <c r="AQ306" s="14"/>
      <c r="AR306" s="14"/>
    </row>
    <row r="307" ht="22.5" customHeight="1">
      <c r="A307" s="158">
        <v>46078.0</v>
      </c>
      <c r="B307" s="160" t="s">
        <v>2459</v>
      </c>
      <c r="C307" s="8" t="s">
        <v>73</v>
      </c>
      <c r="D307" s="9" t="s">
        <v>258</v>
      </c>
      <c r="E307" s="9" t="s">
        <v>2460</v>
      </c>
      <c r="F307" s="9" t="s">
        <v>2452</v>
      </c>
      <c r="G307" s="10">
        <v>500085.0</v>
      </c>
      <c r="H307" s="9" t="s">
        <v>1165</v>
      </c>
      <c r="I307" s="11" t="str">
        <f>VLOOKUP(H307,Mapping!D:E,2,0)</f>
        <v>kukatpally</v>
      </c>
      <c r="J307" s="15" t="s">
        <v>390</v>
      </c>
      <c r="K307" s="12">
        <v>0.22</v>
      </c>
      <c r="L307" s="14" t="str">
        <f t="shared" si="27"/>
        <v>20%+</v>
      </c>
      <c r="M307" s="13">
        <v>0.018</v>
      </c>
      <c r="N307" s="14"/>
      <c r="O307" s="43" t="s">
        <v>2459</v>
      </c>
      <c r="P307" s="9" t="s">
        <v>1165</v>
      </c>
      <c r="Q307" s="9" t="s">
        <v>2452</v>
      </c>
      <c r="R307" s="16" t="s">
        <v>2453</v>
      </c>
      <c r="S307" s="9" t="s">
        <v>2454</v>
      </c>
      <c r="T307" s="15" t="s">
        <v>2455</v>
      </c>
      <c r="U307" s="9" t="s">
        <v>2456</v>
      </c>
      <c r="V307" s="17">
        <v>8.447212963E9</v>
      </c>
      <c r="W307" s="9" t="s">
        <v>2457</v>
      </c>
      <c r="X307" s="9" t="s">
        <v>80</v>
      </c>
      <c r="Y307" s="18" t="s">
        <v>57</v>
      </c>
      <c r="Z307" s="18" t="s">
        <v>57</v>
      </c>
      <c r="AA307" s="18" t="s">
        <v>57</v>
      </c>
      <c r="AB307" s="18" t="s">
        <v>57</v>
      </c>
      <c r="AC307" s="18" t="s">
        <v>58</v>
      </c>
      <c r="AD307" s="18" t="s">
        <v>57</v>
      </c>
      <c r="AE307" s="35" t="s">
        <v>2458</v>
      </c>
      <c r="AF307" s="14"/>
      <c r="AH307" s="14"/>
      <c r="AI307" s="20"/>
      <c r="AJ307" s="14"/>
      <c r="AK307" s="14"/>
      <c r="AL307" s="14"/>
      <c r="AM307" s="14"/>
      <c r="AN307" s="14"/>
      <c r="AO307" s="14"/>
      <c r="AP307" s="14"/>
      <c r="AQ307" s="14"/>
      <c r="AR307" s="14"/>
    </row>
    <row r="308" ht="22.5" customHeight="1">
      <c r="A308" s="158">
        <v>46078.0</v>
      </c>
      <c r="B308" s="69" t="s">
        <v>2461</v>
      </c>
      <c r="C308" s="8" t="s">
        <v>241</v>
      </c>
      <c r="D308" s="9" t="s">
        <v>61</v>
      </c>
      <c r="E308" s="9" t="s">
        <v>2462</v>
      </c>
      <c r="F308" s="9" t="s">
        <v>2463</v>
      </c>
      <c r="G308" s="10">
        <v>500090.0</v>
      </c>
      <c r="H308" s="9" t="s">
        <v>1691</v>
      </c>
      <c r="I308" s="11" t="str">
        <f>VLOOKUP(H308,Mapping!D:E,2,0)</f>
        <v>miyapur</v>
      </c>
      <c r="J308" s="61" t="s">
        <v>390</v>
      </c>
      <c r="K308" s="12">
        <v>0.22</v>
      </c>
      <c r="L308" s="14" t="str">
        <f t="shared" si="27"/>
        <v>20%+</v>
      </c>
      <c r="M308" s="13">
        <v>0.018</v>
      </c>
      <c r="N308" s="14"/>
      <c r="O308" s="43" t="s">
        <v>2461</v>
      </c>
      <c r="P308" s="9" t="s">
        <v>2462</v>
      </c>
      <c r="Q308" s="9" t="s">
        <v>2463</v>
      </c>
      <c r="R308" s="16" t="s">
        <v>2464</v>
      </c>
      <c r="S308" s="9" t="s">
        <v>68</v>
      </c>
      <c r="T308" s="9" t="s">
        <v>68</v>
      </c>
      <c r="U308" s="9" t="s">
        <v>68</v>
      </c>
      <c r="V308" s="9" t="s">
        <v>68</v>
      </c>
      <c r="W308" s="9" t="s">
        <v>68</v>
      </c>
      <c r="X308" s="9" t="s">
        <v>68</v>
      </c>
      <c r="Y308" s="18" t="s">
        <v>58</v>
      </c>
      <c r="Z308" s="18" t="s">
        <v>58</v>
      </c>
      <c r="AA308" s="18" t="s">
        <v>58</v>
      </c>
      <c r="AB308" s="18" t="s">
        <v>58</v>
      </c>
      <c r="AC308" s="18" t="s">
        <v>58</v>
      </c>
      <c r="AD308" s="18" t="s">
        <v>69</v>
      </c>
      <c r="AF308" s="14"/>
      <c r="AH308" s="14"/>
      <c r="AI308" s="20"/>
      <c r="AJ308" s="14"/>
      <c r="AK308" s="14"/>
      <c r="AL308" s="14"/>
      <c r="AM308" s="14"/>
      <c r="AN308" s="14"/>
      <c r="AO308" s="14"/>
      <c r="AP308" s="14"/>
      <c r="AQ308" s="14"/>
      <c r="AR308" s="14"/>
    </row>
    <row r="309" ht="22.5" customHeight="1">
      <c r="A309" s="158">
        <v>46078.0</v>
      </c>
      <c r="B309" s="69" t="s">
        <v>2465</v>
      </c>
      <c r="C309" s="8" t="s">
        <v>96</v>
      </c>
      <c r="D309" s="9" t="s">
        <v>258</v>
      </c>
      <c r="E309" s="9" t="s">
        <v>2466</v>
      </c>
      <c r="F309" s="9" t="s">
        <v>2467</v>
      </c>
      <c r="G309" s="10">
        <v>500048.0</v>
      </c>
      <c r="H309" s="61" t="s">
        <v>171</v>
      </c>
      <c r="I309" s="11" t="str">
        <f>VLOOKUP(H309,Mapping!D:E,2,0)</f>
        <v>Langar Houz</v>
      </c>
      <c r="J309" s="9" t="s">
        <v>50</v>
      </c>
      <c r="K309" s="12">
        <v>0.2</v>
      </c>
      <c r="L309" s="14" t="str">
        <f t="shared" si="27"/>
        <v>20%+</v>
      </c>
      <c r="M309" s="13">
        <v>0.018</v>
      </c>
      <c r="N309" s="127">
        <v>0.0</v>
      </c>
      <c r="O309" s="43" t="s">
        <v>2465</v>
      </c>
      <c r="P309" s="9" t="s">
        <v>2468</v>
      </c>
      <c r="Q309" s="9" t="s">
        <v>2467</v>
      </c>
      <c r="R309" s="16" t="s">
        <v>2469</v>
      </c>
      <c r="S309" s="9" t="s">
        <v>2470</v>
      </c>
      <c r="T309" s="9" t="s">
        <v>2471</v>
      </c>
      <c r="U309" s="9" t="s">
        <v>2371</v>
      </c>
      <c r="V309" s="17">
        <v>9.986881566E9</v>
      </c>
      <c r="W309" s="9" t="s">
        <v>2472</v>
      </c>
      <c r="X309" s="9" t="s">
        <v>80</v>
      </c>
      <c r="Y309" s="18" t="s">
        <v>57</v>
      </c>
      <c r="Z309" s="18" t="s">
        <v>58</v>
      </c>
      <c r="AA309" s="18" t="s">
        <v>57</v>
      </c>
      <c r="AB309" s="18" t="s">
        <v>57</v>
      </c>
      <c r="AC309" s="18" t="s">
        <v>57</v>
      </c>
      <c r="AD309" s="18" t="s">
        <v>58</v>
      </c>
      <c r="AE309" s="39" t="s">
        <v>2473</v>
      </c>
      <c r="AF309" s="14"/>
      <c r="AH309" s="14"/>
      <c r="AI309" s="20"/>
      <c r="AJ309" s="14"/>
      <c r="AK309" s="14"/>
      <c r="AL309" s="14"/>
      <c r="AM309" s="14"/>
      <c r="AN309" s="14"/>
      <c r="AO309" s="14"/>
      <c r="AP309" s="14"/>
      <c r="AQ309" s="14"/>
      <c r="AR309" s="14"/>
    </row>
    <row r="310" ht="22.5" customHeight="1">
      <c r="A310" s="158">
        <v>46078.0</v>
      </c>
      <c r="B310" s="68" t="s">
        <v>2474</v>
      </c>
      <c r="C310" s="8" t="s">
        <v>186</v>
      </c>
      <c r="D310" s="43" t="s">
        <v>258</v>
      </c>
      <c r="E310" s="39" t="s">
        <v>2475</v>
      </c>
      <c r="F310" s="9" t="s">
        <v>68</v>
      </c>
      <c r="G310" s="10">
        <v>500045.0</v>
      </c>
      <c r="H310" s="9" t="s">
        <v>1041</v>
      </c>
      <c r="I310" s="11" t="str">
        <f>VLOOKUP(H310,Mapping!D:E,2,0)</f>
        <v>yousufguda</v>
      </c>
      <c r="J310" s="61" t="s">
        <v>161</v>
      </c>
      <c r="K310" s="12">
        <v>0.22</v>
      </c>
      <c r="L310" s="14" t="str">
        <f t="shared" si="27"/>
        <v>20%+</v>
      </c>
      <c r="M310" s="13">
        <v>0.018</v>
      </c>
      <c r="N310" s="127">
        <v>0.02</v>
      </c>
      <c r="O310" s="43" t="s">
        <v>2476</v>
      </c>
      <c r="P310" s="9" t="s">
        <v>2477</v>
      </c>
      <c r="Q310" s="9" t="s">
        <v>2478</v>
      </c>
      <c r="R310" s="16" t="s">
        <v>2479</v>
      </c>
      <c r="S310" s="9" t="s">
        <v>68</v>
      </c>
      <c r="T310" s="43" t="s">
        <v>2480</v>
      </c>
      <c r="U310" s="9" t="s">
        <v>1139</v>
      </c>
      <c r="V310" s="17">
        <v>9.20020055993691E14</v>
      </c>
      <c r="W310" s="9" t="s">
        <v>2481</v>
      </c>
      <c r="X310" s="9" t="s">
        <v>80</v>
      </c>
      <c r="Y310" s="18" t="s">
        <v>57</v>
      </c>
      <c r="Z310" s="18" t="s">
        <v>58</v>
      </c>
      <c r="AA310" s="18" t="s">
        <v>57</v>
      </c>
      <c r="AB310" s="18" t="s">
        <v>57</v>
      </c>
      <c r="AC310" s="18" t="s">
        <v>57</v>
      </c>
      <c r="AD310" s="18" t="s">
        <v>58</v>
      </c>
      <c r="AE310" s="40" t="s">
        <v>2482</v>
      </c>
      <c r="AF310" s="40" t="s">
        <v>2483</v>
      </c>
      <c r="AH310" s="14"/>
      <c r="AI310" s="20"/>
      <c r="AJ310" s="14"/>
      <c r="AK310" s="14"/>
      <c r="AL310" s="14"/>
      <c r="AM310" s="14"/>
      <c r="AN310" s="14"/>
      <c r="AO310" s="14"/>
      <c r="AP310" s="14"/>
      <c r="AQ310" s="14"/>
      <c r="AR310" s="14"/>
    </row>
    <row r="311" ht="22.5" customHeight="1">
      <c r="A311" s="158">
        <v>46078.0</v>
      </c>
      <c r="B311" s="103" t="s">
        <v>2484</v>
      </c>
      <c r="C311" s="8" t="s">
        <v>186</v>
      </c>
      <c r="D311" s="9" t="s">
        <v>258</v>
      </c>
      <c r="E311" s="39" t="s">
        <v>2485</v>
      </c>
      <c r="F311" s="9" t="s">
        <v>68</v>
      </c>
      <c r="G311" s="10">
        <v>500045.0</v>
      </c>
      <c r="H311" s="9" t="s">
        <v>1041</v>
      </c>
      <c r="I311" s="11" t="str">
        <f>VLOOKUP(H311,Mapping!D:E,2,0)</f>
        <v>yousufguda</v>
      </c>
      <c r="J311" s="61" t="s">
        <v>161</v>
      </c>
      <c r="K311" s="12">
        <v>0.22</v>
      </c>
      <c r="L311" s="14" t="str">
        <f t="shared" si="27"/>
        <v>20%+</v>
      </c>
      <c r="M311" s="13">
        <v>0.018</v>
      </c>
      <c r="N311" s="127">
        <v>0.02</v>
      </c>
      <c r="O311" s="43" t="s">
        <v>2476</v>
      </c>
      <c r="P311" s="9" t="s">
        <v>2477</v>
      </c>
      <c r="Q311" s="9" t="s">
        <v>2478</v>
      </c>
      <c r="R311" s="16" t="s">
        <v>2479</v>
      </c>
      <c r="S311" s="9" t="s">
        <v>68</v>
      </c>
      <c r="T311" s="43" t="s">
        <v>2480</v>
      </c>
      <c r="U311" s="9" t="s">
        <v>1139</v>
      </c>
      <c r="V311" s="17">
        <v>9.20020055993691E14</v>
      </c>
      <c r="W311" s="9" t="s">
        <v>2481</v>
      </c>
      <c r="X311" s="9" t="s">
        <v>80</v>
      </c>
      <c r="Y311" s="18" t="s">
        <v>57</v>
      </c>
      <c r="Z311" s="18" t="s">
        <v>58</v>
      </c>
      <c r="AA311" s="18" t="s">
        <v>57</v>
      </c>
      <c r="AB311" s="18" t="s">
        <v>57</v>
      </c>
      <c r="AC311" s="18" t="s">
        <v>57</v>
      </c>
      <c r="AD311" s="18" t="s">
        <v>58</v>
      </c>
      <c r="AE311" s="95" t="s">
        <v>2484</v>
      </c>
      <c r="AF311" s="40" t="s">
        <v>2483</v>
      </c>
      <c r="AH311" s="9" t="s">
        <v>2486</v>
      </c>
      <c r="AI311" s="20"/>
      <c r="AJ311" s="14"/>
      <c r="AK311" s="14"/>
      <c r="AL311" s="14"/>
      <c r="AM311" s="14"/>
      <c r="AN311" s="14"/>
      <c r="AO311" s="14"/>
      <c r="AP311" s="14"/>
      <c r="AQ311" s="14"/>
      <c r="AR311" s="14"/>
    </row>
    <row r="312" ht="22.5" customHeight="1">
      <c r="A312" s="103">
        <v>46078.0</v>
      </c>
      <c r="B312" s="110" t="s">
        <v>2487</v>
      </c>
      <c r="C312" s="8" t="s">
        <v>186</v>
      </c>
      <c r="D312" s="43" t="s">
        <v>258</v>
      </c>
      <c r="E312" s="39" t="s">
        <v>2488</v>
      </c>
      <c r="F312" s="9" t="s">
        <v>68</v>
      </c>
      <c r="G312" s="10">
        <v>500045.0</v>
      </c>
      <c r="H312" s="9" t="s">
        <v>1041</v>
      </c>
      <c r="I312" s="11" t="str">
        <f>VLOOKUP(H312,Mapping!D:E,2,0)</f>
        <v>yousufguda</v>
      </c>
      <c r="J312" s="61" t="s">
        <v>161</v>
      </c>
      <c r="K312" s="12">
        <v>0.22</v>
      </c>
      <c r="L312" s="14" t="str">
        <f t="shared" si="27"/>
        <v>20%+</v>
      </c>
      <c r="M312" s="13">
        <v>0.018</v>
      </c>
      <c r="N312" s="127">
        <v>0.02</v>
      </c>
      <c r="O312" s="43" t="s">
        <v>2476</v>
      </c>
      <c r="P312" s="9" t="s">
        <v>2477</v>
      </c>
      <c r="Q312" s="9" t="s">
        <v>2478</v>
      </c>
      <c r="R312" s="16" t="s">
        <v>2479</v>
      </c>
      <c r="S312" s="9" t="s">
        <v>68</v>
      </c>
      <c r="T312" s="43" t="s">
        <v>2480</v>
      </c>
      <c r="U312" s="9" t="s">
        <v>1139</v>
      </c>
      <c r="V312" s="17">
        <v>9.20020055993691E14</v>
      </c>
      <c r="W312" s="9" t="s">
        <v>2481</v>
      </c>
      <c r="X312" s="9" t="s">
        <v>80</v>
      </c>
      <c r="Y312" s="18" t="s">
        <v>57</v>
      </c>
      <c r="Z312" s="18" t="s">
        <v>58</v>
      </c>
      <c r="AA312" s="18" t="s">
        <v>57</v>
      </c>
      <c r="AB312" s="18" t="s">
        <v>57</v>
      </c>
      <c r="AC312" s="18" t="s">
        <v>57</v>
      </c>
      <c r="AD312" s="18" t="s">
        <v>58</v>
      </c>
      <c r="AE312" s="40" t="s">
        <v>2489</v>
      </c>
      <c r="AF312" s="40" t="s">
        <v>2483</v>
      </c>
      <c r="AH312" s="14"/>
      <c r="AI312" s="20"/>
      <c r="AJ312" s="14"/>
      <c r="AK312" s="14"/>
      <c r="AL312" s="14"/>
      <c r="AM312" s="14"/>
      <c r="AN312" s="14"/>
      <c r="AO312" s="14"/>
      <c r="AP312" s="14"/>
      <c r="AQ312" s="14"/>
      <c r="AR312" s="14"/>
    </row>
    <row r="313" ht="22.5" customHeight="1">
      <c r="A313" s="158">
        <v>46078.0</v>
      </c>
      <c r="B313" s="161" t="s">
        <v>2490</v>
      </c>
      <c r="C313" s="8" t="s">
        <v>186</v>
      </c>
      <c r="D313" s="43" t="s">
        <v>258</v>
      </c>
      <c r="E313" s="39" t="s">
        <v>2491</v>
      </c>
      <c r="F313" s="9" t="s">
        <v>68</v>
      </c>
      <c r="G313" s="10">
        <v>500045.0</v>
      </c>
      <c r="H313" s="9" t="s">
        <v>1041</v>
      </c>
      <c r="I313" s="11" t="str">
        <f>VLOOKUP(H313,Mapping!D:E,2,0)</f>
        <v>yousufguda</v>
      </c>
      <c r="J313" s="61" t="s">
        <v>161</v>
      </c>
      <c r="K313" s="12">
        <v>0.22</v>
      </c>
      <c r="L313" s="14" t="str">
        <f t="shared" si="27"/>
        <v>20%+</v>
      </c>
      <c r="M313" s="13">
        <v>0.018</v>
      </c>
      <c r="N313" s="127">
        <v>0.02</v>
      </c>
      <c r="O313" s="43" t="s">
        <v>2476</v>
      </c>
      <c r="P313" s="9" t="s">
        <v>2477</v>
      </c>
      <c r="Q313" s="9" t="s">
        <v>2478</v>
      </c>
      <c r="R313" s="16" t="s">
        <v>2479</v>
      </c>
      <c r="S313" s="9" t="s">
        <v>68</v>
      </c>
      <c r="T313" s="43" t="s">
        <v>2480</v>
      </c>
      <c r="U313" s="9" t="s">
        <v>1139</v>
      </c>
      <c r="V313" s="17">
        <v>9.20020055993691E14</v>
      </c>
      <c r="W313" s="9" t="s">
        <v>2481</v>
      </c>
      <c r="X313" s="9" t="s">
        <v>80</v>
      </c>
      <c r="Y313" s="18" t="s">
        <v>57</v>
      </c>
      <c r="Z313" s="18" t="s">
        <v>58</v>
      </c>
      <c r="AA313" s="18" t="s">
        <v>57</v>
      </c>
      <c r="AB313" s="18" t="s">
        <v>57</v>
      </c>
      <c r="AC313" s="18" t="s">
        <v>57</v>
      </c>
      <c r="AD313" s="18" t="s">
        <v>58</v>
      </c>
      <c r="AE313" s="40" t="s">
        <v>2492</v>
      </c>
      <c r="AF313" s="40" t="s">
        <v>2483</v>
      </c>
      <c r="AH313" s="14"/>
      <c r="AI313" s="20"/>
      <c r="AJ313" s="14"/>
      <c r="AK313" s="14"/>
      <c r="AL313" s="14"/>
      <c r="AM313" s="14"/>
      <c r="AN313" s="14"/>
      <c r="AO313" s="14"/>
      <c r="AP313" s="14"/>
      <c r="AQ313" s="14"/>
      <c r="AR313" s="14"/>
    </row>
    <row r="314" ht="22.5" customHeight="1">
      <c r="A314" s="110">
        <v>46078.0</v>
      </c>
      <c r="B314" s="162" t="s">
        <v>2493</v>
      </c>
      <c r="C314" s="8" t="s">
        <v>186</v>
      </c>
      <c r="D314" s="43" t="s">
        <v>258</v>
      </c>
      <c r="E314" s="39" t="s">
        <v>2494</v>
      </c>
      <c r="F314" s="9" t="s">
        <v>68</v>
      </c>
      <c r="G314" s="10">
        <v>500045.0</v>
      </c>
      <c r="H314" s="9" t="s">
        <v>1041</v>
      </c>
      <c r="I314" s="11" t="str">
        <f>VLOOKUP(H314,Mapping!D:E,2,0)</f>
        <v>yousufguda</v>
      </c>
      <c r="J314" s="61" t="s">
        <v>161</v>
      </c>
      <c r="K314" s="12">
        <v>0.22</v>
      </c>
      <c r="L314" s="14" t="str">
        <f t="shared" si="27"/>
        <v>20%+</v>
      </c>
      <c r="M314" s="13">
        <v>0.018</v>
      </c>
      <c r="N314" s="127">
        <v>0.02</v>
      </c>
      <c r="O314" s="43" t="s">
        <v>2476</v>
      </c>
      <c r="P314" s="9" t="s">
        <v>2477</v>
      </c>
      <c r="Q314" s="9" t="s">
        <v>2478</v>
      </c>
      <c r="R314" s="16" t="s">
        <v>2479</v>
      </c>
      <c r="S314" s="9" t="s">
        <v>68</v>
      </c>
      <c r="T314" s="43" t="s">
        <v>2480</v>
      </c>
      <c r="U314" s="9" t="s">
        <v>1139</v>
      </c>
      <c r="V314" s="17">
        <v>9.20020055993691E14</v>
      </c>
      <c r="W314" s="9" t="s">
        <v>2481</v>
      </c>
      <c r="X314" s="9" t="s">
        <v>80</v>
      </c>
      <c r="Y314" s="18" t="s">
        <v>57</v>
      </c>
      <c r="Z314" s="18" t="s">
        <v>58</v>
      </c>
      <c r="AA314" s="18" t="s">
        <v>57</v>
      </c>
      <c r="AB314" s="18" t="s">
        <v>57</v>
      </c>
      <c r="AC314" s="18" t="s">
        <v>57</v>
      </c>
      <c r="AD314" s="18" t="s">
        <v>58</v>
      </c>
      <c r="AE314" s="40" t="s">
        <v>2495</v>
      </c>
      <c r="AF314" s="40" t="s">
        <v>2483</v>
      </c>
      <c r="AH314" s="14"/>
      <c r="AI314" s="20"/>
      <c r="AJ314" s="14"/>
      <c r="AK314" s="14"/>
      <c r="AL314" s="14"/>
      <c r="AM314" s="14"/>
      <c r="AN314" s="14"/>
      <c r="AO314" s="14"/>
      <c r="AP314" s="14"/>
      <c r="AQ314" s="14"/>
      <c r="AR314" s="14"/>
    </row>
    <row r="315" ht="22.5" customHeight="1">
      <c r="A315" s="110">
        <v>46078.0</v>
      </c>
      <c r="B315" s="97" t="s">
        <v>2496</v>
      </c>
      <c r="C315" s="8" t="s">
        <v>186</v>
      </c>
      <c r="D315" s="43" t="s">
        <v>258</v>
      </c>
      <c r="E315" s="9" t="s">
        <v>2497</v>
      </c>
      <c r="F315" s="9" t="s">
        <v>68</v>
      </c>
      <c r="G315" s="10">
        <v>500045.0</v>
      </c>
      <c r="H315" s="9" t="s">
        <v>1041</v>
      </c>
      <c r="I315" s="11" t="str">
        <f>VLOOKUP(H315,Mapping!D:E,2,0)</f>
        <v>yousufguda</v>
      </c>
      <c r="J315" s="61" t="s">
        <v>161</v>
      </c>
      <c r="K315" s="12">
        <v>0.2</v>
      </c>
      <c r="L315" s="14" t="str">
        <f t="shared" si="27"/>
        <v>20%+</v>
      </c>
      <c r="M315" s="13">
        <v>0.018</v>
      </c>
      <c r="N315" s="127">
        <v>0.02</v>
      </c>
      <c r="O315" s="9" t="s">
        <v>2498</v>
      </c>
      <c r="P315" s="9" t="s">
        <v>1041</v>
      </c>
      <c r="Q315" s="9" t="s">
        <v>2499</v>
      </c>
      <c r="R315" s="16" t="s">
        <v>2500</v>
      </c>
      <c r="S315" s="9" t="s">
        <v>68</v>
      </c>
      <c r="T315" s="9" t="s">
        <v>2501</v>
      </c>
      <c r="U315" s="9" t="s">
        <v>1014</v>
      </c>
      <c r="V315" s="17">
        <v>5.02007950961E12</v>
      </c>
      <c r="W315" s="9" t="s">
        <v>2502</v>
      </c>
      <c r="X315" s="9" t="s">
        <v>80</v>
      </c>
      <c r="Y315" s="18" t="s">
        <v>57</v>
      </c>
      <c r="Z315" s="18" t="s">
        <v>58</v>
      </c>
      <c r="AA315" s="18" t="s">
        <v>57</v>
      </c>
      <c r="AB315" s="18" t="s">
        <v>57</v>
      </c>
      <c r="AC315" s="18" t="s">
        <v>58</v>
      </c>
      <c r="AD315" s="18" t="s">
        <v>58</v>
      </c>
      <c r="AE315" s="40" t="s">
        <v>2503</v>
      </c>
      <c r="AF315" s="40" t="s">
        <v>2504</v>
      </c>
      <c r="AH315" s="14"/>
      <c r="AI315" s="20"/>
      <c r="AJ315" s="14"/>
      <c r="AK315" s="14"/>
      <c r="AL315" s="14"/>
      <c r="AM315" s="14"/>
      <c r="AN315" s="14"/>
      <c r="AO315" s="14"/>
      <c r="AP315" s="14"/>
      <c r="AQ315" s="14"/>
      <c r="AR315" s="14"/>
    </row>
    <row r="316" ht="22.5" customHeight="1">
      <c r="A316" s="110">
        <v>46078.0</v>
      </c>
      <c r="B316" s="159" t="s">
        <v>2505</v>
      </c>
      <c r="C316" s="8" t="s">
        <v>186</v>
      </c>
      <c r="D316" s="43" t="s">
        <v>258</v>
      </c>
      <c r="E316" s="9" t="s">
        <v>2506</v>
      </c>
      <c r="F316" s="9" t="s">
        <v>68</v>
      </c>
      <c r="G316" s="10">
        <v>500081.0</v>
      </c>
      <c r="H316" s="9" t="s">
        <v>2089</v>
      </c>
      <c r="I316" s="11" t="str">
        <f>VLOOKUP(H316,Mapping!D:E,2,0)</f>
        <v>Hitech-City</v>
      </c>
      <c r="J316" s="61" t="s">
        <v>148</v>
      </c>
      <c r="K316" s="12">
        <v>0.15</v>
      </c>
      <c r="L316" s="14" t="str">
        <f t="shared" si="27"/>
        <v>&lt;17%</v>
      </c>
      <c r="M316" s="13">
        <v>0.018</v>
      </c>
      <c r="N316" s="127">
        <v>0.02</v>
      </c>
      <c r="O316" s="43" t="s">
        <v>2505</v>
      </c>
      <c r="P316" s="9" t="s">
        <v>2317</v>
      </c>
      <c r="Q316" s="9" t="s">
        <v>2507</v>
      </c>
      <c r="R316" s="16" t="s">
        <v>2508</v>
      </c>
      <c r="S316" s="9" t="s">
        <v>68</v>
      </c>
      <c r="T316" s="43" t="s">
        <v>2505</v>
      </c>
      <c r="U316" s="9" t="s">
        <v>2509</v>
      </c>
      <c r="V316" s="17">
        <v>2.0100077076521E13</v>
      </c>
      <c r="W316" s="9" t="s">
        <v>2510</v>
      </c>
      <c r="X316" s="9" t="s">
        <v>80</v>
      </c>
      <c r="Y316" s="18" t="s">
        <v>57</v>
      </c>
      <c r="Z316" s="18" t="s">
        <v>57</v>
      </c>
      <c r="AA316" s="18" t="s">
        <v>57</v>
      </c>
      <c r="AB316" s="18" t="s">
        <v>57</v>
      </c>
      <c r="AC316" s="18" t="s">
        <v>57</v>
      </c>
      <c r="AD316" s="18" t="s">
        <v>58</v>
      </c>
      <c r="AE316" s="40" t="s">
        <v>2511</v>
      </c>
      <c r="AF316" s="40" t="s">
        <v>2512</v>
      </c>
      <c r="AH316" s="9" t="s">
        <v>2513</v>
      </c>
      <c r="AI316" s="20"/>
      <c r="AJ316" s="14"/>
      <c r="AK316" s="14"/>
      <c r="AL316" s="14"/>
      <c r="AM316" s="14"/>
      <c r="AN316" s="14"/>
      <c r="AO316" s="14"/>
      <c r="AP316" s="14"/>
      <c r="AQ316" s="14"/>
      <c r="AR316" s="14"/>
    </row>
    <row r="317" ht="22.5" customHeight="1">
      <c r="A317" s="110">
        <v>46078.0</v>
      </c>
      <c r="B317" s="160" t="s">
        <v>2505</v>
      </c>
      <c r="C317" s="8" t="s">
        <v>186</v>
      </c>
      <c r="D317" s="43" t="s">
        <v>258</v>
      </c>
      <c r="E317" s="9" t="s">
        <v>2514</v>
      </c>
      <c r="F317" s="9" t="s">
        <v>68</v>
      </c>
      <c r="G317" s="10">
        <v>500084.0</v>
      </c>
      <c r="H317" s="9" t="s">
        <v>2515</v>
      </c>
      <c r="I317" s="11" t="str">
        <f>VLOOKUP(H317,Mapping!D:E,2,0)</f>
        <v>miyapur</v>
      </c>
      <c r="J317" s="61" t="s">
        <v>390</v>
      </c>
      <c r="K317" s="12">
        <v>0.15</v>
      </c>
      <c r="L317" s="14" t="str">
        <f t="shared" si="27"/>
        <v>&lt;17%</v>
      </c>
      <c r="M317" s="13">
        <v>0.018</v>
      </c>
      <c r="N317" s="127">
        <v>0.02</v>
      </c>
      <c r="O317" s="43" t="s">
        <v>2505</v>
      </c>
      <c r="P317" s="9" t="s">
        <v>2516</v>
      </c>
      <c r="Q317" s="9" t="s">
        <v>2507</v>
      </c>
      <c r="R317" s="16" t="s">
        <v>2508</v>
      </c>
      <c r="S317" s="9" t="s">
        <v>68</v>
      </c>
      <c r="T317" s="43" t="s">
        <v>2505</v>
      </c>
      <c r="U317" s="9" t="s">
        <v>2509</v>
      </c>
      <c r="V317" s="17">
        <v>2.0100077076521E13</v>
      </c>
      <c r="W317" s="9" t="s">
        <v>2510</v>
      </c>
      <c r="X317" s="9" t="s">
        <v>80</v>
      </c>
      <c r="Y317" s="18" t="s">
        <v>57</v>
      </c>
      <c r="Z317" s="18" t="s">
        <v>57</v>
      </c>
      <c r="AA317" s="18" t="s">
        <v>57</v>
      </c>
      <c r="AB317" s="18" t="s">
        <v>57</v>
      </c>
      <c r="AC317" s="18" t="s">
        <v>57</v>
      </c>
      <c r="AD317" s="18" t="s">
        <v>58</v>
      </c>
      <c r="AE317" s="40" t="s">
        <v>2517</v>
      </c>
      <c r="AF317" s="40" t="s">
        <v>2518</v>
      </c>
      <c r="AH317" s="14"/>
      <c r="AI317" s="20"/>
      <c r="AJ317" s="14"/>
      <c r="AK317" s="14"/>
      <c r="AL317" s="14"/>
      <c r="AM317" s="14"/>
      <c r="AN317" s="14"/>
      <c r="AO317" s="14"/>
      <c r="AP317" s="14"/>
      <c r="AQ317" s="14"/>
      <c r="AR317" s="14"/>
    </row>
    <row r="318" ht="22.5" customHeight="1">
      <c r="A318" s="110">
        <v>46078.0</v>
      </c>
      <c r="B318" s="159" t="s">
        <v>2519</v>
      </c>
      <c r="C318" s="8" t="s">
        <v>241</v>
      </c>
      <c r="D318" s="9" t="s">
        <v>258</v>
      </c>
      <c r="E318" s="9" t="s">
        <v>2520</v>
      </c>
      <c r="F318" s="9" t="s">
        <v>2521</v>
      </c>
      <c r="G318" s="10">
        <v>500001.0</v>
      </c>
      <c r="H318" s="9" t="s">
        <v>2522</v>
      </c>
      <c r="I318" s="11" t="str">
        <f>VLOOKUP(H318,Mapping!D:E,2,0)</f>
        <v>mehdipatnam</v>
      </c>
      <c r="J318" s="9" t="s">
        <v>50</v>
      </c>
      <c r="K318" s="12">
        <v>0.22</v>
      </c>
      <c r="L318" s="14" t="str">
        <f t="shared" si="27"/>
        <v>20%+</v>
      </c>
      <c r="M318" s="13">
        <v>0.018</v>
      </c>
      <c r="N318" s="14"/>
      <c r="O318" s="43" t="s">
        <v>2519</v>
      </c>
      <c r="P318" s="9" t="s">
        <v>2520</v>
      </c>
      <c r="Q318" s="9" t="s">
        <v>2521</v>
      </c>
      <c r="R318" s="16" t="s">
        <v>2523</v>
      </c>
      <c r="S318" s="9" t="s">
        <v>2524</v>
      </c>
      <c r="T318" s="43" t="s">
        <v>2519</v>
      </c>
      <c r="U318" s="9" t="s">
        <v>2525</v>
      </c>
      <c r="V318" s="17">
        <v>1.50120010005307E14</v>
      </c>
      <c r="W318" s="9" t="s">
        <v>2526</v>
      </c>
      <c r="X318" s="9" t="s">
        <v>80</v>
      </c>
      <c r="Y318" s="18" t="s">
        <v>57</v>
      </c>
      <c r="Z318" s="18" t="s">
        <v>69</v>
      </c>
      <c r="AA318" s="18" t="s">
        <v>57</v>
      </c>
      <c r="AB318" s="18" t="s">
        <v>57</v>
      </c>
      <c r="AC318" s="18" t="s">
        <v>57</v>
      </c>
      <c r="AD318" s="18" t="s">
        <v>69</v>
      </c>
      <c r="AE318" s="39" t="s">
        <v>2527</v>
      </c>
      <c r="AF318" s="14"/>
      <c r="AH318" s="9" t="s">
        <v>2528</v>
      </c>
      <c r="AI318" s="20"/>
      <c r="AJ318" s="14"/>
      <c r="AK318" s="14"/>
      <c r="AL318" s="14"/>
      <c r="AM318" s="14"/>
      <c r="AN318" s="14"/>
      <c r="AO318" s="14"/>
      <c r="AP318" s="14"/>
      <c r="AQ318" s="14"/>
      <c r="AR318" s="14"/>
    </row>
    <row r="319" ht="22.5" customHeight="1">
      <c r="A319" s="68">
        <v>46078.0</v>
      </c>
      <c r="B319" s="69" t="s">
        <v>2529</v>
      </c>
      <c r="C319" s="8" t="s">
        <v>186</v>
      </c>
      <c r="D319" s="43" t="s">
        <v>258</v>
      </c>
      <c r="E319" s="9" t="s">
        <v>2497</v>
      </c>
      <c r="F319" s="9" t="s">
        <v>68</v>
      </c>
      <c r="G319" s="10">
        <v>500045.0</v>
      </c>
      <c r="H319" s="9" t="s">
        <v>1041</v>
      </c>
      <c r="I319" s="11" t="str">
        <f>VLOOKUP(H319,Mapping!D:E,2,0)</f>
        <v>yousufguda</v>
      </c>
      <c r="J319" s="61" t="s">
        <v>161</v>
      </c>
      <c r="K319" s="12">
        <v>0.2</v>
      </c>
      <c r="L319" s="14" t="str">
        <f t="shared" si="27"/>
        <v>20%+</v>
      </c>
      <c r="M319" s="13">
        <v>0.018</v>
      </c>
      <c r="N319" s="127">
        <v>0.02</v>
      </c>
      <c r="O319" s="9" t="s">
        <v>2498</v>
      </c>
      <c r="P319" s="9" t="s">
        <v>1041</v>
      </c>
      <c r="Q319" s="9" t="s">
        <v>2499</v>
      </c>
      <c r="R319" s="16" t="s">
        <v>2500</v>
      </c>
      <c r="S319" s="9" t="s">
        <v>68</v>
      </c>
      <c r="T319" s="9" t="s">
        <v>2501</v>
      </c>
      <c r="U319" s="9" t="s">
        <v>1014</v>
      </c>
      <c r="V319" s="17">
        <v>5.02007950961E12</v>
      </c>
      <c r="W319" s="9" t="s">
        <v>2502</v>
      </c>
      <c r="X319" s="9" t="s">
        <v>80</v>
      </c>
      <c r="Y319" s="18" t="s">
        <v>57</v>
      </c>
      <c r="Z319" s="18" t="s">
        <v>58</v>
      </c>
      <c r="AA319" s="18" t="s">
        <v>57</v>
      </c>
      <c r="AB319" s="18" t="s">
        <v>57</v>
      </c>
      <c r="AC319" s="18" t="s">
        <v>57</v>
      </c>
      <c r="AD319" s="18" t="s">
        <v>58</v>
      </c>
      <c r="AE319" s="40" t="s">
        <v>2530</v>
      </c>
      <c r="AF319" s="40" t="s">
        <v>2504</v>
      </c>
      <c r="AH319" s="14"/>
      <c r="AI319" s="20"/>
      <c r="AJ319" s="14"/>
      <c r="AK319" s="14"/>
      <c r="AL319" s="14"/>
      <c r="AM319" s="14"/>
      <c r="AN319" s="14"/>
      <c r="AO319" s="14"/>
      <c r="AP319" s="14"/>
      <c r="AQ319" s="14"/>
      <c r="AR319" s="14"/>
    </row>
    <row r="320" ht="22.5" customHeight="1">
      <c r="A320" s="68">
        <v>46078.0</v>
      </c>
      <c r="B320" s="69" t="s">
        <v>2531</v>
      </c>
      <c r="C320" s="8" t="s">
        <v>186</v>
      </c>
      <c r="D320" s="43" t="s">
        <v>258</v>
      </c>
      <c r="E320" s="9" t="s">
        <v>2497</v>
      </c>
      <c r="F320" s="9" t="s">
        <v>68</v>
      </c>
      <c r="G320" s="10">
        <v>500045.0</v>
      </c>
      <c r="H320" s="9" t="s">
        <v>1041</v>
      </c>
      <c r="I320" s="11" t="str">
        <f>VLOOKUP(H320,Mapping!D:E,2,0)</f>
        <v>yousufguda</v>
      </c>
      <c r="J320" s="61" t="s">
        <v>161</v>
      </c>
      <c r="K320" s="12">
        <v>0.2</v>
      </c>
      <c r="L320" s="14" t="str">
        <f t="shared" si="27"/>
        <v>20%+</v>
      </c>
      <c r="M320" s="13">
        <v>0.018</v>
      </c>
      <c r="N320" s="127">
        <v>0.02</v>
      </c>
      <c r="O320" s="9" t="s">
        <v>2498</v>
      </c>
      <c r="P320" s="9" t="s">
        <v>1041</v>
      </c>
      <c r="Q320" s="9" t="s">
        <v>2499</v>
      </c>
      <c r="R320" s="16" t="s">
        <v>2500</v>
      </c>
      <c r="S320" s="9" t="s">
        <v>68</v>
      </c>
      <c r="T320" s="9" t="s">
        <v>2501</v>
      </c>
      <c r="U320" s="9" t="s">
        <v>1014</v>
      </c>
      <c r="V320" s="17">
        <v>5.02007950961E12</v>
      </c>
      <c r="W320" s="9" t="s">
        <v>2502</v>
      </c>
      <c r="X320" s="9" t="s">
        <v>80</v>
      </c>
      <c r="Y320" s="18" t="s">
        <v>57</v>
      </c>
      <c r="Z320" s="18" t="s">
        <v>58</v>
      </c>
      <c r="AA320" s="18" t="s">
        <v>57</v>
      </c>
      <c r="AB320" s="18" t="s">
        <v>57</v>
      </c>
      <c r="AC320" s="18" t="s">
        <v>57</v>
      </c>
      <c r="AD320" s="18" t="s">
        <v>58</v>
      </c>
      <c r="AE320" s="40" t="s">
        <v>2532</v>
      </c>
      <c r="AF320" s="40" t="s">
        <v>2504</v>
      </c>
      <c r="AH320" s="14"/>
      <c r="AI320" s="20"/>
      <c r="AJ320" s="14"/>
      <c r="AK320" s="14"/>
      <c r="AL320" s="14"/>
      <c r="AM320" s="14"/>
      <c r="AN320" s="14"/>
      <c r="AO320" s="14"/>
      <c r="AP320" s="14"/>
      <c r="AQ320" s="14"/>
      <c r="AR320" s="14"/>
    </row>
    <row r="321" ht="22.5" customHeight="1">
      <c r="A321" s="103">
        <v>46078.0</v>
      </c>
      <c r="B321" s="110" t="s">
        <v>2533</v>
      </c>
      <c r="C321" s="8" t="s">
        <v>186</v>
      </c>
      <c r="D321" s="43" t="s">
        <v>258</v>
      </c>
      <c r="E321" s="9" t="s">
        <v>2497</v>
      </c>
      <c r="F321" s="9" t="s">
        <v>68</v>
      </c>
      <c r="G321" s="10">
        <v>500045.0</v>
      </c>
      <c r="H321" s="9" t="s">
        <v>1041</v>
      </c>
      <c r="I321" s="11" t="str">
        <f>VLOOKUP(H321,Mapping!D:E,2,0)</f>
        <v>yousufguda</v>
      </c>
      <c r="J321" s="61" t="s">
        <v>161</v>
      </c>
      <c r="K321" s="12">
        <v>0.2</v>
      </c>
      <c r="L321" s="14" t="str">
        <f t="shared" si="27"/>
        <v>20%+</v>
      </c>
      <c r="M321" s="13">
        <v>0.018</v>
      </c>
      <c r="N321" s="127">
        <v>0.02</v>
      </c>
      <c r="O321" s="9" t="s">
        <v>2498</v>
      </c>
      <c r="P321" s="9" t="s">
        <v>1041</v>
      </c>
      <c r="Q321" s="9" t="s">
        <v>2499</v>
      </c>
      <c r="R321" s="16" t="s">
        <v>2500</v>
      </c>
      <c r="S321" s="9" t="s">
        <v>68</v>
      </c>
      <c r="T321" s="9" t="s">
        <v>2501</v>
      </c>
      <c r="U321" s="9" t="s">
        <v>1014</v>
      </c>
      <c r="V321" s="17">
        <v>5.02007950961E12</v>
      </c>
      <c r="W321" s="9" t="s">
        <v>2502</v>
      </c>
      <c r="X321" s="9" t="s">
        <v>80</v>
      </c>
      <c r="Y321" s="18" t="s">
        <v>57</v>
      </c>
      <c r="Z321" s="18" t="s">
        <v>58</v>
      </c>
      <c r="AA321" s="18" t="s">
        <v>57</v>
      </c>
      <c r="AB321" s="18" t="s">
        <v>57</v>
      </c>
      <c r="AC321" s="18" t="s">
        <v>57</v>
      </c>
      <c r="AD321" s="18" t="s">
        <v>58</v>
      </c>
      <c r="AE321" s="40" t="s">
        <v>2534</v>
      </c>
      <c r="AF321" s="40" t="s">
        <v>2504</v>
      </c>
      <c r="AH321" s="14"/>
      <c r="AI321" s="20"/>
      <c r="AJ321" s="14"/>
      <c r="AK321" s="14"/>
      <c r="AL321" s="14"/>
      <c r="AM321" s="14"/>
      <c r="AN321" s="14"/>
      <c r="AO321" s="14"/>
      <c r="AP321" s="14"/>
      <c r="AQ321" s="14"/>
      <c r="AR321" s="14"/>
    </row>
    <row r="322" ht="22.5" customHeight="1">
      <c r="A322" s="103">
        <v>46078.0</v>
      </c>
      <c r="B322" s="69" t="s">
        <v>2535</v>
      </c>
      <c r="C322" s="8" t="s">
        <v>241</v>
      </c>
      <c r="D322" s="9" t="s">
        <v>61</v>
      </c>
      <c r="E322" s="9" t="s">
        <v>2536</v>
      </c>
      <c r="F322" s="9" t="s">
        <v>2463</v>
      </c>
      <c r="G322" s="10">
        <v>502286.0</v>
      </c>
      <c r="H322" s="9" t="s">
        <v>1165</v>
      </c>
      <c r="I322" s="11" t="str">
        <f>VLOOKUP(H322,Mapping!D:E,2,0)</f>
        <v>kukatpally</v>
      </c>
      <c r="J322" s="61" t="s">
        <v>390</v>
      </c>
      <c r="K322" s="12">
        <v>0.22</v>
      </c>
      <c r="L322" s="14" t="str">
        <f t="shared" si="27"/>
        <v>20%+</v>
      </c>
      <c r="M322" s="13">
        <v>0.018</v>
      </c>
      <c r="N322" s="14"/>
      <c r="O322" s="43" t="s">
        <v>2535</v>
      </c>
      <c r="P322" s="9" t="s">
        <v>2537</v>
      </c>
      <c r="Q322" s="9" t="s">
        <v>2463</v>
      </c>
      <c r="R322" s="16" t="s">
        <v>2464</v>
      </c>
      <c r="S322" s="9" t="s">
        <v>68</v>
      </c>
      <c r="T322" s="9" t="s">
        <v>68</v>
      </c>
      <c r="U322" s="9" t="s">
        <v>68</v>
      </c>
      <c r="V322" s="9" t="s">
        <v>68</v>
      </c>
      <c r="W322" s="9" t="s">
        <v>68</v>
      </c>
      <c r="X322" s="9" t="s">
        <v>68</v>
      </c>
      <c r="Y322" s="18" t="s">
        <v>58</v>
      </c>
      <c r="Z322" s="18" t="s">
        <v>58</v>
      </c>
      <c r="AA322" s="18" t="s">
        <v>58</v>
      </c>
      <c r="AB322" s="18" t="s">
        <v>58</v>
      </c>
      <c r="AC322" s="18" t="s">
        <v>58</v>
      </c>
      <c r="AD322" s="18" t="s">
        <v>69</v>
      </c>
      <c r="AE322" s="14"/>
      <c r="AF322" s="14"/>
      <c r="AH322" s="14"/>
      <c r="AI322" s="20"/>
      <c r="AJ322" s="14"/>
      <c r="AK322" s="14"/>
      <c r="AL322" s="14"/>
      <c r="AM322" s="14"/>
      <c r="AN322" s="14"/>
      <c r="AO322" s="14"/>
      <c r="AP322" s="14"/>
      <c r="AQ322" s="14"/>
      <c r="AR322" s="14"/>
    </row>
    <row r="323" ht="22.5" customHeight="1">
      <c r="A323" s="103">
        <v>46078.0</v>
      </c>
      <c r="B323" s="69" t="s">
        <v>2538</v>
      </c>
      <c r="C323" s="8" t="s">
        <v>45</v>
      </c>
      <c r="D323" s="9" t="s">
        <v>258</v>
      </c>
      <c r="E323" s="9" t="s">
        <v>2539</v>
      </c>
      <c r="F323" s="9" t="s">
        <v>68</v>
      </c>
      <c r="G323" s="10">
        <v>500089.0</v>
      </c>
      <c r="H323" s="9" t="s">
        <v>302</v>
      </c>
      <c r="I323" s="11" t="str">
        <f>VLOOKUP(H323,Mapping!D:E,2,0)</f>
        <v>manikonda</v>
      </c>
      <c r="J323" s="61" t="s">
        <v>303</v>
      </c>
      <c r="K323" s="12">
        <v>0.18</v>
      </c>
      <c r="L323" s="14" t="str">
        <f t="shared" si="27"/>
        <v>&lt;20%</v>
      </c>
      <c r="M323" s="13">
        <v>0.018</v>
      </c>
      <c r="N323" s="14"/>
      <c r="O323" s="9" t="s">
        <v>68</v>
      </c>
      <c r="P323" s="9" t="s">
        <v>68</v>
      </c>
      <c r="Q323" s="9" t="s">
        <v>68</v>
      </c>
      <c r="R323" s="9" t="s">
        <v>68</v>
      </c>
      <c r="S323" s="9" t="s">
        <v>68</v>
      </c>
      <c r="T323" s="163" t="s">
        <v>68</v>
      </c>
      <c r="U323" s="9" t="s">
        <v>68</v>
      </c>
      <c r="V323" s="9" t="s">
        <v>68</v>
      </c>
      <c r="W323" s="9" t="s">
        <v>68</v>
      </c>
      <c r="X323" s="9" t="s">
        <v>68</v>
      </c>
      <c r="Y323" s="18" t="s">
        <v>58</v>
      </c>
      <c r="Z323" s="18" t="s">
        <v>58</v>
      </c>
      <c r="AA323" s="18" t="s">
        <v>58</v>
      </c>
      <c r="AB323" s="18" t="s">
        <v>58</v>
      </c>
      <c r="AC323" s="18" t="s">
        <v>58</v>
      </c>
      <c r="AD323" s="18" t="s">
        <v>58</v>
      </c>
      <c r="AE323" s="14"/>
      <c r="AF323" s="14"/>
      <c r="AH323" s="9" t="s">
        <v>730</v>
      </c>
      <c r="AI323" s="20"/>
      <c r="AJ323" s="14"/>
      <c r="AK323" s="14"/>
      <c r="AL323" s="14"/>
      <c r="AM323" s="14"/>
      <c r="AN323" s="14"/>
      <c r="AO323" s="14"/>
      <c r="AP323" s="14"/>
      <c r="AQ323" s="14"/>
      <c r="AR323" s="14"/>
    </row>
    <row r="324" ht="22.5" customHeight="1">
      <c r="A324" s="103">
        <v>46078.0</v>
      </c>
      <c r="B324" s="69" t="s">
        <v>2538</v>
      </c>
      <c r="C324" s="8" t="s">
        <v>45</v>
      </c>
      <c r="D324" s="9" t="s">
        <v>258</v>
      </c>
      <c r="E324" s="9" t="s">
        <v>2539</v>
      </c>
      <c r="F324" s="9" t="s">
        <v>68</v>
      </c>
      <c r="G324" s="10">
        <v>500089.0</v>
      </c>
      <c r="H324" s="9" t="s">
        <v>302</v>
      </c>
      <c r="I324" s="11" t="str">
        <f>VLOOKUP(H324,Mapping!D:E,2,0)</f>
        <v>manikonda</v>
      </c>
      <c r="J324" s="61" t="s">
        <v>303</v>
      </c>
      <c r="K324" s="12">
        <v>0.18</v>
      </c>
      <c r="L324" s="14" t="str">
        <f t="shared" si="27"/>
        <v>&lt;20%</v>
      </c>
      <c r="M324" s="13">
        <v>0.018</v>
      </c>
      <c r="N324" s="14"/>
      <c r="O324" s="43" t="s">
        <v>2538</v>
      </c>
      <c r="P324" s="9" t="s">
        <v>2540</v>
      </c>
      <c r="Q324" s="9" t="s">
        <v>2541</v>
      </c>
      <c r="R324" s="16" t="s">
        <v>2542</v>
      </c>
      <c r="S324" s="9" t="s">
        <v>2543</v>
      </c>
      <c r="T324" s="9" t="s">
        <v>68</v>
      </c>
      <c r="U324" s="9" t="s">
        <v>68</v>
      </c>
      <c r="V324" s="9" t="s">
        <v>68</v>
      </c>
      <c r="W324" s="9" t="s">
        <v>68</v>
      </c>
      <c r="X324" s="9" t="s">
        <v>68</v>
      </c>
      <c r="Y324" s="18" t="s">
        <v>58</v>
      </c>
      <c r="Z324" s="18" t="s">
        <v>58</v>
      </c>
      <c r="AA324" s="18" t="s">
        <v>58</v>
      </c>
      <c r="AB324" s="18" t="s">
        <v>58</v>
      </c>
      <c r="AC324" s="18" t="s">
        <v>58</v>
      </c>
      <c r="AD324" s="18" t="s">
        <v>58</v>
      </c>
      <c r="AE324" s="14"/>
      <c r="AF324" s="14"/>
      <c r="AH324" s="9" t="s">
        <v>1850</v>
      </c>
      <c r="AI324" s="20"/>
      <c r="AJ324" s="14"/>
      <c r="AK324" s="14"/>
      <c r="AL324" s="14"/>
      <c r="AM324" s="14"/>
      <c r="AN324" s="14"/>
      <c r="AO324" s="14"/>
      <c r="AP324" s="14"/>
      <c r="AQ324" s="14"/>
      <c r="AR324" s="14"/>
    </row>
    <row r="325" ht="22.5" customHeight="1">
      <c r="A325" s="103">
        <v>46078.0</v>
      </c>
      <c r="B325" s="110" t="s">
        <v>2538</v>
      </c>
      <c r="C325" s="8" t="s">
        <v>45</v>
      </c>
      <c r="D325" s="9" t="s">
        <v>258</v>
      </c>
      <c r="E325" s="9" t="s">
        <v>2539</v>
      </c>
      <c r="F325" s="9" t="s">
        <v>68</v>
      </c>
      <c r="G325" s="10">
        <v>500089.0</v>
      </c>
      <c r="H325" s="9" t="s">
        <v>302</v>
      </c>
      <c r="I325" s="11" t="str">
        <f>VLOOKUP(H325,Mapping!D:E,2,0)</f>
        <v>manikonda</v>
      </c>
      <c r="J325" s="61" t="s">
        <v>303</v>
      </c>
      <c r="K325" s="12">
        <v>0.18</v>
      </c>
      <c r="L325" s="14" t="str">
        <f t="shared" si="27"/>
        <v>&lt;20%</v>
      </c>
      <c r="M325" s="13">
        <v>0.018</v>
      </c>
      <c r="N325" s="14"/>
      <c r="O325" s="9" t="s">
        <v>68</v>
      </c>
      <c r="P325" s="9" t="s">
        <v>68</v>
      </c>
      <c r="Q325" s="9" t="s">
        <v>68</v>
      </c>
      <c r="R325" s="9" t="s">
        <v>68</v>
      </c>
      <c r="S325" s="9" t="s">
        <v>68</v>
      </c>
      <c r="T325" s="9" t="s">
        <v>68</v>
      </c>
      <c r="U325" s="9" t="s">
        <v>68</v>
      </c>
      <c r="V325" s="9" t="s">
        <v>68</v>
      </c>
      <c r="W325" s="9" t="s">
        <v>68</v>
      </c>
      <c r="X325" s="9" t="s">
        <v>68</v>
      </c>
      <c r="Y325" s="18" t="s">
        <v>58</v>
      </c>
      <c r="Z325" s="18" t="s">
        <v>58</v>
      </c>
      <c r="AA325" s="18" t="s">
        <v>58</v>
      </c>
      <c r="AB325" s="18" t="s">
        <v>58</v>
      </c>
      <c r="AC325" s="18" t="s">
        <v>58</v>
      </c>
      <c r="AD325" s="18" t="s">
        <v>58</v>
      </c>
      <c r="AE325" s="14"/>
      <c r="AF325" s="14"/>
      <c r="AH325" s="9" t="s">
        <v>730</v>
      </c>
      <c r="AI325" s="20"/>
      <c r="AJ325" s="14"/>
      <c r="AK325" s="14"/>
      <c r="AL325" s="14"/>
      <c r="AM325" s="14"/>
      <c r="AN325" s="14"/>
      <c r="AO325" s="14"/>
      <c r="AP325" s="14"/>
      <c r="AQ325" s="14"/>
      <c r="AR325" s="14"/>
    </row>
    <row r="326" ht="22.5" customHeight="1">
      <c r="A326" s="103">
        <v>46078.0</v>
      </c>
      <c r="B326" s="68" t="s">
        <v>2544</v>
      </c>
      <c r="C326" s="8" t="s">
        <v>1919</v>
      </c>
      <c r="D326" s="9" t="s">
        <v>258</v>
      </c>
      <c r="E326" s="9" t="s">
        <v>2545</v>
      </c>
      <c r="F326" s="9" t="s">
        <v>2546</v>
      </c>
      <c r="G326" s="10">
        <v>500086.0</v>
      </c>
      <c r="H326" s="9" t="s">
        <v>2154</v>
      </c>
      <c r="I326" s="11" t="str">
        <f>VLOOKUP(H326,Mapping!D:E,2,0)</f>
        <v>mehdipatnam</v>
      </c>
      <c r="J326" s="9" t="s">
        <v>50</v>
      </c>
      <c r="K326" s="12">
        <v>0.2</v>
      </c>
      <c r="L326" s="14" t="str">
        <f t="shared" si="27"/>
        <v>20%+</v>
      </c>
      <c r="M326" s="13">
        <v>0.018</v>
      </c>
      <c r="N326" s="14"/>
      <c r="O326" s="43" t="s">
        <v>2544</v>
      </c>
      <c r="P326" s="9" t="s">
        <v>2547</v>
      </c>
      <c r="Q326" s="9" t="s">
        <v>2546</v>
      </c>
      <c r="R326" s="16" t="s">
        <v>2548</v>
      </c>
      <c r="S326" s="9" t="s">
        <v>2549</v>
      </c>
      <c r="T326" s="9" t="s">
        <v>2546</v>
      </c>
      <c r="U326" s="9" t="s">
        <v>1014</v>
      </c>
      <c r="V326" s="17">
        <v>5.0100542315761E13</v>
      </c>
      <c r="W326" s="9" t="s">
        <v>2550</v>
      </c>
      <c r="X326" s="9" t="s">
        <v>56</v>
      </c>
      <c r="Y326" s="18" t="s">
        <v>57</v>
      </c>
      <c r="Z326" s="18" t="s">
        <v>58</v>
      </c>
      <c r="AA326" s="18" t="s">
        <v>57</v>
      </c>
      <c r="AB326" s="18" t="s">
        <v>58</v>
      </c>
      <c r="AC326" s="18" t="s">
        <v>58</v>
      </c>
      <c r="AD326" s="18" t="s">
        <v>57</v>
      </c>
      <c r="AE326" s="35" t="s">
        <v>2551</v>
      </c>
      <c r="AF326" s="14"/>
      <c r="AG326" s="15" t="s">
        <v>2162</v>
      </c>
      <c r="AH326" s="9" t="s">
        <v>2552</v>
      </c>
      <c r="AI326" s="8" t="s">
        <v>2553</v>
      </c>
      <c r="AJ326" s="14"/>
      <c r="AK326" s="14"/>
      <c r="AL326" s="14"/>
      <c r="AM326" s="14"/>
      <c r="AN326" s="14"/>
      <c r="AO326" s="14"/>
      <c r="AP326" s="14"/>
      <c r="AQ326" s="14"/>
      <c r="AR326" s="14"/>
    </row>
    <row r="327" ht="22.5" customHeight="1">
      <c r="A327" s="103">
        <v>46078.0</v>
      </c>
      <c r="B327" s="110" t="s">
        <v>2554</v>
      </c>
      <c r="C327" s="8" t="s">
        <v>96</v>
      </c>
      <c r="D327" s="9" t="s">
        <v>258</v>
      </c>
      <c r="E327" s="9" t="s">
        <v>2466</v>
      </c>
      <c r="F327" s="9" t="s">
        <v>2467</v>
      </c>
      <c r="G327" s="10">
        <v>500048.0</v>
      </c>
      <c r="H327" s="61" t="s">
        <v>171</v>
      </c>
      <c r="I327" s="11" t="str">
        <f>VLOOKUP(H327,Mapping!D:E,2,0)</f>
        <v>Langar Houz</v>
      </c>
      <c r="J327" s="9" t="s">
        <v>50</v>
      </c>
      <c r="K327" s="12">
        <v>0.22</v>
      </c>
      <c r="L327" s="14" t="str">
        <f t="shared" si="27"/>
        <v>20%+</v>
      </c>
      <c r="M327" s="13">
        <v>0.018</v>
      </c>
      <c r="N327" s="14"/>
      <c r="O327" s="43" t="s">
        <v>2554</v>
      </c>
      <c r="P327" s="9" t="s">
        <v>2555</v>
      </c>
      <c r="Q327" s="9" t="s">
        <v>2467</v>
      </c>
      <c r="R327" s="16" t="s">
        <v>2469</v>
      </c>
      <c r="S327" s="9" t="s">
        <v>2470</v>
      </c>
      <c r="T327" s="107" t="s">
        <v>2471</v>
      </c>
      <c r="U327" s="9" t="s">
        <v>2371</v>
      </c>
      <c r="V327" s="17">
        <v>9.986881566E9</v>
      </c>
      <c r="W327" s="9" t="s">
        <v>2472</v>
      </c>
      <c r="X327" s="9" t="s">
        <v>80</v>
      </c>
      <c r="Y327" s="18" t="s">
        <v>57</v>
      </c>
      <c r="Z327" s="18" t="s">
        <v>58</v>
      </c>
      <c r="AA327" s="18" t="s">
        <v>57</v>
      </c>
      <c r="AB327" s="18" t="s">
        <v>57</v>
      </c>
      <c r="AC327" s="18" t="s">
        <v>57</v>
      </c>
      <c r="AD327" s="18" t="s">
        <v>58</v>
      </c>
      <c r="AE327" s="39" t="s">
        <v>2556</v>
      </c>
      <c r="AF327" s="14"/>
      <c r="AH327" s="14"/>
      <c r="AI327" s="20"/>
      <c r="AJ327" s="14"/>
      <c r="AK327" s="14"/>
      <c r="AL327" s="14"/>
      <c r="AM327" s="14"/>
      <c r="AN327" s="14"/>
      <c r="AO327" s="14"/>
      <c r="AP327" s="14"/>
      <c r="AQ327" s="14"/>
      <c r="AR327" s="14"/>
    </row>
    <row r="328" ht="22.5" customHeight="1">
      <c r="A328" s="103">
        <v>46078.0</v>
      </c>
      <c r="B328" s="97" t="s">
        <v>2557</v>
      </c>
      <c r="C328" s="8" t="s">
        <v>248</v>
      </c>
      <c r="D328" s="9" t="s">
        <v>258</v>
      </c>
      <c r="E328" s="9" t="s">
        <v>2466</v>
      </c>
      <c r="F328" s="9" t="s">
        <v>2467</v>
      </c>
      <c r="G328" s="10">
        <v>500048.0</v>
      </c>
      <c r="H328" s="61" t="s">
        <v>171</v>
      </c>
      <c r="I328" s="11" t="str">
        <f>VLOOKUP(H328,Mapping!D:E,2,0)</f>
        <v>Langar Houz</v>
      </c>
      <c r="J328" s="9" t="s">
        <v>50</v>
      </c>
      <c r="K328" s="12">
        <v>0.22</v>
      </c>
      <c r="L328" s="14" t="str">
        <f t="shared" si="27"/>
        <v>20%+</v>
      </c>
      <c r="M328" s="13">
        <v>0.018</v>
      </c>
      <c r="N328" s="14"/>
      <c r="O328" s="43" t="s">
        <v>2557</v>
      </c>
      <c r="P328" s="9" t="s">
        <v>2555</v>
      </c>
      <c r="Q328" s="9" t="s">
        <v>2467</v>
      </c>
      <c r="R328" s="16" t="s">
        <v>2469</v>
      </c>
      <c r="S328" s="9" t="s">
        <v>68</v>
      </c>
      <c r="T328" s="9" t="s">
        <v>2471</v>
      </c>
      <c r="U328" s="9" t="s">
        <v>2371</v>
      </c>
      <c r="V328" s="17">
        <v>9.986881566E9</v>
      </c>
      <c r="W328" s="9" t="s">
        <v>2472</v>
      </c>
      <c r="X328" s="9" t="s">
        <v>80</v>
      </c>
      <c r="Y328" s="18" t="s">
        <v>57</v>
      </c>
      <c r="Z328" s="18" t="s">
        <v>58</v>
      </c>
      <c r="AA328" s="18" t="s">
        <v>57</v>
      </c>
      <c r="AB328" s="18" t="s">
        <v>57</v>
      </c>
      <c r="AC328" s="18" t="s">
        <v>58</v>
      </c>
      <c r="AD328" s="18" t="s">
        <v>58</v>
      </c>
      <c r="AE328" s="14"/>
      <c r="AF328" s="14"/>
      <c r="AH328" s="14"/>
      <c r="AI328" s="20"/>
      <c r="AJ328" s="14"/>
      <c r="AK328" s="14"/>
      <c r="AL328" s="14"/>
      <c r="AM328" s="14"/>
      <c r="AN328" s="14"/>
      <c r="AO328" s="14"/>
      <c r="AP328" s="14"/>
      <c r="AQ328" s="14"/>
      <c r="AR328" s="14"/>
    </row>
    <row r="329" ht="22.5" customHeight="1">
      <c r="A329" s="68">
        <v>46078.0</v>
      </c>
      <c r="B329" s="69" t="s">
        <v>2558</v>
      </c>
      <c r="C329" s="8" t="s">
        <v>248</v>
      </c>
      <c r="D329" s="9" t="s">
        <v>258</v>
      </c>
      <c r="E329" s="9" t="s">
        <v>2466</v>
      </c>
      <c r="F329" s="9" t="s">
        <v>2467</v>
      </c>
      <c r="G329" s="10">
        <v>500048.0</v>
      </c>
      <c r="H329" s="61" t="s">
        <v>171</v>
      </c>
      <c r="I329" s="11" t="str">
        <f>VLOOKUP(H329,Mapping!D:E,2,0)</f>
        <v>Langar Houz</v>
      </c>
      <c r="J329" s="9" t="s">
        <v>50</v>
      </c>
      <c r="K329" s="12">
        <v>0.2</v>
      </c>
      <c r="L329" s="14" t="str">
        <f t="shared" si="27"/>
        <v>20%+</v>
      </c>
      <c r="M329" s="13">
        <v>0.018</v>
      </c>
      <c r="N329" s="14"/>
      <c r="O329" s="75" t="s">
        <v>2558</v>
      </c>
      <c r="P329" s="9" t="s">
        <v>2559</v>
      </c>
      <c r="Q329" s="9" t="s">
        <v>2467</v>
      </c>
      <c r="R329" s="16" t="s">
        <v>2469</v>
      </c>
      <c r="S329" s="9" t="s">
        <v>68</v>
      </c>
      <c r="T329" s="9" t="s">
        <v>2471</v>
      </c>
      <c r="U329" s="9" t="s">
        <v>2371</v>
      </c>
      <c r="V329" s="17">
        <v>9.986881566E9</v>
      </c>
      <c r="W329" s="9" t="s">
        <v>2472</v>
      </c>
      <c r="X329" s="9" t="s">
        <v>80</v>
      </c>
      <c r="Y329" s="18" t="s">
        <v>57</v>
      </c>
      <c r="Z329" s="18" t="s">
        <v>58</v>
      </c>
      <c r="AA329" s="18" t="s">
        <v>57</v>
      </c>
      <c r="AB329" s="18" t="s">
        <v>57</v>
      </c>
      <c r="AC329" s="18" t="s">
        <v>58</v>
      </c>
      <c r="AD329" s="18" t="s">
        <v>58</v>
      </c>
      <c r="AE329" s="14"/>
      <c r="AF329" s="14"/>
      <c r="AH329" s="14"/>
      <c r="AI329" s="20"/>
      <c r="AJ329" s="14"/>
      <c r="AK329" s="14"/>
      <c r="AL329" s="14"/>
      <c r="AM329" s="14"/>
      <c r="AN329" s="14"/>
      <c r="AO329" s="14"/>
      <c r="AP329" s="14"/>
      <c r="AQ329" s="14"/>
      <c r="AR329" s="14"/>
    </row>
    <row r="330" ht="22.5" customHeight="1">
      <c r="A330" s="103">
        <v>46078.0</v>
      </c>
      <c r="B330" s="69" t="s">
        <v>2560</v>
      </c>
      <c r="C330" s="8" t="s">
        <v>96</v>
      </c>
      <c r="D330" s="9" t="s">
        <v>258</v>
      </c>
      <c r="E330" s="9" t="s">
        <v>2466</v>
      </c>
      <c r="F330" s="9" t="s">
        <v>2467</v>
      </c>
      <c r="G330" s="10">
        <v>500048.0</v>
      </c>
      <c r="H330" s="61" t="s">
        <v>171</v>
      </c>
      <c r="I330" s="11" t="str">
        <f>VLOOKUP(H330,Mapping!D:E,2,0)</f>
        <v>Langar Houz</v>
      </c>
      <c r="J330" s="9" t="s">
        <v>50</v>
      </c>
      <c r="K330" s="12">
        <v>0.2</v>
      </c>
      <c r="L330" s="14" t="str">
        <f t="shared" si="27"/>
        <v>20%+</v>
      </c>
      <c r="M330" s="13">
        <v>0.018</v>
      </c>
      <c r="N330" s="14"/>
      <c r="O330" s="138" t="s">
        <v>2560</v>
      </c>
      <c r="P330" s="9" t="s">
        <v>2468</v>
      </c>
      <c r="Q330" s="9" t="s">
        <v>2467</v>
      </c>
      <c r="R330" s="16" t="s">
        <v>2469</v>
      </c>
      <c r="S330" s="9" t="s">
        <v>2470</v>
      </c>
      <c r="T330" s="9" t="s">
        <v>2471</v>
      </c>
      <c r="U330" s="9" t="s">
        <v>2371</v>
      </c>
      <c r="V330" s="17">
        <v>9.986881566E9</v>
      </c>
      <c r="W330" s="9" t="s">
        <v>2472</v>
      </c>
      <c r="X330" s="9" t="s">
        <v>80</v>
      </c>
      <c r="Y330" s="18" t="s">
        <v>57</v>
      </c>
      <c r="Z330" s="18" t="s">
        <v>58</v>
      </c>
      <c r="AA330" s="18" t="s">
        <v>57</v>
      </c>
      <c r="AB330" s="18" t="s">
        <v>57</v>
      </c>
      <c r="AC330" s="18" t="s">
        <v>57</v>
      </c>
      <c r="AD330" s="18" t="s">
        <v>58</v>
      </c>
      <c r="AE330" s="39" t="s">
        <v>2561</v>
      </c>
      <c r="AF330" s="14"/>
      <c r="AH330" s="14"/>
      <c r="AI330" s="20"/>
      <c r="AJ330" s="14"/>
      <c r="AK330" s="14"/>
      <c r="AL330" s="14"/>
      <c r="AM330" s="14"/>
      <c r="AN330" s="14"/>
      <c r="AO330" s="14"/>
      <c r="AP330" s="14"/>
      <c r="AQ330" s="14"/>
      <c r="AR330" s="14"/>
    </row>
    <row r="331" ht="22.5" customHeight="1">
      <c r="A331" s="103">
        <v>46078.0</v>
      </c>
      <c r="B331" s="97" t="s">
        <v>2562</v>
      </c>
      <c r="C331" s="8" t="s">
        <v>96</v>
      </c>
      <c r="D331" s="9" t="s">
        <v>258</v>
      </c>
      <c r="E331" s="9" t="s">
        <v>2466</v>
      </c>
      <c r="F331" s="9" t="s">
        <v>2467</v>
      </c>
      <c r="G331" s="10">
        <v>500048.0</v>
      </c>
      <c r="H331" s="61" t="s">
        <v>171</v>
      </c>
      <c r="I331" s="11" t="str">
        <f>VLOOKUP(H331,Mapping!D:E,2,0)</f>
        <v>Langar Houz</v>
      </c>
      <c r="J331" s="9" t="s">
        <v>50</v>
      </c>
      <c r="K331" s="12">
        <v>0.2</v>
      </c>
      <c r="L331" s="14" t="str">
        <f t="shared" si="27"/>
        <v>20%+</v>
      </c>
      <c r="M331" s="13">
        <v>0.018</v>
      </c>
      <c r="N331" s="127">
        <v>0.0</v>
      </c>
      <c r="O331" s="138" t="s">
        <v>2563</v>
      </c>
      <c r="P331" s="9" t="s">
        <v>2468</v>
      </c>
      <c r="Q331" s="9" t="s">
        <v>2467</v>
      </c>
      <c r="R331" s="16" t="s">
        <v>2469</v>
      </c>
      <c r="S331" s="9" t="s">
        <v>2470</v>
      </c>
      <c r="T331" s="9" t="s">
        <v>2471</v>
      </c>
      <c r="U331" s="9" t="s">
        <v>2371</v>
      </c>
      <c r="V331" s="17">
        <v>9.986881566E9</v>
      </c>
      <c r="W331" s="9" t="s">
        <v>2472</v>
      </c>
      <c r="X331" s="9" t="s">
        <v>80</v>
      </c>
      <c r="Y331" s="18" t="s">
        <v>57</v>
      </c>
      <c r="Z331" s="18" t="s">
        <v>58</v>
      </c>
      <c r="AA331" s="18" t="s">
        <v>57</v>
      </c>
      <c r="AB331" s="18" t="s">
        <v>57</v>
      </c>
      <c r="AC331" s="18" t="s">
        <v>57</v>
      </c>
      <c r="AD331" s="18" t="s">
        <v>58</v>
      </c>
      <c r="AE331" s="39" t="s">
        <v>2564</v>
      </c>
      <c r="AF331" s="14"/>
      <c r="AH331" s="14"/>
      <c r="AI331" s="20"/>
      <c r="AJ331" s="14"/>
      <c r="AK331" s="14"/>
      <c r="AL331" s="14"/>
      <c r="AM331" s="14"/>
      <c r="AN331" s="14"/>
      <c r="AO331" s="14"/>
      <c r="AP331" s="14"/>
      <c r="AQ331" s="14"/>
      <c r="AR331" s="14"/>
    </row>
    <row r="332" ht="22.5" customHeight="1">
      <c r="A332" s="103">
        <v>46078.0</v>
      </c>
      <c r="B332" s="97" t="s">
        <v>2565</v>
      </c>
      <c r="C332" s="8" t="s">
        <v>144</v>
      </c>
      <c r="D332" s="9" t="s">
        <v>258</v>
      </c>
      <c r="E332" s="9" t="s">
        <v>2566</v>
      </c>
      <c r="F332" s="9" t="s">
        <v>68</v>
      </c>
      <c r="G332" s="10">
        <v>500008.0</v>
      </c>
      <c r="H332" s="9" t="s">
        <v>302</v>
      </c>
      <c r="I332" s="11" t="str">
        <f>VLOOKUP(H332,Mapping!D:E,2,0)</f>
        <v>manikonda</v>
      </c>
      <c r="J332" s="61" t="s">
        <v>303</v>
      </c>
      <c r="K332" s="12">
        <v>0.2</v>
      </c>
      <c r="L332" s="14" t="str">
        <f t="shared" si="27"/>
        <v>20%+</v>
      </c>
      <c r="M332" s="13">
        <v>0.018</v>
      </c>
      <c r="N332" s="9"/>
      <c r="O332" s="108" t="s">
        <v>2567</v>
      </c>
      <c r="P332" s="15" t="s">
        <v>68</v>
      </c>
      <c r="Q332" s="16" t="s">
        <v>2568</v>
      </c>
      <c r="R332" s="16" t="s">
        <v>2569</v>
      </c>
      <c r="S332" s="10" t="s">
        <v>2570</v>
      </c>
      <c r="T332" s="15" t="s">
        <v>68</v>
      </c>
      <c r="U332" s="10" t="s">
        <v>68</v>
      </c>
      <c r="V332" s="10" t="s">
        <v>68</v>
      </c>
      <c r="W332" s="10" t="s">
        <v>68</v>
      </c>
      <c r="X332" s="10" t="s">
        <v>68</v>
      </c>
      <c r="Y332" s="18" t="s">
        <v>57</v>
      </c>
      <c r="Z332" s="18" t="s">
        <v>57</v>
      </c>
      <c r="AA332" s="14"/>
      <c r="AB332" s="14"/>
      <c r="AC332" s="14"/>
      <c r="AD332" s="14"/>
      <c r="AE332" s="14"/>
      <c r="AF332" s="14"/>
      <c r="AH332" s="14"/>
      <c r="AI332" s="20"/>
      <c r="AJ332" s="14"/>
      <c r="AK332" s="14"/>
      <c r="AL332" s="14"/>
      <c r="AM332" s="14"/>
      <c r="AN332" s="14"/>
      <c r="AO332" s="14"/>
      <c r="AP332" s="14"/>
      <c r="AQ332" s="14"/>
      <c r="AR332" s="14"/>
    </row>
    <row r="333" ht="22.5" customHeight="1">
      <c r="A333" s="68">
        <v>46078.0</v>
      </c>
      <c r="B333" s="69" t="s">
        <v>2571</v>
      </c>
      <c r="C333" s="8" t="s">
        <v>45</v>
      </c>
      <c r="D333" s="9" t="s">
        <v>258</v>
      </c>
      <c r="E333" s="9" t="s">
        <v>2572</v>
      </c>
      <c r="F333" s="9" t="s">
        <v>68</v>
      </c>
      <c r="G333" s="10">
        <v>500008.0</v>
      </c>
      <c r="H333" s="9" t="s">
        <v>302</v>
      </c>
      <c r="I333" s="11" t="str">
        <f>VLOOKUP(H333,Mapping!D:E,2,0)</f>
        <v>manikonda</v>
      </c>
      <c r="J333" s="61" t="s">
        <v>303</v>
      </c>
      <c r="K333" s="12">
        <v>0.2</v>
      </c>
      <c r="L333" s="14" t="str">
        <f t="shared" si="27"/>
        <v>20%+</v>
      </c>
      <c r="M333" s="13">
        <v>0.018</v>
      </c>
      <c r="N333" s="14"/>
      <c r="O333" s="15" t="s">
        <v>2571</v>
      </c>
      <c r="P333" s="15" t="s">
        <v>2572</v>
      </c>
      <c r="Q333" s="9" t="s">
        <v>2573</v>
      </c>
      <c r="R333" s="16" t="s">
        <v>2574</v>
      </c>
      <c r="S333" s="9" t="s">
        <v>2575</v>
      </c>
      <c r="T333" s="15" t="s">
        <v>2571</v>
      </c>
      <c r="U333" s="9" t="s">
        <v>1014</v>
      </c>
      <c r="V333" s="17">
        <v>5.0100842782844E13</v>
      </c>
      <c r="W333" s="9" t="s">
        <v>2576</v>
      </c>
      <c r="X333" s="9" t="s">
        <v>56</v>
      </c>
      <c r="Y333" s="18" t="s">
        <v>57</v>
      </c>
      <c r="Z333" s="18" t="s">
        <v>57</v>
      </c>
      <c r="AA333" s="18" t="s">
        <v>57</v>
      </c>
      <c r="AB333" s="18" t="s">
        <v>58</v>
      </c>
      <c r="AC333" s="18" t="s">
        <v>2577</v>
      </c>
      <c r="AD333" s="18" t="s">
        <v>58</v>
      </c>
      <c r="AE333" s="39" t="s">
        <v>2578</v>
      </c>
      <c r="AF333" s="14"/>
      <c r="AH333" s="14"/>
      <c r="AI333" s="20"/>
      <c r="AJ333" s="14"/>
      <c r="AK333" s="14"/>
      <c r="AL333" s="14"/>
      <c r="AM333" s="14"/>
      <c r="AN333" s="14"/>
      <c r="AO333" s="14"/>
      <c r="AP333" s="14"/>
      <c r="AQ333" s="14"/>
      <c r="AR333" s="14"/>
    </row>
    <row r="334" ht="22.5" customHeight="1">
      <c r="A334" s="103">
        <v>46078.0</v>
      </c>
      <c r="B334" s="69" t="s">
        <v>2579</v>
      </c>
      <c r="C334" s="8" t="s">
        <v>96</v>
      </c>
      <c r="D334" s="9" t="s">
        <v>258</v>
      </c>
      <c r="E334" s="9" t="s">
        <v>2466</v>
      </c>
      <c r="F334" s="9" t="s">
        <v>2467</v>
      </c>
      <c r="G334" s="10">
        <v>500048.0</v>
      </c>
      <c r="H334" s="61" t="s">
        <v>171</v>
      </c>
      <c r="I334" s="11" t="str">
        <f>VLOOKUP(H334,Mapping!D:E,2,0)</f>
        <v>Langar Houz</v>
      </c>
      <c r="J334" s="9" t="s">
        <v>50</v>
      </c>
      <c r="K334" s="66">
        <v>0.2</v>
      </c>
      <c r="L334" s="14" t="str">
        <f t="shared" si="27"/>
        <v>20%+</v>
      </c>
      <c r="M334" s="13">
        <v>0.018</v>
      </c>
      <c r="N334" s="127">
        <v>0.0</v>
      </c>
      <c r="O334" s="9" t="s">
        <v>2579</v>
      </c>
      <c r="P334" s="9" t="s">
        <v>2580</v>
      </c>
      <c r="Q334" s="9" t="s">
        <v>2467</v>
      </c>
      <c r="R334" s="16" t="s">
        <v>2469</v>
      </c>
      <c r="S334" s="9" t="s">
        <v>2470</v>
      </c>
      <c r="T334" s="9" t="s">
        <v>2471</v>
      </c>
      <c r="U334" s="9" t="s">
        <v>2371</v>
      </c>
      <c r="V334" s="17">
        <v>9.986881566E9</v>
      </c>
      <c r="W334" s="9" t="s">
        <v>2472</v>
      </c>
      <c r="X334" s="9" t="s">
        <v>80</v>
      </c>
      <c r="Y334" s="18" t="s">
        <v>57</v>
      </c>
      <c r="Z334" s="18" t="s">
        <v>58</v>
      </c>
      <c r="AA334" s="18" t="s">
        <v>57</v>
      </c>
      <c r="AB334" s="18" t="s">
        <v>57</v>
      </c>
      <c r="AC334" s="18" t="s">
        <v>57</v>
      </c>
      <c r="AD334" s="18" t="s">
        <v>58</v>
      </c>
      <c r="AE334" s="35" t="s">
        <v>2581</v>
      </c>
      <c r="AF334" s="14"/>
      <c r="AH334" s="14"/>
      <c r="AI334" s="20"/>
      <c r="AJ334" s="14"/>
      <c r="AK334" s="14"/>
      <c r="AL334" s="14"/>
      <c r="AM334" s="14"/>
      <c r="AN334" s="14"/>
      <c r="AO334" s="14"/>
      <c r="AP334" s="14"/>
      <c r="AQ334" s="14"/>
      <c r="AR334" s="14"/>
    </row>
    <row r="335" ht="22.5" customHeight="1">
      <c r="A335" s="68">
        <v>46078.0</v>
      </c>
      <c r="B335" s="69" t="s">
        <v>2582</v>
      </c>
      <c r="C335" s="8" t="s">
        <v>96</v>
      </c>
      <c r="D335" s="9" t="s">
        <v>258</v>
      </c>
      <c r="E335" s="9" t="s">
        <v>2466</v>
      </c>
      <c r="F335" s="9" t="s">
        <v>2467</v>
      </c>
      <c r="G335" s="10">
        <v>500048.0</v>
      </c>
      <c r="H335" s="61" t="s">
        <v>171</v>
      </c>
      <c r="I335" s="11" t="str">
        <f>VLOOKUP(H335,Mapping!D:E,2,0)</f>
        <v>Langar Houz</v>
      </c>
      <c r="J335" s="9" t="s">
        <v>50</v>
      </c>
      <c r="K335" s="12">
        <v>0.2</v>
      </c>
      <c r="L335" s="14" t="str">
        <f t="shared" si="27"/>
        <v>20%+</v>
      </c>
      <c r="M335" s="13">
        <v>0.018</v>
      </c>
      <c r="N335" s="14"/>
      <c r="O335" s="9" t="s">
        <v>2582</v>
      </c>
      <c r="P335" s="9" t="s">
        <v>2468</v>
      </c>
      <c r="Q335" s="9" t="s">
        <v>2467</v>
      </c>
      <c r="R335" s="16" t="s">
        <v>2469</v>
      </c>
      <c r="S335" s="9" t="s">
        <v>2470</v>
      </c>
      <c r="T335" s="9" t="s">
        <v>2471</v>
      </c>
      <c r="U335" s="9" t="s">
        <v>2371</v>
      </c>
      <c r="V335" s="17">
        <v>9.986881566E9</v>
      </c>
      <c r="W335" s="9" t="s">
        <v>2472</v>
      </c>
      <c r="X335" s="9" t="s">
        <v>80</v>
      </c>
      <c r="Y335" s="18" t="s">
        <v>57</v>
      </c>
      <c r="Z335" s="18" t="s">
        <v>58</v>
      </c>
      <c r="AA335" s="18" t="s">
        <v>57</v>
      </c>
      <c r="AB335" s="18" t="s">
        <v>57</v>
      </c>
      <c r="AC335" s="18" t="s">
        <v>57</v>
      </c>
      <c r="AD335" s="18" t="s">
        <v>58</v>
      </c>
      <c r="AE335" s="39" t="s">
        <v>2583</v>
      </c>
      <c r="AF335" s="14"/>
      <c r="AH335" s="14"/>
      <c r="AI335" s="20"/>
      <c r="AJ335" s="14"/>
      <c r="AK335" s="14"/>
      <c r="AL335" s="14"/>
      <c r="AM335" s="14"/>
      <c r="AN335" s="14"/>
      <c r="AO335" s="14"/>
      <c r="AP335" s="14"/>
      <c r="AQ335" s="14"/>
      <c r="AR335" s="14"/>
    </row>
    <row r="336" ht="22.5" customHeight="1">
      <c r="A336" s="103">
        <v>46078.0</v>
      </c>
      <c r="B336" s="69" t="s">
        <v>2584</v>
      </c>
      <c r="C336" s="8" t="s">
        <v>1919</v>
      </c>
      <c r="D336" s="9" t="s">
        <v>258</v>
      </c>
      <c r="E336" s="9" t="s">
        <v>2585</v>
      </c>
      <c r="F336" s="9" t="s">
        <v>2586</v>
      </c>
      <c r="G336" s="10">
        <v>500086.0</v>
      </c>
      <c r="H336" s="9" t="s">
        <v>126</v>
      </c>
      <c r="I336" s="11" t="str">
        <f>VLOOKUP(H336,Mapping!D:E,2,0)</f>
        <v>Langar Houz</v>
      </c>
      <c r="J336" s="9" t="s">
        <v>86</v>
      </c>
      <c r="K336" s="12">
        <v>0.2</v>
      </c>
      <c r="L336" s="14" t="str">
        <f t="shared" si="27"/>
        <v>20%+</v>
      </c>
      <c r="M336" s="13">
        <v>0.018</v>
      </c>
      <c r="N336" s="14"/>
      <c r="O336" s="9" t="s">
        <v>2586</v>
      </c>
      <c r="P336" s="9" t="s">
        <v>2587</v>
      </c>
      <c r="Q336" s="15" t="s">
        <v>2586</v>
      </c>
      <c r="R336" s="16" t="s">
        <v>2588</v>
      </c>
      <c r="S336" s="9" t="s">
        <v>2589</v>
      </c>
      <c r="T336" s="15" t="s">
        <v>2586</v>
      </c>
      <c r="U336" s="9" t="s">
        <v>1139</v>
      </c>
      <c r="V336" s="17">
        <v>9.25010020128231E14</v>
      </c>
      <c r="W336" s="9" t="s">
        <v>2590</v>
      </c>
      <c r="X336" s="9" t="s">
        <v>56</v>
      </c>
      <c r="Y336" s="18" t="s">
        <v>57</v>
      </c>
      <c r="Z336" s="18" t="s">
        <v>58</v>
      </c>
      <c r="AA336" s="18" t="s">
        <v>57</v>
      </c>
      <c r="AB336" s="18" t="s">
        <v>57</v>
      </c>
      <c r="AC336" s="18" t="s">
        <v>57</v>
      </c>
      <c r="AD336" s="18" t="s">
        <v>58</v>
      </c>
      <c r="AE336" s="35" t="s">
        <v>2591</v>
      </c>
      <c r="AF336" s="9" t="s">
        <v>2592</v>
      </c>
      <c r="AG336" s="15" t="s">
        <v>2162</v>
      </c>
      <c r="AH336" s="14"/>
      <c r="AI336" s="20"/>
      <c r="AJ336" s="14"/>
      <c r="AK336" s="14"/>
      <c r="AL336" s="14"/>
      <c r="AM336" s="14"/>
      <c r="AN336" s="14"/>
      <c r="AO336" s="14"/>
      <c r="AP336" s="14"/>
      <c r="AQ336" s="14"/>
      <c r="AR336" s="14"/>
    </row>
    <row r="337" ht="22.5" customHeight="1">
      <c r="A337" s="103">
        <v>46078.0</v>
      </c>
      <c r="B337" s="97" t="s">
        <v>2593</v>
      </c>
      <c r="C337" s="8" t="s">
        <v>96</v>
      </c>
      <c r="D337" s="9" t="s">
        <v>258</v>
      </c>
      <c r="E337" s="9" t="s">
        <v>2466</v>
      </c>
      <c r="F337" s="9" t="s">
        <v>2467</v>
      </c>
      <c r="G337" s="10">
        <v>500048.0</v>
      </c>
      <c r="H337" s="61" t="s">
        <v>171</v>
      </c>
      <c r="I337" s="11" t="str">
        <f>VLOOKUP(H337,Mapping!D:E,2,0)</f>
        <v>Langar Houz</v>
      </c>
      <c r="J337" s="9" t="s">
        <v>50</v>
      </c>
      <c r="K337" s="66">
        <v>0.2</v>
      </c>
      <c r="L337" s="14" t="str">
        <f t="shared" si="27"/>
        <v>20%+</v>
      </c>
      <c r="M337" s="13">
        <v>0.018</v>
      </c>
      <c r="N337" s="127">
        <v>0.0</v>
      </c>
      <c r="O337" s="15" t="s">
        <v>2593</v>
      </c>
      <c r="P337" s="9" t="s">
        <v>2468</v>
      </c>
      <c r="Q337" s="9" t="s">
        <v>2467</v>
      </c>
      <c r="R337" s="16" t="s">
        <v>2469</v>
      </c>
      <c r="S337" s="9" t="s">
        <v>2470</v>
      </c>
      <c r="T337" s="9" t="s">
        <v>2471</v>
      </c>
      <c r="U337" s="9" t="s">
        <v>2371</v>
      </c>
      <c r="V337" s="17">
        <v>9.986881566E9</v>
      </c>
      <c r="W337" s="9" t="s">
        <v>2472</v>
      </c>
      <c r="X337" s="9" t="s">
        <v>80</v>
      </c>
      <c r="Y337" s="18" t="s">
        <v>57</v>
      </c>
      <c r="Z337" s="18" t="s">
        <v>58</v>
      </c>
      <c r="AA337" s="18" t="s">
        <v>57</v>
      </c>
      <c r="AB337" s="18" t="s">
        <v>57</v>
      </c>
      <c r="AC337" s="18" t="s">
        <v>57</v>
      </c>
      <c r="AD337" s="18" t="s">
        <v>58</v>
      </c>
      <c r="AE337" s="140" t="s">
        <v>2594</v>
      </c>
      <c r="AI337" s="62"/>
    </row>
    <row r="338" ht="22.5" customHeight="1">
      <c r="A338" s="68">
        <v>46078.0</v>
      </c>
      <c r="B338" s="68" t="s">
        <v>2595</v>
      </c>
      <c r="C338" s="8" t="s">
        <v>96</v>
      </c>
      <c r="D338" s="9" t="s">
        <v>258</v>
      </c>
      <c r="E338" s="9" t="s">
        <v>2596</v>
      </c>
      <c r="F338" s="9" t="s">
        <v>2597</v>
      </c>
      <c r="G338" s="10">
        <v>500082.0</v>
      </c>
      <c r="H338" s="61" t="s">
        <v>690</v>
      </c>
      <c r="I338" s="11" t="str">
        <f>VLOOKUP(H338,Mapping!D:E,2,0)</f>
        <v>panjagutta</v>
      </c>
      <c r="J338" s="61" t="s">
        <v>161</v>
      </c>
      <c r="K338" s="12">
        <v>0.22</v>
      </c>
      <c r="L338" s="14" t="str">
        <f t="shared" si="27"/>
        <v>20%+</v>
      </c>
      <c r="M338" s="13">
        <v>0.018</v>
      </c>
      <c r="N338" s="14"/>
      <c r="O338" s="164" t="s">
        <v>2595</v>
      </c>
      <c r="P338" s="9" t="s">
        <v>2596</v>
      </c>
      <c r="Q338" s="9" t="s">
        <v>2597</v>
      </c>
      <c r="R338" s="16" t="s">
        <v>2598</v>
      </c>
      <c r="S338" s="9" t="s">
        <v>2599</v>
      </c>
      <c r="T338" s="9" t="s">
        <v>2600</v>
      </c>
      <c r="U338" s="9" t="s">
        <v>1129</v>
      </c>
      <c r="V338" s="17">
        <v>3.5307290341E10</v>
      </c>
      <c r="W338" s="9" t="s">
        <v>2601</v>
      </c>
      <c r="X338" s="9" t="s">
        <v>56</v>
      </c>
      <c r="Y338" s="18" t="s">
        <v>58</v>
      </c>
      <c r="Z338" s="18" t="s">
        <v>58</v>
      </c>
      <c r="AA338" s="18" t="s">
        <v>57</v>
      </c>
      <c r="AB338" s="18" t="s">
        <v>57</v>
      </c>
      <c r="AC338" s="18" t="s">
        <v>57</v>
      </c>
      <c r="AD338" s="18" t="s">
        <v>58</v>
      </c>
      <c r="AE338" s="35" t="s">
        <v>2602</v>
      </c>
      <c r="AF338" s="14"/>
      <c r="AH338" s="14"/>
      <c r="AI338" s="20"/>
      <c r="AJ338" s="14"/>
      <c r="AK338" s="14"/>
      <c r="AL338" s="14"/>
      <c r="AM338" s="14"/>
      <c r="AN338" s="14"/>
      <c r="AO338" s="14"/>
      <c r="AP338" s="14"/>
      <c r="AQ338" s="14"/>
      <c r="AR338" s="14"/>
    </row>
    <row r="339" ht="22.5" customHeight="1">
      <c r="A339" s="103">
        <v>46078.0</v>
      </c>
      <c r="B339" s="97" t="s">
        <v>2603</v>
      </c>
      <c r="C339" s="8" t="s">
        <v>144</v>
      </c>
      <c r="D339" s="9" t="s">
        <v>258</v>
      </c>
      <c r="E339" s="9" t="s">
        <v>2604</v>
      </c>
      <c r="F339" s="9" t="s">
        <v>68</v>
      </c>
      <c r="G339" s="10">
        <v>500089.0</v>
      </c>
      <c r="H339" s="9" t="s">
        <v>302</v>
      </c>
      <c r="I339" s="11" t="str">
        <f>VLOOKUP(H339,Mapping!D:E,2,0)</f>
        <v>manikonda</v>
      </c>
      <c r="J339" s="61" t="s">
        <v>303</v>
      </c>
      <c r="K339" s="12">
        <v>0.2</v>
      </c>
      <c r="L339" s="14" t="str">
        <f t="shared" si="27"/>
        <v>20%+</v>
      </c>
      <c r="M339" s="13">
        <v>0.018</v>
      </c>
      <c r="N339" s="9"/>
      <c r="O339" s="107" t="s">
        <v>68</v>
      </c>
      <c r="P339" s="9" t="s">
        <v>2605</v>
      </c>
      <c r="Q339" s="9" t="s">
        <v>2606</v>
      </c>
      <c r="R339" s="16" t="s">
        <v>2607</v>
      </c>
      <c r="S339" s="9" t="s">
        <v>2608</v>
      </c>
      <c r="T339" s="9" t="s">
        <v>68</v>
      </c>
      <c r="U339" s="9" t="s">
        <v>68</v>
      </c>
      <c r="V339" s="9" t="s">
        <v>68</v>
      </c>
      <c r="W339" s="9" t="s">
        <v>68</v>
      </c>
      <c r="X339" s="9" t="s">
        <v>68</v>
      </c>
      <c r="Y339" s="18" t="s">
        <v>57</v>
      </c>
      <c r="Z339" s="18" t="s">
        <v>58</v>
      </c>
      <c r="AA339" s="18" t="s">
        <v>58</v>
      </c>
      <c r="AB339" s="18" t="s">
        <v>58</v>
      </c>
      <c r="AC339" s="18" t="s">
        <v>58</v>
      </c>
      <c r="AD339" s="14"/>
      <c r="AE339" s="14"/>
      <c r="AF339" s="14"/>
      <c r="AH339" s="14"/>
      <c r="AI339" s="20"/>
      <c r="AJ339" s="14"/>
      <c r="AK339" s="14"/>
      <c r="AL339" s="14"/>
      <c r="AM339" s="14"/>
      <c r="AN339" s="14"/>
      <c r="AO339" s="14"/>
      <c r="AP339" s="14"/>
      <c r="AQ339" s="14"/>
      <c r="AR339" s="14"/>
    </row>
    <row r="340" ht="22.5" customHeight="1">
      <c r="A340" s="68">
        <v>46078.0</v>
      </c>
      <c r="B340" s="69" t="s">
        <v>2609</v>
      </c>
      <c r="C340" s="8" t="s">
        <v>96</v>
      </c>
      <c r="D340" s="9" t="s">
        <v>258</v>
      </c>
      <c r="E340" s="9" t="s">
        <v>2466</v>
      </c>
      <c r="F340" s="9" t="s">
        <v>2467</v>
      </c>
      <c r="G340" s="10">
        <v>500048.0</v>
      </c>
      <c r="H340" s="61" t="s">
        <v>171</v>
      </c>
      <c r="I340" s="11" t="str">
        <f>VLOOKUP(H340,Mapping!D:E,2,0)</f>
        <v>Langar Houz</v>
      </c>
      <c r="J340" s="9" t="s">
        <v>50</v>
      </c>
      <c r="K340" s="12">
        <v>0.2</v>
      </c>
      <c r="L340" s="14" t="str">
        <f t="shared" si="27"/>
        <v>20%+</v>
      </c>
      <c r="M340" s="13">
        <v>0.018</v>
      </c>
      <c r="N340" s="14"/>
      <c r="O340" s="138" t="s">
        <v>2609</v>
      </c>
      <c r="P340" s="9" t="s">
        <v>2468</v>
      </c>
      <c r="Q340" s="9" t="s">
        <v>2467</v>
      </c>
      <c r="R340" s="16" t="s">
        <v>2469</v>
      </c>
      <c r="S340" s="9" t="s">
        <v>2470</v>
      </c>
      <c r="T340" s="108" t="s">
        <v>2471</v>
      </c>
      <c r="U340" s="9" t="s">
        <v>2371</v>
      </c>
      <c r="V340" s="17">
        <v>9.986881566E9</v>
      </c>
      <c r="W340" s="9" t="s">
        <v>2472</v>
      </c>
      <c r="X340" s="9" t="s">
        <v>80</v>
      </c>
      <c r="Y340" s="18" t="s">
        <v>57</v>
      </c>
      <c r="Z340" s="18" t="s">
        <v>58</v>
      </c>
      <c r="AA340" s="18" t="s">
        <v>57</v>
      </c>
      <c r="AB340" s="18" t="s">
        <v>57</v>
      </c>
      <c r="AC340" s="18" t="s">
        <v>57</v>
      </c>
      <c r="AD340" s="18" t="s">
        <v>58</v>
      </c>
      <c r="AE340" s="39" t="s">
        <v>2610</v>
      </c>
      <c r="AF340" s="14"/>
      <c r="AH340" s="14"/>
      <c r="AI340" s="20"/>
      <c r="AJ340" s="14"/>
      <c r="AK340" s="14"/>
      <c r="AL340" s="14"/>
      <c r="AM340" s="14"/>
      <c r="AN340" s="14"/>
      <c r="AO340" s="14"/>
      <c r="AP340" s="14"/>
      <c r="AQ340" s="14"/>
      <c r="AR340" s="14"/>
    </row>
    <row r="341" ht="22.5" customHeight="1">
      <c r="A341" s="103">
        <v>46078.0</v>
      </c>
      <c r="B341" s="97" t="s">
        <v>2611</v>
      </c>
      <c r="C341" s="8" t="s">
        <v>73</v>
      </c>
      <c r="D341" s="9" t="s">
        <v>258</v>
      </c>
      <c r="E341" s="9" t="s">
        <v>2612</v>
      </c>
      <c r="F341" s="9" t="s">
        <v>1863</v>
      </c>
      <c r="G341" s="10">
        <v>500085.0</v>
      </c>
      <c r="H341" s="9" t="s">
        <v>1165</v>
      </c>
      <c r="I341" s="11" t="str">
        <f>VLOOKUP(H341,Mapping!D:E,2,0)</f>
        <v>kukatpally</v>
      </c>
      <c r="J341" s="15" t="s">
        <v>390</v>
      </c>
      <c r="K341" s="12">
        <v>0.22</v>
      </c>
      <c r="L341" s="14" t="str">
        <f t="shared" si="27"/>
        <v>20%+</v>
      </c>
      <c r="M341" s="13">
        <v>0.018</v>
      </c>
      <c r="N341" s="127">
        <v>0.0</v>
      </c>
      <c r="O341" s="75" t="s">
        <v>2611</v>
      </c>
      <c r="P341" s="9" t="s">
        <v>1165</v>
      </c>
      <c r="Q341" s="9" t="s">
        <v>1863</v>
      </c>
      <c r="R341" s="16" t="s">
        <v>1864</v>
      </c>
      <c r="S341" s="9" t="s">
        <v>1865</v>
      </c>
      <c r="T341" s="9" t="s">
        <v>1863</v>
      </c>
      <c r="U341" s="9" t="s">
        <v>1014</v>
      </c>
      <c r="V341" s="17">
        <v>5.0200020614888E13</v>
      </c>
      <c r="W341" s="9" t="s">
        <v>1866</v>
      </c>
      <c r="X341" s="9" t="s">
        <v>80</v>
      </c>
      <c r="Y341" s="18" t="s">
        <v>57</v>
      </c>
      <c r="Z341" s="18" t="s">
        <v>69</v>
      </c>
      <c r="AA341" s="18" t="s">
        <v>57</v>
      </c>
      <c r="AB341" s="18" t="s">
        <v>57</v>
      </c>
      <c r="AC341" s="18" t="s">
        <v>58</v>
      </c>
      <c r="AD341" s="18" t="s">
        <v>69</v>
      </c>
      <c r="AE341" s="35" t="s">
        <v>1867</v>
      </c>
      <c r="AF341" s="14"/>
      <c r="AH341" s="14"/>
      <c r="AI341" s="20"/>
      <c r="AJ341" s="14"/>
      <c r="AK341" s="14"/>
      <c r="AL341" s="14"/>
      <c r="AM341" s="14"/>
      <c r="AN341" s="14"/>
      <c r="AO341" s="14"/>
      <c r="AP341" s="14"/>
      <c r="AQ341" s="14"/>
      <c r="AR341" s="14"/>
    </row>
    <row r="342" ht="22.5" customHeight="1">
      <c r="A342" s="74">
        <v>46078.0</v>
      </c>
      <c r="B342" s="97" t="s">
        <v>2613</v>
      </c>
      <c r="C342" s="55" t="s">
        <v>186</v>
      </c>
      <c r="D342" s="15" t="s">
        <v>258</v>
      </c>
      <c r="E342" s="15" t="s">
        <v>2612</v>
      </c>
      <c r="F342" s="15" t="s">
        <v>1863</v>
      </c>
      <c r="G342" s="56">
        <v>500085.0</v>
      </c>
      <c r="H342" s="15" t="s">
        <v>1165</v>
      </c>
      <c r="I342" s="57" t="str">
        <f>VLOOKUP(H342,Mapping!D:E,2,0)</f>
        <v>kukatpally</v>
      </c>
      <c r="J342" s="61" t="s">
        <v>390</v>
      </c>
      <c r="K342" s="66">
        <v>0.22</v>
      </c>
      <c r="L342" s="61" t="str">
        <f t="shared" si="27"/>
        <v>20%+</v>
      </c>
      <c r="M342" s="59">
        <v>0.018</v>
      </c>
      <c r="N342" s="15"/>
      <c r="O342" s="121" t="s">
        <v>2614</v>
      </c>
      <c r="P342" s="15" t="s">
        <v>1165</v>
      </c>
      <c r="Q342" s="15" t="s">
        <v>1863</v>
      </c>
      <c r="R342" s="60" t="s">
        <v>1864</v>
      </c>
      <c r="S342" s="15" t="s">
        <v>1865</v>
      </c>
      <c r="T342" s="15" t="s">
        <v>1863</v>
      </c>
      <c r="U342" s="15" t="s">
        <v>1014</v>
      </c>
      <c r="V342" s="67">
        <v>5.020002814888E12</v>
      </c>
      <c r="W342" s="15" t="s">
        <v>1866</v>
      </c>
      <c r="X342" s="15" t="s">
        <v>80</v>
      </c>
      <c r="Y342" s="61"/>
      <c r="Z342" s="61"/>
      <c r="AA342" s="61"/>
      <c r="AB342" s="61"/>
      <c r="AC342" s="61"/>
      <c r="AD342" s="61"/>
      <c r="AH342" s="15" t="s">
        <v>2615</v>
      </c>
      <c r="AI342" s="62"/>
    </row>
    <row r="343" ht="22.5" customHeight="1">
      <c r="A343" s="103">
        <v>46078.0</v>
      </c>
      <c r="B343" s="97" t="s">
        <v>2614</v>
      </c>
      <c r="C343" s="8" t="s">
        <v>73</v>
      </c>
      <c r="D343" s="9" t="s">
        <v>258</v>
      </c>
      <c r="E343" s="9" t="s">
        <v>2612</v>
      </c>
      <c r="F343" s="9" t="s">
        <v>1863</v>
      </c>
      <c r="G343" s="10">
        <v>500085.0</v>
      </c>
      <c r="H343" s="9" t="s">
        <v>1165</v>
      </c>
      <c r="I343" s="11" t="str">
        <f>VLOOKUP(H343,Mapping!D:E,2,0)</f>
        <v>kukatpally</v>
      </c>
      <c r="J343" s="15" t="s">
        <v>390</v>
      </c>
      <c r="K343" s="12">
        <v>0.22</v>
      </c>
      <c r="L343" s="14" t="str">
        <f t="shared" si="27"/>
        <v>20%+</v>
      </c>
      <c r="M343" s="13">
        <v>0.018</v>
      </c>
      <c r="N343" s="127">
        <v>0.0</v>
      </c>
      <c r="O343" s="43" t="s">
        <v>2611</v>
      </c>
      <c r="P343" s="9" t="s">
        <v>1165</v>
      </c>
      <c r="Q343" s="9" t="s">
        <v>1863</v>
      </c>
      <c r="R343" s="16" t="s">
        <v>1864</v>
      </c>
      <c r="S343" s="9" t="s">
        <v>1865</v>
      </c>
      <c r="T343" s="9" t="s">
        <v>1863</v>
      </c>
      <c r="U343" s="9" t="s">
        <v>1014</v>
      </c>
      <c r="V343" s="17">
        <v>5.0200020614888E13</v>
      </c>
      <c r="W343" s="9" t="s">
        <v>1866</v>
      </c>
      <c r="X343" s="9" t="s">
        <v>80</v>
      </c>
      <c r="Y343" s="18" t="s">
        <v>57</v>
      </c>
      <c r="Z343" s="18" t="s">
        <v>69</v>
      </c>
      <c r="AA343" s="18" t="s">
        <v>57</v>
      </c>
      <c r="AB343" s="18" t="s">
        <v>57</v>
      </c>
      <c r="AC343" s="18" t="s">
        <v>58</v>
      </c>
      <c r="AD343" s="18" t="s">
        <v>69</v>
      </c>
      <c r="AE343" s="35" t="s">
        <v>1867</v>
      </c>
      <c r="AF343" s="14"/>
      <c r="AH343" s="14"/>
      <c r="AI343" s="20"/>
      <c r="AJ343" s="14"/>
      <c r="AK343" s="14"/>
      <c r="AL343" s="14"/>
      <c r="AM343" s="14"/>
      <c r="AN343" s="14"/>
      <c r="AO343" s="14"/>
      <c r="AP343" s="14"/>
      <c r="AQ343" s="14"/>
      <c r="AR343" s="14"/>
    </row>
    <row r="344" ht="22.5" customHeight="1">
      <c r="A344" s="74">
        <v>46078.0</v>
      </c>
      <c r="B344" s="69" t="s">
        <v>2614</v>
      </c>
      <c r="C344" s="55" t="s">
        <v>186</v>
      </c>
      <c r="D344" s="15" t="s">
        <v>258</v>
      </c>
      <c r="E344" s="15" t="s">
        <v>2612</v>
      </c>
      <c r="F344" s="15" t="s">
        <v>1863</v>
      </c>
      <c r="G344" s="56">
        <v>500085.0</v>
      </c>
      <c r="H344" s="15" t="s">
        <v>1165</v>
      </c>
      <c r="I344" s="57" t="str">
        <f>VLOOKUP(H344,Mapping!D:E,2,0)</f>
        <v>kukatpally</v>
      </c>
      <c r="J344" s="61" t="s">
        <v>390</v>
      </c>
      <c r="K344" s="66">
        <v>0.22</v>
      </c>
      <c r="L344" s="61" t="str">
        <f t="shared" si="27"/>
        <v>20%+</v>
      </c>
      <c r="M344" s="59">
        <v>0.018</v>
      </c>
      <c r="N344" s="15"/>
      <c r="O344" s="121" t="s">
        <v>2614</v>
      </c>
      <c r="P344" s="15" t="s">
        <v>1165</v>
      </c>
      <c r="Q344" s="15" t="s">
        <v>1863</v>
      </c>
      <c r="R344" s="60" t="s">
        <v>1864</v>
      </c>
      <c r="S344" s="15" t="s">
        <v>1865</v>
      </c>
      <c r="T344" s="15" t="s">
        <v>1863</v>
      </c>
      <c r="U344" s="15" t="s">
        <v>1014</v>
      </c>
      <c r="V344" s="67">
        <v>5.020002814888E12</v>
      </c>
      <c r="W344" s="15" t="s">
        <v>1866</v>
      </c>
      <c r="X344" s="15" t="s">
        <v>80</v>
      </c>
      <c r="Y344" s="61"/>
      <c r="Z344" s="61"/>
      <c r="AA344" s="61"/>
      <c r="AB344" s="61"/>
      <c r="AC344" s="61"/>
      <c r="AD344" s="61"/>
      <c r="AH344" s="15" t="s">
        <v>2615</v>
      </c>
      <c r="AI344" s="62"/>
    </row>
    <row r="345" ht="22.5" customHeight="1">
      <c r="A345" s="68">
        <v>46078.0</v>
      </c>
      <c r="B345" s="69" t="s">
        <v>2616</v>
      </c>
      <c r="C345" s="8" t="s">
        <v>73</v>
      </c>
      <c r="D345" s="9" t="s">
        <v>258</v>
      </c>
      <c r="E345" s="9" t="s">
        <v>2617</v>
      </c>
      <c r="F345" s="9" t="s">
        <v>2618</v>
      </c>
      <c r="G345" s="10">
        <v>500085.0</v>
      </c>
      <c r="H345" s="9" t="s">
        <v>1165</v>
      </c>
      <c r="I345" s="11" t="str">
        <f>VLOOKUP(H345,Mapping!D:E,2,0)</f>
        <v>kukatpally</v>
      </c>
      <c r="J345" s="15" t="s">
        <v>390</v>
      </c>
      <c r="K345" s="12">
        <v>0.22</v>
      </c>
      <c r="L345" s="14" t="str">
        <f t="shared" si="27"/>
        <v>20%+</v>
      </c>
      <c r="M345" s="13">
        <v>0.018</v>
      </c>
      <c r="N345" s="127">
        <v>0.0</v>
      </c>
      <c r="O345" s="9" t="s">
        <v>2616</v>
      </c>
      <c r="P345" s="9" t="s">
        <v>1165</v>
      </c>
      <c r="Q345" s="9" t="s">
        <v>2618</v>
      </c>
      <c r="R345" s="16" t="s">
        <v>2619</v>
      </c>
      <c r="S345" s="9" t="s">
        <v>1060</v>
      </c>
      <c r="T345" s="9" t="s">
        <v>1061</v>
      </c>
      <c r="U345" s="9" t="s">
        <v>1014</v>
      </c>
      <c r="V345" s="17">
        <v>5.0100504584589E13</v>
      </c>
      <c r="W345" s="9" t="s">
        <v>1062</v>
      </c>
      <c r="X345" s="9" t="s">
        <v>56</v>
      </c>
      <c r="Y345" s="18" t="s">
        <v>57</v>
      </c>
      <c r="Z345" s="18" t="s">
        <v>69</v>
      </c>
      <c r="AA345" s="18" t="s">
        <v>57</v>
      </c>
      <c r="AB345" s="18" t="s">
        <v>57</v>
      </c>
      <c r="AC345" s="18" t="s">
        <v>58</v>
      </c>
      <c r="AD345" s="18" t="s">
        <v>57</v>
      </c>
      <c r="AE345" s="35" t="s">
        <v>1063</v>
      </c>
      <c r="AF345" s="14"/>
      <c r="AH345" s="14"/>
      <c r="AI345" s="20"/>
      <c r="AJ345" s="14"/>
      <c r="AK345" s="14"/>
      <c r="AL345" s="14"/>
      <c r="AM345" s="14"/>
      <c r="AN345" s="14"/>
      <c r="AO345" s="14"/>
      <c r="AP345" s="14"/>
      <c r="AQ345" s="14"/>
      <c r="AR345" s="14"/>
    </row>
    <row r="346" ht="22.5" customHeight="1">
      <c r="A346" s="103">
        <v>46078.0</v>
      </c>
      <c r="B346" s="69" t="s">
        <v>2620</v>
      </c>
      <c r="C346" s="8" t="s">
        <v>96</v>
      </c>
      <c r="D346" s="9" t="s">
        <v>258</v>
      </c>
      <c r="E346" s="9" t="s">
        <v>2621</v>
      </c>
      <c r="F346" s="9" t="s">
        <v>2622</v>
      </c>
      <c r="G346" s="10">
        <v>500086.0</v>
      </c>
      <c r="H346" s="9" t="s">
        <v>2388</v>
      </c>
      <c r="I346" s="11" t="str">
        <f>VLOOKUP(H346,Mapping!D:E,2,0)</f>
        <v>mehdipatnam</v>
      </c>
      <c r="J346" s="9" t="s">
        <v>50</v>
      </c>
      <c r="K346" s="12">
        <v>0.22</v>
      </c>
      <c r="L346" s="14" t="str">
        <f t="shared" si="27"/>
        <v>20%+</v>
      </c>
      <c r="M346" s="13">
        <v>0.018</v>
      </c>
      <c r="N346" s="14"/>
      <c r="O346" s="9" t="s">
        <v>2623</v>
      </c>
      <c r="P346" s="9" t="s">
        <v>2621</v>
      </c>
      <c r="Q346" s="9" t="s">
        <v>2624</v>
      </c>
      <c r="R346" s="9" t="s">
        <v>2625</v>
      </c>
      <c r="S346" s="9" t="s">
        <v>2626</v>
      </c>
      <c r="T346" s="9" t="s">
        <v>2623</v>
      </c>
      <c r="U346" s="9" t="s">
        <v>1129</v>
      </c>
      <c r="V346" s="17">
        <v>4.2533069588E10</v>
      </c>
      <c r="W346" s="9" t="s">
        <v>2627</v>
      </c>
      <c r="X346" s="9" t="s">
        <v>80</v>
      </c>
      <c r="Y346" s="18" t="s">
        <v>57</v>
      </c>
      <c r="Z346" s="18" t="s">
        <v>58</v>
      </c>
      <c r="AA346" s="18" t="s">
        <v>57</v>
      </c>
      <c r="AB346" s="18" t="s">
        <v>57</v>
      </c>
      <c r="AC346" s="18" t="s">
        <v>57</v>
      </c>
      <c r="AD346" s="18" t="s">
        <v>58</v>
      </c>
      <c r="AE346" s="35" t="s">
        <v>2628</v>
      </c>
      <c r="AF346" s="14"/>
      <c r="AH346" s="14"/>
      <c r="AI346" s="20"/>
      <c r="AJ346" s="14"/>
      <c r="AK346" s="14"/>
      <c r="AL346" s="14"/>
      <c r="AM346" s="14"/>
      <c r="AN346" s="14"/>
      <c r="AO346" s="14"/>
      <c r="AP346" s="14"/>
      <c r="AQ346" s="14"/>
      <c r="AR346" s="14"/>
    </row>
    <row r="347" ht="22.5" customHeight="1">
      <c r="A347" s="103">
        <v>46078.0</v>
      </c>
      <c r="B347" s="121" t="s">
        <v>2629</v>
      </c>
      <c r="C347" s="8" t="s">
        <v>241</v>
      </c>
      <c r="D347" s="9" t="s">
        <v>258</v>
      </c>
      <c r="E347" s="9" t="s">
        <v>2630</v>
      </c>
      <c r="F347" s="9" t="s">
        <v>2631</v>
      </c>
      <c r="G347" s="10">
        <v>500090.0</v>
      </c>
      <c r="H347" s="9" t="s">
        <v>1691</v>
      </c>
      <c r="I347" s="11" t="str">
        <f>VLOOKUP(H347,Mapping!D:E,2,0)</f>
        <v>miyapur</v>
      </c>
      <c r="J347" s="61" t="s">
        <v>390</v>
      </c>
      <c r="K347" s="12">
        <v>0.22</v>
      </c>
      <c r="L347" s="14" t="str">
        <f t="shared" si="27"/>
        <v>20%+</v>
      </c>
      <c r="M347" s="13">
        <v>0.018</v>
      </c>
      <c r="N347" s="14"/>
      <c r="O347" s="43" t="s">
        <v>2629</v>
      </c>
      <c r="P347" s="9" t="s">
        <v>2632</v>
      </c>
      <c r="Q347" s="9" t="s">
        <v>2631</v>
      </c>
      <c r="R347" s="16" t="s">
        <v>2633</v>
      </c>
      <c r="S347" s="9" t="s">
        <v>2634</v>
      </c>
      <c r="T347" s="9" t="s">
        <v>2631</v>
      </c>
      <c r="U347" s="9" t="s">
        <v>1139</v>
      </c>
      <c r="V347" s="17">
        <v>9.1801002464014E14</v>
      </c>
      <c r="W347" s="9" t="s">
        <v>2635</v>
      </c>
      <c r="X347" s="9" t="s">
        <v>56</v>
      </c>
      <c r="Y347" s="18" t="s">
        <v>57</v>
      </c>
      <c r="Z347" s="18" t="s">
        <v>69</v>
      </c>
      <c r="AA347" s="18" t="s">
        <v>57</v>
      </c>
      <c r="AB347" s="18" t="s">
        <v>57</v>
      </c>
      <c r="AC347" s="18" t="s">
        <v>57</v>
      </c>
      <c r="AD347" s="18" t="s">
        <v>69</v>
      </c>
      <c r="AE347" s="39" t="s">
        <v>2636</v>
      </c>
      <c r="AF347" s="14"/>
      <c r="AH347" s="14"/>
      <c r="AI347" s="20"/>
      <c r="AJ347" s="14"/>
      <c r="AK347" s="14"/>
      <c r="AL347" s="14"/>
      <c r="AM347" s="14"/>
      <c r="AN347" s="14"/>
      <c r="AO347" s="14"/>
      <c r="AP347" s="14"/>
      <c r="AQ347" s="14"/>
      <c r="AR347" s="14"/>
    </row>
    <row r="348" ht="22.5" customHeight="1">
      <c r="A348" s="103">
        <v>46078.0</v>
      </c>
      <c r="B348" s="69" t="s">
        <v>2637</v>
      </c>
      <c r="C348" s="8" t="s">
        <v>1919</v>
      </c>
      <c r="D348" s="9" t="s">
        <v>61</v>
      </c>
      <c r="E348" s="9" t="s">
        <v>2638</v>
      </c>
      <c r="F348" s="9" t="s">
        <v>2639</v>
      </c>
      <c r="G348" s="10">
        <v>500091.0</v>
      </c>
      <c r="H348" s="9" t="s">
        <v>126</v>
      </c>
      <c r="I348" s="11" t="str">
        <f>VLOOKUP(H348,Mapping!D:E,2,0)</f>
        <v>Langar Houz</v>
      </c>
      <c r="J348" s="9" t="s">
        <v>86</v>
      </c>
      <c r="K348" s="12">
        <v>0.17</v>
      </c>
      <c r="L348" s="14" t="str">
        <f t="shared" si="27"/>
        <v>&lt;20%</v>
      </c>
      <c r="M348" s="13">
        <v>0.018</v>
      </c>
      <c r="N348" s="14"/>
      <c r="O348" s="108" t="s">
        <v>2639</v>
      </c>
      <c r="P348" s="9" t="s">
        <v>2640</v>
      </c>
      <c r="Q348" s="15" t="s">
        <v>2639</v>
      </c>
      <c r="R348" s="16" t="s">
        <v>2641</v>
      </c>
      <c r="S348" s="9" t="s">
        <v>2642</v>
      </c>
      <c r="T348" s="9" t="s">
        <v>2643</v>
      </c>
      <c r="U348" s="9" t="s">
        <v>2381</v>
      </c>
      <c r="V348" s="17">
        <v>1.97405001433E11</v>
      </c>
      <c r="W348" s="9" t="s">
        <v>2431</v>
      </c>
      <c r="X348" s="9" t="s">
        <v>80</v>
      </c>
      <c r="Y348" s="18" t="s">
        <v>57</v>
      </c>
      <c r="Z348" s="18" t="s">
        <v>57</v>
      </c>
      <c r="AA348" s="18" t="s">
        <v>57</v>
      </c>
      <c r="AB348" s="18" t="s">
        <v>57</v>
      </c>
      <c r="AC348" s="18" t="s">
        <v>57</v>
      </c>
      <c r="AD348" s="18" t="s">
        <v>58</v>
      </c>
      <c r="AE348" s="35" t="s">
        <v>2644</v>
      </c>
      <c r="AF348" s="9" t="s">
        <v>2645</v>
      </c>
      <c r="AG348" s="15" t="s">
        <v>2162</v>
      </c>
      <c r="AH348" s="9" t="s">
        <v>2646</v>
      </c>
      <c r="AI348" s="20"/>
      <c r="AJ348" s="14"/>
      <c r="AK348" s="14"/>
      <c r="AL348" s="14"/>
      <c r="AM348" s="14"/>
      <c r="AN348" s="14"/>
      <c r="AO348" s="14"/>
      <c r="AP348" s="14"/>
      <c r="AQ348" s="14"/>
      <c r="AR348" s="14"/>
    </row>
    <row r="349" ht="22.5" customHeight="1">
      <c r="A349" s="103">
        <v>46078.0</v>
      </c>
      <c r="B349" s="110" t="s">
        <v>2647</v>
      </c>
      <c r="C349" s="8" t="s">
        <v>248</v>
      </c>
      <c r="D349" s="9" t="s">
        <v>258</v>
      </c>
      <c r="E349" s="9" t="s">
        <v>2648</v>
      </c>
      <c r="F349" s="9" t="s">
        <v>2649</v>
      </c>
      <c r="G349" s="10">
        <v>500091.0</v>
      </c>
      <c r="H349" s="9" t="s">
        <v>1009</v>
      </c>
      <c r="I349" s="11" t="str">
        <f>VLOOKUP(H349,Mapping!D:E,2,0)</f>
        <v>mehdipatnam</v>
      </c>
      <c r="J349" s="9" t="s">
        <v>50</v>
      </c>
      <c r="K349" s="12">
        <v>0.22</v>
      </c>
      <c r="L349" s="14" t="str">
        <f t="shared" si="27"/>
        <v>20%+</v>
      </c>
      <c r="M349" s="13">
        <v>0.018</v>
      </c>
      <c r="N349" s="14"/>
      <c r="O349" s="43" t="s">
        <v>2647</v>
      </c>
      <c r="P349" s="9" t="s">
        <v>2648</v>
      </c>
      <c r="Q349" s="9" t="s">
        <v>2649</v>
      </c>
      <c r="R349" s="16" t="s">
        <v>2650</v>
      </c>
      <c r="S349" s="9" t="s">
        <v>2651</v>
      </c>
      <c r="T349" s="9" t="s">
        <v>2649</v>
      </c>
      <c r="U349" s="9" t="s">
        <v>2371</v>
      </c>
      <c r="V349" s="17">
        <v>3.549801169E9</v>
      </c>
      <c r="W349" s="9" t="s">
        <v>2652</v>
      </c>
      <c r="X349" s="9" t="s">
        <v>56</v>
      </c>
      <c r="Y349" s="18" t="s">
        <v>57</v>
      </c>
      <c r="Z349" s="18" t="s">
        <v>58</v>
      </c>
      <c r="AA349" s="18" t="s">
        <v>57</v>
      </c>
      <c r="AB349" s="18" t="s">
        <v>57</v>
      </c>
      <c r="AC349" s="18" t="s">
        <v>58</v>
      </c>
      <c r="AD349" s="18" t="s">
        <v>58</v>
      </c>
      <c r="AE349" s="35" t="s">
        <v>462</v>
      </c>
      <c r="AF349" s="14"/>
      <c r="AH349" s="9" t="s">
        <v>2653</v>
      </c>
      <c r="AI349" s="20"/>
      <c r="AJ349" s="14"/>
      <c r="AK349" s="14"/>
      <c r="AL349" s="14"/>
      <c r="AM349" s="14"/>
      <c r="AN349" s="14"/>
      <c r="AO349" s="14"/>
      <c r="AP349" s="14"/>
      <c r="AQ349" s="14"/>
      <c r="AR349" s="14"/>
    </row>
    <row r="350" ht="22.5" customHeight="1">
      <c r="A350" s="68">
        <v>46078.0</v>
      </c>
      <c r="B350" s="69" t="s">
        <v>2654</v>
      </c>
      <c r="C350" s="165" t="s">
        <v>96</v>
      </c>
      <c r="D350" s="9" t="s">
        <v>258</v>
      </c>
      <c r="E350" s="9" t="s">
        <v>2466</v>
      </c>
      <c r="F350" s="9" t="s">
        <v>2467</v>
      </c>
      <c r="G350" s="10">
        <v>500048.0</v>
      </c>
      <c r="H350" s="61" t="s">
        <v>171</v>
      </c>
      <c r="I350" s="11" t="str">
        <f>VLOOKUP(H350,Mapping!D:E,2,0)</f>
        <v>Langar Houz</v>
      </c>
      <c r="J350" s="9" t="s">
        <v>50</v>
      </c>
      <c r="K350" s="66">
        <v>0.2</v>
      </c>
      <c r="L350" s="14" t="str">
        <f t="shared" si="27"/>
        <v>20%+</v>
      </c>
      <c r="M350" s="13">
        <v>0.018</v>
      </c>
      <c r="O350" s="15" t="s">
        <v>2654</v>
      </c>
      <c r="P350" s="9" t="s">
        <v>2468</v>
      </c>
      <c r="Q350" s="9" t="s">
        <v>2467</v>
      </c>
      <c r="R350" s="16" t="s">
        <v>2469</v>
      </c>
      <c r="S350" s="9" t="s">
        <v>68</v>
      </c>
      <c r="T350" s="9" t="s">
        <v>2471</v>
      </c>
      <c r="U350" s="9" t="s">
        <v>2371</v>
      </c>
      <c r="V350" s="17">
        <v>9.986881566E9</v>
      </c>
      <c r="W350" s="9" t="s">
        <v>2472</v>
      </c>
      <c r="X350" s="9" t="s">
        <v>80</v>
      </c>
      <c r="AE350" s="65" t="s">
        <v>2655</v>
      </c>
      <c r="AH350" s="15" t="s">
        <v>2656</v>
      </c>
      <c r="AI350" s="62"/>
    </row>
    <row r="351" ht="22.5" customHeight="1">
      <c r="A351" s="110">
        <v>46078.0</v>
      </c>
      <c r="B351" s="69" t="s">
        <v>2657</v>
      </c>
      <c r="C351" s="8" t="s">
        <v>96</v>
      </c>
      <c r="D351" s="9" t="s">
        <v>258</v>
      </c>
      <c r="E351" s="9" t="s">
        <v>2466</v>
      </c>
      <c r="F351" s="9" t="s">
        <v>2467</v>
      </c>
      <c r="G351" s="10">
        <v>500048.0</v>
      </c>
      <c r="H351" s="61" t="s">
        <v>171</v>
      </c>
      <c r="I351" s="11" t="str">
        <f>VLOOKUP(H351,Mapping!D:E,2,0)</f>
        <v>Langar Houz</v>
      </c>
      <c r="J351" s="9" t="s">
        <v>50</v>
      </c>
      <c r="K351" s="12">
        <v>0.2</v>
      </c>
      <c r="L351" s="14" t="str">
        <f t="shared" si="27"/>
        <v>20%+</v>
      </c>
      <c r="M351" s="13">
        <v>0.018</v>
      </c>
      <c r="N351" s="14"/>
      <c r="O351" s="43" t="s">
        <v>2657</v>
      </c>
      <c r="P351" s="9" t="s">
        <v>2555</v>
      </c>
      <c r="Q351" s="9" t="s">
        <v>2467</v>
      </c>
      <c r="R351" s="16" t="s">
        <v>2469</v>
      </c>
      <c r="S351" s="9" t="s">
        <v>2470</v>
      </c>
      <c r="T351" s="9" t="s">
        <v>2471</v>
      </c>
      <c r="U351" s="9" t="s">
        <v>2371</v>
      </c>
      <c r="V351" s="17">
        <v>9.986881566E9</v>
      </c>
      <c r="W351" s="9" t="s">
        <v>2472</v>
      </c>
      <c r="X351" s="9" t="s">
        <v>80</v>
      </c>
      <c r="Y351" s="18" t="s">
        <v>57</v>
      </c>
      <c r="Z351" s="18" t="s">
        <v>58</v>
      </c>
      <c r="AA351" s="18" t="s">
        <v>57</v>
      </c>
      <c r="AB351" s="18" t="s">
        <v>57</v>
      </c>
      <c r="AC351" s="18" t="s">
        <v>57</v>
      </c>
      <c r="AD351" s="18" t="s">
        <v>58</v>
      </c>
      <c r="AE351" s="140" t="s">
        <v>2658</v>
      </c>
      <c r="AF351" s="14"/>
      <c r="AH351" s="14"/>
      <c r="AI351" s="20"/>
      <c r="AJ351" s="14"/>
      <c r="AK351" s="14"/>
      <c r="AL351" s="14"/>
      <c r="AM351" s="14"/>
      <c r="AN351" s="14"/>
      <c r="AO351" s="14"/>
      <c r="AP351" s="14"/>
      <c r="AQ351" s="14"/>
      <c r="AR351" s="14"/>
    </row>
    <row r="352" ht="22.5" customHeight="1">
      <c r="A352" s="110">
        <v>46078.0</v>
      </c>
      <c r="B352" s="69" t="s">
        <v>2659</v>
      </c>
      <c r="C352" s="8" t="s">
        <v>96</v>
      </c>
      <c r="D352" s="9" t="s">
        <v>258</v>
      </c>
      <c r="E352" s="9" t="s">
        <v>2466</v>
      </c>
      <c r="F352" s="9" t="s">
        <v>2467</v>
      </c>
      <c r="G352" s="10">
        <v>500048.0</v>
      </c>
      <c r="H352" s="61" t="s">
        <v>171</v>
      </c>
      <c r="I352" s="11" t="str">
        <f>VLOOKUP(H352,Mapping!D:E,2,0)</f>
        <v>Langar Houz</v>
      </c>
      <c r="J352" s="9" t="s">
        <v>50</v>
      </c>
      <c r="K352" s="66">
        <v>0.2</v>
      </c>
      <c r="L352" s="14" t="str">
        <f t="shared" si="27"/>
        <v>20%+</v>
      </c>
      <c r="M352" s="13">
        <v>0.018</v>
      </c>
      <c r="O352" s="138" t="s">
        <v>2659</v>
      </c>
      <c r="P352" s="9" t="s">
        <v>2580</v>
      </c>
      <c r="Q352" s="9" t="s">
        <v>2467</v>
      </c>
      <c r="R352" s="16" t="s">
        <v>2469</v>
      </c>
      <c r="S352" s="9" t="s">
        <v>2470</v>
      </c>
      <c r="T352" s="9" t="s">
        <v>2471</v>
      </c>
      <c r="U352" s="9" t="s">
        <v>2371</v>
      </c>
      <c r="V352" s="17">
        <v>9.986881566E9</v>
      </c>
      <c r="W352" s="9" t="s">
        <v>2472</v>
      </c>
      <c r="X352" s="9" t="s">
        <v>80</v>
      </c>
      <c r="Y352" s="18" t="s">
        <v>57</v>
      </c>
      <c r="Z352" s="18" t="s">
        <v>58</v>
      </c>
      <c r="AA352" s="18" t="s">
        <v>58</v>
      </c>
      <c r="AB352" s="18" t="s">
        <v>57</v>
      </c>
      <c r="AC352" s="18" t="s">
        <v>57</v>
      </c>
      <c r="AD352" s="18" t="s">
        <v>58</v>
      </c>
      <c r="AE352" s="166" t="s">
        <v>2660</v>
      </c>
      <c r="AF352" s="14"/>
      <c r="AH352" s="14"/>
      <c r="AI352" s="20"/>
      <c r="AJ352" s="14"/>
      <c r="AK352" s="14"/>
      <c r="AL352" s="14"/>
      <c r="AM352" s="14"/>
      <c r="AN352" s="14"/>
      <c r="AO352" s="14"/>
      <c r="AP352" s="14"/>
      <c r="AQ352" s="14"/>
      <c r="AR352" s="14"/>
    </row>
    <row r="353" ht="22.5" customHeight="1">
      <c r="A353" s="110">
        <v>46078.0</v>
      </c>
      <c r="B353" s="69" t="s">
        <v>2661</v>
      </c>
      <c r="C353" s="8" t="s">
        <v>96</v>
      </c>
      <c r="D353" s="9" t="s">
        <v>258</v>
      </c>
      <c r="E353" s="9" t="s">
        <v>2662</v>
      </c>
      <c r="F353" s="9" t="s">
        <v>2467</v>
      </c>
      <c r="G353" s="10">
        <v>500004.0</v>
      </c>
      <c r="H353" s="9" t="s">
        <v>1105</v>
      </c>
      <c r="I353" s="11" t="str">
        <f>VLOOKUP(H353,Mapping!D:E,2,0)</f>
        <v>Hyderabad</v>
      </c>
      <c r="J353" s="9" t="s">
        <v>50</v>
      </c>
      <c r="K353" s="12">
        <v>0.2</v>
      </c>
      <c r="L353" s="14" t="str">
        <f t="shared" si="27"/>
        <v>20%+</v>
      </c>
      <c r="M353" s="13">
        <v>0.018</v>
      </c>
      <c r="N353" s="9" t="s">
        <v>624</v>
      </c>
      <c r="O353" s="133" t="s">
        <v>2661</v>
      </c>
      <c r="P353" s="15" t="s">
        <v>2468</v>
      </c>
      <c r="Q353" s="9" t="s">
        <v>2467</v>
      </c>
      <c r="R353" s="16" t="s">
        <v>2469</v>
      </c>
      <c r="S353" s="9" t="s">
        <v>68</v>
      </c>
      <c r="T353" s="9" t="s">
        <v>2471</v>
      </c>
      <c r="U353" s="9" t="s">
        <v>2371</v>
      </c>
      <c r="V353" s="17">
        <v>9.986881566E9</v>
      </c>
      <c r="W353" s="9" t="s">
        <v>2472</v>
      </c>
      <c r="X353" s="9" t="s">
        <v>80</v>
      </c>
      <c r="Y353" s="18" t="s">
        <v>57</v>
      </c>
      <c r="Z353" s="18" t="s">
        <v>57</v>
      </c>
      <c r="AA353" s="18" t="s">
        <v>57</v>
      </c>
      <c r="AB353" s="18" t="s">
        <v>57</v>
      </c>
      <c r="AC353" s="18" t="s">
        <v>58</v>
      </c>
      <c r="AD353" s="18" t="s">
        <v>58</v>
      </c>
      <c r="AE353" s="39" t="s">
        <v>2663</v>
      </c>
      <c r="AF353" s="14"/>
      <c r="AH353" s="9" t="s">
        <v>2653</v>
      </c>
      <c r="AI353" s="20"/>
      <c r="AJ353" s="14"/>
      <c r="AK353" s="14"/>
      <c r="AL353" s="14"/>
      <c r="AM353" s="14"/>
      <c r="AN353" s="14"/>
      <c r="AO353" s="14"/>
      <c r="AP353" s="14"/>
      <c r="AQ353" s="14"/>
      <c r="AR353" s="14"/>
    </row>
    <row r="354" ht="22.5" customHeight="1">
      <c r="A354" s="110">
        <v>46078.0</v>
      </c>
      <c r="B354" s="69" t="s">
        <v>2664</v>
      </c>
      <c r="C354" s="8" t="s">
        <v>96</v>
      </c>
      <c r="D354" s="9" t="s">
        <v>258</v>
      </c>
      <c r="E354" s="9" t="s">
        <v>2466</v>
      </c>
      <c r="F354" s="9" t="s">
        <v>2467</v>
      </c>
      <c r="G354" s="10">
        <v>500048.0</v>
      </c>
      <c r="H354" s="61" t="s">
        <v>171</v>
      </c>
      <c r="I354" s="11" t="str">
        <f>VLOOKUP(H354,Mapping!D:E,2,0)</f>
        <v>Langar Houz</v>
      </c>
      <c r="J354" s="9" t="s">
        <v>50</v>
      </c>
      <c r="K354" s="12">
        <v>0.2</v>
      </c>
      <c r="L354" s="14" t="str">
        <f t="shared" si="27"/>
        <v>20%+</v>
      </c>
      <c r="M354" s="13">
        <v>0.018</v>
      </c>
      <c r="N354" s="127">
        <v>0.0</v>
      </c>
      <c r="O354" s="138" t="s">
        <v>2664</v>
      </c>
      <c r="P354" s="9" t="s">
        <v>2468</v>
      </c>
      <c r="Q354" s="9" t="s">
        <v>2467</v>
      </c>
      <c r="R354" s="16" t="s">
        <v>2469</v>
      </c>
      <c r="S354" s="9" t="s">
        <v>2470</v>
      </c>
      <c r="T354" s="9" t="s">
        <v>2471</v>
      </c>
      <c r="U354" s="9" t="s">
        <v>2371</v>
      </c>
      <c r="V354" s="17">
        <v>9.986881566E9</v>
      </c>
      <c r="W354" s="9" t="s">
        <v>2472</v>
      </c>
      <c r="X354" s="9" t="s">
        <v>80</v>
      </c>
      <c r="Y354" s="18" t="s">
        <v>57</v>
      </c>
      <c r="Z354" s="18" t="s">
        <v>58</v>
      </c>
      <c r="AA354" s="18" t="s">
        <v>57</v>
      </c>
      <c r="AB354" s="18" t="s">
        <v>57</v>
      </c>
      <c r="AC354" s="18" t="s">
        <v>57</v>
      </c>
      <c r="AD354" s="18" t="s">
        <v>58</v>
      </c>
      <c r="AE354" s="33" t="s">
        <v>2665</v>
      </c>
      <c r="AF354" s="14"/>
      <c r="AH354" s="14"/>
      <c r="AI354" s="20"/>
      <c r="AJ354" s="14"/>
      <c r="AK354" s="14"/>
      <c r="AL354" s="14"/>
      <c r="AM354" s="14"/>
      <c r="AN354" s="14"/>
      <c r="AO354" s="14"/>
      <c r="AP354" s="14"/>
      <c r="AQ354" s="14"/>
      <c r="AR354" s="14"/>
    </row>
    <row r="355" ht="22.5" customHeight="1">
      <c r="A355" s="103">
        <v>46078.0</v>
      </c>
      <c r="B355" s="69" t="s">
        <v>2032</v>
      </c>
      <c r="C355" s="8" t="s">
        <v>144</v>
      </c>
      <c r="D355" s="9" t="s">
        <v>258</v>
      </c>
      <c r="E355" s="9" t="s">
        <v>2666</v>
      </c>
      <c r="F355" s="9" t="s">
        <v>2667</v>
      </c>
      <c r="G355" s="10">
        <v>500008.0</v>
      </c>
      <c r="H355" s="9" t="s">
        <v>302</v>
      </c>
      <c r="I355" s="11" t="str">
        <f>VLOOKUP(H355,Mapping!D:E,2,0)</f>
        <v>manikonda</v>
      </c>
      <c r="J355" s="61" t="s">
        <v>303</v>
      </c>
      <c r="K355" s="12">
        <v>0.18</v>
      </c>
      <c r="L355" s="14" t="str">
        <f t="shared" si="27"/>
        <v>&lt;20%</v>
      </c>
      <c r="M355" s="13">
        <v>0.018</v>
      </c>
      <c r="N355" s="9" t="s">
        <v>68</v>
      </c>
      <c r="O355" s="107" t="s">
        <v>2668</v>
      </c>
      <c r="P355" s="9" t="s">
        <v>2666</v>
      </c>
      <c r="Q355" s="9" t="s">
        <v>2668</v>
      </c>
      <c r="R355" s="10" t="s">
        <v>68</v>
      </c>
      <c r="S355" s="9" t="s">
        <v>2669</v>
      </c>
      <c r="T355" s="15" t="s">
        <v>68</v>
      </c>
      <c r="U355" s="10" t="s">
        <v>68</v>
      </c>
      <c r="V355" s="10" t="s">
        <v>68</v>
      </c>
      <c r="W355" s="10" t="s">
        <v>68</v>
      </c>
      <c r="X355" s="10" t="s">
        <v>68</v>
      </c>
      <c r="Y355" s="18" t="s">
        <v>57</v>
      </c>
      <c r="Z355" s="18" t="s">
        <v>58</v>
      </c>
      <c r="AA355" s="18" t="s">
        <v>57</v>
      </c>
      <c r="AB355" s="18" t="s">
        <v>58</v>
      </c>
      <c r="AC355" s="14"/>
      <c r="AD355" s="14"/>
      <c r="AE355" s="14"/>
      <c r="AF355" s="9" t="s">
        <v>2670</v>
      </c>
      <c r="AH355" s="14"/>
      <c r="AI355" s="20"/>
      <c r="AJ355" s="14"/>
      <c r="AK355" s="14"/>
      <c r="AL355" s="14"/>
      <c r="AM355" s="14"/>
      <c r="AN355" s="14"/>
      <c r="AO355" s="14"/>
      <c r="AP355" s="14"/>
      <c r="AQ355" s="14"/>
      <c r="AR355" s="14"/>
    </row>
    <row r="356" ht="22.5" customHeight="1">
      <c r="A356" s="74">
        <v>46078.0</v>
      </c>
      <c r="B356" s="138" t="s">
        <v>2671</v>
      </c>
      <c r="C356" s="8" t="s">
        <v>186</v>
      </c>
      <c r="D356" s="9" t="s">
        <v>258</v>
      </c>
      <c r="E356" s="9" t="s">
        <v>2672</v>
      </c>
      <c r="F356" s="9" t="s">
        <v>68</v>
      </c>
      <c r="G356" s="10">
        <v>500084.0</v>
      </c>
      <c r="H356" s="9" t="s">
        <v>389</v>
      </c>
      <c r="I356" s="11" t="str">
        <f>VLOOKUP(H356,Mapping!D:E,2,0)</f>
        <v>Kondapur</v>
      </c>
      <c r="J356" s="61" t="s">
        <v>390</v>
      </c>
      <c r="K356" s="12">
        <v>0.23</v>
      </c>
      <c r="L356" s="14" t="str">
        <f t="shared" si="27"/>
        <v>20%+</v>
      </c>
      <c r="M356" s="14"/>
      <c r="N356" s="14"/>
      <c r="O356" s="108" t="s">
        <v>2673</v>
      </c>
      <c r="P356" s="9" t="s">
        <v>2674</v>
      </c>
      <c r="Q356" s="9" t="s">
        <v>2675</v>
      </c>
      <c r="R356" s="16" t="s">
        <v>2676</v>
      </c>
      <c r="S356" s="9" t="s">
        <v>68</v>
      </c>
      <c r="T356" s="9" t="s">
        <v>2677</v>
      </c>
      <c r="U356" s="9" t="s">
        <v>2678</v>
      </c>
      <c r="V356" s="17">
        <v>4.80117200007565E14</v>
      </c>
      <c r="W356" s="9" t="s">
        <v>2679</v>
      </c>
      <c r="X356" s="9" t="s">
        <v>56</v>
      </c>
      <c r="Y356" s="14"/>
      <c r="Z356" s="14"/>
      <c r="AA356" s="14"/>
      <c r="AB356" s="14"/>
      <c r="AC356" s="14"/>
      <c r="AD356" s="14"/>
      <c r="AE356" s="14"/>
      <c r="AF356" s="14"/>
      <c r="AG356" s="14"/>
      <c r="AH356" s="14"/>
      <c r="AI356" s="20"/>
      <c r="AJ356" s="14"/>
      <c r="AK356" s="14"/>
      <c r="AL356" s="14"/>
      <c r="AM356" s="14"/>
      <c r="AN356" s="14"/>
      <c r="AO356" s="14"/>
      <c r="AP356" s="14"/>
      <c r="AQ356" s="14"/>
      <c r="AR356" s="14"/>
    </row>
    <row r="357" ht="22.5" customHeight="1">
      <c r="A357" s="74">
        <v>46078.0</v>
      </c>
      <c r="B357" s="75" t="s">
        <v>2680</v>
      </c>
      <c r="C357" s="8" t="s">
        <v>186</v>
      </c>
      <c r="D357" s="9" t="s">
        <v>258</v>
      </c>
      <c r="E357" s="9" t="s">
        <v>2672</v>
      </c>
      <c r="F357" s="9" t="s">
        <v>68</v>
      </c>
      <c r="G357" s="10">
        <v>500084.0</v>
      </c>
      <c r="H357" s="9" t="s">
        <v>389</v>
      </c>
      <c r="I357" s="11" t="str">
        <f>VLOOKUP(H357,Mapping!D:E,2,0)</f>
        <v>Kondapur</v>
      </c>
      <c r="J357" s="61" t="s">
        <v>390</v>
      </c>
      <c r="K357" s="12">
        <v>0.23</v>
      </c>
      <c r="L357" s="14" t="str">
        <f t="shared" si="27"/>
        <v>20%+</v>
      </c>
      <c r="M357" s="14"/>
      <c r="N357" s="14"/>
      <c r="O357" s="108" t="s">
        <v>2673</v>
      </c>
      <c r="P357" s="9" t="s">
        <v>2674</v>
      </c>
      <c r="Q357" s="9" t="s">
        <v>2675</v>
      </c>
      <c r="R357" s="16" t="s">
        <v>2676</v>
      </c>
      <c r="S357" s="9" t="s">
        <v>68</v>
      </c>
      <c r="T357" s="9" t="s">
        <v>2677</v>
      </c>
      <c r="U357" s="9" t="s">
        <v>2678</v>
      </c>
      <c r="V357" s="17">
        <v>4.80117200007565E14</v>
      </c>
      <c r="W357" s="9" t="s">
        <v>2679</v>
      </c>
      <c r="X357" s="9" t="s">
        <v>56</v>
      </c>
      <c r="Y357" s="14"/>
      <c r="Z357" s="14"/>
      <c r="AA357" s="14"/>
      <c r="AB357" s="14"/>
      <c r="AC357" s="14"/>
      <c r="AD357" s="14"/>
      <c r="AE357" s="14"/>
      <c r="AF357" s="14"/>
      <c r="AG357" s="14"/>
      <c r="AH357" s="14"/>
      <c r="AI357" s="20"/>
      <c r="AJ357" s="14"/>
      <c r="AK357" s="14"/>
      <c r="AL357" s="14"/>
      <c r="AM357" s="14"/>
      <c r="AN357" s="14"/>
      <c r="AO357" s="14"/>
      <c r="AP357" s="14"/>
      <c r="AQ357" s="14"/>
      <c r="AR357" s="14"/>
    </row>
    <row r="358" ht="22.5" customHeight="1">
      <c r="A358" s="74">
        <v>46078.0</v>
      </c>
      <c r="B358" s="138" t="s">
        <v>2681</v>
      </c>
      <c r="C358" s="8" t="s">
        <v>186</v>
      </c>
      <c r="D358" s="9" t="s">
        <v>258</v>
      </c>
      <c r="E358" s="9" t="s">
        <v>2672</v>
      </c>
      <c r="F358" s="9" t="s">
        <v>68</v>
      </c>
      <c r="G358" s="10">
        <v>500084.0</v>
      </c>
      <c r="H358" s="9" t="s">
        <v>389</v>
      </c>
      <c r="I358" s="11" t="str">
        <f>VLOOKUP(H358,Mapping!D:E,2,0)</f>
        <v>Kondapur</v>
      </c>
      <c r="J358" s="61" t="s">
        <v>390</v>
      </c>
      <c r="K358" s="12">
        <v>0.23</v>
      </c>
      <c r="L358" s="14" t="str">
        <f t="shared" si="27"/>
        <v>20%+</v>
      </c>
      <c r="M358" s="14"/>
      <c r="N358" s="14"/>
      <c r="O358" s="9" t="s">
        <v>2673</v>
      </c>
      <c r="P358" s="9" t="s">
        <v>2674</v>
      </c>
      <c r="Q358" s="9" t="s">
        <v>2675</v>
      </c>
      <c r="R358" s="16" t="s">
        <v>2676</v>
      </c>
      <c r="S358" s="9" t="s">
        <v>68</v>
      </c>
      <c r="T358" s="9" t="s">
        <v>2677</v>
      </c>
      <c r="U358" s="9" t="s">
        <v>2678</v>
      </c>
      <c r="V358" s="17">
        <v>4.80117200007565E14</v>
      </c>
      <c r="W358" s="9" t="s">
        <v>2679</v>
      </c>
      <c r="X358" s="9" t="s">
        <v>56</v>
      </c>
      <c r="Y358" s="14"/>
      <c r="Z358" s="14"/>
      <c r="AA358" s="14"/>
      <c r="AB358" s="14"/>
      <c r="AC358" s="14"/>
      <c r="AD358" s="14"/>
      <c r="AE358" s="14"/>
      <c r="AF358" s="14"/>
      <c r="AG358" s="14"/>
      <c r="AH358" s="14"/>
      <c r="AI358" s="20"/>
      <c r="AJ358" s="14"/>
      <c r="AK358" s="14"/>
      <c r="AL358" s="14"/>
      <c r="AM358" s="14"/>
      <c r="AN358" s="14"/>
      <c r="AO358" s="14"/>
      <c r="AP358" s="14"/>
      <c r="AQ358" s="14"/>
      <c r="AR358" s="14"/>
    </row>
    <row r="359" ht="22.5" customHeight="1">
      <c r="A359" s="74">
        <v>46078.0</v>
      </c>
      <c r="B359" s="75" t="s">
        <v>2682</v>
      </c>
      <c r="C359" s="8" t="s">
        <v>186</v>
      </c>
      <c r="D359" s="9" t="s">
        <v>258</v>
      </c>
      <c r="E359" s="9" t="s">
        <v>2672</v>
      </c>
      <c r="F359" s="9" t="s">
        <v>68</v>
      </c>
      <c r="G359" s="10">
        <v>500084.0</v>
      </c>
      <c r="H359" s="9" t="s">
        <v>389</v>
      </c>
      <c r="I359" s="11" t="str">
        <f>VLOOKUP(H359,Mapping!D:E,2,0)</f>
        <v>Kondapur</v>
      </c>
      <c r="J359" s="61" t="s">
        <v>390</v>
      </c>
      <c r="K359" s="12">
        <v>0.23</v>
      </c>
      <c r="L359" s="14" t="str">
        <f t="shared" si="27"/>
        <v>20%+</v>
      </c>
      <c r="M359" s="14"/>
      <c r="N359" s="14"/>
      <c r="O359" s="9" t="s">
        <v>2673</v>
      </c>
      <c r="P359" s="9" t="s">
        <v>2674</v>
      </c>
      <c r="Q359" s="9" t="s">
        <v>2675</v>
      </c>
      <c r="R359" s="16" t="s">
        <v>2676</v>
      </c>
      <c r="S359" s="9" t="s">
        <v>68</v>
      </c>
      <c r="T359" s="9" t="s">
        <v>2677</v>
      </c>
      <c r="U359" s="9" t="s">
        <v>2678</v>
      </c>
      <c r="V359" s="17">
        <v>4.80117200007565E14</v>
      </c>
      <c r="W359" s="9" t="s">
        <v>2679</v>
      </c>
      <c r="X359" s="9" t="s">
        <v>56</v>
      </c>
      <c r="Y359" s="14"/>
      <c r="Z359" s="14"/>
      <c r="AA359" s="14"/>
      <c r="AB359" s="14"/>
      <c r="AC359" s="14"/>
      <c r="AD359" s="14"/>
      <c r="AE359" s="14"/>
      <c r="AF359" s="14"/>
      <c r="AG359" s="14"/>
      <c r="AH359" s="14"/>
      <c r="AI359" s="20"/>
      <c r="AJ359" s="14"/>
      <c r="AK359" s="14"/>
      <c r="AL359" s="14"/>
      <c r="AM359" s="14"/>
      <c r="AN359" s="14"/>
      <c r="AO359" s="14"/>
      <c r="AP359" s="14"/>
      <c r="AQ359" s="14"/>
      <c r="AR359" s="14"/>
    </row>
    <row r="360" ht="22.5" customHeight="1">
      <c r="A360" s="74">
        <v>46078.0</v>
      </c>
      <c r="B360" s="138" t="s">
        <v>2683</v>
      </c>
      <c r="C360" s="8" t="s">
        <v>186</v>
      </c>
      <c r="D360" s="9" t="s">
        <v>258</v>
      </c>
      <c r="E360" s="9" t="s">
        <v>2672</v>
      </c>
      <c r="F360" s="9" t="s">
        <v>68</v>
      </c>
      <c r="G360" s="10">
        <v>500084.0</v>
      </c>
      <c r="H360" s="9" t="s">
        <v>389</v>
      </c>
      <c r="I360" s="11" t="str">
        <f>VLOOKUP(H360,Mapping!D:E,2,0)</f>
        <v>Kondapur</v>
      </c>
      <c r="J360" s="61" t="s">
        <v>390</v>
      </c>
      <c r="K360" s="12">
        <v>0.23</v>
      </c>
      <c r="L360" s="14" t="str">
        <f t="shared" si="27"/>
        <v>20%+</v>
      </c>
      <c r="M360" s="14"/>
      <c r="N360" s="14"/>
      <c r="O360" s="9" t="s">
        <v>2673</v>
      </c>
      <c r="P360" s="9" t="s">
        <v>2674</v>
      </c>
      <c r="Q360" s="9" t="s">
        <v>2675</v>
      </c>
      <c r="R360" s="16" t="s">
        <v>2676</v>
      </c>
      <c r="S360" s="9" t="s">
        <v>68</v>
      </c>
      <c r="T360" s="9" t="s">
        <v>2677</v>
      </c>
      <c r="U360" s="9" t="s">
        <v>2678</v>
      </c>
      <c r="V360" s="17">
        <v>4.80117200007565E14</v>
      </c>
      <c r="W360" s="9" t="s">
        <v>2679</v>
      </c>
      <c r="X360" s="9" t="s">
        <v>56</v>
      </c>
      <c r="Y360" s="14"/>
      <c r="Z360" s="14"/>
      <c r="AA360" s="14"/>
      <c r="AB360" s="14"/>
      <c r="AC360" s="14"/>
      <c r="AD360" s="14"/>
      <c r="AE360" s="14"/>
      <c r="AF360" s="14"/>
      <c r="AG360" s="14"/>
      <c r="AH360" s="14"/>
      <c r="AI360" s="20"/>
      <c r="AJ360" s="14"/>
      <c r="AK360" s="14"/>
      <c r="AL360" s="14"/>
      <c r="AM360" s="14"/>
      <c r="AN360" s="14"/>
      <c r="AO360" s="14"/>
      <c r="AP360" s="14"/>
      <c r="AQ360" s="14"/>
      <c r="AR360" s="14"/>
    </row>
    <row r="361" ht="22.5" customHeight="1">
      <c r="A361" s="81">
        <v>46079.0</v>
      </c>
      <c r="B361" s="69" t="s">
        <v>2684</v>
      </c>
      <c r="C361" s="8" t="s">
        <v>45</v>
      </c>
      <c r="D361" s="9" t="s">
        <v>258</v>
      </c>
      <c r="E361" s="9" t="s">
        <v>2685</v>
      </c>
      <c r="F361" s="9" t="s">
        <v>68</v>
      </c>
      <c r="G361" s="154"/>
      <c r="H361" s="9" t="s">
        <v>2686</v>
      </c>
      <c r="I361" s="9" t="s">
        <v>2686</v>
      </c>
      <c r="J361" s="136" t="s">
        <v>303</v>
      </c>
      <c r="K361" s="12">
        <v>0.2</v>
      </c>
      <c r="L361" s="14" t="str">
        <f t="shared" si="27"/>
        <v>20%+</v>
      </c>
      <c r="M361" s="13">
        <v>0.018</v>
      </c>
      <c r="N361" s="14"/>
      <c r="O361" s="9" t="s">
        <v>2684</v>
      </c>
      <c r="P361" s="9" t="s">
        <v>2687</v>
      </c>
      <c r="Q361" s="9" t="s">
        <v>2688</v>
      </c>
      <c r="R361" s="16" t="s">
        <v>2689</v>
      </c>
      <c r="S361" s="9" t="s">
        <v>2690</v>
      </c>
      <c r="T361" s="9" t="s">
        <v>2691</v>
      </c>
      <c r="U361" s="9" t="s">
        <v>1858</v>
      </c>
      <c r="V361" s="17">
        <v>2.0271087187E10</v>
      </c>
      <c r="W361" s="9" t="s">
        <v>2627</v>
      </c>
      <c r="X361" s="9" t="s">
        <v>80</v>
      </c>
      <c r="Y361" s="18" t="s">
        <v>57</v>
      </c>
      <c r="Z361" s="18" t="s">
        <v>58</v>
      </c>
      <c r="AA361" s="18" t="s">
        <v>58</v>
      </c>
      <c r="AB361" s="18" t="s">
        <v>57</v>
      </c>
      <c r="AC361" s="18" t="s">
        <v>57</v>
      </c>
      <c r="AD361" s="18" t="s">
        <v>58</v>
      </c>
      <c r="AE361" s="39" t="s">
        <v>2692</v>
      </c>
      <c r="AF361" s="14"/>
      <c r="AG361" s="14"/>
      <c r="AH361" s="14"/>
      <c r="AI361" s="20"/>
      <c r="AJ361" s="14"/>
      <c r="AK361" s="14"/>
      <c r="AL361" s="14"/>
      <c r="AM361" s="14"/>
      <c r="AN361" s="14"/>
      <c r="AO361" s="14"/>
      <c r="AP361" s="14"/>
      <c r="AQ361" s="14"/>
      <c r="AR361" s="14"/>
    </row>
    <row r="362" ht="22.5" customHeight="1">
      <c r="A362" s="110">
        <v>46079.0</v>
      </c>
      <c r="B362" s="68" t="s">
        <v>2693</v>
      </c>
      <c r="C362" s="8" t="s">
        <v>186</v>
      </c>
      <c r="D362" s="9" t="s">
        <v>258</v>
      </c>
      <c r="E362" s="9" t="s">
        <v>2694</v>
      </c>
      <c r="F362" s="9" t="s">
        <v>68</v>
      </c>
      <c r="G362" s="10">
        <v>500084.0</v>
      </c>
      <c r="H362" s="9" t="s">
        <v>389</v>
      </c>
      <c r="I362" s="11" t="str">
        <f>VLOOKUP(H362,Mapping!D:E,2,0)</f>
        <v>Kondapur</v>
      </c>
      <c r="J362" s="61" t="s">
        <v>390</v>
      </c>
      <c r="K362" s="12">
        <v>0.13</v>
      </c>
      <c r="L362" s="14" t="str">
        <f t="shared" si="27"/>
        <v>&lt;15%</v>
      </c>
      <c r="M362" s="13">
        <v>0.018</v>
      </c>
      <c r="N362" s="127">
        <v>0.02</v>
      </c>
      <c r="O362" s="15" t="s">
        <v>2693</v>
      </c>
      <c r="P362" s="15" t="s">
        <v>2167</v>
      </c>
      <c r="Q362" s="9" t="s">
        <v>2695</v>
      </c>
      <c r="R362" s="16" t="s">
        <v>2696</v>
      </c>
      <c r="S362" s="9" t="s">
        <v>68</v>
      </c>
      <c r="T362" s="9" t="s">
        <v>2697</v>
      </c>
      <c r="U362" s="9" t="s">
        <v>1139</v>
      </c>
      <c r="V362" s="17">
        <v>9.13010031284567E14</v>
      </c>
      <c r="W362" s="9" t="s">
        <v>2698</v>
      </c>
      <c r="X362" s="9" t="s">
        <v>56</v>
      </c>
      <c r="Y362" s="18" t="s">
        <v>57</v>
      </c>
      <c r="Z362" s="18" t="s">
        <v>58</v>
      </c>
      <c r="AA362" s="18" t="s">
        <v>57</v>
      </c>
      <c r="AB362" s="18" t="s">
        <v>57</v>
      </c>
      <c r="AC362" s="18" t="s">
        <v>57</v>
      </c>
      <c r="AD362" s="18" t="s">
        <v>58</v>
      </c>
      <c r="AE362" s="40" t="s">
        <v>2693</v>
      </c>
      <c r="AF362" s="40" t="s">
        <v>2699</v>
      </c>
      <c r="AG362" s="14"/>
      <c r="AH362" s="14"/>
      <c r="AI362" s="20"/>
      <c r="AJ362" s="14"/>
      <c r="AK362" s="14"/>
      <c r="AL362" s="14"/>
      <c r="AM362" s="14"/>
      <c r="AN362" s="14"/>
      <c r="AO362" s="14"/>
      <c r="AP362" s="14"/>
      <c r="AQ362" s="14"/>
      <c r="AR362" s="14"/>
    </row>
    <row r="363" ht="22.5" customHeight="1">
      <c r="A363" s="110">
        <v>46079.0</v>
      </c>
      <c r="B363" s="68" t="s">
        <v>2700</v>
      </c>
      <c r="C363" s="8" t="s">
        <v>186</v>
      </c>
      <c r="D363" s="9" t="s">
        <v>258</v>
      </c>
      <c r="E363" s="9" t="s">
        <v>2694</v>
      </c>
      <c r="F363" s="9" t="s">
        <v>68</v>
      </c>
      <c r="G363" s="10">
        <v>500084.0</v>
      </c>
      <c r="H363" s="9" t="s">
        <v>389</v>
      </c>
      <c r="I363" s="11" t="str">
        <f>VLOOKUP(H363,Mapping!D:E,2,0)</f>
        <v>Kondapur</v>
      </c>
      <c r="J363" s="61" t="s">
        <v>390</v>
      </c>
      <c r="K363" s="12">
        <v>0.13</v>
      </c>
      <c r="L363" s="14" t="str">
        <f t="shared" si="27"/>
        <v>&lt;15%</v>
      </c>
      <c r="M363" s="13">
        <v>0.018</v>
      </c>
      <c r="N363" s="14"/>
      <c r="O363" s="43" t="s">
        <v>2700</v>
      </c>
      <c r="P363" s="15" t="s">
        <v>2167</v>
      </c>
      <c r="Q363" s="9" t="s">
        <v>2695</v>
      </c>
      <c r="R363" s="16" t="s">
        <v>2696</v>
      </c>
      <c r="S363" s="9" t="s">
        <v>68</v>
      </c>
      <c r="T363" s="9" t="s">
        <v>2697</v>
      </c>
      <c r="U363" s="9" t="s">
        <v>1139</v>
      </c>
      <c r="V363" s="17">
        <v>9.13010031284567E14</v>
      </c>
      <c r="W363" s="9" t="s">
        <v>2698</v>
      </c>
      <c r="X363" s="9" t="s">
        <v>56</v>
      </c>
      <c r="Y363" s="18" t="s">
        <v>57</v>
      </c>
      <c r="Z363" s="18" t="s">
        <v>58</v>
      </c>
      <c r="AA363" s="18" t="s">
        <v>57</v>
      </c>
      <c r="AB363" s="18" t="s">
        <v>57</v>
      </c>
      <c r="AC363" s="18" t="s">
        <v>57</v>
      </c>
      <c r="AD363" s="18" t="s">
        <v>58</v>
      </c>
      <c r="AE363" s="40" t="s">
        <v>2700</v>
      </c>
      <c r="AF363" s="40" t="s">
        <v>2699</v>
      </c>
      <c r="AG363" s="14"/>
      <c r="AH363" s="14"/>
      <c r="AI363" s="20"/>
      <c r="AJ363" s="14"/>
      <c r="AK363" s="14"/>
      <c r="AL363" s="14"/>
      <c r="AM363" s="14"/>
      <c r="AN363" s="14"/>
      <c r="AO363" s="14"/>
      <c r="AP363" s="14"/>
      <c r="AQ363" s="14"/>
      <c r="AR363" s="14"/>
    </row>
    <row r="364" ht="22.5" customHeight="1">
      <c r="A364" s="103">
        <v>46079.0</v>
      </c>
      <c r="B364" s="69" t="s">
        <v>2701</v>
      </c>
      <c r="C364" s="8" t="s">
        <v>45</v>
      </c>
      <c r="D364" s="9" t="s">
        <v>68</v>
      </c>
      <c r="E364" s="9" t="s">
        <v>2702</v>
      </c>
      <c r="F364" s="9" t="s">
        <v>68</v>
      </c>
      <c r="G364" s="10">
        <v>500089.0</v>
      </c>
      <c r="H364" s="9" t="s">
        <v>302</v>
      </c>
      <c r="I364" s="11" t="str">
        <f>VLOOKUP(H364,Mapping!D:E,2,0)</f>
        <v>manikonda</v>
      </c>
      <c r="J364" s="61" t="s">
        <v>303</v>
      </c>
      <c r="K364" s="12">
        <v>0.17</v>
      </c>
      <c r="L364" s="14" t="str">
        <f t="shared" si="27"/>
        <v>&lt;20%</v>
      </c>
      <c r="M364" s="13">
        <v>0.018</v>
      </c>
      <c r="N364" s="14"/>
      <c r="O364" s="9" t="s">
        <v>68</v>
      </c>
      <c r="P364" s="9" t="s">
        <v>68</v>
      </c>
      <c r="Q364" s="9" t="s">
        <v>68</v>
      </c>
      <c r="R364" s="9" t="s">
        <v>68</v>
      </c>
      <c r="S364" s="9" t="s">
        <v>68</v>
      </c>
      <c r="T364" s="9" t="s">
        <v>68</v>
      </c>
      <c r="U364" s="9" t="s">
        <v>68</v>
      </c>
      <c r="V364" s="9" t="s">
        <v>68</v>
      </c>
      <c r="W364" s="9" t="s">
        <v>68</v>
      </c>
      <c r="X364" s="9" t="s">
        <v>68</v>
      </c>
      <c r="Y364" s="18" t="s">
        <v>58</v>
      </c>
      <c r="Z364" s="18" t="s">
        <v>58</v>
      </c>
      <c r="AA364" s="18" t="s">
        <v>58</v>
      </c>
      <c r="AB364" s="18" t="s">
        <v>58</v>
      </c>
      <c r="AC364" s="18" t="s">
        <v>58</v>
      </c>
      <c r="AD364" s="18" t="s">
        <v>58</v>
      </c>
      <c r="AE364" s="14"/>
      <c r="AF364" s="14"/>
      <c r="AH364" s="9" t="s">
        <v>730</v>
      </c>
      <c r="AI364" s="20"/>
      <c r="AJ364" s="14"/>
      <c r="AK364" s="14"/>
      <c r="AL364" s="14"/>
      <c r="AM364" s="14"/>
      <c r="AN364" s="14"/>
      <c r="AO364" s="14"/>
      <c r="AP364" s="14"/>
      <c r="AQ364" s="14"/>
      <c r="AR364" s="14"/>
    </row>
    <row r="365" ht="22.5" customHeight="1">
      <c r="A365" s="103">
        <v>46079.0</v>
      </c>
      <c r="B365" s="69" t="s">
        <v>2703</v>
      </c>
      <c r="C365" s="8" t="s">
        <v>241</v>
      </c>
      <c r="D365" s="9" t="s">
        <v>258</v>
      </c>
      <c r="E365" s="9" t="s">
        <v>2704</v>
      </c>
      <c r="F365" s="9" t="s">
        <v>2705</v>
      </c>
      <c r="G365" s="10">
        <v>500081.0</v>
      </c>
      <c r="H365" s="9" t="s">
        <v>147</v>
      </c>
      <c r="I365" s="11" t="str">
        <f>VLOOKUP(H365,Mapping!D:E,2,0)</f>
        <v>madhapur</v>
      </c>
      <c r="J365" s="61" t="s">
        <v>148</v>
      </c>
      <c r="K365" s="12">
        <v>0.22</v>
      </c>
      <c r="L365" s="14" t="str">
        <f t="shared" si="27"/>
        <v>20%+</v>
      </c>
      <c r="M365" s="13">
        <v>0.018</v>
      </c>
      <c r="N365" s="9"/>
      <c r="O365" s="43" t="s">
        <v>2703</v>
      </c>
      <c r="P365" s="9" t="s">
        <v>2706</v>
      </c>
      <c r="Q365" s="9" t="s">
        <v>2705</v>
      </c>
      <c r="R365" s="16" t="s">
        <v>2707</v>
      </c>
      <c r="S365" s="9" t="s">
        <v>2708</v>
      </c>
      <c r="T365" s="9" t="s">
        <v>68</v>
      </c>
      <c r="U365" s="9" t="s">
        <v>68</v>
      </c>
      <c r="V365" s="9" t="s">
        <v>68</v>
      </c>
      <c r="W365" s="9" t="s">
        <v>68</v>
      </c>
      <c r="X365" s="9" t="s">
        <v>68</v>
      </c>
      <c r="Y365" s="18" t="s">
        <v>57</v>
      </c>
      <c r="Z365" s="18" t="s">
        <v>57</v>
      </c>
      <c r="AA365" s="18" t="s">
        <v>57</v>
      </c>
      <c r="AB365" s="18" t="s">
        <v>57</v>
      </c>
      <c r="AC365" s="18" t="s">
        <v>57</v>
      </c>
      <c r="AD365" s="18" t="s">
        <v>69</v>
      </c>
      <c r="AE365" s="39" t="s">
        <v>2709</v>
      </c>
      <c r="AF365" s="14"/>
      <c r="AH365" s="14"/>
      <c r="AI365" s="8" t="s">
        <v>71</v>
      </c>
      <c r="AJ365" s="14"/>
      <c r="AK365" s="14"/>
      <c r="AL365" s="14"/>
      <c r="AM365" s="14"/>
      <c r="AN365" s="14"/>
      <c r="AO365" s="14"/>
      <c r="AP365" s="14"/>
      <c r="AQ365" s="14"/>
      <c r="AR365" s="14"/>
    </row>
    <row r="366" ht="22.5" customHeight="1">
      <c r="A366" s="81">
        <v>46079.0</v>
      </c>
      <c r="B366" s="68" t="s">
        <v>2710</v>
      </c>
      <c r="C366" s="8" t="s">
        <v>241</v>
      </c>
      <c r="D366" s="9" t="s">
        <v>258</v>
      </c>
      <c r="E366" s="9" t="s">
        <v>2711</v>
      </c>
      <c r="F366" s="9" t="s">
        <v>2712</v>
      </c>
      <c r="G366" s="10">
        <v>500090.0</v>
      </c>
      <c r="H366" s="9" t="s">
        <v>1165</v>
      </c>
      <c r="I366" s="11" t="str">
        <f>VLOOKUP(H366,Mapping!D:E,2,0)</f>
        <v>kukatpally</v>
      </c>
      <c r="J366" s="61" t="s">
        <v>390</v>
      </c>
      <c r="K366" s="12">
        <v>0.22</v>
      </c>
      <c r="L366" s="14" t="str">
        <f t="shared" si="27"/>
        <v>20%+</v>
      </c>
      <c r="M366" s="13">
        <v>0.018</v>
      </c>
      <c r="N366" s="14"/>
      <c r="O366" s="9" t="s">
        <v>2713</v>
      </c>
      <c r="P366" s="9" t="s">
        <v>2714</v>
      </c>
      <c r="Q366" s="15" t="s">
        <v>2712</v>
      </c>
      <c r="R366" s="16" t="s">
        <v>2715</v>
      </c>
      <c r="S366" s="9" t="s">
        <v>2716</v>
      </c>
      <c r="T366" s="15" t="s">
        <v>2712</v>
      </c>
      <c r="U366" s="9" t="s">
        <v>1129</v>
      </c>
      <c r="V366" s="17">
        <v>6.2325087074E10</v>
      </c>
      <c r="W366" s="9" t="s">
        <v>2717</v>
      </c>
      <c r="X366" s="9" t="s">
        <v>56</v>
      </c>
      <c r="Y366" s="18" t="s">
        <v>57</v>
      </c>
      <c r="Z366" s="18" t="s">
        <v>69</v>
      </c>
      <c r="AA366" s="18" t="s">
        <v>57</v>
      </c>
      <c r="AB366" s="18" t="s">
        <v>57</v>
      </c>
      <c r="AC366" s="18" t="s">
        <v>57</v>
      </c>
      <c r="AD366" s="18" t="s">
        <v>69</v>
      </c>
      <c r="AE366" s="39" t="s">
        <v>2718</v>
      </c>
      <c r="AF366" s="14"/>
      <c r="AH366" s="14"/>
      <c r="AI366" s="20"/>
      <c r="AJ366" s="14"/>
      <c r="AK366" s="14"/>
      <c r="AL366" s="14"/>
      <c r="AM366" s="14"/>
      <c r="AN366" s="14"/>
      <c r="AO366" s="14"/>
      <c r="AP366" s="14"/>
      <c r="AQ366" s="14"/>
      <c r="AR366" s="14"/>
    </row>
    <row r="367" ht="22.5" customHeight="1">
      <c r="A367" s="103">
        <v>46079.0</v>
      </c>
      <c r="B367" s="69" t="s">
        <v>2719</v>
      </c>
      <c r="C367" s="8" t="s">
        <v>144</v>
      </c>
      <c r="D367" s="9" t="s">
        <v>61</v>
      </c>
      <c r="E367" s="9" t="s">
        <v>2720</v>
      </c>
      <c r="F367" s="9" t="s">
        <v>68</v>
      </c>
      <c r="G367" s="10">
        <v>500089.0</v>
      </c>
      <c r="H367" s="9" t="s">
        <v>302</v>
      </c>
      <c r="I367" s="11" t="str">
        <f>VLOOKUP(H367,Mapping!D:E,2,0)</f>
        <v>manikonda</v>
      </c>
      <c r="J367" s="61" t="s">
        <v>303</v>
      </c>
      <c r="K367" s="12">
        <v>0.18</v>
      </c>
      <c r="L367" s="14" t="str">
        <f t="shared" si="27"/>
        <v>&lt;20%</v>
      </c>
      <c r="M367" s="13">
        <v>0.018</v>
      </c>
      <c r="N367" s="9"/>
      <c r="O367" s="10" t="s">
        <v>68</v>
      </c>
      <c r="P367" s="10" t="s">
        <v>68</v>
      </c>
      <c r="Q367" s="10" t="s">
        <v>68</v>
      </c>
      <c r="R367" s="10" t="s">
        <v>68</v>
      </c>
      <c r="S367" s="10" t="s">
        <v>68</v>
      </c>
      <c r="T367" s="10" t="s">
        <v>68</v>
      </c>
      <c r="U367" s="10" t="s">
        <v>68</v>
      </c>
      <c r="V367" s="10" t="s">
        <v>68</v>
      </c>
      <c r="W367" s="10" t="s">
        <v>68</v>
      </c>
      <c r="X367" s="10" t="s">
        <v>68</v>
      </c>
      <c r="Y367" s="18" t="s">
        <v>57</v>
      </c>
      <c r="Z367" s="18" t="s">
        <v>57</v>
      </c>
      <c r="AA367" s="18" t="s">
        <v>57</v>
      </c>
      <c r="AB367" s="18" t="s">
        <v>57</v>
      </c>
      <c r="AC367" s="14"/>
      <c r="AD367" s="14"/>
      <c r="AE367" s="14"/>
      <c r="AF367" s="14"/>
      <c r="AH367" s="14"/>
      <c r="AI367" s="20"/>
      <c r="AJ367" s="14"/>
      <c r="AK367" s="14"/>
      <c r="AL367" s="14"/>
      <c r="AM367" s="14"/>
      <c r="AN367" s="14"/>
      <c r="AO367" s="14"/>
      <c r="AP367" s="14"/>
      <c r="AQ367" s="14"/>
      <c r="AR367" s="14"/>
    </row>
    <row r="368" ht="22.5" customHeight="1">
      <c r="A368" s="103">
        <v>46079.0</v>
      </c>
      <c r="B368" s="69" t="s">
        <v>2721</v>
      </c>
      <c r="C368" s="8" t="s">
        <v>241</v>
      </c>
      <c r="D368" s="9" t="s">
        <v>258</v>
      </c>
      <c r="E368" s="9" t="s">
        <v>68</v>
      </c>
      <c r="F368" s="9" t="s">
        <v>68</v>
      </c>
      <c r="G368" s="9" t="s">
        <v>68</v>
      </c>
      <c r="H368" s="9" t="s">
        <v>68</v>
      </c>
      <c r="I368" s="9" t="s">
        <v>2722</v>
      </c>
      <c r="J368" s="11" t="str">
        <f>VLOOKUP(I368,Mapping!A:B,2,0)</f>
        <v>Zone 4 Hi-tech City</v>
      </c>
      <c r="K368" s="12">
        <v>0.22</v>
      </c>
      <c r="L368" s="14" t="str">
        <f t="shared" si="27"/>
        <v>20%+</v>
      </c>
      <c r="M368" s="13">
        <v>0.018</v>
      </c>
      <c r="N368" s="14"/>
      <c r="O368" s="43" t="s">
        <v>2721</v>
      </c>
      <c r="P368" s="9" t="s">
        <v>68</v>
      </c>
      <c r="Q368" s="15" t="s">
        <v>68</v>
      </c>
      <c r="R368" s="16" t="s">
        <v>2723</v>
      </c>
      <c r="S368" s="9" t="s">
        <v>2724</v>
      </c>
      <c r="T368" s="9" t="s">
        <v>68</v>
      </c>
      <c r="U368" s="9" t="s">
        <v>68</v>
      </c>
      <c r="V368" s="9" t="s">
        <v>68</v>
      </c>
      <c r="W368" s="9" t="s">
        <v>68</v>
      </c>
      <c r="X368" s="9" t="s">
        <v>68</v>
      </c>
      <c r="Y368" s="18" t="s">
        <v>58</v>
      </c>
      <c r="Z368" s="18" t="s">
        <v>58</v>
      </c>
      <c r="AA368" s="18" t="s">
        <v>58</v>
      </c>
      <c r="AB368" s="18" t="s">
        <v>58</v>
      </c>
      <c r="AC368" s="18" t="s">
        <v>58</v>
      </c>
      <c r="AD368" s="18" t="s">
        <v>69</v>
      </c>
      <c r="AE368" s="14"/>
      <c r="AF368" s="14"/>
      <c r="AH368" s="14"/>
      <c r="AI368" s="20"/>
      <c r="AJ368" s="14"/>
      <c r="AK368" s="14"/>
      <c r="AL368" s="14"/>
      <c r="AM368" s="14"/>
      <c r="AN368" s="14"/>
      <c r="AO368" s="14"/>
      <c r="AP368" s="14"/>
      <c r="AQ368" s="14"/>
      <c r="AR368" s="14"/>
    </row>
    <row r="369" ht="22.5" customHeight="1">
      <c r="A369" s="103">
        <v>46079.0</v>
      </c>
      <c r="B369" s="97" t="s">
        <v>2725</v>
      </c>
      <c r="C369" s="8" t="s">
        <v>96</v>
      </c>
      <c r="D369" s="9" t="s">
        <v>61</v>
      </c>
      <c r="E369" s="39" t="s">
        <v>2726</v>
      </c>
      <c r="F369" s="9" t="s">
        <v>2727</v>
      </c>
      <c r="G369" s="10">
        <v>500081.0</v>
      </c>
      <c r="H369" s="9" t="s">
        <v>147</v>
      </c>
      <c r="I369" s="11" t="str">
        <f>VLOOKUP(H369,Mapping!D:E,2,0)</f>
        <v>madhapur</v>
      </c>
      <c r="J369" s="61" t="s">
        <v>148</v>
      </c>
      <c r="K369" s="12">
        <v>0.22</v>
      </c>
      <c r="L369" s="14" t="str">
        <f t="shared" si="27"/>
        <v>20%+</v>
      </c>
      <c r="M369" s="13">
        <v>0.018</v>
      </c>
      <c r="N369" s="14"/>
      <c r="O369" s="43" t="s">
        <v>2725</v>
      </c>
      <c r="P369" s="39" t="s">
        <v>2728</v>
      </c>
      <c r="Q369" s="9" t="s">
        <v>2727</v>
      </c>
      <c r="R369" s="16" t="s">
        <v>2729</v>
      </c>
      <c r="S369" s="9" t="s">
        <v>2730</v>
      </c>
      <c r="T369" s="15" t="s">
        <v>2725</v>
      </c>
      <c r="U369" s="9" t="s">
        <v>1014</v>
      </c>
      <c r="V369" s="17">
        <v>5.0200115430462E13</v>
      </c>
      <c r="W369" s="9" t="s">
        <v>2731</v>
      </c>
      <c r="X369" s="9" t="s">
        <v>80</v>
      </c>
      <c r="Y369" s="18" t="s">
        <v>57</v>
      </c>
      <c r="Z369" s="18" t="s">
        <v>58</v>
      </c>
      <c r="AA369" s="18" t="s">
        <v>57</v>
      </c>
      <c r="AB369" s="18" t="s">
        <v>57</v>
      </c>
      <c r="AC369" s="18" t="s">
        <v>57</v>
      </c>
      <c r="AD369" s="18" t="s">
        <v>58</v>
      </c>
      <c r="AE369" s="35" t="s">
        <v>2732</v>
      </c>
      <c r="AF369" s="14"/>
      <c r="AH369" s="14"/>
      <c r="AI369" s="20"/>
      <c r="AJ369" s="14"/>
      <c r="AK369" s="14"/>
      <c r="AL369" s="14"/>
      <c r="AM369" s="14"/>
      <c r="AN369" s="14"/>
      <c r="AO369" s="14"/>
      <c r="AP369" s="14"/>
      <c r="AQ369" s="14"/>
      <c r="AR369" s="14"/>
    </row>
    <row r="370" ht="22.5" customHeight="1">
      <c r="A370" s="103">
        <v>46079.0</v>
      </c>
      <c r="B370" s="68" t="s">
        <v>2733</v>
      </c>
      <c r="C370" s="8" t="s">
        <v>241</v>
      </c>
      <c r="D370" s="9" t="s">
        <v>258</v>
      </c>
      <c r="E370" s="9" t="s">
        <v>2711</v>
      </c>
      <c r="F370" s="9" t="s">
        <v>2712</v>
      </c>
      <c r="G370" s="10">
        <v>500090.0</v>
      </c>
      <c r="H370" s="9" t="s">
        <v>1165</v>
      </c>
      <c r="I370" s="11" t="str">
        <f>VLOOKUP(H370,Mapping!D:E,2,0)</f>
        <v>kukatpally</v>
      </c>
      <c r="J370" s="61" t="s">
        <v>390</v>
      </c>
      <c r="K370" s="12">
        <v>0.22</v>
      </c>
      <c r="L370" s="14" t="str">
        <f t="shared" si="27"/>
        <v>20%+</v>
      </c>
      <c r="M370" s="13">
        <v>0.018</v>
      </c>
      <c r="N370" s="14"/>
      <c r="O370" s="9" t="s">
        <v>2713</v>
      </c>
      <c r="P370" s="9" t="s">
        <v>2714</v>
      </c>
      <c r="Q370" s="15" t="s">
        <v>2712</v>
      </c>
      <c r="R370" s="16" t="s">
        <v>2715</v>
      </c>
      <c r="S370" s="9" t="s">
        <v>2716</v>
      </c>
      <c r="T370" s="15" t="s">
        <v>2712</v>
      </c>
      <c r="U370" s="9" t="s">
        <v>1129</v>
      </c>
      <c r="V370" s="17">
        <v>6.2325087074E10</v>
      </c>
      <c r="W370" s="9" t="s">
        <v>2717</v>
      </c>
      <c r="X370" s="9" t="s">
        <v>56</v>
      </c>
      <c r="Y370" s="18" t="s">
        <v>57</v>
      </c>
      <c r="Z370" s="18" t="s">
        <v>69</v>
      </c>
      <c r="AA370" s="18" t="s">
        <v>57</v>
      </c>
      <c r="AB370" s="18" t="s">
        <v>57</v>
      </c>
      <c r="AC370" s="18" t="s">
        <v>57</v>
      </c>
      <c r="AD370" s="18" t="s">
        <v>69</v>
      </c>
      <c r="AE370" s="39" t="s">
        <v>2718</v>
      </c>
      <c r="AF370" s="14"/>
      <c r="AH370" s="14"/>
      <c r="AI370" s="20"/>
      <c r="AJ370" s="14"/>
      <c r="AK370" s="14"/>
      <c r="AL370" s="14"/>
      <c r="AM370" s="14"/>
      <c r="AN370" s="14"/>
      <c r="AO370" s="14"/>
      <c r="AP370" s="14"/>
      <c r="AQ370" s="14"/>
      <c r="AR370" s="14"/>
    </row>
    <row r="371" ht="22.5" customHeight="1">
      <c r="A371" s="110">
        <v>46079.0</v>
      </c>
      <c r="B371" s="110" t="s">
        <v>2734</v>
      </c>
      <c r="C371" s="8" t="s">
        <v>241</v>
      </c>
      <c r="D371" s="9" t="s">
        <v>258</v>
      </c>
      <c r="E371" s="9" t="s">
        <v>2711</v>
      </c>
      <c r="F371" s="9" t="s">
        <v>2712</v>
      </c>
      <c r="G371" s="10">
        <v>500090.0</v>
      </c>
      <c r="H371" s="9" t="s">
        <v>1165</v>
      </c>
      <c r="I371" s="11" t="str">
        <f>VLOOKUP(H371,Mapping!D:E,2,0)</f>
        <v>kukatpally</v>
      </c>
      <c r="J371" s="61" t="s">
        <v>390</v>
      </c>
      <c r="K371" s="12">
        <v>0.22</v>
      </c>
      <c r="L371" s="14" t="str">
        <f t="shared" si="27"/>
        <v>20%+</v>
      </c>
      <c r="M371" s="13">
        <v>0.018</v>
      </c>
      <c r="N371" s="14"/>
      <c r="O371" s="9" t="s">
        <v>2713</v>
      </c>
      <c r="P371" s="9" t="s">
        <v>2714</v>
      </c>
      <c r="Q371" s="15" t="s">
        <v>2712</v>
      </c>
      <c r="R371" s="16" t="s">
        <v>2715</v>
      </c>
      <c r="S371" s="9" t="s">
        <v>2716</v>
      </c>
      <c r="T371" s="15" t="s">
        <v>2712</v>
      </c>
      <c r="U371" s="9" t="s">
        <v>1129</v>
      </c>
      <c r="V371" s="17">
        <v>6.2325087074E10</v>
      </c>
      <c r="W371" s="9" t="s">
        <v>2717</v>
      </c>
      <c r="X371" s="9" t="s">
        <v>56</v>
      </c>
      <c r="Y371" s="18" t="s">
        <v>57</v>
      </c>
      <c r="Z371" s="18" t="s">
        <v>58</v>
      </c>
      <c r="AA371" s="18" t="s">
        <v>57</v>
      </c>
      <c r="AB371" s="18" t="s">
        <v>57</v>
      </c>
      <c r="AC371" s="18" t="s">
        <v>57</v>
      </c>
      <c r="AD371" s="18" t="s">
        <v>69</v>
      </c>
      <c r="AE371" s="39" t="s">
        <v>2718</v>
      </c>
      <c r="AF371" s="14"/>
      <c r="AH371" s="14"/>
      <c r="AI371" s="20"/>
      <c r="AJ371" s="14"/>
      <c r="AK371" s="14"/>
      <c r="AL371" s="14"/>
      <c r="AM371" s="14"/>
      <c r="AN371" s="14"/>
      <c r="AO371" s="14"/>
      <c r="AP371" s="14"/>
      <c r="AQ371" s="14"/>
      <c r="AR371" s="14"/>
    </row>
    <row r="372" ht="22.5" customHeight="1">
      <c r="A372" s="74">
        <v>46079.0</v>
      </c>
      <c r="B372" s="68" t="s">
        <v>2735</v>
      </c>
      <c r="C372" s="8" t="s">
        <v>241</v>
      </c>
      <c r="D372" s="9" t="s">
        <v>258</v>
      </c>
      <c r="E372" s="9" t="s">
        <v>2711</v>
      </c>
      <c r="F372" s="9" t="s">
        <v>2712</v>
      </c>
      <c r="G372" s="10">
        <v>500090.0</v>
      </c>
      <c r="H372" s="9" t="s">
        <v>1165</v>
      </c>
      <c r="I372" s="11" t="str">
        <f>VLOOKUP(H372,Mapping!D:E,2,0)</f>
        <v>kukatpally</v>
      </c>
      <c r="J372" s="61" t="s">
        <v>390</v>
      </c>
      <c r="K372" s="12">
        <v>0.22</v>
      </c>
      <c r="L372" s="14" t="str">
        <f t="shared" si="27"/>
        <v>20%+</v>
      </c>
      <c r="M372" s="13">
        <v>0.018</v>
      </c>
      <c r="N372" s="9" t="s">
        <v>68</v>
      </c>
      <c r="O372" s="9" t="s">
        <v>2713</v>
      </c>
      <c r="P372" s="9" t="s">
        <v>2714</v>
      </c>
      <c r="Q372" s="15" t="s">
        <v>2712</v>
      </c>
      <c r="R372" s="16" t="s">
        <v>2715</v>
      </c>
      <c r="S372" s="9" t="s">
        <v>2716</v>
      </c>
      <c r="T372" s="15" t="s">
        <v>2712</v>
      </c>
      <c r="U372" s="9" t="s">
        <v>1129</v>
      </c>
      <c r="V372" s="17">
        <v>6.2325087074E10</v>
      </c>
      <c r="W372" s="9" t="s">
        <v>2717</v>
      </c>
      <c r="X372" s="9" t="s">
        <v>56</v>
      </c>
      <c r="Y372" s="18" t="s">
        <v>57</v>
      </c>
      <c r="Z372" s="18" t="s">
        <v>69</v>
      </c>
      <c r="AA372" s="18" t="s">
        <v>57</v>
      </c>
      <c r="AB372" s="18" t="s">
        <v>57</v>
      </c>
      <c r="AC372" s="18" t="s">
        <v>57</v>
      </c>
      <c r="AD372" s="18" t="s">
        <v>69</v>
      </c>
      <c r="AE372" s="39" t="s">
        <v>2718</v>
      </c>
      <c r="AF372" s="14"/>
      <c r="AH372" s="14"/>
      <c r="AI372" s="20"/>
      <c r="AJ372" s="14"/>
      <c r="AK372" s="14"/>
      <c r="AL372" s="14"/>
      <c r="AM372" s="14"/>
      <c r="AN372" s="14"/>
      <c r="AO372" s="14"/>
      <c r="AP372" s="14"/>
      <c r="AQ372" s="14"/>
      <c r="AR372" s="14"/>
    </row>
    <row r="373" ht="22.5" customHeight="1">
      <c r="A373" s="103">
        <v>46079.0</v>
      </c>
      <c r="B373" s="69" t="s">
        <v>2736</v>
      </c>
      <c r="C373" s="8" t="s">
        <v>144</v>
      </c>
      <c r="D373" s="9" t="s">
        <v>258</v>
      </c>
      <c r="E373" s="9" t="s">
        <v>2737</v>
      </c>
      <c r="F373" s="9" t="s">
        <v>2738</v>
      </c>
      <c r="G373" s="10">
        <v>500089.0</v>
      </c>
      <c r="H373" s="9" t="s">
        <v>302</v>
      </c>
      <c r="I373" s="11" t="str">
        <f>VLOOKUP(H373,Mapping!D:E,2,0)</f>
        <v>manikonda</v>
      </c>
      <c r="J373" s="61" t="s">
        <v>303</v>
      </c>
      <c r="K373" s="12">
        <v>0.18</v>
      </c>
      <c r="L373" s="14" t="str">
        <f t="shared" si="27"/>
        <v>&lt;20%</v>
      </c>
      <c r="M373" s="13">
        <v>0.018</v>
      </c>
      <c r="N373" s="9"/>
      <c r="O373" s="167" t="s">
        <v>68</v>
      </c>
      <c r="P373" s="10" t="s">
        <v>68</v>
      </c>
      <c r="Q373" s="9" t="s">
        <v>2738</v>
      </c>
      <c r="R373" s="10" t="s">
        <v>68</v>
      </c>
      <c r="S373" s="9" t="s">
        <v>2739</v>
      </c>
      <c r="T373" s="10" t="s">
        <v>68</v>
      </c>
      <c r="U373" s="10" t="s">
        <v>68</v>
      </c>
      <c r="V373" s="10" t="s">
        <v>68</v>
      </c>
      <c r="W373" s="10" t="s">
        <v>68</v>
      </c>
      <c r="X373" s="10" t="s">
        <v>68</v>
      </c>
      <c r="Y373" s="18" t="s">
        <v>57</v>
      </c>
      <c r="Z373" s="18" t="s">
        <v>58</v>
      </c>
      <c r="AA373" s="18" t="s">
        <v>57</v>
      </c>
      <c r="AB373" s="18" t="s">
        <v>58</v>
      </c>
      <c r="AC373" s="14"/>
      <c r="AD373" s="14"/>
      <c r="AE373" s="14"/>
      <c r="AF373" s="14"/>
      <c r="AH373" s="14"/>
      <c r="AI373" s="20"/>
      <c r="AJ373" s="14"/>
      <c r="AK373" s="14"/>
      <c r="AL373" s="14"/>
      <c r="AM373" s="14"/>
      <c r="AN373" s="14"/>
      <c r="AO373" s="14"/>
      <c r="AP373" s="14"/>
      <c r="AQ373" s="14"/>
      <c r="AR373" s="14"/>
    </row>
    <row r="374" ht="22.5" customHeight="1">
      <c r="A374" s="103">
        <v>46079.0</v>
      </c>
      <c r="B374" s="69" t="s">
        <v>2740</v>
      </c>
      <c r="C374" s="8" t="s">
        <v>45</v>
      </c>
      <c r="D374" s="9" t="s">
        <v>258</v>
      </c>
      <c r="E374" s="9" t="s">
        <v>68</v>
      </c>
      <c r="F374" s="9" t="s">
        <v>68</v>
      </c>
      <c r="G374" s="10" t="s">
        <v>68</v>
      </c>
      <c r="H374" s="10" t="s">
        <v>68</v>
      </c>
      <c r="I374" s="9" t="s">
        <v>1038</v>
      </c>
      <c r="J374" s="61" t="s">
        <v>303</v>
      </c>
      <c r="K374" s="12">
        <v>0.18</v>
      </c>
      <c r="L374" s="14" t="str">
        <f t="shared" si="27"/>
        <v>&lt;20%</v>
      </c>
      <c r="M374" s="13">
        <v>0.018</v>
      </c>
      <c r="N374" s="14"/>
      <c r="O374" s="9" t="s">
        <v>68</v>
      </c>
      <c r="P374" s="9" t="s">
        <v>68</v>
      </c>
      <c r="Q374" s="9" t="s">
        <v>68</v>
      </c>
      <c r="R374" s="9" t="s">
        <v>68</v>
      </c>
      <c r="S374" s="9" t="s">
        <v>68</v>
      </c>
      <c r="T374" s="9" t="s">
        <v>68</v>
      </c>
      <c r="U374" s="9" t="s">
        <v>68</v>
      </c>
      <c r="V374" s="9" t="s">
        <v>68</v>
      </c>
      <c r="W374" s="9" t="s">
        <v>68</v>
      </c>
      <c r="X374" s="9" t="s">
        <v>68</v>
      </c>
      <c r="Y374" s="18" t="s">
        <v>58</v>
      </c>
      <c r="Z374" s="18" t="s">
        <v>58</v>
      </c>
      <c r="AA374" s="18" t="s">
        <v>58</v>
      </c>
      <c r="AB374" s="18" t="s">
        <v>58</v>
      </c>
      <c r="AC374" s="18" t="s">
        <v>58</v>
      </c>
      <c r="AD374" s="18" t="s">
        <v>58</v>
      </c>
      <c r="AE374" s="14"/>
      <c r="AF374" s="14"/>
      <c r="AH374" s="9" t="s">
        <v>730</v>
      </c>
      <c r="AI374" s="20"/>
      <c r="AJ374" s="14"/>
      <c r="AK374" s="14"/>
      <c r="AL374" s="14"/>
      <c r="AM374" s="14"/>
      <c r="AN374" s="14"/>
      <c r="AO374" s="14"/>
      <c r="AP374" s="14"/>
      <c r="AQ374" s="14"/>
      <c r="AR374" s="14"/>
    </row>
    <row r="375" ht="22.5" customHeight="1">
      <c r="A375" s="68">
        <v>46079.0</v>
      </c>
      <c r="B375" s="69" t="s">
        <v>2740</v>
      </c>
      <c r="C375" s="8" t="s">
        <v>45</v>
      </c>
      <c r="D375" s="9" t="s">
        <v>258</v>
      </c>
      <c r="E375" s="9" t="s">
        <v>68</v>
      </c>
      <c r="F375" s="9" t="s">
        <v>68</v>
      </c>
      <c r="G375" s="10">
        <v>500008.0</v>
      </c>
      <c r="H375" s="9" t="s">
        <v>302</v>
      </c>
      <c r="I375" s="11" t="str">
        <f>VLOOKUP(H375,Mapping!D:E,2,0)</f>
        <v>manikonda</v>
      </c>
      <c r="J375" s="61" t="s">
        <v>303</v>
      </c>
      <c r="K375" s="12">
        <v>0.18</v>
      </c>
      <c r="L375" s="14" t="str">
        <f t="shared" si="27"/>
        <v>&lt;20%</v>
      </c>
      <c r="M375" s="13">
        <v>0.018</v>
      </c>
      <c r="N375" s="14"/>
      <c r="O375" s="9" t="s">
        <v>68</v>
      </c>
      <c r="P375" s="9" t="s">
        <v>68</v>
      </c>
      <c r="Q375" s="9" t="s">
        <v>68</v>
      </c>
      <c r="R375" s="9" t="s">
        <v>68</v>
      </c>
      <c r="S375" s="9" t="s">
        <v>68</v>
      </c>
      <c r="T375" s="9" t="s">
        <v>68</v>
      </c>
      <c r="U375" s="9" t="s">
        <v>68</v>
      </c>
      <c r="V375" s="9" t="s">
        <v>68</v>
      </c>
      <c r="W375" s="9" t="s">
        <v>68</v>
      </c>
      <c r="X375" s="9" t="s">
        <v>68</v>
      </c>
      <c r="Y375" s="18" t="s">
        <v>58</v>
      </c>
      <c r="Z375" s="18" t="s">
        <v>58</v>
      </c>
      <c r="AA375" s="18" t="s">
        <v>58</v>
      </c>
      <c r="AB375" s="18" t="s">
        <v>58</v>
      </c>
      <c r="AC375" s="18" t="s">
        <v>58</v>
      </c>
      <c r="AD375" s="18" t="s">
        <v>58</v>
      </c>
      <c r="AE375" s="14"/>
      <c r="AF375" s="14"/>
      <c r="AH375" s="9" t="s">
        <v>730</v>
      </c>
      <c r="AI375" s="20"/>
      <c r="AJ375" s="14"/>
      <c r="AK375" s="14"/>
      <c r="AL375" s="14"/>
      <c r="AM375" s="14"/>
      <c r="AN375" s="14"/>
      <c r="AO375" s="14"/>
      <c r="AP375" s="14"/>
      <c r="AQ375" s="14"/>
      <c r="AR375" s="14"/>
    </row>
    <row r="376" ht="22.5" customHeight="1">
      <c r="A376" s="103">
        <v>46079.0</v>
      </c>
      <c r="B376" s="68" t="s">
        <v>2741</v>
      </c>
      <c r="C376" s="8" t="s">
        <v>186</v>
      </c>
      <c r="D376" s="9" t="s">
        <v>258</v>
      </c>
      <c r="E376" s="39" t="s">
        <v>2742</v>
      </c>
      <c r="F376" s="9" t="s">
        <v>68</v>
      </c>
      <c r="G376" s="10">
        <v>500081.0</v>
      </c>
      <c r="H376" s="9" t="s">
        <v>2089</v>
      </c>
      <c r="I376" s="11" t="str">
        <f>VLOOKUP(H376,Mapping!D:E,2,0)</f>
        <v>Hitech-City</v>
      </c>
      <c r="J376" s="61" t="s">
        <v>148</v>
      </c>
      <c r="K376" s="12">
        <v>0.23</v>
      </c>
      <c r="L376" s="14" t="str">
        <f t="shared" si="27"/>
        <v>20%+</v>
      </c>
      <c r="M376" s="13">
        <v>0.018</v>
      </c>
      <c r="N376" s="14"/>
      <c r="O376" s="9" t="s">
        <v>2743</v>
      </c>
      <c r="P376" s="9" t="s">
        <v>2744</v>
      </c>
      <c r="Q376" s="9" t="s">
        <v>2745</v>
      </c>
      <c r="R376" s="16" t="s">
        <v>2746</v>
      </c>
      <c r="S376" s="9" t="s">
        <v>68</v>
      </c>
      <c r="T376" s="9" t="s">
        <v>2743</v>
      </c>
      <c r="U376" s="9" t="s">
        <v>1139</v>
      </c>
      <c r="V376" s="17" t="s">
        <v>2747</v>
      </c>
      <c r="W376" s="9" t="s">
        <v>2748</v>
      </c>
      <c r="X376" s="9" t="s">
        <v>56</v>
      </c>
      <c r="Y376" s="18" t="s">
        <v>57</v>
      </c>
      <c r="Z376" s="18" t="s">
        <v>58</v>
      </c>
      <c r="AA376" s="18" t="s">
        <v>57</v>
      </c>
      <c r="AB376" s="18" t="s">
        <v>57</v>
      </c>
      <c r="AC376" s="18" t="s">
        <v>57</v>
      </c>
      <c r="AD376" s="18" t="s">
        <v>58</v>
      </c>
      <c r="AE376" s="40" t="s">
        <v>2749</v>
      </c>
      <c r="AF376" s="39" t="s">
        <v>2750</v>
      </c>
      <c r="AG376" s="14"/>
      <c r="AH376" s="14"/>
      <c r="AI376" s="20"/>
      <c r="AJ376" s="14"/>
      <c r="AK376" s="14"/>
      <c r="AL376" s="14"/>
      <c r="AM376" s="14"/>
      <c r="AN376" s="14"/>
      <c r="AO376" s="14"/>
      <c r="AP376" s="14"/>
      <c r="AQ376" s="14"/>
      <c r="AR376" s="14"/>
    </row>
    <row r="377" ht="22.5" customHeight="1">
      <c r="A377" s="103">
        <v>46079.0</v>
      </c>
      <c r="B377" s="68" t="s">
        <v>2751</v>
      </c>
      <c r="C377" s="8" t="s">
        <v>241</v>
      </c>
      <c r="D377" s="9" t="s">
        <v>258</v>
      </c>
      <c r="E377" s="9" t="s">
        <v>68</v>
      </c>
      <c r="F377" s="9" t="s">
        <v>68</v>
      </c>
      <c r="G377" s="9" t="s">
        <v>68</v>
      </c>
      <c r="H377" s="9" t="s">
        <v>68</v>
      </c>
      <c r="I377" s="9" t="s">
        <v>2752</v>
      </c>
      <c r="J377" s="11"/>
      <c r="K377" s="12">
        <v>0.2</v>
      </c>
      <c r="L377" s="9" t="s">
        <v>68</v>
      </c>
      <c r="M377" s="13">
        <v>0.018</v>
      </c>
      <c r="N377" s="9"/>
      <c r="O377" s="9" t="s">
        <v>68</v>
      </c>
      <c r="P377" s="9" t="s">
        <v>68</v>
      </c>
      <c r="Q377" s="9" t="s">
        <v>68</v>
      </c>
      <c r="R377" s="9" t="s">
        <v>68</v>
      </c>
      <c r="S377" s="9" t="s">
        <v>68</v>
      </c>
      <c r="T377" s="9" t="s">
        <v>68</v>
      </c>
      <c r="U377" s="9" t="s">
        <v>68</v>
      </c>
      <c r="V377" s="9" t="s">
        <v>68</v>
      </c>
      <c r="W377" s="9" t="s">
        <v>68</v>
      </c>
      <c r="X377" s="9" t="s">
        <v>68</v>
      </c>
      <c r="Y377" s="18" t="s">
        <v>58</v>
      </c>
      <c r="Z377" s="18" t="s">
        <v>58</v>
      </c>
      <c r="AA377" s="18" t="s">
        <v>58</v>
      </c>
      <c r="AB377" s="18" t="s">
        <v>58</v>
      </c>
      <c r="AC377" s="18" t="s">
        <v>58</v>
      </c>
      <c r="AD377" s="18" t="s">
        <v>69</v>
      </c>
      <c r="AE377" s="14"/>
      <c r="AF377" s="14"/>
      <c r="AH377" s="14"/>
      <c r="AI377" s="20"/>
      <c r="AJ377" s="14"/>
      <c r="AK377" s="14"/>
      <c r="AL377" s="14"/>
      <c r="AM377" s="14"/>
      <c r="AN377" s="14"/>
      <c r="AO377" s="14"/>
      <c r="AP377" s="14"/>
      <c r="AQ377" s="14"/>
      <c r="AR377" s="14"/>
    </row>
    <row r="378" ht="22.5" customHeight="1">
      <c r="A378" s="68">
        <v>46079.0</v>
      </c>
      <c r="B378" s="69" t="s">
        <v>2753</v>
      </c>
      <c r="C378" s="8" t="s">
        <v>241</v>
      </c>
      <c r="D378" s="9" t="s">
        <v>258</v>
      </c>
      <c r="E378" s="39" t="s">
        <v>2754</v>
      </c>
      <c r="F378" s="9" t="s">
        <v>2755</v>
      </c>
      <c r="G378" s="10">
        <v>500081.0</v>
      </c>
      <c r="H378" s="9" t="s">
        <v>147</v>
      </c>
      <c r="I378" s="11" t="str">
        <f>VLOOKUP(H378,Mapping!D:E,2,0)</f>
        <v>madhapur</v>
      </c>
      <c r="J378" s="61" t="s">
        <v>148</v>
      </c>
      <c r="K378" s="12">
        <v>0.22</v>
      </c>
      <c r="L378" s="14" t="str">
        <f t="shared" ref="L378:L425" si="28">if(K378=0,"0",(if(K378&lt;15%,"&lt;15%",if(K378&lt;17%,"&lt;17%",IF(K378&lt;20%,"&lt;20%","20%+")))))</f>
        <v>20%+</v>
      </c>
      <c r="M378" s="13">
        <v>0.018</v>
      </c>
      <c r="N378" s="9"/>
      <c r="O378" s="43" t="s">
        <v>2753</v>
      </c>
      <c r="P378" s="99" t="s">
        <v>2756</v>
      </c>
      <c r="Q378" s="9" t="s">
        <v>2755</v>
      </c>
      <c r="R378" s="60" t="s">
        <v>2757</v>
      </c>
      <c r="S378" s="16" t="s">
        <v>2758</v>
      </c>
      <c r="T378" s="9" t="s">
        <v>2759</v>
      </c>
      <c r="U378" s="9" t="s">
        <v>254</v>
      </c>
      <c r="V378" s="67">
        <v>4.312229258E9</v>
      </c>
      <c r="W378" s="17" t="s">
        <v>443</v>
      </c>
      <c r="X378" s="9" t="s">
        <v>56</v>
      </c>
      <c r="Y378" s="18" t="s">
        <v>57</v>
      </c>
      <c r="Z378" s="18" t="s">
        <v>69</v>
      </c>
      <c r="AA378" s="18" t="s">
        <v>57</v>
      </c>
      <c r="AB378" s="18" t="s">
        <v>57</v>
      </c>
      <c r="AC378" s="18" t="s">
        <v>57</v>
      </c>
      <c r="AD378" s="18" t="s">
        <v>69</v>
      </c>
      <c r="AE378" s="33" t="s">
        <v>2760</v>
      </c>
      <c r="AF378" s="14"/>
      <c r="AH378" s="14"/>
      <c r="AI378" s="20"/>
      <c r="AJ378" s="14"/>
      <c r="AK378" s="14"/>
      <c r="AL378" s="14"/>
      <c r="AM378" s="14"/>
      <c r="AN378" s="14"/>
      <c r="AO378" s="14"/>
      <c r="AP378" s="14"/>
      <c r="AQ378" s="14"/>
      <c r="AR378" s="14"/>
    </row>
    <row r="379" ht="22.5" customHeight="1">
      <c r="A379" s="158">
        <v>46079.0</v>
      </c>
      <c r="B379" s="110" t="s">
        <v>2761</v>
      </c>
      <c r="C379" s="8" t="s">
        <v>241</v>
      </c>
      <c r="D379" s="9" t="s">
        <v>258</v>
      </c>
      <c r="E379" s="9" t="s">
        <v>2762</v>
      </c>
      <c r="F379" s="9" t="s">
        <v>2763</v>
      </c>
      <c r="G379" s="10">
        <v>500016.0</v>
      </c>
      <c r="H379" s="9" t="s">
        <v>203</v>
      </c>
      <c r="I379" s="11" t="str">
        <f>VLOOKUP(H379,Mapping!D:E,2,0)</f>
        <v>panjagutta</v>
      </c>
      <c r="J379" s="61" t="s">
        <v>161</v>
      </c>
      <c r="K379" s="12">
        <v>0.22</v>
      </c>
      <c r="L379" s="14" t="str">
        <f t="shared" si="28"/>
        <v>20%+</v>
      </c>
      <c r="M379" s="13">
        <v>0.018</v>
      </c>
      <c r="N379" s="14"/>
      <c r="O379" s="133" t="s">
        <v>2761</v>
      </c>
      <c r="P379" s="15" t="s">
        <v>2764</v>
      </c>
      <c r="Q379" s="9" t="s">
        <v>2763</v>
      </c>
      <c r="R379" s="16" t="s">
        <v>2765</v>
      </c>
      <c r="S379" s="9" t="s">
        <v>2766</v>
      </c>
      <c r="T379" s="107" t="s">
        <v>2763</v>
      </c>
      <c r="U379" s="9" t="s">
        <v>307</v>
      </c>
      <c r="V379" s="17">
        <v>1.7412010000258E13</v>
      </c>
      <c r="W379" s="9" t="s">
        <v>2767</v>
      </c>
      <c r="X379" s="9" t="s">
        <v>56</v>
      </c>
      <c r="Y379" s="18" t="s">
        <v>57</v>
      </c>
      <c r="Z379" s="18" t="s">
        <v>69</v>
      </c>
      <c r="AA379" s="18" t="s">
        <v>57</v>
      </c>
      <c r="AB379" s="18" t="s">
        <v>57</v>
      </c>
      <c r="AC379" s="18" t="s">
        <v>57</v>
      </c>
      <c r="AD379" s="18" t="s">
        <v>69</v>
      </c>
      <c r="AE379" s="39" t="s">
        <v>2768</v>
      </c>
      <c r="AF379" s="14"/>
      <c r="AH379" s="14"/>
      <c r="AI379" s="20"/>
      <c r="AJ379" s="14"/>
      <c r="AK379" s="14"/>
      <c r="AL379" s="14"/>
      <c r="AM379" s="14"/>
      <c r="AN379" s="14"/>
      <c r="AO379" s="14"/>
      <c r="AP379" s="14"/>
      <c r="AQ379" s="14"/>
      <c r="AR379" s="14"/>
    </row>
    <row r="380" ht="22.5" customHeight="1">
      <c r="A380" s="110">
        <v>46079.0</v>
      </c>
      <c r="B380" s="97" t="s">
        <v>2769</v>
      </c>
      <c r="C380" s="8" t="s">
        <v>73</v>
      </c>
      <c r="D380" s="9" t="s">
        <v>46</v>
      </c>
      <c r="E380" s="9" t="s">
        <v>2770</v>
      </c>
      <c r="F380" s="9" t="s">
        <v>1220</v>
      </c>
      <c r="G380" s="10">
        <v>500072.0</v>
      </c>
      <c r="H380" s="9" t="s">
        <v>1165</v>
      </c>
      <c r="I380" s="11" t="str">
        <f>VLOOKUP(H380,Mapping!D:E,2,0)</f>
        <v>kukatpally</v>
      </c>
      <c r="J380" s="61" t="s">
        <v>390</v>
      </c>
      <c r="K380" s="12">
        <v>0.22</v>
      </c>
      <c r="L380" s="14" t="str">
        <f t="shared" si="28"/>
        <v>20%+</v>
      </c>
      <c r="M380" s="13">
        <v>0.018</v>
      </c>
      <c r="N380" s="14"/>
      <c r="O380" s="75" t="s">
        <v>2769</v>
      </c>
      <c r="P380" s="9" t="s">
        <v>1165</v>
      </c>
      <c r="Q380" s="9" t="s">
        <v>1220</v>
      </c>
      <c r="R380" s="16" t="s">
        <v>2771</v>
      </c>
      <c r="S380" s="9" t="s">
        <v>2772</v>
      </c>
      <c r="T380" s="9" t="s">
        <v>1220</v>
      </c>
      <c r="U380" s="9" t="s">
        <v>2371</v>
      </c>
      <c r="V380" s="17">
        <v>2.0453364748E10</v>
      </c>
      <c r="W380" s="9" t="s">
        <v>2773</v>
      </c>
      <c r="X380" s="9" t="s">
        <v>56</v>
      </c>
      <c r="Y380" s="18" t="s">
        <v>57</v>
      </c>
      <c r="Z380" s="18" t="s">
        <v>69</v>
      </c>
      <c r="AA380" s="18" t="s">
        <v>57</v>
      </c>
      <c r="AB380" s="18" t="s">
        <v>57</v>
      </c>
      <c r="AC380" s="18" t="s">
        <v>57</v>
      </c>
      <c r="AD380" s="18" t="s">
        <v>69</v>
      </c>
      <c r="AE380" s="35" t="s">
        <v>2774</v>
      </c>
      <c r="AF380" s="14"/>
      <c r="AH380" s="14"/>
      <c r="AI380" s="20"/>
      <c r="AJ380" s="14"/>
      <c r="AK380" s="14"/>
      <c r="AL380" s="14"/>
      <c r="AM380" s="14"/>
      <c r="AN380" s="14"/>
      <c r="AO380" s="14"/>
      <c r="AP380" s="14"/>
      <c r="AQ380" s="14"/>
      <c r="AR380" s="14"/>
    </row>
    <row r="381" ht="22.5" customHeight="1">
      <c r="A381" s="103">
        <v>46079.0</v>
      </c>
      <c r="B381" s="110" t="s">
        <v>2775</v>
      </c>
      <c r="C381" s="8" t="s">
        <v>186</v>
      </c>
      <c r="D381" s="9" t="s">
        <v>258</v>
      </c>
      <c r="E381" s="9" t="s">
        <v>2694</v>
      </c>
      <c r="F381" s="9" t="s">
        <v>68</v>
      </c>
      <c r="G381" s="10">
        <v>500084.0</v>
      </c>
      <c r="H381" s="9" t="s">
        <v>389</v>
      </c>
      <c r="I381" s="11" t="str">
        <f>VLOOKUP(H381,Mapping!D:E,2,0)</f>
        <v>Kondapur</v>
      </c>
      <c r="J381" s="61" t="s">
        <v>390</v>
      </c>
      <c r="K381" s="12">
        <v>0.13</v>
      </c>
      <c r="L381" s="14" t="str">
        <f t="shared" si="28"/>
        <v>&lt;15%</v>
      </c>
      <c r="M381" s="13">
        <v>0.018</v>
      </c>
      <c r="N381" s="14"/>
      <c r="O381" s="9" t="s">
        <v>2776</v>
      </c>
      <c r="P381" s="15" t="s">
        <v>2167</v>
      </c>
      <c r="Q381" s="9" t="s">
        <v>2695</v>
      </c>
      <c r="R381" s="16" t="s">
        <v>2696</v>
      </c>
      <c r="S381" s="9" t="s">
        <v>68</v>
      </c>
      <c r="T381" s="9" t="s">
        <v>2697</v>
      </c>
      <c r="U381" s="9" t="s">
        <v>1139</v>
      </c>
      <c r="V381" s="17">
        <v>9.13010031284567E14</v>
      </c>
      <c r="W381" s="9" t="s">
        <v>2698</v>
      </c>
      <c r="X381" s="9" t="s">
        <v>56</v>
      </c>
      <c r="Y381" s="18" t="s">
        <v>57</v>
      </c>
      <c r="Z381" s="18" t="s">
        <v>58</v>
      </c>
      <c r="AA381" s="18" t="s">
        <v>57</v>
      </c>
      <c r="AB381" s="18" t="s">
        <v>57</v>
      </c>
      <c r="AC381" s="18" t="s">
        <v>57</v>
      </c>
      <c r="AD381" s="18" t="s">
        <v>58</v>
      </c>
      <c r="AE381" s="40" t="s">
        <v>2777</v>
      </c>
      <c r="AF381" s="40" t="s">
        <v>2699</v>
      </c>
      <c r="AG381" s="14"/>
      <c r="AH381" s="14"/>
      <c r="AI381" s="20"/>
      <c r="AJ381" s="14"/>
      <c r="AK381" s="14"/>
      <c r="AL381" s="14"/>
      <c r="AM381" s="14"/>
      <c r="AN381" s="14"/>
      <c r="AO381" s="14"/>
      <c r="AP381" s="14"/>
      <c r="AQ381" s="14"/>
      <c r="AR381" s="14"/>
    </row>
    <row r="382" ht="22.5" customHeight="1">
      <c r="A382" s="103">
        <v>46079.0</v>
      </c>
      <c r="B382" s="110" t="s">
        <v>2776</v>
      </c>
      <c r="C382" s="8" t="s">
        <v>186</v>
      </c>
      <c r="D382" s="9" t="s">
        <v>258</v>
      </c>
      <c r="E382" s="9" t="s">
        <v>2694</v>
      </c>
      <c r="F382" s="9" t="s">
        <v>68</v>
      </c>
      <c r="G382" s="10">
        <v>500084.0</v>
      </c>
      <c r="H382" s="9" t="s">
        <v>389</v>
      </c>
      <c r="I382" s="11" t="str">
        <f>VLOOKUP(H382,Mapping!D:E,2,0)</f>
        <v>Kondapur</v>
      </c>
      <c r="J382" s="61" t="s">
        <v>390</v>
      </c>
      <c r="K382" s="12">
        <v>0.13</v>
      </c>
      <c r="L382" s="14" t="str">
        <f t="shared" si="28"/>
        <v>&lt;15%</v>
      </c>
      <c r="M382" s="13">
        <v>0.018</v>
      </c>
      <c r="N382" s="127">
        <v>0.02</v>
      </c>
      <c r="O382" s="9" t="s">
        <v>2776</v>
      </c>
      <c r="P382" s="15" t="s">
        <v>2167</v>
      </c>
      <c r="Q382" s="9" t="s">
        <v>2695</v>
      </c>
      <c r="R382" s="16" t="s">
        <v>2696</v>
      </c>
      <c r="S382" s="9" t="s">
        <v>68</v>
      </c>
      <c r="T382" s="9" t="s">
        <v>2697</v>
      </c>
      <c r="U382" s="9" t="s">
        <v>1139</v>
      </c>
      <c r="V382" s="17">
        <v>9.13010031284567E14</v>
      </c>
      <c r="W382" s="9" t="s">
        <v>2698</v>
      </c>
      <c r="X382" s="9" t="s">
        <v>56</v>
      </c>
      <c r="Y382" s="18" t="s">
        <v>57</v>
      </c>
      <c r="Z382" s="18" t="s">
        <v>58</v>
      </c>
      <c r="AA382" s="18" t="s">
        <v>57</v>
      </c>
      <c r="AB382" s="18" t="s">
        <v>57</v>
      </c>
      <c r="AC382" s="18" t="s">
        <v>57</v>
      </c>
      <c r="AD382" s="18" t="s">
        <v>58</v>
      </c>
      <c r="AE382" s="40" t="s">
        <v>2699</v>
      </c>
      <c r="AF382" s="40" t="s">
        <v>2699</v>
      </c>
      <c r="AG382" s="14"/>
      <c r="AH382" s="14"/>
      <c r="AI382" s="20"/>
      <c r="AJ382" s="14"/>
      <c r="AK382" s="14"/>
      <c r="AL382" s="14"/>
      <c r="AM382" s="14"/>
      <c r="AN382" s="14"/>
      <c r="AO382" s="14"/>
      <c r="AP382" s="14"/>
      <c r="AQ382" s="14"/>
      <c r="AR382" s="14"/>
    </row>
    <row r="383" ht="22.5" customHeight="1">
      <c r="A383" s="74">
        <v>46079.0</v>
      </c>
      <c r="B383" s="110" t="s">
        <v>2778</v>
      </c>
      <c r="C383" s="8" t="s">
        <v>241</v>
      </c>
      <c r="D383" s="9" t="s">
        <v>258</v>
      </c>
      <c r="E383" s="9" t="s">
        <v>2711</v>
      </c>
      <c r="F383" s="9" t="s">
        <v>2712</v>
      </c>
      <c r="G383" s="10">
        <v>500090.0</v>
      </c>
      <c r="H383" s="9" t="s">
        <v>1165</v>
      </c>
      <c r="I383" s="11" t="str">
        <f>VLOOKUP(H383,Mapping!D:E,2,0)</f>
        <v>kukatpally</v>
      </c>
      <c r="J383" s="61" t="s">
        <v>390</v>
      </c>
      <c r="K383" s="12">
        <v>0.22</v>
      </c>
      <c r="L383" s="14" t="str">
        <f t="shared" si="28"/>
        <v>20%+</v>
      </c>
      <c r="M383" s="13">
        <v>0.018</v>
      </c>
      <c r="N383" s="9" t="s">
        <v>68</v>
      </c>
      <c r="O383" s="9" t="s">
        <v>2713</v>
      </c>
      <c r="P383" s="9" t="s">
        <v>2714</v>
      </c>
      <c r="Q383" s="15" t="s">
        <v>2712</v>
      </c>
      <c r="R383" s="16" t="s">
        <v>2715</v>
      </c>
      <c r="S383" s="9" t="s">
        <v>2716</v>
      </c>
      <c r="T383" s="15" t="s">
        <v>2712</v>
      </c>
      <c r="U383" s="9" t="s">
        <v>1129</v>
      </c>
      <c r="V383" s="17">
        <v>6.2325087074E10</v>
      </c>
      <c r="W383" s="9" t="s">
        <v>2717</v>
      </c>
      <c r="X383" s="9" t="s">
        <v>56</v>
      </c>
      <c r="Y383" s="18" t="s">
        <v>57</v>
      </c>
      <c r="Z383" s="18" t="s">
        <v>69</v>
      </c>
      <c r="AA383" s="18" t="s">
        <v>57</v>
      </c>
      <c r="AB383" s="18" t="s">
        <v>57</v>
      </c>
      <c r="AC383" s="18" t="s">
        <v>57</v>
      </c>
      <c r="AD383" s="18" t="s">
        <v>69</v>
      </c>
      <c r="AE383" s="39" t="s">
        <v>2718</v>
      </c>
      <c r="AF383" s="14"/>
      <c r="AH383" s="14"/>
      <c r="AI383" s="20"/>
      <c r="AJ383" s="14"/>
      <c r="AK383" s="14"/>
      <c r="AL383" s="14"/>
      <c r="AM383" s="14"/>
      <c r="AN383" s="14"/>
      <c r="AO383" s="14"/>
      <c r="AP383" s="14"/>
      <c r="AQ383" s="14"/>
      <c r="AR383" s="14"/>
    </row>
    <row r="384" ht="22.5" customHeight="1">
      <c r="A384" s="103">
        <v>46079.0</v>
      </c>
      <c r="B384" s="110" t="s">
        <v>2779</v>
      </c>
      <c r="C384" s="8" t="s">
        <v>241</v>
      </c>
      <c r="D384" s="9" t="s">
        <v>258</v>
      </c>
      <c r="E384" s="9" t="s">
        <v>68</v>
      </c>
      <c r="F384" s="9" t="s">
        <v>2780</v>
      </c>
      <c r="G384" s="9" t="s">
        <v>68</v>
      </c>
      <c r="H384" s="9" t="s">
        <v>68</v>
      </c>
      <c r="I384" s="9" t="s">
        <v>2722</v>
      </c>
      <c r="J384" s="11" t="str">
        <f>VLOOKUP(I384,Mapping!A:B,2,0)</f>
        <v>Zone 4 Hi-tech City</v>
      </c>
      <c r="K384" s="12">
        <v>0.22</v>
      </c>
      <c r="L384" s="14" t="str">
        <f t="shared" si="28"/>
        <v>20%+</v>
      </c>
      <c r="M384" s="13">
        <v>0.018</v>
      </c>
      <c r="N384" s="9"/>
      <c r="O384" s="9" t="s">
        <v>2781</v>
      </c>
      <c r="P384" s="9" t="s">
        <v>68</v>
      </c>
      <c r="Q384" s="9" t="s">
        <v>2782</v>
      </c>
      <c r="R384" s="16" t="s">
        <v>2783</v>
      </c>
      <c r="S384" s="9" t="s">
        <v>2784</v>
      </c>
      <c r="T384" s="9" t="s">
        <v>68</v>
      </c>
      <c r="U384" s="9" t="s">
        <v>68</v>
      </c>
      <c r="V384" s="9" t="s">
        <v>68</v>
      </c>
      <c r="W384" s="9" t="s">
        <v>68</v>
      </c>
      <c r="X384" s="9" t="s">
        <v>68</v>
      </c>
      <c r="Y384" s="18" t="s">
        <v>57</v>
      </c>
      <c r="Z384" s="18" t="s">
        <v>69</v>
      </c>
      <c r="AA384" s="18" t="s">
        <v>57</v>
      </c>
      <c r="AB384" s="18" t="s">
        <v>57</v>
      </c>
      <c r="AC384" s="18" t="s">
        <v>57</v>
      </c>
      <c r="AD384" s="18" t="s">
        <v>69</v>
      </c>
      <c r="AE384" s="33" t="s">
        <v>2785</v>
      </c>
      <c r="AF384" s="14"/>
      <c r="AH384" s="14"/>
      <c r="AI384" s="8" t="s">
        <v>2786</v>
      </c>
      <c r="AJ384" s="14"/>
      <c r="AK384" s="14"/>
      <c r="AL384" s="14"/>
      <c r="AM384" s="14"/>
      <c r="AN384" s="14"/>
      <c r="AO384" s="14"/>
      <c r="AP384" s="14"/>
      <c r="AQ384" s="14"/>
      <c r="AR384" s="14"/>
    </row>
    <row r="385" ht="22.5" customHeight="1">
      <c r="A385" s="81">
        <v>46079.0</v>
      </c>
      <c r="B385" s="110" t="s">
        <v>2787</v>
      </c>
      <c r="C385" s="8" t="s">
        <v>96</v>
      </c>
      <c r="D385" s="9" t="s">
        <v>258</v>
      </c>
      <c r="E385" s="9" t="s">
        <v>2788</v>
      </c>
      <c r="F385" s="9" t="s">
        <v>2782</v>
      </c>
      <c r="G385" s="10">
        <v>500081.0</v>
      </c>
      <c r="H385" s="10" t="s">
        <v>1105</v>
      </c>
      <c r="I385" s="9" t="s">
        <v>1105</v>
      </c>
      <c r="J385" s="155"/>
      <c r="K385" s="12">
        <v>0.22</v>
      </c>
      <c r="L385" s="14" t="str">
        <f t="shared" si="28"/>
        <v>20%+</v>
      </c>
      <c r="M385" s="13">
        <v>0.018</v>
      </c>
      <c r="N385" s="14"/>
      <c r="O385" s="43" t="s">
        <v>2787</v>
      </c>
      <c r="P385" s="9" t="s">
        <v>2788</v>
      </c>
      <c r="Q385" s="9" t="s">
        <v>2782</v>
      </c>
      <c r="R385" s="16" t="s">
        <v>2783</v>
      </c>
      <c r="S385" s="9" t="s">
        <v>2784</v>
      </c>
      <c r="T385" s="9" t="s">
        <v>2789</v>
      </c>
      <c r="U385" s="9" t="s">
        <v>1885</v>
      </c>
      <c r="V385" s="9" t="s">
        <v>2790</v>
      </c>
      <c r="W385" s="9" t="s">
        <v>2791</v>
      </c>
      <c r="X385" s="9" t="s">
        <v>56</v>
      </c>
      <c r="Y385" s="18" t="s">
        <v>57</v>
      </c>
      <c r="Z385" s="18" t="s">
        <v>58</v>
      </c>
      <c r="AA385" s="18" t="s">
        <v>57</v>
      </c>
      <c r="AB385" s="18" t="s">
        <v>57</v>
      </c>
      <c r="AC385" s="18" t="s">
        <v>57</v>
      </c>
      <c r="AD385" s="18" t="s">
        <v>58</v>
      </c>
      <c r="AE385" s="35" t="s">
        <v>2792</v>
      </c>
      <c r="AF385" s="14"/>
      <c r="AH385" s="14"/>
      <c r="AI385" s="20"/>
      <c r="AJ385" s="14"/>
      <c r="AK385" s="14"/>
      <c r="AL385" s="14"/>
      <c r="AM385" s="14"/>
      <c r="AN385" s="14"/>
      <c r="AO385" s="14"/>
      <c r="AP385" s="14"/>
      <c r="AQ385" s="14"/>
      <c r="AR385" s="14"/>
    </row>
    <row r="386" ht="22.5" customHeight="1">
      <c r="A386" s="68">
        <v>46079.0</v>
      </c>
      <c r="B386" s="97" t="s">
        <v>2793</v>
      </c>
      <c r="C386" s="8" t="s">
        <v>73</v>
      </c>
      <c r="D386" s="9" t="s">
        <v>46</v>
      </c>
      <c r="E386" s="9" t="s">
        <v>2794</v>
      </c>
      <c r="F386" s="9" t="s">
        <v>2198</v>
      </c>
      <c r="G386" s="10">
        <v>500072.0</v>
      </c>
      <c r="H386" s="9" t="s">
        <v>1165</v>
      </c>
      <c r="I386" s="11" t="str">
        <f>VLOOKUP(H386,Mapping!D:E,2,0)</f>
        <v>kukatpally</v>
      </c>
      <c r="J386" s="61" t="s">
        <v>390</v>
      </c>
      <c r="K386" s="12">
        <v>0.22</v>
      </c>
      <c r="L386" s="14" t="str">
        <f t="shared" si="28"/>
        <v>20%+</v>
      </c>
      <c r="M386" s="13">
        <v>0.018</v>
      </c>
      <c r="N386" s="14"/>
      <c r="O386" s="43" t="s">
        <v>2795</v>
      </c>
      <c r="P386" s="9" t="s">
        <v>1165</v>
      </c>
      <c r="Q386" s="9" t="s">
        <v>2198</v>
      </c>
      <c r="R386" s="16" t="s">
        <v>2796</v>
      </c>
      <c r="S386" s="9" t="s">
        <v>68</v>
      </c>
      <c r="T386" s="9" t="s">
        <v>68</v>
      </c>
      <c r="U386" s="9" t="s">
        <v>68</v>
      </c>
      <c r="V386" s="9" t="s">
        <v>68</v>
      </c>
      <c r="W386" s="9" t="s">
        <v>68</v>
      </c>
      <c r="X386" s="9" t="s">
        <v>68</v>
      </c>
      <c r="Y386" s="18" t="s">
        <v>58</v>
      </c>
      <c r="Z386" s="18" t="s">
        <v>69</v>
      </c>
      <c r="AA386" s="18" t="s">
        <v>58</v>
      </c>
      <c r="AB386" s="18" t="s">
        <v>58</v>
      </c>
      <c r="AC386" s="18" t="s">
        <v>58</v>
      </c>
      <c r="AD386" s="18" t="s">
        <v>69</v>
      </c>
      <c r="AE386" s="14"/>
      <c r="AF386" s="14"/>
      <c r="AH386" s="14"/>
      <c r="AI386" s="20"/>
      <c r="AJ386" s="14"/>
      <c r="AK386" s="14"/>
      <c r="AL386" s="14"/>
      <c r="AM386" s="14"/>
      <c r="AN386" s="14"/>
      <c r="AO386" s="14"/>
      <c r="AP386" s="14"/>
      <c r="AQ386" s="14"/>
      <c r="AR386" s="14"/>
    </row>
    <row r="387" ht="22.5" customHeight="1">
      <c r="A387" s="103">
        <v>46079.0</v>
      </c>
      <c r="B387" s="97" t="s">
        <v>2797</v>
      </c>
      <c r="C387" s="8" t="s">
        <v>73</v>
      </c>
      <c r="D387" s="9" t="s">
        <v>46</v>
      </c>
      <c r="E387" s="9" t="s">
        <v>2794</v>
      </c>
      <c r="F387" s="9" t="s">
        <v>2198</v>
      </c>
      <c r="G387" s="10">
        <v>500072.0</v>
      </c>
      <c r="H387" s="9" t="s">
        <v>1165</v>
      </c>
      <c r="I387" s="11" t="str">
        <f>VLOOKUP(H387,Mapping!D:E,2,0)</f>
        <v>kukatpally</v>
      </c>
      <c r="J387" s="61" t="s">
        <v>390</v>
      </c>
      <c r="K387" s="12">
        <v>0.22</v>
      </c>
      <c r="L387" s="14" t="str">
        <f t="shared" si="28"/>
        <v>20%+</v>
      </c>
      <c r="M387" s="13">
        <v>0.018</v>
      </c>
      <c r="N387" s="14"/>
      <c r="O387" s="43" t="s">
        <v>2795</v>
      </c>
      <c r="P387" s="9" t="s">
        <v>1165</v>
      </c>
      <c r="Q387" s="9" t="s">
        <v>2198</v>
      </c>
      <c r="R387" s="16" t="s">
        <v>2796</v>
      </c>
      <c r="S387" s="9" t="s">
        <v>68</v>
      </c>
      <c r="T387" s="9" t="s">
        <v>68</v>
      </c>
      <c r="U387" s="9" t="s">
        <v>68</v>
      </c>
      <c r="V387" s="9" t="s">
        <v>68</v>
      </c>
      <c r="W387" s="9" t="s">
        <v>68</v>
      </c>
      <c r="X387" s="9" t="s">
        <v>68</v>
      </c>
      <c r="Y387" s="18" t="s">
        <v>58</v>
      </c>
      <c r="Z387" s="18" t="s">
        <v>69</v>
      </c>
      <c r="AA387" s="18" t="s">
        <v>58</v>
      </c>
      <c r="AB387" s="18" t="s">
        <v>58</v>
      </c>
      <c r="AC387" s="18" t="s">
        <v>58</v>
      </c>
      <c r="AD387" s="18" t="s">
        <v>69</v>
      </c>
      <c r="AE387" s="14"/>
      <c r="AF387" s="14"/>
      <c r="AH387" s="14"/>
      <c r="AI387" s="20"/>
      <c r="AJ387" s="14"/>
      <c r="AK387" s="14"/>
      <c r="AL387" s="14"/>
      <c r="AM387" s="14"/>
      <c r="AN387" s="14"/>
      <c r="AO387" s="14"/>
      <c r="AP387" s="14"/>
      <c r="AQ387" s="14"/>
      <c r="AR387" s="14"/>
    </row>
    <row r="388" ht="22.5" customHeight="1">
      <c r="A388" s="103">
        <v>46079.0</v>
      </c>
      <c r="B388" s="97" t="s">
        <v>2795</v>
      </c>
      <c r="C388" s="8" t="s">
        <v>73</v>
      </c>
      <c r="D388" s="9" t="s">
        <v>46</v>
      </c>
      <c r="E388" s="9" t="s">
        <v>2794</v>
      </c>
      <c r="F388" s="9" t="s">
        <v>2198</v>
      </c>
      <c r="G388" s="10">
        <v>500072.0</v>
      </c>
      <c r="H388" s="9" t="s">
        <v>1165</v>
      </c>
      <c r="I388" s="11" t="str">
        <f>VLOOKUP(H388,Mapping!D:E,2,0)</f>
        <v>kukatpally</v>
      </c>
      <c r="J388" s="61" t="s">
        <v>390</v>
      </c>
      <c r="K388" s="12">
        <v>0.22</v>
      </c>
      <c r="L388" s="14" t="str">
        <f t="shared" si="28"/>
        <v>20%+</v>
      </c>
      <c r="M388" s="13">
        <v>0.018</v>
      </c>
      <c r="N388" s="127">
        <v>0.0</v>
      </c>
      <c r="O388" s="43" t="s">
        <v>2795</v>
      </c>
      <c r="P388" s="9" t="s">
        <v>1165</v>
      </c>
      <c r="Q388" s="9" t="s">
        <v>2198</v>
      </c>
      <c r="R388" s="16" t="s">
        <v>2796</v>
      </c>
      <c r="S388" s="9" t="s">
        <v>68</v>
      </c>
      <c r="T388" s="9" t="s">
        <v>68</v>
      </c>
      <c r="U388" s="9" t="s">
        <v>68</v>
      </c>
      <c r="V388" s="9" t="s">
        <v>68</v>
      </c>
      <c r="W388" s="9" t="s">
        <v>68</v>
      </c>
      <c r="X388" s="9" t="s">
        <v>68</v>
      </c>
      <c r="Y388" s="18" t="s">
        <v>58</v>
      </c>
      <c r="Z388" s="18" t="s">
        <v>69</v>
      </c>
      <c r="AA388" s="18" t="s">
        <v>58</v>
      </c>
      <c r="AB388" s="18" t="s">
        <v>58</v>
      </c>
      <c r="AC388" s="18" t="s">
        <v>58</v>
      </c>
      <c r="AD388" s="18" t="s">
        <v>69</v>
      </c>
      <c r="AE388" s="14"/>
      <c r="AF388" s="14"/>
      <c r="AH388" s="14"/>
      <c r="AI388" s="20"/>
      <c r="AJ388" s="14"/>
      <c r="AK388" s="14"/>
      <c r="AL388" s="14"/>
      <c r="AM388" s="14"/>
      <c r="AN388" s="14"/>
      <c r="AO388" s="14"/>
      <c r="AP388" s="14"/>
      <c r="AQ388" s="14"/>
      <c r="AR388" s="14"/>
    </row>
    <row r="389" ht="22.5" customHeight="1">
      <c r="A389" s="103">
        <v>46079.0</v>
      </c>
      <c r="B389" s="97" t="s">
        <v>2798</v>
      </c>
      <c r="C389" s="8" t="s">
        <v>186</v>
      </c>
      <c r="D389" s="9" t="s">
        <v>258</v>
      </c>
      <c r="E389" s="9" t="s">
        <v>2799</v>
      </c>
      <c r="F389" s="9" t="s">
        <v>68</v>
      </c>
      <c r="G389" s="10">
        <v>500084.0</v>
      </c>
      <c r="H389" s="9" t="s">
        <v>389</v>
      </c>
      <c r="I389" s="11" t="str">
        <f>VLOOKUP(H389,Mapping!D:E,2,0)</f>
        <v>Kondapur</v>
      </c>
      <c r="J389" s="61" t="s">
        <v>390</v>
      </c>
      <c r="K389" s="12">
        <v>0.22</v>
      </c>
      <c r="L389" s="14" t="str">
        <f t="shared" si="28"/>
        <v>20%+</v>
      </c>
      <c r="M389" s="13">
        <v>0.018</v>
      </c>
      <c r="N389" s="127">
        <v>0.02</v>
      </c>
      <c r="O389" s="9" t="s">
        <v>2800</v>
      </c>
      <c r="P389" s="9" t="s">
        <v>2801</v>
      </c>
      <c r="Q389" s="9" t="s">
        <v>830</v>
      </c>
      <c r="R389" s="16" t="s">
        <v>2802</v>
      </c>
      <c r="S389" s="9" t="s">
        <v>68</v>
      </c>
      <c r="T389" s="9" t="s">
        <v>2800</v>
      </c>
      <c r="U389" s="9" t="s">
        <v>1014</v>
      </c>
      <c r="V389" s="17">
        <v>5.0200088449082E13</v>
      </c>
      <c r="W389" s="9" t="s">
        <v>1120</v>
      </c>
      <c r="X389" s="9" t="s">
        <v>80</v>
      </c>
      <c r="Y389" s="18" t="s">
        <v>57</v>
      </c>
      <c r="Z389" s="18" t="s">
        <v>57</v>
      </c>
      <c r="AA389" s="18" t="s">
        <v>57</v>
      </c>
      <c r="AB389" s="18" t="s">
        <v>57</v>
      </c>
      <c r="AC389" s="18" t="s">
        <v>57</v>
      </c>
      <c r="AD389" s="18" t="s">
        <v>58</v>
      </c>
      <c r="AE389" s="40" t="s">
        <v>2803</v>
      </c>
      <c r="AF389" s="40" t="s">
        <v>2804</v>
      </c>
      <c r="AG389" s="14"/>
      <c r="AH389" s="14"/>
      <c r="AI389" s="20"/>
      <c r="AJ389" s="14"/>
      <c r="AK389" s="14"/>
      <c r="AL389" s="14"/>
      <c r="AM389" s="14"/>
      <c r="AN389" s="14"/>
      <c r="AO389" s="14"/>
      <c r="AP389" s="14"/>
      <c r="AQ389" s="14"/>
      <c r="AR389" s="14"/>
    </row>
    <row r="390" ht="22.5" customHeight="1">
      <c r="A390" s="110">
        <v>46079.0</v>
      </c>
      <c r="B390" s="110" t="s">
        <v>2805</v>
      </c>
      <c r="C390" s="8" t="s">
        <v>186</v>
      </c>
      <c r="D390" s="9" t="s">
        <v>258</v>
      </c>
      <c r="E390" s="9" t="s">
        <v>2799</v>
      </c>
      <c r="F390" s="9" t="s">
        <v>68</v>
      </c>
      <c r="G390" s="10">
        <v>500084.0</v>
      </c>
      <c r="H390" s="9" t="s">
        <v>389</v>
      </c>
      <c r="I390" s="11" t="str">
        <f>VLOOKUP(H390,Mapping!D:E,2,0)</f>
        <v>Kondapur</v>
      </c>
      <c r="J390" s="61" t="s">
        <v>390</v>
      </c>
      <c r="K390" s="12">
        <v>0.22</v>
      </c>
      <c r="L390" s="14" t="str">
        <f t="shared" si="28"/>
        <v>20%+</v>
      </c>
      <c r="M390" s="13">
        <v>0.018</v>
      </c>
      <c r="N390" s="127">
        <v>0.02</v>
      </c>
      <c r="O390" s="9" t="s">
        <v>2800</v>
      </c>
      <c r="P390" s="9" t="s">
        <v>2801</v>
      </c>
      <c r="Q390" s="9" t="s">
        <v>830</v>
      </c>
      <c r="R390" s="16" t="s">
        <v>2802</v>
      </c>
      <c r="S390" s="9" t="s">
        <v>68</v>
      </c>
      <c r="T390" s="9" t="s">
        <v>2800</v>
      </c>
      <c r="U390" s="9" t="s">
        <v>1014</v>
      </c>
      <c r="V390" s="17">
        <v>5.0200088449082E13</v>
      </c>
      <c r="W390" s="9" t="s">
        <v>1120</v>
      </c>
      <c r="X390" s="9" t="s">
        <v>80</v>
      </c>
      <c r="Y390" s="18" t="s">
        <v>57</v>
      </c>
      <c r="Z390" s="18" t="s">
        <v>57</v>
      </c>
      <c r="AA390" s="18" t="s">
        <v>57</v>
      </c>
      <c r="AB390" s="18" t="s">
        <v>57</v>
      </c>
      <c r="AC390" s="18" t="s">
        <v>57</v>
      </c>
      <c r="AD390" s="18" t="s">
        <v>58</v>
      </c>
      <c r="AE390" s="40" t="s">
        <v>2806</v>
      </c>
      <c r="AF390" s="40" t="s">
        <v>2804</v>
      </c>
      <c r="AG390" s="14"/>
      <c r="AH390" s="14"/>
      <c r="AI390" s="20"/>
      <c r="AJ390" s="14"/>
      <c r="AK390" s="14"/>
      <c r="AL390" s="14"/>
      <c r="AM390" s="14"/>
      <c r="AN390" s="14"/>
      <c r="AO390" s="14"/>
      <c r="AP390" s="14"/>
      <c r="AQ390" s="14"/>
      <c r="AR390" s="14"/>
    </row>
    <row r="391" ht="22.5" customHeight="1">
      <c r="A391" s="103">
        <v>46079.0</v>
      </c>
      <c r="B391" s="68" t="s">
        <v>2807</v>
      </c>
      <c r="C391" s="8" t="s">
        <v>186</v>
      </c>
      <c r="D391" s="9" t="s">
        <v>258</v>
      </c>
      <c r="E391" s="9" t="s">
        <v>2799</v>
      </c>
      <c r="F391" s="9" t="s">
        <v>68</v>
      </c>
      <c r="G391" s="10">
        <v>500084.0</v>
      </c>
      <c r="H391" s="9" t="s">
        <v>389</v>
      </c>
      <c r="I391" s="11" t="str">
        <f>VLOOKUP(H391,Mapping!D:E,2,0)</f>
        <v>Kondapur</v>
      </c>
      <c r="J391" s="61" t="s">
        <v>390</v>
      </c>
      <c r="K391" s="12">
        <v>0.22</v>
      </c>
      <c r="L391" s="14" t="str">
        <f t="shared" si="28"/>
        <v>20%+</v>
      </c>
      <c r="M391" s="13">
        <v>0.018</v>
      </c>
      <c r="N391" s="127">
        <v>0.02</v>
      </c>
      <c r="O391" s="9" t="s">
        <v>2800</v>
      </c>
      <c r="P391" s="9" t="s">
        <v>2801</v>
      </c>
      <c r="Q391" s="9" t="s">
        <v>830</v>
      </c>
      <c r="R391" s="16" t="s">
        <v>2802</v>
      </c>
      <c r="S391" s="9" t="s">
        <v>68</v>
      </c>
      <c r="T391" s="9" t="s">
        <v>2800</v>
      </c>
      <c r="U391" s="9" t="s">
        <v>1014</v>
      </c>
      <c r="V391" s="17">
        <v>5.0200088449082E13</v>
      </c>
      <c r="W391" s="9" t="s">
        <v>1120</v>
      </c>
      <c r="X391" s="9" t="s">
        <v>80</v>
      </c>
      <c r="Y391" s="18" t="s">
        <v>57</v>
      </c>
      <c r="Z391" s="18" t="s">
        <v>57</v>
      </c>
      <c r="AA391" s="18" t="s">
        <v>57</v>
      </c>
      <c r="AB391" s="18" t="s">
        <v>57</v>
      </c>
      <c r="AC391" s="18" t="s">
        <v>57</v>
      </c>
      <c r="AD391" s="18" t="s">
        <v>58</v>
      </c>
      <c r="AE391" s="40" t="s">
        <v>2808</v>
      </c>
      <c r="AF391" s="40" t="s">
        <v>2804</v>
      </c>
      <c r="AG391" s="14"/>
      <c r="AH391" s="14"/>
      <c r="AI391" s="20"/>
      <c r="AJ391" s="14"/>
      <c r="AK391" s="14"/>
      <c r="AL391" s="14"/>
      <c r="AM391" s="14"/>
      <c r="AN391" s="14"/>
      <c r="AO391" s="14"/>
      <c r="AP391" s="14"/>
      <c r="AQ391" s="14"/>
      <c r="AR391" s="14"/>
    </row>
    <row r="392" ht="22.5" customHeight="1">
      <c r="A392" s="68">
        <v>46079.0</v>
      </c>
      <c r="B392" s="68" t="s">
        <v>2809</v>
      </c>
      <c r="C392" s="8" t="s">
        <v>186</v>
      </c>
      <c r="D392" s="9" t="s">
        <v>258</v>
      </c>
      <c r="E392" s="9" t="s">
        <v>2799</v>
      </c>
      <c r="F392" s="9" t="s">
        <v>68</v>
      </c>
      <c r="G392" s="10">
        <v>500084.0</v>
      </c>
      <c r="H392" s="9" t="s">
        <v>389</v>
      </c>
      <c r="I392" s="11" t="str">
        <f>VLOOKUP(H392,Mapping!D:E,2,0)</f>
        <v>Kondapur</v>
      </c>
      <c r="J392" s="61" t="s">
        <v>390</v>
      </c>
      <c r="K392" s="12">
        <v>0.22</v>
      </c>
      <c r="L392" s="14" t="str">
        <f t="shared" si="28"/>
        <v>20%+</v>
      </c>
      <c r="M392" s="13">
        <v>0.018</v>
      </c>
      <c r="N392" s="127">
        <v>0.02</v>
      </c>
      <c r="O392" s="9" t="s">
        <v>2800</v>
      </c>
      <c r="P392" s="9" t="s">
        <v>2801</v>
      </c>
      <c r="Q392" s="9" t="s">
        <v>830</v>
      </c>
      <c r="R392" s="16" t="s">
        <v>2802</v>
      </c>
      <c r="S392" s="9" t="s">
        <v>68</v>
      </c>
      <c r="T392" s="9" t="s">
        <v>2800</v>
      </c>
      <c r="U392" s="9" t="s">
        <v>1014</v>
      </c>
      <c r="V392" s="17">
        <v>5.0200088449082E13</v>
      </c>
      <c r="W392" s="9" t="s">
        <v>1120</v>
      </c>
      <c r="X392" s="9" t="s">
        <v>80</v>
      </c>
      <c r="Y392" s="18" t="s">
        <v>57</v>
      </c>
      <c r="Z392" s="18" t="s">
        <v>57</v>
      </c>
      <c r="AA392" s="18" t="s">
        <v>57</v>
      </c>
      <c r="AB392" s="18" t="s">
        <v>57</v>
      </c>
      <c r="AC392" s="18" t="s">
        <v>57</v>
      </c>
      <c r="AD392" s="18" t="s">
        <v>58</v>
      </c>
      <c r="AE392" s="40" t="s">
        <v>2810</v>
      </c>
      <c r="AF392" s="40" t="s">
        <v>2804</v>
      </c>
      <c r="AG392" s="14"/>
      <c r="AH392" s="14"/>
      <c r="AI392" s="20"/>
      <c r="AJ392" s="14"/>
      <c r="AK392" s="14"/>
      <c r="AL392" s="14"/>
      <c r="AM392" s="14"/>
      <c r="AN392" s="14"/>
      <c r="AO392" s="14"/>
      <c r="AP392" s="14"/>
      <c r="AQ392" s="14"/>
      <c r="AR392" s="14"/>
    </row>
    <row r="393" ht="22.5" customHeight="1">
      <c r="A393" s="103">
        <v>46079.0</v>
      </c>
      <c r="B393" s="68" t="s">
        <v>2811</v>
      </c>
      <c r="C393" s="8" t="s">
        <v>186</v>
      </c>
      <c r="D393" s="9" t="s">
        <v>258</v>
      </c>
      <c r="E393" s="9" t="s">
        <v>2799</v>
      </c>
      <c r="F393" s="9" t="s">
        <v>68</v>
      </c>
      <c r="G393" s="10">
        <v>500084.0</v>
      </c>
      <c r="H393" s="9" t="s">
        <v>389</v>
      </c>
      <c r="I393" s="11" t="str">
        <f>VLOOKUP(H393,Mapping!D:E,2,0)</f>
        <v>Kondapur</v>
      </c>
      <c r="J393" s="61" t="s">
        <v>390</v>
      </c>
      <c r="K393" s="12">
        <v>0.22</v>
      </c>
      <c r="L393" s="14" t="str">
        <f t="shared" si="28"/>
        <v>20%+</v>
      </c>
      <c r="M393" s="13">
        <v>0.018</v>
      </c>
      <c r="N393" s="127">
        <v>0.02</v>
      </c>
      <c r="O393" s="9" t="s">
        <v>2800</v>
      </c>
      <c r="P393" s="9" t="s">
        <v>2801</v>
      </c>
      <c r="Q393" s="9" t="s">
        <v>830</v>
      </c>
      <c r="R393" s="16" t="s">
        <v>2802</v>
      </c>
      <c r="S393" s="9" t="s">
        <v>68</v>
      </c>
      <c r="T393" s="9" t="s">
        <v>2800</v>
      </c>
      <c r="U393" s="9" t="s">
        <v>1014</v>
      </c>
      <c r="V393" s="17">
        <v>5.0200088449082E13</v>
      </c>
      <c r="W393" s="9" t="s">
        <v>1120</v>
      </c>
      <c r="X393" s="9" t="s">
        <v>80</v>
      </c>
      <c r="Y393" s="18" t="s">
        <v>57</v>
      </c>
      <c r="Z393" s="18" t="s">
        <v>57</v>
      </c>
      <c r="AA393" s="18" t="s">
        <v>57</v>
      </c>
      <c r="AB393" s="18" t="s">
        <v>57</v>
      </c>
      <c r="AC393" s="18" t="s">
        <v>57</v>
      </c>
      <c r="AD393" s="18" t="s">
        <v>58</v>
      </c>
      <c r="AE393" s="40" t="s">
        <v>2812</v>
      </c>
      <c r="AF393" s="40" t="s">
        <v>2804</v>
      </c>
      <c r="AG393" s="14"/>
      <c r="AH393" s="14"/>
      <c r="AI393" s="20"/>
      <c r="AJ393" s="14"/>
      <c r="AK393" s="14"/>
      <c r="AL393" s="14"/>
      <c r="AM393" s="14"/>
      <c r="AN393" s="14"/>
      <c r="AO393" s="14"/>
      <c r="AP393" s="14"/>
      <c r="AQ393" s="14"/>
      <c r="AR393" s="14"/>
    </row>
    <row r="394" ht="22.5" customHeight="1">
      <c r="A394" s="74">
        <v>46079.0</v>
      </c>
      <c r="B394" s="69" t="s">
        <v>2813</v>
      </c>
      <c r="C394" s="8" t="s">
        <v>241</v>
      </c>
      <c r="D394" s="9" t="s">
        <v>258</v>
      </c>
      <c r="E394" s="39" t="s">
        <v>2814</v>
      </c>
      <c r="F394" s="9" t="s">
        <v>2815</v>
      </c>
      <c r="G394" s="10">
        <v>500038.0</v>
      </c>
      <c r="H394" s="9" t="s">
        <v>421</v>
      </c>
      <c r="I394" s="11" t="str">
        <f>VLOOKUP(H394,Mapping!D:E,2,0)</f>
        <v>Khairathabad</v>
      </c>
      <c r="J394" s="9" t="s">
        <v>50</v>
      </c>
      <c r="K394" s="12">
        <v>0.2</v>
      </c>
      <c r="L394" s="14" t="str">
        <f t="shared" si="28"/>
        <v>20%+</v>
      </c>
      <c r="M394" s="13">
        <v>0.018</v>
      </c>
      <c r="N394" s="9"/>
      <c r="O394" s="43" t="s">
        <v>2813</v>
      </c>
      <c r="P394" s="39" t="s">
        <v>2816</v>
      </c>
      <c r="Q394" s="9" t="s">
        <v>2815</v>
      </c>
      <c r="R394" s="16" t="s">
        <v>2817</v>
      </c>
      <c r="S394" s="9" t="s">
        <v>68</v>
      </c>
      <c r="T394" s="9" t="s">
        <v>68</v>
      </c>
      <c r="U394" s="9" t="s">
        <v>68</v>
      </c>
      <c r="V394" s="9" t="s">
        <v>68</v>
      </c>
      <c r="W394" s="9" t="s">
        <v>68</v>
      </c>
      <c r="X394" s="9" t="s">
        <v>68</v>
      </c>
      <c r="Y394" s="18" t="s">
        <v>57</v>
      </c>
      <c r="Z394" s="18" t="s">
        <v>69</v>
      </c>
      <c r="AA394" s="18" t="s">
        <v>57</v>
      </c>
      <c r="AB394" s="18" t="s">
        <v>69</v>
      </c>
      <c r="AC394" s="18" t="s">
        <v>58</v>
      </c>
      <c r="AD394" s="18" t="s">
        <v>69</v>
      </c>
      <c r="AE394" s="39" t="s">
        <v>2818</v>
      </c>
      <c r="AF394" s="14"/>
      <c r="AH394" s="14"/>
      <c r="AI394" s="8" t="s">
        <v>71</v>
      </c>
      <c r="AJ394" s="14"/>
      <c r="AK394" s="14"/>
      <c r="AL394" s="14"/>
      <c r="AM394" s="14"/>
      <c r="AN394" s="14"/>
      <c r="AO394" s="14"/>
      <c r="AP394" s="14"/>
      <c r="AQ394" s="14"/>
      <c r="AR394" s="14"/>
    </row>
    <row r="395" ht="22.5" customHeight="1">
      <c r="A395" s="74">
        <v>46079.0</v>
      </c>
      <c r="B395" s="69" t="s">
        <v>2819</v>
      </c>
      <c r="C395" s="8" t="s">
        <v>241</v>
      </c>
      <c r="D395" s="9" t="s">
        <v>258</v>
      </c>
      <c r="E395" s="39" t="s">
        <v>2820</v>
      </c>
      <c r="F395" s="9" t="s">
        <v>2815</v>
      </c>
      <c r="G395" s="10">
        <v>500038.0</v>
      </c>
      <c r="H395" s="9" t="s">
        <v>421</v>
      </c>
      <c r="I395" s="11" t="str">
        <f>VLOOKUP(H395,Mapping!D:E,2,0)</f>
        <v>Khairathabad</v>
      </c>
      <c r="J395" s="9" t="s">
        <v>50</v>
      </c>
      <c r="K395" s="12">
        <v>0.2</v>
      </c>
      <c r="L395" s="14" t="str">
        <f t="shared" si="28"/>
        <v>20%+</v>
      </c>
      <c r="M395" s="13">
        <v>0.018</v>
      </c>
      <c r="N395" s="9"/>
      <c r="O395" s="43" t="s">
        <v>2819</v>
      </c>
      <c r="P395" s="39" t="s">
        <v>2821</v>
      </c>
      <c r="Q395" s="9" t="s">
        <v>68</v>
      </c>
      <c r="R395" s="16" t="s">
        <v>2817</v>
      </c>
      <c r="S395" s="9" t="s">
        <v>68</v>
      </c>
      <c r="T395" s="9" t="s">
        <v>68</v>
      </c>
      <c r="U395" s="9" t="s">
        <v>68</v>
      </c>
      <c r="V395" s="9" t="s">
        <v>68</v>
      </c>
      <c r="W395" s="9" t="s">
        <v>68</v>
      </c>
      <c r="X395" s="9" t="s">
        <v>68</v>
      </c>
      <c r="Y395" s="18" t="s">
        <v>57</v>
      </c>
      <c r="Z395" s="18" t="s">
        <v>69</v>
      </c>
      <c r="AA395" s="18" t="s">
        <v>57</v>
      </c>
      <c r="AB395" s="18" t="s">
        <v>69</v>
      </c>
      <c r="AC395" s="18" t="s">
        <v>58</v>
      </c>
      <c r="AD395" s="18" t="s">
        <v>69</v>
      </c>
      <c r="AE395" s="33" t="s">
        <v>2822</v>
      </c>
      <c r="AF395" s="14"/>
      <c r="AH395" s="14"/>
      <c r="AI395" s="8" t="s">
        <v>71</v>
      </c>
      <c r="AJ395" s="14"/>
      <c r="AK395" s="14"/>
      <c r="AL395" s="14"/>
      <c r="AM395" s="14"/>
      <c r="AN395" s="14"/>
      <c r="AO395" s="14"/>
      <c r="AP395" s="14"/>
      <c r="AQ395" s="14"/>
      <c r="AR395" s="14"/>
    </row>
    <row r="396" ht="22.5" customHeight="1">
      <c r="A396" s="110">
        <v>46079.0</v>
      </c>
      <c r="B396" s="69" t="s">
        <v>2823</v>
      </c>
      <c r="C396" s="8" t="s">
        <v>144</v>
      </c>
      <c r="D396" s="9" t="s">
        <v>258</v>
      </c>
      <c r="E396" s="39" t="s">
        <v>2824</v>
      </c>
      <c r="F396" s="9" t="s">
        <v>68</v>
      </c>
      <c r="G396" s="10">
        <v>500081.0</v>
      </c>
      <c r="H396" s="9" t="s">
        <v>147</v>
      </c>
      <c r="I396" s="11" t="str">
        <f>VLOOKUP(H396,Mapping!D:E,2,0)</f>
        <v>madhapur</v>
      </c>
      <c r="J396" s="61" t="s">
        <v>148</v>
      </c>
      <c r="K396" s="12">
        <v>0.19</v>
      </c>
      <c r="L396" s="14" t="str">
        <f t="shared" si="28"/>
        <v>&lt;20%</v>
      </c>
      <c r="M396" s="13">
        <v>0.018</v>
      </c>
      <c r="N396" s="9"/>
      <c r="O396" s="10" t="s">
        <v>68</v>
      </c>
      <c r="P396" s="10" t="s">
        <v>68</v>
      </c>
      <c r="Q396" s="10" t="s">
        <v>68</v>
      </c>
      <c r="R396" s="10" t="s">
        <v>68</v>
      </c>
      <c r="S396" s="10" t="s">
        <v>68</v>
      </c>
      <c r="T396" s="10" t="s">
        <v>68</v>
      </c>
      <c r="U396" s="10" t="s">
        <v>68</v>
      </c>
      <c r="V396" s="10" t="s">
        <v>68</v>
      </c>
      <c r="W396" s="10" t="s">
        <v>68</v>
      </c>
      <c r="X396" s="10" t="s">
        <v>68</v>
      </c>
      <c r="Y396" s="18" t="s">
        <v>57</v>
      </c>
      <c r="Z396" s="18" t="s">
        <v>57</v>
      </c>
      <c r="AA396" s="18" t="s">
        <v>57</v>
      </c>
      <c r="AB396" s="18" t="s">
        <v>57</v>
      </c>
      <c r="AC396" s="14"/>
      <c r="AD396" s="14"/>
      <c r="AE396" s="14"/>
      <c r="AF396" s="9" t="s">
        <v>2825</v>
      </c>
      <c r="AH396" s="14"/>
      <c r="AI396" s="20"/>
      <c r="AJ396" s="14"/>
      <c r="AK396" s="14"/>
      <c r="AL396" s="14"/>
      <c r="AM396" s="14"/>
      <c r="AN396" s="14"/>
      <c r="AO396" s="14"/>
      <c r="AP396" s="14"/>
      <c r="AQ396" s="14"/>
      <c r="AR396" s="14"/>
    </row>
    <row r="397" ht="22.5" customHeight="1">
      <c r="A397" s="74">
        <v>46079.0</v>
      </c>
      <c r="B397" s="68" t="s">
        <v>2826</v>
      </c>
      <c r="C397" s="8" t="s">
        <v>96</v>
      </c>
      <c r="D397" s="9" t="s">
        <v>258</v>
      </c>
      <c r="E397" s="9" t="s">
        <v>2827</v>
      </c>
      <c r="F397" s="9" t="s">
        <v>2828</v>
      </c>
      <c r="G397" s="10">
        <v>500081.0</v>
      </c>
      <c r="H397" s="9" t="s">
        <v>147</v>
      </c>
      <c r="I397" s="11" t="str">
        <f>VLOOKUP(H397,Mapping!D:E,2,0)</f>
        <v>madhapur</v>
      </c>
      <c r="J397" s="61" t="s">
        <v>148</v>
      </c>
      <c r="K397" s="12">
        <v>0.22</v>
      </c>
      <c r="L397" s="14" t="str">
        <f t="shared" si="28"/>
        <v>20%+</v>
      </c>
      <c r="M397" s="13">
        <v>0.018</v>
      </c>
      <c r="N397" s="14"/>
      <c r="O397" s="43" t="s">
        <v>2826</v>
      </c>
      <c r="P397" s="9" t="s">
        <v>2829</v>
      </c>
      <c r="Q397" s="9" t="s">
        <v>2828</v>
      </c>
      <c r="R397" s="16" t="s">
        <v>2830</v>
      </c>
      <c r="S397" s="9" t="s">
        <v>2831</v>
      </c>
      <c r="T397" s="9" t="s">
        <v>2832</v>
      </c>
      <c r="U397" s="9" t="s">
        <v>2421</v>
      </c>
      <c r="V397" s="17">
        <v>2.2490100008769E13</v>
      </c>
      <c r="W397" s="9" t="s">
        <v>2833</v>
      </c>
      <c r="X397" s="9" t="s">
        <v>56</v>
      </c>
      <c r="Y397" s="18" t="s">
        <v>57</v>
      </c>
      <c r="Z397" s="18" t="s">
        <v>58</v>
      </c>
      <c r="AA397" s="18" t="s">
        <v>57</v>
      </c>
      <c r="AB397" s="18" t="s">
        <v>57</v>
      </c>
      <c r="AC397" s="18" t="s">
        <v>57</v>
      </c>
      <c r="AD397" s="18" t="s">
        <v>58</v>
      </c>
      <c r="AE397" s="35" t="s">
        <v>2834</v>
      </c>
      <c r="AF397" s="14"/>
      <c r="AH397" s="14"/>
      <c r="AI397" s="20"/>
      <c r="AJ397" s="14"/>
      <c r="AK397" s="14"/>
      <c r="AL397" s="14"/>
      <c r="AM397" s="14"/>
      <c r="AN397" s="14"/>
      <c r="AO397" s="14"/>
      <c r="AP397" s="14"/>
      <c r="AQ397" s="14"/>
      <c r="AR397" s="14"/>
    </row>
    <row r="398" ht="22.5" customHeight="1">
      <c r="A398" s="68">
        <v>46079.0</v>
      </c>
      <c r="B398" s="68" t="s">
        <v>2835</v>
      </c>
      <c r="C398" s="8" t="s">
        <v>186</v>
      </c>
      <c r="D398" s="9" t="s">
        <v>258</v>
      </c>
      <c r="E398" s="39" t="s">
        <v>2836</v>
      </c>
      <c r="F398" s="9" t="s">
        <v>68</v>
      </c>
      <c r="G398" s="10">
        <v>500081.0</v>
      </c>
      <c r="H398" s="9" t="s">
        <v>2089</v>
      </c>
      <c r="I398" s="11" t="str">
        <f>VLOOKUP(H398,Mapping!D:E,2,0)</f>
        <v>Hitech-City</v>
      </c>
      <c r="J398" s="61" t="s">
        <v>148</v>
      </c>
      <c r="K398" s="12">
        <v>0.23</v>
      </c>
      <c r="L398" s="14" t="str">
        <f t="shared" si="28"/>
        <v>20%+</v>
      </c>
      <c r="M398" s="13">
        <v>0.018</v>
      </c>
      <c r="N398" s="14"/>
      <c r="O398" s="108" t="s">
        <v>2743</v>
      </c>
      <c r="P398" s="9" t="s">
        <v>2744</v>
      </c>
      <c r="Q398" s="9" t="s">
        <v>2745</v>
      </c>
      <c r="R398" s="16" t="s">
        <v>2746</v>
      </c>
      <c r="S398" s="9" t="s">
        <v>68</v>
      </c>
      <c r="T398" s="9" t="s">
        <v>2743</v>
      </c>
      <c r="U398" s="9" t="s">
        <v>1139</v>
      </c>
      <c r="V398" s="17" t="s">
        <v>2747</v>
      </c>
      <c r="W398" s="9" t="s">
        <v>2748</v>
      </c>
      <c r="X398" s="9" t="s">
        <v>56</v>
      </c>
      <c r="Y398" s="88" t="s">
        <v>57</v>
      </c>
      <c r="Z398" s="88" t="s">
        <v>58</v>
      </c>
      <c r="AA398" s="88" t="s">
        <v>57</v>
      </c>
      <c r="AB398" s="88" t="s">
        <v>57</v>
      </c>
      <c r="AC398" s="88" t="s">
        <v>57</v>
      </c>
      <c r="AD398" s="88" t="s">
        <v>58</v>
      </c>
      <c r="AE398" s="134" t="s">
        <v>2835</v>
      </c>
      <c r="AF398" s="39" t="s">
        <v>2750</v>
      </c>
      <c r="AG398" s="14"/>
      <c r="AH398" s="14"/>
      <c r="AI398" s="20"/>
      <c r="AJ398" s="14"/>
      <c r="AK398" s="14"/>
      <c r="AL398" s="14"/>
      <c r="AM398" s="14"/>
      <c r="AN398" s="14"/>
      <c r="AO398" s="14"/>
      <c r="AP398" s="14"/>
      <c r="AQ398" s="14"/>
      <c r="AR398" s="14"/>
    </row>
    <row r="399" ht="22.5" customHeight="1">
      <c r="A399" s="68">
        <v>46079.0</v>
      </c>
      <c r="B399" s="68" t="s">
        <v>2837</v>
      </c>
      <c r="C399" s="8" t="s">
        <v>186</v>
      </c>
      <c r="D399" s="9" t="s">
        <v>258</v>
      </c>
      <c r="E399" s="39" t="s">
        <v>2838</v>
      </c>
      <c r="F399" s="9" t="s">
        <v>68</v>
      </c>
      <c r="G399" s="10">
        <v>500081.0</v>
      </c>
      <c r="H399" s="9" t="s">
        <v>2089</v>
      </c>
      <c r="I399" s="11" t="str">
        <f>VLOOKUP(H399,Mapping!D:E,2,0)</f>
        <v>Hitech-City</v>
      </c>
      <c r="J399" s="61" t="s">
        <v>148</v>
      </c>
      <c r="K399" s="12">
        <v>0.23</v>
      </c>
      <c r="L399" s="14" t="str">
        <f t="shared" si="28"/>
        <v>20%+</v>
      </c>
      <c r="M399" s="13">
        <v>0.018</v>
      </c>
      <c r="N399" s="14"/>
      <c r="O399" s="9" t="s">
        <v>2743</v>
      </c>
      <c r="P399" s="9" t="s">
        <v>2744</v>
      </c>
      <c r="Q399" s="9" t="s">
        <v>2745</v>
      </c>
      <c r="R399" s="16" t="s">
        <v>2746</v>
      </c>
      <c r="S399" s="9" t="s">
        <v>68</v>
      </c>
      <c r="T399" s="9" t="s">
        <v>2743</v>
      </c>
      <c r="U399" s="9" t="s">
        <v>1139</v>
      </c>
      <c r="V399" s="17" t="s">
        <v>2747</v>
      </c>
      <c r="W399" s="9" t="s">
        <v>2748</v>
      </c>
      <c r="X399" s="9" t="s">
        <v>56</v>
      </c>
      <c r="Y399" s="18" t="s">
        <v>57</v>
      </c>
      <c r="Z399" s="18" t="s">
        <v>58</v>
      </c>
      <c r="AA399" s="18" t="s">
        <v>57</v>
      </c>
      <c r="AB399" s="18" t="s">
        <v>57</v>
      </c>
      <c r="AC399" s="18" t="s">
        <v>57</v>
      </c>
      <c r="AD399" s="18" t="s">
        <v>58</v>
      </c>
      <c r="AE399" s="40" t="s">
        <v>2837</v>
      </c>
      <c r="AF399" s="99" t="s">
        <v>2839</v>
      </c>
      <c r="AG399" s="14"/>
      <c r="AH399" s="14"/>
      <c r="AI399" s="20"/>
      <c r="AJ399" s="14"/>
      <c r="AK399" s="14"/>
      <c r="AL399" s="14"/>
      <c r="AM399" s="14"/>
      <c r="AN399" s="14"/>
      <c r="AO399" s="14"/>
      <c r="AP399" s="14"/>
      <c r="AQ399" s="14"/>
      <c r="AR399" s="14"/>
    </row>
    <row r="400" ht="22.5" customHeight="1">
      <c r="A400" s="103">
        <v>46079.0</v>
      </c>
      <c r="B400" s="68" t="s">
        <v>2840</v>
      </c>
      <c r="C400" s="8" t="s">
        <v>186</v>
      </c>
      <c r="D400" s="9" t="s">
        <v>258</v>
      </c>
      <c r="E400" s="39" t="s">
        <v>2841</v>
      </c>
      <c r="F400" s="9" t="s">
        <v>68</v>
      </c>
      <c r="G400" s="10">
        <v>500081.0</v>
      </c>
      <c r="H400" s="9" t="s">
        <v>2089</v>
      </c>
      <c r="I400" s="11" t="str">
        <f>VLOOKUP(H400,Mapping!D:E,2,0)</f>
        <v>Hitech-City</v>
      </c>
      <c r="J400" s="61" t="s">
        <v>148</v>
      </c>
      <c r="K400" s="12">
        <v>0.23</v>
      </c>
      <c r="L400" s="14" t="str">
        <f t="shared" si="28"/>
        <v>20%+</v>
      </c>
      <c r="M400" s="13">
        <v>0.018</v>
      </c>
      <c r="N400" s="14"/>
      <c r="O400" s="9" t="s">
        <v>2743</v>
      </c>
      <c r="P400" s="9" t="s">
        <v>2744</v>
      </c>
      <c r="Q400" s="9" t="s">
        <v>2745</v>
      </c>
      <c r="R400" s="16" t="s">
        <v>2746</v>
      </c>
      <c r="S400" s="9" t="s">
        <v>68</v>
      </c>
      <c r="T400" s="9" t="s">
        <v>2743</v>
      </c>
      <c r="U400" s="9" t="s">
        <v>1139</v>
      </c>
      <c r="V400" s="17" t="s">
        <v>2747</v>
      </c>
      <c r="W400" s="9" t="s">
        <v>2748</v>
      </c>
      <c r="X400" s="9" t="s">
        <v>56</v>
      </c>
      <c r="Y400" s="18" t="s">
        <v>57</v>
      </c>
      <c r="Z400" s="18" t="s">
        <v>58</v>
      </c>
      <c r="AA400" s="18" t="s">
        <v>57</v>
      </c>
      <c r="AB400" s="18" t="s">
        <v>57</v>
      </c>
      <c r="AC400" s="18" t="s">
        <v>57</v>
      </c>
      <c r="AD400" s="18" t="s">
        <v>58</v>
      </c>
      <c r="AE400" s="40" t="s">
        <v>2842</v>
      </c>
      <c r="AF400" s="99" t="s">
        <v>2843</v>
      </c>
      <c r="AG400" s="14"/>
      <c r="AH400" s="14"/>
      <c r="AI400" s="20"/>
      <c r="AJ400" s="14"/>
      <c r="AK400" s="14"/>
      <c r="AL400" s="14"/>
      <c r="AM400" s="14"/>
      <c r="AN400" s="14"/>
      <c r="AO400" s="14"/>
      <c r="AP400" s="14"/>
      <c r="AQ400" s="14"/>
      <c r="AR400" s="14"/>
    </row>
    <row r="401" ht="22.5" customHeight="1">
      <c r="A401" s="103">
        <v>46079.0</v>
      </c>
      <c r="B401" s="69" t="s">
        <v>2844</v>
      </c>
      <c r="C401" s="8" t="s">
        <v>186</v>
      </c>
      <c r="D401" s="9" t="s">
        <v>258</v>
      </c>
      <c r="E401" s="9" t="s">
        <v>2694</v>
      </c>
      <c r="F401" s="9" t="s">
        <v>68</v>
      </c>
      <c r="G401" s="10">
        <v>500084.0</v>
      </c>
      <c r="H401" s="9" t="s">
        <v>389</v>
      </c>
      <c r="I401" s="11" t="str">
        <f>VLOOKUP(H401,Mapping!D:E,2,0)</f>
        <v>Kondapur</v>
      </c>
      <c r="J401" s="61" t="s">
        <v>390</v>
      </c>
      <c r="K401" s="12">
        <v>0.13</v>
      </c>
      <c r="L401" s="14" t="str">
        <f t="shared" si="28"/>
        <v>&lt;15%</v>
      </c>
      <c r="M401" s="13">
        <v>0.018</v>
      </c>
      <c r="N401" s="127">
        <v>0.02</v>
      </c>
      <c r="O401" s="43" t="s">
        <v>2844</v>
      </c>
      <c r="P401" s="9" t="s">
        <v>2845</v>
      </c>
      <c r="Q401" s="9" t="s">
        <v>2695</v>
      </c>
      <c r="R401" s="16" t="s">
        <v>2696</v>
      </c>
      <c r="S401" s="9" t="s">
        <v>68</v>
      </c>
      <c r="T401" s="9" t="s">
        <v>2846</v>
      </c>
      <c r="U401" s="9" t="s">
        <v>1139</v>
      </c>
      <c r="V401" s="17">
        <v>9.13010031284567E14</v>
      </c>
      <c r="W401" s="9" t="s">
        <v>2698</v>
      </c>
      <c r="X401" s="9" t="s">
        <v>56</v>
      </c>
      <c r="Y401" s="82" t="s">
        <v>57</v>
      </c>
      <c r="Z401" s="82" t="s">
        <v>58</v>
      </c>
      <c r="AA401" s="82" t="s">
        <v>57</v>
      </c>
      <c r="AB401" s="82" t="s">
        <v>57</v>
      </c>
      <c r="AC401" s="82" t="s">
        <v>57</v>
      </c>
      <c r="AD401" s="82" t="s">
        <v>58</v>
      </c>
      <c r="AE401" s="83" t="s">
        <v>2847</v>
      </c>
      <c r="AF401" s="40" t="s">
        <v>2699</v>
      </c>
      <c r="AG401" s="14"/>
      <c r="AH401" s="14"/>
      <c r="AI401" s="20"/>
      <c r="AJ401" s="14"/>
      <c r="AK401" s="14"/>
      <c r="AL401" s="14"/>
      <c r="AM401" s="14"/>
      <c r="AN401" s="14"/>
      <c r="AO401" s="14"/>
      <c r="AP401" s="14"/>
      <c r="AQ401" s="14"/>
      <c r="AR401" s="14"/>
    </row>
    <row r="402" ht="22.5" customHeight="1">
      <c r="A402" s="103">
        <v>46079.0</v>
      </c>
      <c r="B402" s="69" t="s">
        <v>2848</v>
      </c>
      <c r="C402" s="55" t="s">
        <v>186</v>
      </c>
      <c r="D402" s="15" t="s">
        <v>258</v>
      </c>
      <c r="E402" s="15" t="s">
        <v>2694</v>
      </c>
      <c r="F402" s="15" t="s">
        <v>68</v>
      </c>
      <c r="G402" s="56">
        <v>500084.0</v>
      </c>
      <c r="H402" s="15" t="s">
        <v>389</v>
      </c>
      <c r="I402" s="57" t="str">
        <f>VLOOKUP(H402,Mapping!D:E,2,0)</f>
        <v>Kondapur</v>
      </c>
      <c r="J402" s="61" t="s">
        <v>390</v>
      </c>
      <c r="K402" s="66">
        <v>0.13</v>
      </c>
      <c r="L402" s="61" t="str">
        <f t="shared" si="28"/>
        <v>&lt;15%</v>
      </c>
      <c r="M402" s="59">
        <v>0.018</v>
      </c>
      <c r="N402" s="168">
        <v>0.02</v>
      </c>
      <c r="O402" s="69" t="s">
        <v>2844</v>
      </c>
      <c r="P402" s="15" t="s">
        <v>2845</v>
      </c>
      <c r="Q402" s="15" t="s">
        <v>2695</v>
      </c>
      <c r="R402" s="60" t="s">
        <v>2696</v>
      </c>
      <c r="S402" s="15" t="s">
        <v>68</v>
      </c>
      <c r="T402" s="15" t="s">
        <v>2846</v>
      </c>
      <c r="U402" s="15" t="s">
        <v>1139</v>
      </c>
      <c r="V402" s="67">
        <v>9.13010031284567E14</v>
      </c>
      <c r="W402" s="15" t="s">
        <v>2698</v>
      </c>
      <c r="X402" s="15" t="s">
        <v>56</v>
      </c>
      <c r="Y402" s="18" t="s">
        <v>57</v>
      </c>
      <c r="Z402" s="18" t="s">
        <v>58</v>
      </c>
      <c r="AA402" s="18" t="s">
        <v>57</v>
      </c>
      <c r="AB402" s="18" t="s">
        <v>57</v>
      </c>
      <c r="AC402" s="18" t="s">
        <v>57</v>
      </c>
      <c r="AD402" s="18" t="s">
        <v>58</v>
      </c>
      <c r="AE402" s="169" t="s">
        <v>2849</v>
      </c>
      <c r="AF402" s="169" t="s">
        <v>2699</v>
      </c>
      <c r="AI402" s="62"/>
    </row>
    <row r="403" ht="22.5" customHeight="1">
      <c r="A403" s="129">
        <v>46079.0</v>
      </c>
      <c r="B403" s="138" t="s">
        <v>2850</v>
      </c>
      <c r="C403" s="8" t="s">
        <v>186</v>
      </c>
      <c r="D403" s="9" t="s">
        <v>258</v>
      </c>
      <c r="E403" s="9" t="s">
        <v>2851</v>
      </c>
      <c r="F403" s="9" t="s">
        <v>68</v>
      </c>
      <c r="G403" s="10">
        <v>500049.0</v>
      </c>
      <c r="H403" s="9" t="s">
        <v>1198</v>
      </c>
      <c r="I403" s="15" t="s">
        <v>1165</v>
      </c>
      <c r="J403" s="136" t="s">
        <v>390</v>
      </c>
      <c r="K403" s="12">
        <v>0.22</v>
      </c>
      <c r="L403" s="14" t="str">
        <f t="shared" si="28"/>
        <v>20%+</v>
      </c>
      <c r="M403" s="59">
        <v>0.018</v>
      </c>
      <c r="N403" s="127">
        <v>0.02</v>
      </c>
      <c r="O403" s="9" t="s">
        <v>2852</v>
      </c>
      <c r="P403" s="39" t="s">
        <v>2853</v>
      </c>
      <c r="Q403" s="9" t="s">
        <v>2854</v>
      </c>
      <c r="R403" s="16" t="s">
        <v>2855</v>
      </c>
      <c r="S403" s="9" t="s">
        <v>68</v>
      </c>
      <c r="T403" s="9" t="s">
        <v>2856</v>
      </c>
      <c r="U403" s="9" t="s">
        <v>2857</v>
      </c>
      <c r="V403" s="17">
        <v>4.89110110016961E14</v>
      </c>
      <c r="W403" s="9" t="s">
        <v>2858</v>
      </c>
      <c r="X403" s="9" t="s">
        <v>56</v>
      </c>
      <c r="Y403" s="18" t="s">
        <v>57</v>
      </c>
      <c r="Z403" s="18" t="s">
        <v>58</v>
      </c>
      <c r="AA403" s="18" t="s">
        <v>57</v>
      </c>
      <c r="AB403" s="18" t="s">
        <v>57</v>
      </c>
      <c r="AC403" s="18" t="s">
        <v>57</v>
      </c>
      <c r="AD403" s="18" t="s">
        <v>58</v>
      </c>
      <c r="AE403" s="40" t="s">
        <v>2859</v>
      </c>
      <c r="AF403" s="40" t="s">
        <v>2860</v>
      </c>
      <c r="AG403" s="14"/>
      <c r="AH403" s="14"/>
      <c r="AI403" s="20"/>
      <c r="AJ403" s="14"/>
      <c r="AK403" s="14"/>
      <c r="AL403" s="14"/>
      <c r="AM403" s="14"/>
      <c r="AN403" s="14"/>
      <c r="AO403" s="14"/>
      <c r="AP403" s="14"/>
      <c r="AQ403" s="14"/>
      <c r="AR403" s="14"/>
    </row>
    <row r="404" ht="22.5" customHeight="1">
      <c r="A404" s="81">
        <v>46079.0</v>
      </c>
      <c r="B404" s="138" t="s">
        <v>2861</v>
      </c>
      <c r="C404" s="170" t="s">
        <v>186</v>
      </c>
      <c r="D404" s="9" t="s">
        <v>258</v>
      </c>
      <c r="E404" s="9" t="s">
        <v>2851</v>
      </c>
      <c r="F404" s="9" t="s">
        <v>68</v>
      </c>
      <c r="G404" s="10">
        <v>500049.0</v>
      </c>
      <c r="H404" s="9" t="s">
        <v>1198</v>
      </c>
      <c r="I404" s="15" t="s">
        <v>1165</v>
      </c>
      <c r="J404" s="136" t="s">
        <v>390</v>
      </c>
      <c r="K404" s="12">
        <v>0.22</v>
      </c>
      <c r="L404" s="14" t="str">
        <f t="shared" si="28"/>
        <v>20%+</v>
      </c>
      <c r="M404" s="59">
        <v>0.018</v>
      </c>
      <c r="N404" s="127">
        <v>0.02</v>
      </c>
      <c r="O404" s="9" t="s">
        <v>2852</v>
      </c>
      <c r="P404" s="39" t="s">
        <v>2862</v>
      </c>
      <c r="Q404" s="9" t="s">
        <v>2856</v>
      </c>
      <c r="R404" s="16" t="s">
        <v>2855</v>
      </c>
      <c r="S404" s="9" t="s">
        <v>68</v>
      </c>
      <c r="T404" s="9" t="s">
        <v>2856</v>
      </c>
      <c r="U404" s="9" t="s">
        <v>2857</v>
      </c>
      <c r="V404" s="17">
        <v>4.89110110016961E14</v>
      </c>
      <c r="W404" s="9" t="s">
        <v>2858</v>
      </c>
      <c r="X404" s="9" t="s">
        <v>56</v>
      </c>
      <c r="Y404" s="18" t="s">
        <v>57</v>
      </c>
      <c r="Z404" s="18" t="s">
        <v>58</v>
      </c>
      <c r="AA404" s="18" t="s">
        <v>57</v>
      </c>
      <c r="AB404" s="18" t="s">
        <v>57</v>
      </c>
      <c r="AC404" s="18" t="s">
        <v>57</v>
      </c>
      <c r="AD404" s="18" t="s">
        <v>58</v>
      </c>
      <c r="AE404" s="40" t="s">
        <v>2863</v>
      </c>
      <c r="AF404" s="40" t="s">
        <v>2860</v>
      </c>
      <c r="AG404" s="14"/>
      <c r="AH404" s="14"/>
      <c r="AI404" s="20"/>
      <c r="AJ404" s="14"/>
      <c r="AK404" s="14"/>
      <c r="AL404" s="14"/>
      <c r="AM404" s="14"/>
      <c r="AN404" s="14"/>
      <c r="AO404" s="14"/>
      <c r="AP404" s="14"/>
      <c r="AQ404" s="14"/>
      <c r="AR404" s="14"/>
    </row>
    <row r="405" ht="22.5" customHeight="1">
      <c r="A405" s="74">
        <v>46079.0</v>
      </c>
      <c r="B405" s="138" t="s">
        <v>2864</v>
      </c>
      <c r="C405" s="8" t="s">
        <v>186</v>
      </c>
      <c r="D405" s="9" t="s">
        <v>258</v>
      </c>
      <c r="E405" s="9" t="s">
        <v>2851</v>
      </c>
      <c r="F405" s="9" t="s">
        <v>68</v>
      </c>
      <c r="G405" s="10">
        <v>500049.0</v>
      </c>
      <c r="H405" s="9" t="s">
        <v>1198</v>
      </c>
      <c r="I405" s="15" t="s">
        <v>1165</v>
      </c>
      <c r="J405" s="136" t="s">
        <v>390</v>
      </c>
      <c r="K405" s="12">
        <v>0.22</v>
      </c>
      <c r="L405" s="14" t="str">
        <f t="shared" si="28"/>
        <v>20%+</v>
      </c>
      <c r="M405" s="59">
        <v>0.018</v>
      </c>
      <c r="N405" s="127">
        <v>0.02</v>
      </c>
      <c r="O405" s="9" t="s">
        <v>2852</v>
      </c>
      <c r="P405" s="39" t="s">
        <v>2865</v>
      </c>
      <c r="Q405" s="9" t="s">
        <v>2856</v>
      </c>
      <c r="R405" s="16" t="s">
        <v>2855</v>
      </c>
      <c r="S405" s="9" t="s">
        <v>68</v>
      </c>
      <c r="T405" s="9" t="s">
        <v>2856</v>
      </c>
      <c r="U405" s="9" t="s">
        <v>2857</v>
      </c>
      <c r="V405" s="17">
        <v>4.89110110016961E14</v>
      </c>
      <c r="W405" s="9" t="s">
        <v>2858</v>
      </c>
      <c r="X405" s="9" t="s">
        <v>56</v>
      </c>
      <c r="Y405" s="18" t="s">
        <v>57</v>
      </c>
      <c r="Z405" s="18" t="s">
        <v>58</v>
      </c>
      <c r="AA405" s="18" t="s">
        <v>57</v>
      </c>
      <c r="AB405" s="18" t="s">
        <v>57</v>
      </c>
      <c r="AC405" s="18" t="s">
        <v>57</v>
      </c>
      <c r="AD405" s="18" t="s">
        <v>58</v>
      </c>
      <c r="AE405" s="40" t="s">
        <v>2866</v>
      </c>
      <c r="AF405" s="40" t="s">
        <v>2860</v>
      </c>
      <c r="AG405" s="14"/>
      <c r="AH405" s="14"/>
      <c r="AI405" s="20"/>
      <c r="AJ405" s="14"/>
      <c r="AK405" s="14"/>
      <c r="AL405" s="14"/>
      <c r="AM405" s="14"/>
      <c r="AN405" s="14"/>
      <c r="AO405" s="14"/>
      <c r="AP405" s="14"/>
      <c r="AQ405" s="14"/>
      <c r="AR405" s="14"/>
    </row>
    <row r="406" ht="22.5" customHeight="1">
      <c r="A406" s="81">
        <v>46079.0</v>
      </c>
      <c r="B406" s="138" t="s">
        <v>2867</v>
      </c>
      <c r="C406" s="8" t="s">
        <v>186</v>
      </c>
      <c r="D406" s="9" t="s">
        <v>258</v>
      </c>
      <c r="E406" s="9" t="s">
        <v>2868</v>
      </c>
      <c r="F406" s="9" t="s">
        <v>68</v>
      </c>
      <c r="G406" s="10">
        <v>500049.0</v>
      </c>
      <c r="H406" s="9" t="s">
        <v>2869</v>
      </c>
      <c r="I406" s="15" t="s">
        <v>1165</v>
      </c>
      <c r="J406" s="136" t="s">
        <v>390</v>
      </c>
      <c r="K406" s="12">
        <v>0.22</v>
      </c>
      <c r="L406" s="14" t="str">
        <f t="shared" si="28"/>
        <v>20%+</v>
      </c>
      <c r="M406" s="59">
        <v>0.018</v>
      </c>
      <c r="N406" s="127">
        <v>0.02</v>
      </c>
      <c r="O406" s="9" t="s">
        <v>2870</v>
      </c>
      <c r="P406" s="9" t="s">
        <v>2871</v>
      </c>
      <c r="Q406" s="9" t="s">
        <v>2856</v>
      </c>
      <c r="R406" s="16" t="s">
        <v>2855</v>
      </c>
      <c r="S406" s="9" t="s">
        <v>68</v>
      </c>
      <c r="T406" s="9" t="s">
        <v>2856</v>
      </c>
      <c r="U406" s="9" t="s">
        <v>2857</v>
      </c>
      <c r="V406" s="17">
        <v>4.89110110016961E14</v>
      </c>
      <c r="W406" s="9" t="s">
        <v>2858</v>
      </c>
      <c r="X406" s="9" t="s">
        <v>56</v>
      </c>
      <c r="Y406" s="18" t="s">
        <v>57</v>
      </c>
      <c r="Z406" s="18" t="s">
        <v>58</v>
      </c>
      <c r="AA406" s="18" t="s">
        <v>57</v>
      </c>
      <c r="AB406" s="18" t="s">
        <v>57</v>
      </c>
      <c r="AC406" s="18" t="s">
        <v>57</v>
      </c>
      <c r="AD406" s="18" t="s">
        <v>58</v>
      </c>
      <c r="AE406" s="40" t="s">
        <v>2872</v>
      </c>
      <c r="AF406" s="40" t="s">
        <v>2860</v>
      </c>
      <c r="AG406" s="14"/>
      <c r="AH406" s="14"/>
      <c r="AI406" s="20"/>
      <c r="AJ406" s="14"/>
      <c r="AK406" s="14"/>
      <c r="AL406" s="14"/>
      <c r="AM406" s="14"/>
      <c r="AN406" s="14"/>
      <c r="AO406" s="14"/>
      <c r="AP406" s="14"/>
      <c r="AQ406" s="14"/>
      <c r="AR406" s="14"/>
    </row>
    <row r="407" ht="22.5" customHeight="1">
      <c r="A407" s="74">
        <v>46079.0</v>
      </c>
      <c r="B407" s="138" t="s">
        <v>2873</v>
      </c>
      <c r="C407" s="8" t="s">
        <v>186</v>
      </c>
      <c r="D407" s="9" t="s">
        <v>258</v>
      </c>
      <c r="E407" s="9" t="s">
        <v>2868</v>
      </c>
      <c r="F407" s="9" t="s">
        <v>68</v>
      </c>
      <c r="G407" s="10">
        <v>500049.0</v>
      </c>
      <c r="H407" s="9" t="s">
        <v>2869</v>
      </c>
      <c r="I407" s="15" t="s">
        <v>1165</v>
      </c>
      <c r="J407" s="136" t="s">
        <v>390</v>
      </c>
      <c r="K407" s="12">
        <v>0.22</v>
      </c>
      <c r="L407" s="14" t="str">
        <f t="shared" si="28"/>
        <v>20%+</v>
      </c>
      <c r="M407" s="59">
        <v>0.018</v>
      </c>
      <c r="N407" s="127">
        <v>0.02</v>
      </c>
      <c r="O407" s="9" t="s">
        <v>2870</v>
      </c>
      <c r="P407" s="9" t="s">
        <v>2871</v>
      </c>
      <c r="Q407" s="9" t="s">
        <v>2856</v>
      </c>
      <c r="R407" s="16" t="s">
        <v>2855</v>
      </c>
      <c r="S407" s="9" t="s">
        <v>68</v>
      </c>
      <c r="T407" s="9" t="s">
        <v>2856</v>
      </c>
      <c r="U407" s="9" t="s">
        <v>2857</v>
      </c>
      <c r="V407" s="17">
        <v>4.89110110016961E14</v>
      </c>
      <c r="W407" s="9" t="s">
        <v>2858</v>
      </c>
      <c r="X407" s="9" t="s">
        <v>56</v>
      </c>
      <c r="Y407" s="18" t="s">
        <v>57</v>
      </c>
      <c r="Z407" s="18" t="s">
        <v>58</v>
      </c>
      <c r="AA407" s="18" t="s">
        <v>57</v>
      </c>
      <c r="AB407" s="18" t="s">
        <v>57</v>
      </c>
      <c r="AC407" s="18" t="s">
        <v>57</v>
      </c>
      <c r="AD407" s="18" t="s">
        <v>58</v>
      </c>
      <c r="AE407" s="40" t="s">
        <v>2874</v>
      </c>
      <c r="AF407" s="40" t="s">
        <v>2860</v>
      </c>
      <c r="AG407" s="14"/>
      <c r="AH407" s="14"/>
      <c r="AI407" s="20"/>
      <c r="AJ407" s="14"/>
      <c r="AK407" s="14"/>
      <c r="AL407" s="14"/>
      <c r="AM407" s="14"/>
      <c r="AN407" s="14"/>
      <c r="AO407" s="14"/>
      <c r="AP407" s="14"/>
      <c r="AQ407" s="14"/>
      <c r="AR407" s="14"/>
    </row>
    <row r="408" ht="22.5" customHeight="1">
      <c r="A408" s="81">
        <v>46080.0</v>
      </c>
      <c r="B408" s="69" t="s">
        <v>2875</v>
      </c>
      <c r="C408" s="8" t="s">
        <v>73</v>
      </c>
      <c r="D408" s="9" t="s">
        <v>68</v>
      </c>
      <c r="E408" s="9" t="s">
        <v>2876</v>
      </c>
      <c r="F408" s="10" t="s">
        <v>2004</v>
      </c>
      <c r="G408" s="10">
        <v>500090.0</v>
      </c>
      <c r="H408" s="10" t="s">
        <v>2004</v>
      </c>
      <c r="I408" s="10" t="s">
        <v>2004</v>
      </c>
      <c r="J408" s="10" t="s">
        <v>2004</v>
      </c>
      <c r="K408" s="12">
        <v>0.22</v>
      </c>
      <c r="L408" s="14" t="str">
        <f t="shared" si="28"/>
        <v>20%+</v>
      </c>
      <c r="M408" s="13">
        <v>0.018</v>
      </c>
      <c r="N408" s="9"/>
      <c r="O408" s="9" t="s">
        <v>2877</v>
      </c>
      <c r="P408" s="9" t="s">
        <v>2876</v>
      </c>
      <c r="Q408" s="9" t="s">
        <v>68</v>
      </c>
      <c r="R408" s="9" t="s">
        <v>68</v>
      </c>
      <c r="S408" s="9" t="s">
        <v>68</v>
      </c>
      <c r="T408" s="9" t="s">
        <v>68</v>
      </c>
      <c r="U408" s="9" t="s">
        <v>68</v>
      </c>
      <c r="V408" s="9" t="s">
        <v>68</v>
      </c>
      <c r="W408" s="9" t="s">
        <v>68</v>
      </c>
      <c r="X408" s="9" t="s">
        <v>68</v>
      </c>
      <c r="Y408" s="18" t="s">
        <v>57</v>
      </c>
      <c r="Z408" s="18" t="s">
        <v>57</v>
      </c>
      <c r="AA408" s="18" t="s">
        <v>57</v>
      </c>
      <c r="AB408" s="18" t="s">
        <v>58</v>
      </c>
      <c r="AC408" s="18" t="s">
        <v>57</v>
      </c>
      <c r="AD408" s="18" t="s">
        <v>58</v>
      </c>
      <c r="AE408" s="35" t="s">
        <v>1696</v>
      </c>
      <c r="AF408" s="14"/>
      <c r="AG408" s="14"/>
      <c r="AH408" s="14"/>
      <c r="AI408" s="8" t="s">
        <v>71</v>
      </c>
      <c r="AJ408" s="14"/>
      <c r="AK408" s="14"/>
      <c r="AL408" s="14"/>
      <c r="AM408" s="14"/>
      <c r="AN408" s="14"/>
      <c r="AO408" s="14"/>
      <c r="AP408" s="14"/>
      <c r="AQ408" s="14"/>
      <c r="AR408" s="14"/>
    </row>
    <row r="409" ht="22.5" customHeight="1">
      <c r="A409" s="74">
        <v>46080.0</v>
      </c>
      <c r="B409" s="69" t="s">
        <v>2878</v>
      </c>
      <c r="C409" s="8" t="s">
        <v>73</v>
      </c>
      <c r="D409" s="9" t="s">
        <v>68</v>
      </c>
      <c r="E409" s="9" t="s">
        <v>2876</v>
      </c>
      <c r="F409" s="10" t="s">
        <v>2004</v>
      </c>
      <c r="G409" s="10">
        <v>500090.0</v>
      </c>
      <c r="H409" s="10" t="s">
        <v>2004</v>
      </c>
      <c r="I409" s="10" t="s">
        <v>2004</v>
      </c>
      <c r="J409" s="10" t="s">
        <v>2004</v>
      </c>
      <c r="K409" s="12">
        <v>0.22</v>
      </c>
      <c r="L409" s="14" t="str">
        <f t="shared" si="28"/>
        <v>20%+</v>
      </c>
      <c r="M409" s="13">
        <v>0.018</v>
      </c>
      <c r="N409" s="9"/>
      <c r="O409" s="9" t="s">
        <v>2877</v>
      </c>
      <c r="P409" s="9" t="s">
        <v>2876</v>
      </c>
      <c r="Q409" s="9" t="s">
        <v>68</v>
      </c>
      <c r="R409" s="9" t="s">
        <v>68</v>
      </c>
      <c r="S409" s="9" t="s">
        <v>68</v>
      </c>
      <c r="T409" s="9" t="s">
        <v>68</v>
      </c>
      <c r="U409" s="9" t="s">
        <v>68</v>
      </c>
      <c r="V409" s="9" t="s">
        <v>68</v>
      </c>
      <c r="W409" s="9" t="s">
        <v>68</v>
      </c>
      <c r="X409" s="9" t="s">
        <v>68</v>
      </c>
      <c r="Y409" s="18" t="s">
        <v>57</v>
      </c>
      <c r="Z409" s="18" t="s">
        <v>57</v>
      </c>
      <c r="AA409" s="18" t="s">
        <v>57</v>
      </c>
      <c r="AB409" s="18" t="s">
        <v>58</v>
      </c>
      <c r="AC409" s="18" t="s">
        <v>57</v>
      </c>
      <c r="AD409" s="18" t="s">
        <v>58</v>
      </c>
      <c r="AE409" s="35" t="s">
        <v>1696</v>
      </c>
      <c r="AF409" s="14"/>
      <c r="AG409" s="14"/>
      <c r="AH409" s="14"/>
      <c r="AI409" s="8" t="s">
        <v>71</v>
      </c>
      <c r="AJ409" s="14"/>
      <c r="AK409" s="14"/>
      <c r="AL409" s="14"/>
      <c r="AM409" s="14"/>
      <c r="AN409" s="14"/>
      <c r="AO409" s="14"/>
      <c r="AP409" s="14"/>
      <c r="AQ409" s="14"/>
      <c r="AR409" s="14"/>
    </row>
    <row r="410" ht="22.5" customHeight="1">
      <c r="A410" s="74">
        <v>46080.0</v>
      </c>
      <c r="B410" s="69" t="s">
        <v>2879</v>
      </c>
      <c r="C410" s="8" t="s">
        <v>73</v>
      </c>
      <c r="D410" s="9" t="s">
        <v>61</v>
      </c>
      <c r="E410" s="9" t="s">
        <v>2880</v>
      </c>
      <c r="F410" s="9" t="s">
        <v>2881</v>
      </c>
      <c r="G410" s="10">
        <v>500090.0</v>
      </c>
      <c r="H410" s="10" t="s">
        <v>1165</v>
      </c>
      <c r="I410" s="11" t="str">
        <f>VLOOKUP(H410,Mapping!D:E,2,0)</f>
        <v>kukatpally</v>
      </c>
      <c r="J410" s="61" t="s">
        <v>390</v>
      </c>
      <c r="K410" s="12">
        <v>0.22</v>
      </c>
      <c r="L410" s="14" t="str">
        <f t="shared" si="28"/>
        <v>20%+</v>
      </c>
      <c r="M410" s="13">
        <v>0.018</v>
      </c>
      <c r="N410" s="9"/>
      <c r="O410" s="9" t="s">
        <v>68</v>
      </c>
      <c r="P410" s="9" t="s">
        <v>68</v>
      </c>
      <c r="Q410" s="9" t="s">
        <v>68</v>
      </c>
      <c r="R410" s="9" t="s">
        <v>68</v>
      </c>
      <c r="S410" s="9" t="s">
        <v>68</v>
      </c>
      <c r="T410" s="9" t="s">
        <v>68</v>
      </c>
      <c r="U410" s="9" t="s">
        <v>68</v>
      </c>
      <c r="V410" s="9" t="s">
        <v>68</v>
      </c>
      <c r="W410" s="9" t="s">
        <v>68</v>
      </c>
      <c r="X410" s="9" t="s">
        <v>68</v>
      </c>
      <c r="Y410" s="18" t="s">
        <v>57</v>
      </c>
      <c r="Z410" s="18" t="s">
        <v>57</v>
      </c>
      <c r="AA410" s="18" t="s">
        <v>57</v>
      </c>
      <c r="AB410" s="18" t="s">
        <v>58</v>
      </c>
      <c r="AC410" s="18" t="s">
        <v>57</v>
      </c>
      <c r="AD410" s="18" t="s">
        <v>58</v>
      </c>
      <c r="AE410" s="35" t="s">
        <v>1696</v>
      </c>
      <c r="AF410" s="14"/>
      <c r="AG410" s="14"/>
      <c r="AH410" s="14"/>
      <c r="AI410" s="8" t="s">
        <v>71</v>
      </c>
      <c r="AJ410" s="14"/>
      <c r="AK410" s="14"/>
      <c r="AL410" s="14"/>
      <c r="AM410" s="14"/>
      <c r="AN410" s="14"/>
      <c r="AO410" s="14"/>
      <c r="AP410" s="14"/>
      <c r="AQ410" s="14"/>
      <c r="AR410" s="14"/>
    </row>
    <row r="411" ht="22.5" customHeight="1">
      <c r="A411" s="74">
        <v>46080.0</v>
      </c>
      <c r="B411" s="69" t="s">
        <v>2882</v>
      </c>
      <c r="C411" s="8" t="s">
        <v>73</v>
      </c>
      <c r="D411" s="9" t="s">
        <v>61</v>
      </c>
      <c r="E411" s="9" t="s">
        <v>2880</v>
      </c>
      <c r="F411" s="9" t="s">
        <v>2881</v>
      </c>
      <c r="G411" s="10">
        <v>500090.0</v>
      </c>
      <c r="H411" s="9" t="s">
        <v>1691</v>
      </c>
      <c r="I411" s="11" t="str">
        <f>VLOOKUP(H411,Mapping!D:E,2,0)</f>
        <v>miyapur</v>
      </c>
      <c r="J411" s="61" t="s">
        <v>390</v>
      </c>
      <c r="K411" s="12">
        <v>0.22</v>
      </c>
      <c r="L411" s="14" t="str">
        <f t="shared" si="28"/>
        <v>20%+</v>
      </c>
      <c r="M411" s="13">
        <v>0.018</v>
      </c>
      <c r="N411" s="9"/>
      <c r="O411" s="43" t="s">
        <v>2882</v>
      </c>
      <c r="P411" s="9" t="s">
        <v>1691</v>
      </c>
      <c r="Q411" s="9" t="s">
        <v>2881</v>
      </c>
      <c r="R411" s="16" t="s">
        <v>2883</v>
      </c>
      <c r="S411" s="9" t="s">
        <v>68</v>
      </c>
      <c r="T411" s="9" t="s">
        <v>68</v>
      </c>
      <c r="U411" s="9" t="s">
        <v>68</v>
      </c>
      <c r="V411" s="9" t="s">
        <v>68</v>
      </c>
      <c r="W411" s="9" t="s">
        <v>68</v>
      </c>
      <c r="X411" s="9" t="s">
        <v>68</v>
      </c>
      <c r="Y411" s="18" t="s">
        <v>57</v>
      </c>
      <c r="Z411" s="18" t="s">
        <v>57</v>
      </c>
      <c r="AA411" s="18" t="s">
        <v>57</v>
      </c>
      <c r="AB411" s="18" t="s">
        <v>58</v>
      </c>
      <c r="AC411" s="18" t="s">
        <v>57</v>
      </c>
      <c r="AD411" s="18" t="s">
        <v>58</v>
      </c>
      <c r="AE411" s="35" t="s">
        <v>1696</v>
      </c>
      <c r="AF411" s="14"/>
      <c r="AG411" s="14"/>
      <c r="AH411" s="14"/>
      <c r="AI411" s="8" t="s">
        <v>71</v>
      </c>
      <c r="AJ411" s="14"/>
      <c r="AK411" s="14"/>
      <c r="AL411" s="14"/>
      <c r="AM411" s="14"/>
      <c r="AN411" s="14"/>
      <c r="AO411" s="14"/>
      <c r="AP411" s="14"/>
      <c r="AQ411" s="14"/>
      <c r="AR411" s="14"/>
    </row>
    <row r="412" ht="22.5" customHeight="1">
      <c r="A412" s="74">
        <v>46080.0</v>
      </c>
      <c r="B412" s="69" t="s">
        <v>2884</v>
      </c>
      <c r="C412" s="8" t="s">
        <v>73</v>
      </c>
      <c r="D412" s="171" t="s">
        <v>258</v>
      </c>
      <c r="E412" s="172" t="s">
        <v>2885</v>
      </c>
      <c r="F412" s="172" t="s">
        <v>2886</v>
      </c>
      <c r="G412" s="173">
        <v>500084.0</v>
      </c>
      <c r="H412" s="172" t="s">
        <v>389</v>
      </c>
      <c r="I412" s="174" t="str">
        <f>VLOOKUP(H412,Mapping!D:E,2,0)</f>
        <v>Kondapur</v>
      </c>
      <c r="J412" s="61" t="s">
        <v>390</v>
      </c>
      <c r="K412" s="175">
        <v>0.22</v>
      </c>
      <c r="L412" s="176" t="str">
        <f t="shared" si="28"/>
        <v>20%+</v>
      </c>
      <c r="M412" s="177">
        <v>0.018</v>
      </c>
      <c r="N412" s="172"/>
      <c r="O412" s="172" t="s">
        <v>2887</v>
      </c>
      <c r="P412" s="172" t="s">
        <v>389</v>
      </c>
      <c r="Q412" s="172" t="s">
        <v>2888</v>
      </c>
      <c r="R412" s="178" t="s">
        <v>2889</v>
      </c>
      <c r="S412" s="172" t="s">
        <v>68</v>
      </c>
      <c r="T412" s="172" t="s">
        <v>2890</v>
      </c>
      <c r="U412" s="172" t="s">
        <v>2891</v>
      </c>
      <c r="V412" s="179">
        <v>2.0100035270802E13</v>
      </c>
      <c r="W412" s="172" t="s">
        <v>2892</v>
      </c>
      <c r="X412" s="172" t="s">
        <v>80</v>
      </c>
      <c r="Y412" s="18" t="s">
        <v>57</v>
      </c>
      <c r="Z412" s="18" t="s">
        <v>69</v>
      </c>
      <c r="AA412" s="18" t="s">
        <v>57</v>
      </c>
      <c r="AB412" s="18" t="s">
        <v>57</v>
      </c>
      <c r="AC412" s="18" t="s">
        <v>57</v>
      </c>
      <c r="AD412" s="18" t="s">
        <v>69</v>
      </c>
      <c r="AE412" s="35" t="s">
        <v>2893</v>
      </c>
      <c r="AF412" s="14"/>
      <c r="AG412" s="14"/>
      <c r="AH412" s="14"/>
      <c r="AI412" s="20"/>
      <c r="AJ412" s="14"/>
      <c r="AK412" s="14"/>
      <c r="AL412" s="14"/>
      <c r="AM412" s="14"/>
      <c r="AN412" s="14"/>
      <c r="AO412" s="14"/>
      <c r="AP412" s="14"/>
      <c r="AQ412" s="14"/>
      <c r="AR412" s="14"/>
    </row>
    <row r="413" ht="22.5" customHeight="1">
      <c r="A413" s="74">
        <v>46080.0</v>
      </c>
      <c r="B413" s="69" t="s">
        <v>2894</v>
      </c>
      <c r="C413" s="8" t="s">
        <v>73</v>
      </c>
      <c r="D413" s="9" t="s">
        <v>258</v>
      </c>
      <c r="E413" s="9" t="s">
        <v>2885</v>
      </c>
      <c r="F413" s="9" t="s">
        <v>2886</v>
      </c>
      <c r="G413" s="10">
        <v>500084.0</v>
      </c>
      <c r="H413" s="9" t="s">
        <v>389</v>
      </c>
      <c r="I413" s="11" t="str">
        <f>VLOOKUP(H413,Mapping!D:E,2,0)</f>
        <v>Kondapur</v>
      </c>
      <c r="J413" s="61" t="s">
        <v>390</v>
      </c>
      <c r="K413" s="12">
        <v>0.22</v>
      </c>
      <c r="L413" s="14" t="str">
        <f t="shared" si="28"/>
        <v>20%+</v>
      </c>
      <c r="M413" s="13">
        <v>0.018</v>
      </c>
      <c r="N413" s="9"/>
      <c r="O413" s="107" t="s">
        <v>2887</v>
      </c>
      <c r="P413" s="9" t="s">
        <v>389</v>
      </c>
      <c r="Q413" s="9" t="s">
        <v>2888</v>
      </c>
      <c r="R413" s="16" t="s">
        <v>2889</v>
      </c>
      <c r="S413" s="9" t="s">
        <v>68</v>
      </c>
      <c r="T413" s="9" t="s">
        <v>2890</v>
      </c>
      <c r="U413" s="9" t="s">
        <v>2891</v>
      </c>
      <c r="V413" s="17">
        <v>2.0100035270802E13</v>
      </c>
      <c r="W413" s="9" t="s">
        <v>2892</v>
      </c>
      <c r="X413" s="9" t="s">
        <v>80</v>
      </c>
      <c r="Y413" s="18" t="s">
        <v>57</v>
      </c>
      <c r="Z413" s="18" t="s">
        <v>69</v>
      </c>
      <c r="AA413" s="18" t="s">
        <v>57</v>
      </c>
      <c r="AB413" s="18" t="s">
        <v>57</v>
      </c>
      <c r="AC413" s="18" t="s">
        <v>57</v>
      </c>
      <c r="AD413" s="18" t="s">
        <v>69</v>
      </c>
      <c r="AE413" s="35" t="s">
        <v>2893</v>
      </c>
      <c r="AF413" s="14"/>
      <c r="AG413" s="14"/>
      <c r="AH413" s="14"/>
      <c r="AI413" s="20"/>
      <c r="AJ413" s="14"/>
      <c r="AK413" s="14"/>
      <c r="AL413" s="14"/>
      <c r="AM413" s="14"/>
      <c r="AN413" s="14"/>
      <c r="AO413" s="14"/>
      <c r="AP413" s="14"/>
      <c r="AQ413" s="14"/>
      <c r="AR413" s="14"/>
    </row>
    <row r="414" ht="22.5" customHeight="1">
      <c r="A414" s="129">
        <v>46080.0</v>
      </c>
      <c r="B414" s="69" t="s">
        <v>2895</v>
      </c>
      <c r="C414" s="8" t="s">
        <v>241</v>
      </c>
      <c r="D414" s="9" t="s">
        <v>258</v>
      </c>
      <c r="E414" s="9" t="s">
        <v>2896</v>
      </c>
      <c r="F414" s="9" t="s">
        <v>68</v>
      </c>
      <c r="G414" s="10">
        <v>500072.0</v>
      </c>
      <c r="H414" s="9" t="s">
        <v>1165</v>
      </c>
      <c r="I414" s="11" t="str">
        <f>VLOOKUP(H414,Mapping!D:E,2,0)</f>
        <v>kukatpally</v>
      </c>
      <c r="J414" s="61" t="s">
        <v>390</v>
      </c>
      <c r="K414" s="12">
        <v>0.22</v>
      </c>
      <c r="L414" s="14" t="str">
        <f t="shared" si="28"/>
        <v>20%+</v>
      </c>
      <c r="M414" s="13">
        <v>0.018</v>
      </c>
      <c r="N414" s="9"/>
      <c r="O414" s="75" t="s">
        <v>2897</v>
      </c>
      <c r="P414" s="9" t="s">
        <v>2898</v>
      </c>
      <c r="Q414" s="9" t="s">
        <v>2899</v>
      </c>
      <c r="R414" s="16" t="s">
        <v>2900</v>
      </c>
      <c r="S414" s="9" t="s">
        <v>2901</v>
      </c>
      <c r="T414" s="9" t="s">
        <v>68</v>
      </c>
      <c r="U414" s="9" t="s">
        <v>68</v>
      </c>
      <c r="V414" s="9" t="s">
        <v>68</v>
      </c>
      <c r="W414" s="9" t="s">
        <v>68</v>
      </c>
      <c r="X414" s="9" t="s">
        <v>68</v>
      </c>
      <c r="Y414" s="88" t="s">
        <v>57</v>
      </c>
      <c r="Z414" s="88" t="s">
        <v>69</v>
      </c>
      <c r="AA414" s="88" t="s">
        <v>58</v>
      </c>
      <c r="AB414" s="88" t="s">
        <v>58</v>
      </c>
      <c r="AC414" s="88" t="s">
        <v>58</v>
      </c>
      <c r="AD414" s="88" t="s">
        <v>58</v>
      </c>
      <c r="AE414" s="128" t="s">
        <v>2902</v>
      </c>
      <c r="AF414" s="14"/>
      <c r="AG414" s="14"/>
      <c r="AH414" s="14"/>
      <c r="AI414" s="8" t="s">
        <v>71</v>
      </c>
      <c r="AJ414" s="14"/>
      <c r="AK414" s="14"/>
      <c r="AL414" s="14"/>
      <c r="AM414" s="14"/>
      <c r="AN414" s="14"/>
      <c r="AO414" s="14"/>
      <c r="AP414" s="14"/>
      <c r="AQ414" s="14"/>
      <c r="AR414" s="14"/>
    </row>
    <row r="415" ht="22.5" customHeight="1">
      <c r="A415" s="74">
        <v>46080.0</v>
      </c>
      <c r="B415" s="69" t="s">
        <v>2903</v>
      </c>
      <c r="C415" s="8" t="s">
        <v>60</v>
      </c>
      <c r="D415" s="9" t="s">
        <v>258</v>
      </c>
      <c r="E415" s="39" t="s">
        <v>2904</v>
      </c>
      <c r="F415" s="9" t="s">
        <v>68</v>
      </c>
      <c r="G415" s="10">
        <v>500033.0</v>
      </c>
      <c r="H415" s="9" t="s">
        <v>2016</v>
      </c>
      <c r="I415" s="9" t="s">
        <v>2016</v>
      </c>
      <c r="J415" s="61" t="s">
        <v>86</v>
      </c>
      <c r="K415" s="12">
        <v>0.2</v>
      </c>
      <c r="L415" s="14" t="str">
        <f t="shared" si="28"/>
        <v>20%+</v>
      </c>
      <c r="M415" s="13">
        <v>0.018</v>
      </c>
      <c r="N415" s="9" t="s">
        <v>68</v>
      </c>
      <c r="O415" s="107" t="s">
        <v>2905</v>
      </c>
      <c r="P415" s="39" t="s">
        <v>2906</v>
      </c>
      <c r="Q415" s="9" t="s">
        <v>68</v>
      </c>
      <c r="R415" s="16" t="s">
        <v>68</v>
      </c>
      <c r="S415" s="9" t="s">
        <v>2907</v>
      </c>
      <c r="T415" s="9" t="s">
        <v>68</v>
      </c>
      <c r="U415" s="9" t="s">
        <v>68</v>
      </c>
      <c r="V415" s="9" t="s">
        <v>68</v>
      </c>
      <c r="W415" s="9" t="s">
        <v>68</v>
      </c>
      <c r="X415" s="9" t="s">
        <v>68</v>
      </c>
      <c r="Y415" s="91" t="s">
        <v>57</v>
      </c>
      <c r="Z415" s="92" t="s">
        <v>58</v>
      </c>
      <c r="AA415" s="91" t="s">
        <v>57</v>
      </c>
      <c r="AB415" s="91" t="s">
        <v>57</v>
      </c>
      <c r="AC415" s="92" t="s">
        <v>58</v>
      </c>
      <c r="AD415" s="92" t="s">
        <v>69</v>
      </c>
      <c r="AE415" s="93" t="s">
        <v>2908</v>
      </c>
      <c r="AF415" s="14"/>
      <c r="AH415" s="14"/>
      <c r="AI415" s="8" t="s">
        <v>71</v>
      </c>
      <c r="AJ415" s="14"/>
      <c r="AK415" s="14"/>
      <c r="AL415" s="14"/>
      <c r="AM415" s="14"/>
      <c r="AN415" s="14"/>
      <c r="AO415" s="14"/>
      <c r="AP415" s="14"/>
      <c r="AQ415" s="14"/>
      <c r="AR415" s="14"/>
    </row>
    <row r="416" ht="22.5" customHeight="1">
      <c r="A416" s="74">
        <v>46080.0</v>
      </c>
      <c r="B416" s="69" t="s">
        <v>2909</v>
      </c>
      <c r="C416" s="8" t="s">
        <v>73</v>
      </c>
      <c r="D416" s="9" t="s">
        <v>258</v>
      </c>
      <c r="E416" s="9" t="s">
        <v>2910</v>
      </c>
      <c r="F416" s="9" t="s">
        <v>2911</v>
      </c>
      <c r="G416" s="10">
        <v>500090.0</v>
      </c>
      <c r="H416" s="9" t="s">
        <v>1165</v>
      </c>
      <c r="I416" s="11" t="str">
        <f>VLOOKUP(H416,Mapping!D:E,2,0)</f>
        <v>kukatpally</v>
      </c>
      <c r="J416" s="61" t="s">
        <v>390</v>
      </c>
      <c r="K416" s="12">
        <v>0.22</v>
      </c>
      <c r="L416" s="14" t="str">
        <f t="shared" si="28"/>
        <v>20%+</v>
      </c>
      <c r="M416" s="13">
        <v>0.018</v>
      </c>
      <c r="N416" s="9"/>
      <c r="O416" s="75" t="s">
        <v>2909</v>
      </c>
      <c r="P416" s="9" t="s">
        <v>2912</v>
      </c>
      <c r="Q416" s="9" t="s">
        <v>2911</v>
      </c>
      <c r="R416" s="16" t="s">
        <v>2913</v>
      </c>
      <c r="S416" s="9" t="s">
        <v>2914</v>
      </c>
      <c r="T416" s="9" t="s">
        <v>2915</v>
      </c>
      <c r="U416" s="9" t="s">
        <v>1129</v>
      </c>
      <c r="V416" s="17">
        <v>4.10325695021E11</v>
      </c>
      <c r="W416" s="9" t="s">
        <v>2916</v>
      </c>
      <c r="X416" s="9" t="s">
        <v>56</v>
      </c>
      <c r="Y416" s="18" t="s">
        <v>57</v>
      </c>
      <c r="Z416" s="18" t="s">
        <v>69</v>
      </c>
      <c r="AA416" s="18" t="s">
        <v>58</v>
      </c>
      <c r="AB416" s="18" t="s">
        <v>58</v>
      </c>
      <c r="AC416" s="18" t="s">
        <v>58</v>
      </c>
      <c r="AD416" s="18" t="s">
        <v>69</v>
      </c>
      <c r="AE416" s="35" t="s">
        <v>2917</v>
      </c>
      <c r="AF416" s="14"/>
      <c r="AG416" s="14"/>
      <c r="AH416" s="14"/>
      <c r="AI416" s="20"/>
      <c r="AJ416" s="14"/>
      <c r="AK416" s="14"/>
      <c r="AL416" s="14"/>
      <c r="AM416" s="14"/>
      <c r="AN416" s="14"/>
      <c r="AO416" s="14"/>
      <c r="AP416" s="14"/>
      <c r="AQ416" s="14"/>
      <c r="AR416" s="14"/>
    </row>
    <row r="417" ht="22.5" customHeight="1">
      <c r="A417" s="81">
        <v>46080.0</v>
      </c>
      <c r="B417" s="69" t="s">
        <v>2918</v>
      </c>
      <c r="C417" s="8" t="s">
        <v>73</v>
      </c>
      <c r="D417" s="9" t="s">
        <v>258</v>
      </c>
      <c r="E417" s="9" t="s">
        <v>2910</v>
      </c>
      <c r="F417" s="9" t="s">
        <v>2919</v>
      </c>
      <c r="G417" s="10">
        <v>500090.0</v>
      </c>
      <c r="H417" s="9" t="s">
        <v>1165</v>
      </c>
      <c r="I417" s="11" t="str">
        <f>VLOOKUP(H417,Mapping!D:E,2,0)</f>
        <v>kukatpally</v>
      </c>
      <c r="J417" s="61" t="s">
        <v>390</v>
      </c>
      <c r="K417" s="12">
        <v>0.22</v>
      </c>
      <c r="L417" s="14" t="str">
        <f t="shared" si="28"/>
        <v>20%+</v>
      </c>
      <c r="M417" s="13">
        <v>0.018</v>
      </c>
      <c r="N417" s="9"/>
      <c r="O417" s="43" t="s">
        <v>2909</v>
      </c>
      <c r="P417" s="9" t="s">
        <v>2912</v>
      </c>
      <c r="Q417" s="9" t="s">
        <v>2919</v>
      </c>
      <c r="R417" s="16" t="s">
        <v>2920</v>
      </c>
      <c r="S417" s="9" t="s">
        <v>2921</v>
      </c>
      <c r="T417" s="9" t="s">
        <v>2919</v>
      </c>
      <c r="U417" s="180" t="s">
        <v>426</v>
      </c>
      <c r="V417" s="17">
        <v>8.167740968E9</v>
      </c>
      <c r="W417" s="9" t="s">
        <v>2922</v>
      </c>
      <c r="X417" s="9" t="s">
        <v>56</v>
      </c>
      <c r="Y417" s="18" t="s">
        <v>57</v>
      </c>
      <c r="Z417" s="18" t="s">
        <v>69</v>
      </c>
      <c r="AA417" s="18" t="s">
        <v>58</v>
      </c>
      <c r="AB417" s="18" t="s">
        <v>58</v>
      </c>
      <c r="AC417" s="18" t="s">
        <v>58</v>
      </c>
      <c r="AD417" s="18" t="s">
        <v>69</v>
      </c>
      <c r="AE417" s="35" t="s">
        <v>2917</v>
      </c>
      <c r="AF417" s="14"/>
      <c r="AG417" s="14"/>
      <c r="AH417" s="14"/>
      <c r="AI417" s="20"/>
      <c r="AJ417" s="14"/>
      <c r="AK417" s="14"/>
      <c r="AL417" s="14"/>
      <c r="AM417" s="14"/>
      <c r="AN417" s="14"/>
      <c r="AO417" s="14"/>
      <c r="AP417" s="14"/>
      <c r="AQ417" s="14"/>
      <c r="AR417" s="14"/>
    </row>
    <row r="418" ht="22.5" customHeight="1">
      <c r="A418" s="74">
        <v>46080.0</v>
      </c>
      <c r="B418" s="97" t="s">
        <v>2923</v>
      </c>
      <c r="C418" s="8" t="s">
        <v>60</v>
      </c>
      <c r="D418" s="9" t="s">
        <v>61</v>
      </c>
      <c r="E418" s="39" t="s">
        <v>2924</v>
      </c>
      <c r="F418" s="9" t="s">
        <v>2925</v>
      </c>
      <c r="G418" s="10">
        <v>500032.0</v>
      </c>
      <c r="H418" s="9" t="s">
        <v>147</v>
      </c>
      <c r="I418" s="11" t="str">
        <f>VLOOKUP(H418,Mapping!D:E,2,0)</f>
        <v>madhapur</v>
      </c>
      <c r="J418" s="61" t="s">
        <v>148</v>
      </c>
      <c r="K418" s="12">
        <v>0.2</v>
      </c>
      <c r="L418" s="14" t="str">
        <f t="shared" si="28"/>
        <v>20%+</v>
      </c>
      <c r="M418" s="13">
        <v>0.018</v>
      </c>
      <c r="N418" s="127">
        <v>0.02</v>
      </c>
      <c r="O418" s="15" t="s">
        <v>2923</v>
      </c>
      <c r="P418" s="39" t="s">
        <v>2926</v>
      </c>
      <c r="Q418" s="9" t="s">
        <v>2925</v>
      </c>
      <c r="R418" s="16" t="s">
        <v>2927</v>
      </c>
      <c r="S418" s="9" t="s">
        <v>2928</v>
      </c>
      <c r="T418" s="15" t="s">
        <v>2923</v>
      </c>
      <c r="U418" s="9" t="s">
        <v>1014</v>
      </c>
      <c r="V418" s="17">
        <v>5.0200080613101E13</v>
      </c>
      <c r="W418" s="9" t="s">
        <v>2929</v>
      </c>
      <c r="X418" s="9" t="s">
        <v>80</v>
      </c>
      <c r="Y418" s="86" t="s">
        <v>57</v>
      </c>
      <c r="Z418" s="85" t="s">
        <v>57</v>
      </c>
      <c r="AA418" s="86" t="s">
        <v>57</v>
      </c>
      <c r="AB418" s="86" t="s">
        <v>57</v>
      </c>
      <c r="AC418" s="85" t="s">
        <v>58</v>
      </c>
      <c r="AD418" s="85" t="s">
        <v>69</v>
      </c>
      <c r="AE418" s="101" t="s">
        <v>2930</v>
      </c>
      <c r="AF418" s="14"/>
      <c r="AH418" s="14"/>
      <c r="AI418" s="20"/>
      <c r="AJ418" s="14"/>
      <c r="AK418" s="14"/>
      <c r="AL418" s="14"/>
      <c r="AM418" s="14"/>
      <c r="AN418" s="14"/>
      <c r="AO418" s="14"/>
      <c r="AP418" s="14"/>
      <c r="AQ418" s="14"/>
      <c r="AR418" s="14"/>
    </row>
    <row r="419" ht="22.5" customHeight="1">
      <c r="A419" s="81">
        <v>46080.0</v>
      </c>
      <c r="B419" s="97" t="s">
        <v>2931</v>
      </c>
      <c r="C419" s="8" t="s">
        <v>96</v>
      </c>
      <c r="D419" s="9" t="s">
        <v>258</v>
      </c>
      <c r="E419" s="9" t="s">
        <v>2932</v>
      </c>
      <c r="F419" s="9" t="s">
        <v>2933</v>
      </c>
      <c r="G419" s="10">
        <v>500081.0</v>
      </c>
      <c r="H419" s="9" t="s">
        <v>2722</v>
      </c>
      <c r="I419" s="11" t="str">
        <f>VLOOKUP(H419,Mapping!D:E,2,0)</f>
        <v>madhapur</v>
      </c>
      <c r="J419" s="61" t="s">
        <v>148</v>
      </c>
      <c r="K419" s="12">
        <v>0.22</v>
      </c>
      <c r="L419" s="14" t="str">
        <f t="shared" si="28"/>
        <v>20%+</v>
      </c>
      <c r="M419" s="13">
        <v>0.018</v>
      </c>
      <c r="N419" s="9"/>
      <c r="O419" s="15" t="s">
        <v>2931</v>
      </c>
      <c r="P419" s="15" t="s">
        <v>2932</v>
      </c>
      <c r="Q419" s="9" t="s">
        <v>2933</v>
      </c>
      <c r="R419" s="16" t="s">
        <v>2934</v>
      </c>
      <c r="S419" s="9" t="s">
        <v>2935</v>
      </c>
      <c r="T419" s="9" t="s">
        <v>2936</v>
      </c>
      <c r="U419" s="9" t="s">
        <v>54</v>
      </c>
      <c r="V419" s="17">
        <v>2.610100020394E12</v>
      </c>
      <c r="W419" s="9" t="s">
        <v>2937</v>
      </c>
      <c r="X419" s="9" t="s">
        <v>56</v>
      </c>
      <c r="Y419" s="82" t="s">
        <v>57</v>
      </c>
      <c r="Z419" s="82" t="s">
        <v>58</v>
      </c>
      <c r="AA419" s="82" t="s">
        <v>57</v>
      </c>
      <c r="AB419" s="82" t="s">
        <v>57</v>
      </c>
      <c r="AC419" s="82" t="s">
        <v>57</v>
      </c>
      <c r="AD419" s="82" t="s">
        <v>57</v>
      </c>
      <c r="AE419" s="100" t="s">
        <v>2938</v>
      </c>
      <c r="AF419" s="14"/>
      <c r="AG419" s="14"/>
      <c r="AH419" s="14"/>
      <c r="AI419" s="20"/>
      <c r="AJ419" s="14"/>
      <c r="AK419" s="14"/>
      <c r="AL419" s="14"/>
      <c r="AM419" s="14"/>
      <c r="AN419" s="14"/>
      <c r="AO419" s="14"/>
      <c r="AP419" s="14"/>
      <c r="AQ419" s="14"/>
      <c r="AR419" s="14"/>
    </row>
    <row r="420" ht="22.5" customHeight="1">
      <c r="A420" s="74">
        <v>46080.0</v>
      </c>
      <c r="B420" s="97" t="s">
        <v>2939</v>
      </c>
      <c r="C420" s="8" t="s">
        <v>73</v>
      </c>
      <c r="D420" s="9" t="s">
        <v>258</v>
      </c>
      <c r="E420" s="9" t="s">
        <v>68</v>
      </c>
      <c r="F420" s="9" t="s">
        <v>68</v>
      </c>
      <c r="G420" s="10" t="s">
        <v>2004</v>
      </c>
      <c r="H420" s="10" t="s">
        <v>2004</v>
      </c>
      <c r="I420" s="10" t="s">
        <v>1165</v>
      </c>
      <c r="J420" s="10" t="s">
        <v>390</v>
      </c>
      <c r="K420" s="12">
        <v>0.22</v>
      </c>
      <c r="L420" s="14" t="str">
        <f t="shared" si="28"/>
        <v>20%+</v>
      </c>
      <c r="M420" s="13">
        <v>0.018</v>
      </c>
      <c r="N420" s="9"/>
      <c r="O420" s="9" t="s">
        <v>2940</v>
      </c>
      <c r="P420" s="9" t="s">
        <v>68</v>
      </c>
      <c r="Q420" s="9" t="s">
        <v>68</v>
      </c>
      <c r="R420" s="9" t="s">
        <v>68</v>
      </c>
      <c r="S420" s="9" t="s">
        <v>68</v>
      </c>
      <c r="T420" s="9" t="s">
        <v>2941</v>
      </c>
      <c r="U420" s="9" t="s">
        <v>2942</v>
      </c>
      <c r="V420" s="17">
        <v>2.80104000308816E14</v>
      </c>
      <c r="W420" s="9" t="s">
        <v>2943</v>
      </c>
      <c r="X420" s="9" t="s">
        <v>68</v>
      </c>
      <c r="Y420" s="18" t="s">
        <v>57</v>
      </c>
      <c r="Z420" s="18" t="s">
        <v>69</v>
      </c>
      <c r="AA420" s="18" t="s">
        <v>57</v>
      </c>
      <c r="AB420" s="18" t="s">
        <v>58</v>
      </c>
      <c r="AC420" s="18" t="s">
        <v>58</v>
      </c>
      <c r="AD420" s="18" t="s">
        <v>69</v>
      </c>
      <c r="AE420" s="35" t="s">
        <v>2944</v>
      </c>
      <c r="AF420" s="14"/>
      <c r="AG420" s="14"/>
      <c r="AH420" s="14"/>
      <c r="AI420" s="20"/>
      <c r="AJ420" s="14"/>
      <c r="AK420" s="14"/>
      <c r="AL420" s="14"/>
      <c r="AM420" s="14"/>
      <c r="AN420" s="14"/>
      <c r="AO420" s="14"/>
      <c r="AP420" s="14"/>
      <c r="AQ420" s="14"/>
      <c r="AR420" s="14"/>
    </row>
    <row r="421" ht="22.5" customHeight="1">
      <c r="A421" s="74">
        <v>46080.0</v>
      </c>
      <c r="B421" s="97" t="s">
        <v>2945</v>
      </c>
      <c r="C421" s="8" t="s">
        <v>73</v>
      </c>
      <c r="D421" s="9" t="s">
        <v>258</v>
      </c>
      <c r="E421" s="16"/>
      <c r="F421" s="9" t="s">
        <v>68</v>
      </c>
      <c r="G421" s="10" t="s">
        <v>2004</v>
      </c>
      <c r="H421" s="10" t="s">
        <v>2004</v>
      </c>
      <c r="I421" s="10" t="s">
        <v>1165</v>
      </c>
      <c r="J421" s="10" t="s">
        <v>390</v>
      </c>
      <c r="K421" s="12">
        <v>0.22</v>
      </c>
      <c r="L421" s="14" t="str">
        <f t="shared" si="28"/>
        <v>20%+</v>
      </c>
      <c r="M421" s="13">
        <v>0.018</v>
      </c>
      <c r="N421" s="9"/>
      <c r="O421" s="9" t="s">
        <v>68</v>
      </c>
      <c r="P421" s="9" t="s">
        <v>68</v>
      </c>
      <c r="Q421" s="9" t="s">
        <v>68</v>
      </c>
      <c r="R421" s="9" t="s">
        <v>68</v>
      </c>
      <c r="S421" s="9" t="s">
        <v>68</v>
      </c>
      <c r="T421" s="9" t="s">
        <v>2941</v>
      </c>
      <c r="U421" s="9" t="s">
        <v>2942</v>
      </c>
      <c r="V421" s="17">
        <v>2.80104000308816E14</v>
      </c>
      <c r="W421" s="9" t="s">
        <v>2943</v>
      </c>
      <c r="X421" s="9" t="s">
        <v>68</v>
      </c>
      <c r="Y421" s="18" t="s">
        <v>57</v>
      </c>
      <c r="Z421" s="18" t="s">
        <v>69</v>
      </c>
      <c r="AA421" s="18" t="s">
        <v>57</v>
      </c>
      <c r="AB421" s="18" t="s">
        <v>58</v>
      </c>
      <c r="AC421" s="18" t="s">
        <v>58</v>
      </c>
      <c r="AD421" s="18" t="s">
        <v>69</v>
      </c>
      <c r="AE421" s="35" t="s">
        <v>2944</v>
      </c>
      <c r="AF421" s="14"/>
      <c r="AG421" s="14"/>
      <c r="AH421" s="14"/>
      <c r="AI421" s="20"/>
      <c r="AJ421" s="14"/>
      <c r="AK421" s="14"/>
      <c r="AL421" s="14"/>
      <c r="AM421" s="14"/>
      <c r="AN421" s="14"/>
      <c r="AO421" s="14"/>
      <c r="AP421" s="14"/>
      <c r="AQ421" s="14"/>
      <c r="AR421" s="14"/>
    </row>
    <row r="422" ht="22.5" customHeight="1">
      <c r="A422" s="74">
        <v>46080.0</v>
      </c>
      <c r="B422" s="69" t="s">
        <v>2946</v>
      </c>
      <c r="C422" s="8" t="s">
        <v>1919</v>
      </c>
      <c r="D422" s="9" t="s">
        <v>2112</v>
      </c>
      <c r="E422" s="9" t="s">
        <v>2947</v>
      </c>
      <c r="F422" s="9" t="s">
        <v>2948</v>
      </c>
      <c r="G422" s="10">
        <v>500034.0</v>
      </c>
      <c r="H422" s="9" t="s">
        <v>2949</v>
      </c>
      <c r="I422" s="11" t="str">
        <f>VLOOKUP(H422,Mapping!D:E,2,0)</f>
        <v>banjara hills</v>
      </c>
      <c r="J422" s="61" t="s">
        <v>50</v>
      </c>
      <c r="K422" s="12">
        <v>0.2</v>
      </c>
      <c r="L422" s="14" t="str">
        <f t="shared" si="28"/>
        <v>20%+</v>
      </c>
      <c r="M422" s="13">
        <v>0.018</v>
      </c>
      <c r="N422" s="14"/>
      <c r="O422" s="9" t="s">
        <v>2948</v>
      </c>
      <c r="P422" s="9" t="s">
        <v>2947</v>
      </c>
      <c r="Q422" s="9" t="s">
        <v>2948</v>
      </c>
      <c r="R422" s="16" t="s">
        <v>2950</v>
      </c>
      <c r="S422" s="16" t="s">
        <v>2951</v>
      </c>
      <c r="T422" s="9" t="s">
        <v>2952</v>
      </c>
      <c r="U422" s="9" t="s">
        <v>2953</v>
      </c>
      <c r="V422" s="17">
        <v>3.4990200000312E13</v>
      </c>
      <c r="W422" s="9" t="s">
        <v>2954</v>
      </c>
      <c r="X422" s="9" t="s">
        <v>80</v>
      </c>
      <c r="Y422" s="18" t="s">
        <v>57</v>
      </c>
      <c r="Z422" s="18" t="s">
        <v>57</v>
      </c>
      <c r="AA422" s="18" t="s">
        <v>57</v>
      </c>
      <c r="AB422" s="18" t="s">
        <v>57</v>
      </c>
      <c r="AC422" s="18" t="s">
        <v>57</v>
      </c>
      <c r="AD422" s="18" t="s">
        <v>58</v>
      </c>
      <c r="AE422" s="35" t="s">
        <v>2955</v>
      </c>
      <c r="AF422" s="14"/>
      <c r="AG422" s="9" t="s">
        <v>1359</v>
      </c>
      <c r="AH422" s="9" t="s">
        <v>2956</v>
      </c>
      <c r="AI422" s="20"/>
      <c r="AJ422" s="14"/>
      <c r="AK422" s="14"/>
      <c r="AL422" s="14"/>
      <c r="AM422" s="14"/>
      <c r="AN422" s="14"/>
      <c r="AO422" s="14"/>
      <c r="AP422" s="14"/>
      <c r="AQ422" s="14"/>
      <c r="AR422" s="14"/>
    </row>
    <row r="423" ht="22.5" customHeight="1">
      <c r="A423" s="74">
        <v>46080.0</v>
      </c>
      <c r="B423" s="69" t="s">
        <v>2957</v>
      </c>
      <c r="C423" s="8" t="s">
        <v>96</v>
      </c>
      <c r="D423" s="9" t="s">
        <v>258</v>
      </c>
      <c r="E423" s="9" t="s">
        <v>2958</v>
      </c>
      <c r="F423" s="9" t="s">
        <v>2959</v>
      </c>
      <c r="G423" s="10">
        <v>500081.0</v>
      </c>
      <c r="H423" s="9" t="s">
        <v>2722</v>
      </c>
      <c r="I423" s="11" t="str">
        <f>VLOOKUP(H423,Mapping!D:E,2,0)</f>
        <v>madhapur</v>
      </c>
      <c r="J423" s="61" t="s">
        <v>148</v>
      </c>
      <c r="K423" s="12">
        <v>0.22</v>
      </c>
      <c r="L423" s="14" t="str">
        <f t="shared" si="28"/>
        <v>20%+</v>
      </c>
      <c r="M423" s="13">
        <v>0.018</v>
      </c>
      <c r="N423" s="9"/>
      <c r="O423" s="15" t="s">
        <v>2957</v>
      </c>
      <c r="P423" s="15" t="s">
        <v>2958</v>
      </c>
      <c r="Q423" s="9" t="s">
        <v>2959</v>
      </c>
      <c r="R423" s="16" t="s">
        <v>2960</v>
      </c>
      <c r="S423" s="9" t="s">
        <v>2961</v>
      </c>
      <c r="T423" s="9" t="s">
        <v>2962</v>
      </c>
      <c r="U423" s="9" t="s">
        <v>1014</v>
      </c>
      <c r="V423" s="17">
        <v>5.0100683644109E13</v>
      </c>
      <c r="W423" s="9" t="s">
        <v>2963</v>
      </c>
      <c r="X423" s="9" t="s">
        <v>56</v>
      </c>
      <c r="Y423" s="88" t="s">
        <v>57</v>
      </c>
      <c r="Z423" s="88" t="s">
        <v>58</v>
      </c>
      <c r="AA423" s="88" t="s">
        <v>57</v>
      </c>
      <c r="AB423" s="88" t="s">
        <v>57</v>
      </c>
      <c r="AC423" s="88" t="s">
        <v>57</v>
      </c>
      <c r="AD423" s="88" t="s">
        <v>58</v>
      </c>
      <c r="AE423" s="102" t="s">
        <v>2964</v>
      </c>
      <c r="AF423" s="14"/>
      <c r="AG423" s="14"/>
      <c r="AH423" s="14"/>
      <c r="AI423" s="20"/>
      <c r="AJ423" s="14"/>
      <c r="AK423" s="14"/>
      <c r="AL423" s="14"/>
      <c r="AM423" s="14"/>
      <c r="AN423" s="14"/>
      <c r="AO423" s="14"/>
      <c r="AP423" s="14"/>
      <c r="AQ423" s="14"/>
      <c r="AR423" s="14"/>
    </row>
    <row r="424" ht="22.5" customHeight="1">
      <c r="A424" s="129">
        <v>46080.0</v>
      </c>
      <c r="B424" s="69" t="s">
        <v>2965</v>
      </c>
      <c r="C424" s="8" t="s">
        <v>241</v>
      </c>
      <c r="D424" s="9" t="s">
        <v>258</v>
      </c>
      <c r="E424" s="9" t="s">
        <v>2966</v>
      </c>
      <c r="F424" s="9" t="s">
        <v>2967</v>
      </c>
      <c r="G424" s="10">
        <v>500072.0</v>
      </c>
      <c r="H424" s="9" t="s">
        <v>1165</v>
      </c>
      <c r="I424" s="11" t="str">
        <f>VLOOKUP(H424,Mapping!D:E,2,0)</f>
        <v>kukatpally</v>
      </c>
      <c r="J424" s="61" t="s">
        <v>390</v>
      </c>
      <c r="K424" s="12">
        <v>0.22</v>
      </c>
      <c r="L424" s="14" t="str">
        <f t="shared" si="28"/>
        <v>20%+</v>
      </c>
      <c r="M424" s="13">
        <v>0.018</v>
      </c>
      <c r="N424" s="9"/>
      <c r="O424" s="15" t="s">
        <v>2965</v>
      </c>
      <c r="P424" s="9" t="s">
        <v>2966</v>
      </c>
      <c r="Q424" s="9" t="s">
        <v>2968</v>
      </c>
      <c r="R424" s="16" t="s">
        <v>2969</v>
      </c>
      <c r="S424" s="9" t="s">
        <v>2970</v>
      </c>
      <c r="T424" s="9" t="s">
        <v>2971</v>
      </c>
      <c r="U424" s="9" t="s">
        <v>2972</v>
      </c>
      <c r="V424" s="17">
        <v>1.00420051095667E14</v>
      </c>
      <c r="W424" s="9" t="s">
        <v>2973</v>
      </c>
      <c r="X424" s="9" t="s">
        <v>68</v>
      </c>
      <c r="Y424" s="82" t="s">
        <v>57</v>
      </c>
      <c r="Z424" s="82" t="s">
        <v>69</v>
      </c>
      <c r="AA424" s="82" t="s">
        <v>57</v>
      </c>
      <c r="AB424" s="82" t="s">
        <v>57</v>
      </c>
      <c r="AC424" s="82" t="s">
        <v>57</v>
      </c>
      <c r="AD424" s="82" t="s">
        <v>69</v>
      </c>
      <c r="AE424" s="111" t="s">
        <v>2974</v>
      </c>
      <c r="AF424" s="14"/>
      <c r="AG424" s="14"/>
      <c r="AH424" s="14"/>
      <c r="AI424" s="20"/>
      <c r="AJ424" s="14"/>
      <c r="AK424" s="14"/>
      <c r="AL424" s="14"/>
      <c r="AM424" s="14"/>
      <c r="AN424" s="14"/>
      <c r="AO424" s="14"/>
      <c r="AP424" s="14"/>
      <c r="AQ424" s="14"/>
      <c r="AR424" s="14"/>
    </row>
    <row r="425" ht="22.5" customHeight="1">
      <c r="A425" s="74">
        <v>46080.0</v>
      </c>
      <c r="B425" s="69" t="s">
        <v>2965</v>
      </c>
      <c r="C425" s="8" t="s">
        <v>241</v>
      </c>
      <c r="D425" s="9" t="s">
        <v>258</v>
      </c>
      <c r="E425" s="9" t="s">
        <v>2975</v>
      </c>
      <c r="F425" s="9" t="s">
        <v>2976</v>
      </c>
      <c r="G425" s="10" t="s">
        <v>2004</v>
      </c>
      <c r="H425" s="10" t="s">
        <v>2004</v>
      </c>
      <c r="I425" s="10" t="s">
        <v>2004</v>
      </c>
      <c r="J425" s="10" t="s">
        <v>2004</v>
      </c>
      <c r="K425" s="12">
        <v>0.22</v>
      </c>
      <c r="L425" s="14" t="str">
        <f t="shared" si="28"/>
        <v>20%+</v>
      </c>
      <c r="M425" s="13">
        <v>0.018</v>
      </c>
      <c r="N425" s="9"/>
      <c r="O425" s="9" t="s">
        <v>2977</v>
      </c>
      <c r="P425" s="9" t="s">
        <v>2975</v>
      </c>
      <c r="Q425" s="9" t="s">
        <v>2978</v>
      </c>
      <c r="R425" s="9" t="s">
        <v>68</v>
      </c>
      <c r="S425" s="9" t="s">
        <v>68</v>
      </c>
      <c r="T425" s="9" t="s">
        <v>2971</v>
      </c>
      <c r="U425" s="9" t="s">
        <v>2972</v>
      </c>
      <c r="V425" s="17">
        <v>1.00420051095667E14</v>
      </c>
      <c r="W425" s="9" t="s">
        <v>2973</v>
      </c>
      <c r="X425" s="9" t="s">
        <v>68</v>
      </c>
      <c r="Y425" s="88" t="s">
        <v>57</v>
      </c>
      <c r="Z425" s="88" t="s">
        <v>69</v>
      </c>
      <c r="AA425" s="88" t="s">
        <v>57</v>
      </c>
      <c r="AB425" s="88" t="s">
        <v>57</v>
      </c>
      <c r="AC425" s="88" t="s">
        <v>57</v>
      </c>
      <c r="AD425" s="88" t="s">
        <v>69</v>
      </c>
      <c r="AE425" s="128" t="s">
        <v>2974</v>
      </c>
      <c r="AF425" s="14"/>
      <c r="AG425" s="14"/>
      <c r="AH425" s="14"/>
      <c r="AI425" s="8" t="s">
        <v>71</v>
      </c>
      <c r="AJ425" s="14"/>
      <c r="AK425" s="14"/>
      <c r="AL425" s="14"/>
      <c r="AM425" s="14"/>
      <c r="AN425" s="14"/>
      <c r="AO425" s="14"/>
      <c r="AP425" s="14"/>
      <c r="AQ425" s="14"/>
      <c r="AR425" s="14"/>
    </row>
    <row r="426" ht="22.5" customHeight="1">
      <c r="A426" s="74">
        <v>46080.0</v>
      </c>
      <c r="B426" s="69" t="s">
        <v>2979</v>
      </c>
      <c r="C426" s="8" t="s">
        <v>73</v>
      </c>
      <c r="D426" s="50" t="s">
        <v>68</v>
      </c>
      <c r="E426" s="50" t="s">
        <v>68</v>
      </c>
      <c r="F426" s="50" t="s">
        <v>2004</v>
      </c>
      <c r="G426" s="181" t="s">
        <v>2004</v>
      </c>
      <c r="H426" s="50" t="s">
        <v>2004</v>
      </c>
      <c r="I426" s="50" t="s">
        <v>2004</v>
      </c>
      <c r="J426" s="61" t="s">
        <v>390</v>
      </c>
      <c r="K426" s="182">
        <v>0.22</v>
      </c>
      <c r="L426" s="50" t="s">
        <v>2980</v>
      </c>
      <c r="M426" s="183">
        <v>0.018</v>
      </c>
      <c r="N426" s="50"/>
      <c r="O426" s="9" t="s">
        <v>68</v>
      </c>
      <c r="P426" s="50" t="s">
        <v>68</v>
      </c>
      <c r="Q426" s="50" t="s">
        <v>68</v>
      </c>
      <c r="R426" s="184" t="s">
        <v>68</v>
      </c>
      <c r="S426" s="50" t="s">
        <v>68</v>
      </c>
      <c r="T426" s="50" t="s">
        <v>68</v>
      </c>
      <c r="U426" s="50" t="s">
        <v>68</v>
      </c>
      <c r="V426" s="185" t="s">
        <v>68</v>
      </c>
      <c r="W426" s="50" t="s">
        <v>68</v>
      </c>
      <c r="X426" s="50" t="s">
        <v>68</v>
      </c>
      <c r="Y426" s="82" t="s">
        <v>58</v>
      </c>
      <c r="Z426" s="82" t="s">
        <v>69</v>
      </c>
      <c r="AA426" s="82" t="s">
        <v>58</v>
      </c>
      <c r="AB426" s="82" t="s">
        <v>58</v>
      </c>
      <c r="AC426" s="82" t="s">
        <v>58</v>
      </c>
      <c r="AD426" s="82" t="s">
        <v>69</v>
      </c>
      <c r="AE426" s="186"/>
      <c r="AF426" s="14"/>
      <c r="AG426" s="14"/>
      <c r="AH426" s="14"/>
      <c r="AI426" s="20"/>
      <c r="AJ426" s="14"/>
      <c r="AK426" s="14"/>
      <c r="AL426" s="14"/>
      <c r="AM426" s="14"/>
      <c r="AN426" s="14"/>
      <c r="AO426" s="14"/>
      <c r="AP426" s="14"/>
      <c r="AQ426" s="14"/>
      <c r="AR426" s="14"/>
    </row>
    <row r="427" ht="22.5" customHeight="1">
      <c r="A427" s="74">
        <v>46080.0</v>
      </c>
      <c r="B427" s="69" t="s">
        <v>2981</v>
      </c>
      <c r="C427" s="8" t="s">
        <v>73</v>
      </c>
      <c r="D427" s="9" t="s">
        <v>68</v>
      </c>
      <c r="E427" s="9" t="s">
        <v>68</v>
      </c>
      <c r="F427" s="10" t="s">
        <v>2004</v>
      </c>
      <c r="G427" s="10" t="s">
        <v>2004</v>
      </c>
      <c r="H427" s="10" t="s">
        <v>2004</v>
      </c>
      <c r="I427" s="10" t="s">
        <v>2004</v>
      </c>
      <c r="J427" s="10" t="s">
        <v>2004</v>
      </c>
      <c r="K427" s="12">
        <v>0.22</v>
      </c>
      <c r="L427" s="14" t="str">
        <f t="shared" ref="L427:L436" si="29">if(K427=0,"0",(if(K427&lt;15%,"&lt;15%",if(K427&lt;17%,"&lt;17%",IF(K427&lt;20%,"&lt;20%","20%+")))))</f>
        <v>20%+</v>
      </c>
      <c r="M427" s="13">
        <v>0.018</v>
      </c>
      <c r="N427" s="9"/>
      <c r="O427" s="9" t="s">
        <v>68</v>
      </c>
      <c r="P427" s="9" t="s">
        <v>68</v>
      </c>
      <c r="Q427" s="9" t="s">
        <v>68</v>
      </c>
      <c r="R427" s="9" t="s">
        <v>68</v>
      </c>
      <c r="S427" s="9" t="s">
        <v>68</v>
      </c>
      <c r="T427" s="9" t="s">
        <v>68</v>
      </c>
      <c r="U427" s="9" t="s">
        <v>68</v>
      </c>
      <c r="V427" s="9" t="s">
        <v>68</v>
      </c>
      <c r="W427" s="9" t="s">
        <v>68</v>
      </c>
      <c r="X427" s="9" t="s">
        <v>68</v>
      </c>
      <c r="Y427" s="88" t="s">
        <v>58</v>
      </c>
      <c r="Z427" s="88" t="s">
        <v>69</v>
      </c>
      <c r="AA427" s="88" t="s">
        <v>58</v>
      </c>
      <c r="AB427" s="88" t="s">
        <v>58</v>
      </c>
      <c r="AC427" s="88" t="s">
        <v>58</v>
      </c>
      <c r="AD427" s="88" t="s">
        <v>69</v>
      </c>
      <c r="AE427" s="187"/>
      <c r="AF427" s="14"/>
      <c r="AG427" s="14"/>
      <c r="AH427" s="14"/>
      <c r="AI427" s="20"/>
      <c r="AJ427" s="14"/>
      <c r="AK427" s="14"/>
      <c r="AL427" s="14"/>
      <c r="AM427" s="14"/>
      <c r="AN427" s="14"/>
      <c r="AO427" s="14"/>
      <c r="AP427" s="14"/>
      <c r="AQ427" s="14"/>
      <c r="AR427" s="14"/>
    </row>
    <row r="428" ht="22.5" customHeight="1">
      <c r="A428" s="74">
        <v>46080.0</v>
      </c>
      <c r="B428" s="69" t="s">
        <v>2982</v>
      </c>
      <c r="C428" s="8" t="s">
        <v>73</v>
      </c>
      <c r="D428" s="9" t="s">
        <v>68</v>
      </c>
      <c r="E428" s="9" t="s">
        <v>68</v>
      </c>
      <c r="F428" s="10" t="s">
        <v>2004</v>
      </c>
      <c r="G428" s="10" t="s">
        <v>2004</v>
      </c>
      <c r="H428" s="10" t="s">
        <v>2004</v>
      </c>
      <c r="I428" s="10" t="s">
        <v>2004</v>
      </c>
      <c r="J428" s="10" t="s">
        <v>2004</v>
      </c>
      <c r="K428" s="12">
        <v>0.22</v>
      </c>
      <c r="L428" s="14" t="str">
        <f t="shared" si="29"/>
        <v>20%+</v>
      </c>
      <c r="M428" s="13">
        <v>0.018</v>
      </c>
      <c r="N428" s="9"/>
      <c r="O428" s="9" t="s">
        <v>68</v>
      </c>
      <c r="P428" s="9" t="s">
        <v>68</v>
      </c>
      <c r="Q428" s="9" t="s">
        <v>68</v>
      </c>
      <c r="R428" s="9" t="s">
        <v>68</v>
      </c>
      <c r="S428" s="9" t="s">
        <v>68</v>
      </c>
      <c r="T428" s="9" t="s">
        <v>68</v>
      </c>
      <c r="U428" s="9" t="s">
        <v>68</v>
      </c>
      <c r="V428" s="9" t="s">
        <v>68</v>
      </c>
      <c r="W428" s="9" t="s">
        <v>68</v>
      </c>
      <c r="X428" s="9" t="s">
        <v>68</v>
      </c>
      <c r="Y428" s="82" t="s">
        <v>58</v>
      </c>
      <c r="Z428" s="82" t="s">
        <v>69</v>
      </c>
      <c r="AA428" s="82" t="s">
        <v>58</v>
      </c>
      <c r="AB428" s="82" t="s">
        <v>58</v>
      </c>
      <c r="AC428" s="82" t="s">
        <v>58</v>
      </c>
      <c r="AD428" s="82" t="s">
        <v>69</v>
      </c>
      <c r="AE428" s="186"/>
      <c r="AF428" s="14"/>
      <c r="AG428" s="14"/>
      <c r="AH428" s="14"/>
      <c r="AI428" s="20"/>
      <c r="AJ428" s="14"/>
      <c r="AK428" s="14"/>
      <c r="AL428" s="14"/>
      <c r="AM428" s="14"/>
      <c r="AN428" s="14"/>
      <c r="AO428" s="14"/>
      <c r="AP428" s="14"/>
      <c r="AQ428" s="14"/>
      <c r="AR428" s="14"/>
    </row>
    <row r="429" ht="22.5" customHeight="1">
      <c r="A429" s="74">
        <v>46080.0</v>
      </c>
      <c r="B429" s="69" t="s">
        <v>2983</v>
      </c>
      <c r="C429" s="8" t="s">
        <v>73</v>
      </c>
      <c r="D429" s="9" t="s">
        <v>68</v>
      </c>
      <c r="E429" s="9" t="s">
        <v>68</v>
      </c>
      <c r="F429" s="10" t="s">
        <v>2004</v>
      </c>
      <c r="G429" s="10" t="s">
        <v>2004</v>
      </c>
      <c r="H429" s="10" t="s">
        <v>2004</v>
      </c>
      <c r="I429" s="10" t="s">
        <v>2004</v>
      </c>
      <c r="J429" s="10" t="s">
        <v>2004</v>
      </c>
      <c r="K429" s="12">
        <v>0.22</v>
      </c>
      <c r="L429" s="14" t="str">
        <f t="shared" si="29"/>
        <v>20%+</v>
      </c>
      <c r="M429" s="13">
        <v>0.018</v>
      </c>
      <c r="N429" s="9"/>
      <c r="O429" s="108" t="s">
        <v>68</v>
      </c>
      <c r="P429" s="9" t="s">
        <v>68</v>
      </c>
      <c r="Q429" s="9" t="s">
        <v>68</v>
      </c>
      <c r="R429" s="9" t="s">
        <v>68</v>
      </c>
      <c r="S429" s="9" t="s">
        <v>68</v>
      </c>
      <c r="T429" s="9" t="s">
        <v>68</v>
      </c>
      <c r="U429" s="9" t="s">
        <v>68</v>
      </c>
      <c r="V429" s="9" t="s">
        <v>68</v>
      </c>
      <c r="W429" s="9" t="s">
        <v>68</v>
      </c>
      <c r="X429" s="9" t="s">
        <v>68</v>
      </c>
      <c r="Y429" s="88" t="s">
        <v>58</v>
      </c>
      <c r="Z429" s="88" t="s">
        <v>69</v>
      </c>
      <c r="AA429" s="88" t="s">
        <v>58</v>
      </c>
      <c r="AB429" s="88" t="s">
        <v>58</v>
      </c>
      <c r="AC429" s="88" t="s">
        <v>58</v>
      </c>
      <c r="AD429" s="88" t="s">
        <v>69</v>
      </c>
      <c r="AE429" s="187"/>
      <c r="AF429" s="14"/>
      <c r="AG429" s="14"/>
      <c r="AH429" s="14"/>
      <c r="AI429" s="20"/>
      <c r="AJ429" s="14"/>
      <c r="AK429" s="14"/>
      <c r="AL429" s="14"/>
      <c r="AM429" s="14"/>
      <c r="AN429" s="14"/>
      <c r="AO429" s="14"/>
      <c r="AP429" s="14"/>
      <c r="AQ429" s="14"/>
      <c r="AR429" s="14"/>
    </row>
    <row r="430" ht="22.5" customHeight="1">
      <c r="A430" s="74">
        <v>46080.0</v>
      </c>
      <c r="B430" s="138" t="s">
        <v>2984</v>
      </c>
      <c r="C430" s="8" t="s">
        <v>248</v>
      </c>
      <c r="D430" s="9" t="s">
        <v>258</v>
      </c>
      <c r="E430" s="9" t="s">
        <v>2985</v>
      </c>
      <c r="F430" s="9" t="s">
        <v>2986</v>
      </c>
      <c r="G430" s="10">
        <v>500086.0</v>
      </c>
      <c r="H430" s="9" t="s">
        <v>2154</v>
      </c>
      <c r="I430" s="11" t="str">
        <f>VLOOKUP(H430,Mapping!D:E,2,0)</f>
        <v>mehdipatnam</v>
      </c>
      <c r="J430" s="9" t="s">
        <v>50</v>
      </c>
      <c r="K430" s="12">
        <v>0.22</v>
      </c>
      <c r="L430" s="14" t="str">
        <f t="shared" si="29"/>
        <v>20%+</v>
      </c>
      <c r="M430" s="13">
        <v>0.018</v>
      </c>
      <c r="N430" s="9"/>
      <c r="O430" s="15" t="s">
        <v>2984</v>
      </c>
      <c r="P430" s="15" t="s">
        <v>2985</v>
      </c>
      <c r="Q430" s="9" t="s">
        <v>2986</v>
      </c>
      <c r="R430" s="16" t="s">
        <v>2987</v>
      </c>
      <c r="S430" s="9" t="s">
        <v>2988</v>
      </c>
      <c r="T430" s="9" t="s">
        <v>68</v>
      </c>
      <c r="U430" s="9" t="s">
        <v>68</v>
      </c>
      <c r="V430" s="9" t="s">
        <v>68</v>
      </c>
      <c r="W430" s="9" t="s">
        <v>68</v>
      </c>
      <c r="X430" s="9" t="s">
        <v>68</v>
      </c>
      <c r="Y430" s="82" t="s">
        <v>58</v>
      </c>
      <c r="Z430" s="82" t="s">
        <v>58</v>
      </c>
      <c r="AA430" s="82" t="s">
        <v>58</v>
      </c>
      <c r="AB430" s="82" t="s">
        <v>58</v>
      </c>
      <c r="AC430" s="82" t="s">
        <v>58</v>
      </c>
      <c r="AD430" s="82" t="s">
        <v>58</v>
      </c>
      <c r="AE430" s="186"/>
      <c r="AF430" s="14"/>
      <c r="AG430" s="9"/>
      <c r="AH430" s="9" t="s">
        <v>2989</v>
      </c>
      <c r="AI430" s="20"/>
      <c r="AJ430" s="14"/>
      <c r="AK430" s="14"/>
      <c r="AL430" s="14"/>
      <c r="AM430" s="14"/>
      <c r="AN430" s="14"/>
      <c r="AO430" s="14"/>
      <c r="AP430" s="14"/>
      <c r="AQ430" s="14"/>
      <c r="AR430" s="14"/>
    </row>
    <row r="431" ht="22.5" customHeight="1">
      <c r="A431" s="74">
        <v>46080.0</v>
      </c>
      <c r="B431" s="97" t="s">
        <v>2990</v>
      </c>
      <c r="C431" s="8" t="s">
        <v>60</v>
      </c>
      <c r="D431" s="9" t="s">
        <v>273</v>
      </c>
      <c r="E431" s="39" t="s">
        <v>2991</v>
      </c>
      <c r="F431" s="9" t="s">
        <v>2992</v>
      </c>
      <c r="G431" s="10">
        <v>500034.0</v>
      </c>
      <c r="H431" s="9" t="s">
        <v>2949</v>
      </c>
      <c r="I431" s="11" t="str">
        <f>VLOOKUP(H431,Mapping!D:E,2,0)</f>
        <v>banjara hills</v>
      </c>
      <c r="J431" s="61" t="s">
        <v>50</v>
      </c>
      <c r="K431" s="12">
        <v>0.15</v>
      </c>
      <c r="L431" s="14" t="str">
        <f t="shared" si="29"/>
        <v>&lt;17%</v>
      </c>
      <c r="M431" s="13">
        <v>0.018</v>
      </c>
      <c r="N431" s="9" t="s">
        <v>68</v>
      </c>
      <c r="O431" s="43" t="s">
        <v>2990</v>
      </c>
      <c r="P431" s="39" t="s">
        <v>2993</v>
      </c>
      <c r="Q431" s="9" t="s">
        <v>2992</v>
      </c>
      <c r="R431" s="16" t="s">
        <v>2994</v>
      </c>
      <c r="S431" s="9" t="s">
        <v>2995</v>
      </c>
      <c r="T431" s="15" t="s">
        <v>2990</v>
      </c>
      <c r="U431" s="9" t="s">
        <v>2381</v>
      </c>
      <c r="V431" s="17">
        <v>7.77705271271E11</v>
      </c>
      <c r="W431" s="9" t="s">
        <v>2996</v>
      </c>
      <c r="X431" s="9" t="s">
        <v>80</v>
      </c>
      <c r="Y431" s="70" t="s">
        <v>57</v>
      </c>
      <c r="Z431" s="71" t="s">
        <v>58</v>
      </c>
      <c r="AA431" s="70" t="s">
        <v>57</v>
      </c>
      <c r="AB431" s="70" t="s">
        <v>57</v>
      </c>
      <c r="AC431" s="71" t="s">
        <v>58</v>
      </c>
      <c r="AD431" s="71" t="s">
        <v>69</v>
      </c>
      <c r="AE431" s="188" t="s">
        <v>2997</v>
      </c>
      <c r="AF431" s="14"/>
      <c r="AH431" s="14"/>
      <c r="AI431" s="20"/>
      <c r="AJ431" s="14"/>
      <c r="AK431" s="14"/>
      <c r="AL431" s="14"/>
      <c r="AM431" s="14"/>
      <c r="AN431" s="14"/>
      <c r="AO431" s="14"/>
      <c r="AP431" s="14"/>
      <c r="AQ431" s="14"/>
      <c r="AR431" s="14"/>
    </row>
    <row r="432" ht="22.5" customHeight="1">
      <c r="A432" s="74">
        <v>46080.0</v>
      </c>
      <c r="B432" s="69" t="s">
        <v>2998</v>
      </c>
      <c r="C432" s="8" t="s">
        <v>144</v>
      </c>
      <c r="D432" s="9" t="s">
        <v>258</v>
      </c>
      <c r="E432" s="9" t="s">
        <v>2999</v>
      </c>
      <c r="F432" s="9" t="s">
        <v>3000</v>
      </c>
      <c r="G432" s="10">
        <v>500089.0</v>
      </c>
      <c r="H432" s="9" t="s">
        <v>302</v>
      </c>
      <c r="I432" s="11" t="str">
        <f>VLOOKUP(H432,Mapping!D:E,2,0)</f>
        <v>manikonda</v>
      </c>
      <c r="J432" s="61" t="s">
        <v>303</v>
      </c>
      <c r="K432" s="12">
        <v>0.17</v>
      </c>
      <c r="L432" s="14" t="str">
        <f t="shared" si="29"/>
        <v>&lt;20%</v>
      </c>
      <c r="M432" s="13">
        <v>0.018</v>
      </c>
      <c r="N432" s="9"/>
      <c r="O432" s="9" t="s">
        <v>3000</v>
      </c>
      <c r="P432" s="9" t="s">
        <v>3001</v>
      </c>
      <c r="Q432" s="9" t="s">
        <v>68</v>
      </c>
      <c r="R432" s="16" t="s">
        <v>68</v>
      </c>
      <c r="S432" s="9" t="s">
        <v>3002</v>
      </c>
      <c r="T432" s="9" t="s">
        <v>3003</v>
      </c>
      <c r="U432" s="9" t="s">
        <v>1014</v>
      </c>
      <c r="V432" s="17">
        <v>5.0200013147993E13</v>
      </c>
      <c r="W432" s="9" t="s">
        <v>3004</v>
      </c>
      <c r="X432" s="9" t="s">
        <v>80</v>
      </c>
      <c r="Y432" s="82" t="s">
        <v>57</v>
      </c>
      <c r="Z432" s="82" t="s">
        <v>57</v>
      </c>
      <c r="AA432" s="82" t="s">
        <v>57</v>
      </c>
      <c r="AB432" s="82" t="s">
        <v>57</v>
      </c>
      <c r="AC432" s="186"/>
      <c r="AD432" s="186"/>
      <c r="AE432" s="186"/>
      <c r="AF432" s="14"/>
      <c r="AH432" s="14"/>
      <c r="AI432" s="20"/>
      <c r="AJ432" s="14"/>
      <c r="AK432" s="14"/>
      <c r="AL432" s="14"/>
      <c r="AM432" s="14"/>
      <c r="AN432" s="14"/>
      <c r="AO432" s="14"/>
      <c r="AP432" s="14"/>
      <c r="AQ432" s="14"/>
      <c r="AR432" s="14"/>
    </row>
    <row r="433" ht="22.5" customHeight="1">
      <c r="A433" s="74">
        <v>46080.0</v>
      </c>
      <c r="B433" s="69" t="s">
        <v>2998</v>
      </c>
      <c r="C433" s="8" t="s">
        <v>144</v>
      </c>
      <c r="D433" s="9" t="s">
        <v>258</v>
      </c>
      <c r="E433" s="9" t="s">
        <v>3005</v>
      </c>
      <c r="F433" s="9" t="s">
        <v>3000</v>
      </c>
      <c r="G433" s="10">
        <v>500089.0</v>
      </c>
      <c r="H433" s="9" t="s">
        <v>126</v>
      </c>
      <c r="I433" s="11" t="str">
        <f>VLOOKUP(H433,Mapping!D:E,2,0)</f>
        <v>Langar Houz</v>
      </c>
      <c r="J433" s="61" t="s">
        <v>86</v>
      </c>
      <c r="K433" s="12">
        <v>0.17</v>
      </c>
      <c r="L433" s="14" t="str">
        <f t="shared" si="29"/>
        <v>&lt;20%</v>
      </c>
      <c r="M433" s="13">
        <v>0.018</v>
      </c>
      <c r="N433" s="9"/>
      <c r="O433" s="9" t="s">
        <v>3000</v>
      </c>
      <c r="P433" s="9" t="s">
        <v>3006</v>
      </c>
      <c r="Q433" s="9" t="s">
        <v>68</v>
      </c>
      <c r="R433" s="16" t="s">
        <v>68</v>
      </c>
      <c r="S433" s="9" t="s">
        <v>3002</v>
      </c>
      <c r="T433" s="9" t="s">
        <v>3003</v>
      </c>
      <c r="U433" s="9" t="s">
        <v>1014</v>
      </c>
      <c r="V433" s="17">
        <v>5.0200013147993E13</v>
      </c>
      <c r="W433" s="9" t="s">
        <v>3004</v>
      </c>
      <c r="X433" s="9" t="s">
        <v>80</v>
      </c>
      <c r="Y433" s="18" t="s">
        <v>57</v>
      </c>
      <c r="Z433" s="18" t="s">
        <v>57</v>
      </c>
      <c r="AA433" s="18" t="s">
        <v>57</v>
      </c>
      <c r="AB433" s="18" t="s">
        <v>57</v>
      </c>
      <c r="AC433" s="14"/>
      <c r="AD433" s="14"/>
      <c r="AE433" s="14"/>
      <c r="AF433" s="14"/>
      <c r="AH433" s="14"/>
      <c r="AI433" s="20"/>
      <c r="AJ433" s="14"/>
      <c r="AK433" s="14"/>
      <c r="AL433" s="14"/>
      <c r="AM433" s="14"/>
      <c r="AN433" s="14"/>
      <c r="AO433" s="14"/>
      <c r="AP433" s="14"/>
      <c r="AQ433" s="14"/>
      <c r="AR433" s="14"/>
    </row>
    <row r="434" ht="22.5" customHeight="1">
      <c r="A434" s="129">
        <v>46080.0</v>
      </c>
      <c r="B434" s="69" t="s">
        <v>2998</v>
      </c>
      <c r="C434" s="8" t="s">
        <v>144</v>
      </c>
      <c r="D434" s="9" t="s">
        <v>258</v>
      </c>
      <c r="E434" s="9" t="s">
        <v>3007</v>
      </c>
      <c r="F434" s="9" t="s">
        <v>3000</v>
      </c>
      <c r="G434" s="10">
        <v>500033.0</v>
      </c>
      <c r="H434" s="9" t="s">
        <v>2016</v>
      </c>
      <c r="I434" s="9" t="s">
        <v>2016</v>
      </c>
      <c r="J434" s="61" t="s">
        <v>86</v>
      </c>
      <c r="K434" s="12">
        <v>0.17</v>
      </c>
      <c r="L434" s="14" t="str">
        <f t="shared" si="29"/>
        <v>&lt;20%</v>
      </c>
      <c r="M434" s="13">
        <v>0.018</v>
      </c>
      <c r="N434" s="9"/>
      <c r="O434" s="9" t="s">
        <v>3000</v>
      </c>
      <c r="P434" s="9" t="s">
        <v>3007</v>
      </c>
      <c r="Q434" s="9" t="s">
        <v>68</v>
      </c>
      <c r="R434" s="16" t="s">
        <v>68</v>
      </c>
      <c r="S434" s="9" t="s">
        <v>3002</v>
      </c>
      <c r="T434" s="9" t="s">
        <v>3003</v>
      </c>
      <c r="U434" s="9" t="s">
        <v>1014</v>
      </c>
      <c r="V434" s="17">
        <v>5.0200013147993E13</v>
      </c>
      <c r="W434" s="9" t="s">
        <v>3004</v>
      </c>
      <c r="X434" s="9" t="s">
        <v>80</v>
      </c>
      <c r="Y434" s="18" t="s">
        <v>57</v>
      </c>
      <c r="Z434" s="18" t="s">
        <v>57</v>
      </c>
      <c r="AA434" s="18" t="s">
        <v>57</v>
      </c>
      <c r="AB434" s="18" t="s">
        <v>57</v>
      </c>
      <c r="AC434" s="14"/>
      <c r="AD434" s="14"/>
      <c r="AE434" s="14"/>
      <c r="AF434" s="14"/>
      <c r="AH434" s="14"/>
      <c r="AI434" s="20"/>
      <c r="AJ434" s="14"/>
      <c r="AK434" s="14"/>
      <c r="AL434" s="14"/>
      <c r="AM434" s="14"/>
      <c r="AN434" s="14"/>
      <c r="AO434" s="14"/>
      <c r="AP434" s="14"/>
      <c r="AQ434" s="14"/>
      <c r="AR434" s="14"/>
    </row>
    <row r="435" ht="22.5" customHeight="1">
      <c r="A435" s="129">
        <v>46080.0</v>
      </c>
      <c r="B435" s="69" t="s">
        <v>2998</v>
      </c>
      <c r="C435" s="8" t="s">
        <v>144</v>
      </c>
      <c r="D435" s="9" t="s">
        <v>258</v>
      </c>
      <c r="E435" s="9" t="s">
        <v>3008</v>
      </c>
      <c r="F435" s="9" t="s">
        <v>3000</v>
      </c>
      <c r="G435" s="10">
        <v>500008.0</v>
      </c>
      <c r="H435" s="9" t="s">
        <v>2016</v>
      </c>
      <c r="I435" s="9" t="s">
        <v>2016</v>
      </c>
      <c r="J435" s="61" t="s">
        <v>86</v>
      </c>
      <c r="K435" s="12">
        <v>0.17</v>
      </c>
      <c r="L435" s="14" t="str">
        <f t="shared" si="29"/>
        <v>&lt;20%</v>
      </c>
      <c r="M435" s="13">
        <v>0.018</v>
      </c>
      <c r="N435" s="9"/>
      <c r="O435" s="9" t="s">
        <v>3000</v>
      </c>
      <c r="P435" s="9" t="s">
        <v>3008</v>
      </c>
      <c r="Q435" s="9" t="s">
        <v>68</v>
      </c>
      <c r="R435" s="16" t="s">
        <v>68</v>
      </c>
      <c r="S435" s="9" t="s">
        <v>3002</v>
      </c>
      <c r="T435" s="9" t="s">
        <v>3003</v>
      </c>
      <c r="U435" s="9" t="s">
        <v>1014</v>
      </c>
      <c r="V435" s="17">
        <v>5.0200013147993E13</v>
      </c>
      <c r="W435" s="9" t="s">
        <v>3004</v>
      </c>
      <c r="X435" s="9" t="s">
        <v>80</v>
      </c>
      <c r="Y435" s="18" t="s">
        <v>57</v>
      </c>
      <c r="Z435" s="18" t="s">
        <v>57</v>
      </c>
      <c r="AA435" s="18" t="s">
        <v>57</v>
      </c>
      <c r="AB435" s="18" t="s">
        <v>57</v>
      </c>
      <c r="AC435" s="18" t="s">
        <v>58</v>
      </c>
      <c r="AD435" s="14"/>
      <c r="AE435" s="14"/>
      <c r="AF435" s="14"/>
      <c r="AH435" s="14"/>
      <c r="AI435" s="20"/>
      <c r="AJ435" s="14"/>
      <c r="AK435" s="14"/>
      <c r="AL435" s="14"/>
      <c r="AM435" s="14"/>
      <c r="AN435" s="14"/>
      <c r="AO435" s="14"/>
      <c r="AP435" s="14"/>
      <c r="AQ435" s="14"/>
      <c r="AR435" s="14"/>
    </row>
    <row r="436" ht="22.5" customHeight="1">
      <c r="A436" s="129">
        <v>46080.0</v>
      </c>
      <c r="B436" s="97" t="s">
        <v>3009</v>
      </c>
      <c r="C436" s="8" t="s">
        <v>60</v>
      </c>
      <c r="D436" s="9" t="s">
        <v>68</v>
      </c>
      <c r="E436" s="9" t="s">
        <v>3010</v>
      </c>
      <c r="F436" s="9" t="s">
        <v>3011</v>
      </c>
      <c r="G436" s="10">
        <v>500081.0</v>
      </c>
      <c r="H436" s="9" t="s">
        <v>147</v>
      </c>
      <c r="I436" s="9" t="s">
        <v>2722</v>
      </c>
      <c r="J436" s="61" t="s">
        <v>148</v>
      </c>
      <c r="K436" s="12">
        <v>0.15</v>
      </c>
      <c r="L436" s="14" t="str">
        <f t="shared" si="29"/>
        <v>&lt;17%</v>
      </c>
      <c r="M436" s="13">
        <v>0.018</v>
      </c>
      <c r="N436" s="127">
        <v>0.0</v>
      </c>
      <c r="O436" s="9" t="s">
        <v>3012</v>
      </c>
      <c r="P436" s="9" t="s">
        <v>3013</v>
      </c>
      <c r="Q436" s="9" t="s">
        <v>3014</v>
      </c>
      <c r="R436" s="16" t="s">
        <v>3015</v>
      </c>
      <c r="S436" s="9" t="s">
        <v>3016</v>
      </c>
      <c r="T436" s="9" t="s">
        <v>3017</v>
      </c>
      <c r="U436" s="9" t="s">
        <v>3018</v>
      </c>
      <c r="V436" s="17">
        <v>7.9848807672E10</v>
      </c>
      <c r="W436" s="9" t="s">
        <v>3019</v>
      </c>
      <c r="X436" s="9" t="s">
        <v>80</v>
      </c>
      <c r="Y436" s="86" t="s">
        <v>57</v>
      </c>
      <c r="Z436" s="85" t="s">
        <v>58</v>
      </c>
      <c r="AA436" s="86" t="s">
        <v>57</v>
      </c>
      <c r="AB436" s="86" t="s">
        <v>57</v>
      </c>
      <c r="AC436" s="85" t="s">
        <v>58</v>
      </c>
      <c r="AD436" s="85" t="s">
        <v>69</v>
      </c>
      <c r="AE436" s="189"/>
      <c r="AF436" s="14"/>
      <c r="AG436" s="14"/>
      <c r="AH436" s="14"/>
      <c r="AI436" s="20"/>
      <c r="AJ436" s="14"/>
      <c r="AK436" s="14"/>
      <c r="AL436" s="14"/>
      <c r="AM436" s="14"/>
      <c r="AN436" s="14"/>
      <c r="AO436" s="14"/>
      <c r="AP436" s="14"/>
      <c r="AQ436" s="14"/>
      <c r="AR436" s="14"/>
    </row>
    <row r="437" ht="22.5" customHeight="1">
      <c r="A437" s="74">
        <v>46080.0</v>
      </c>
      <c r="B437" s="97" t="s">
        <v>3020</v>
      </c>
      <c r="C437" s="8" t="s">
        <v>73</v>
      </c>
      <c r="D437" s="9" t="s">
        <v>68</v>
      </c>
      <c r="E437" s="39" t="s">
        <v>3021</v>
      </c>
      <c r="F437" s="9" t="s">
        <v>2856</v>
      </c>
      <c r="G437" s="10">
        <v>500049.0</v>
      </c>
      <c r="H437" s="9" t="s">
        <v>2869</v>
      </c>
      <c r="I437" s="10" t="s">
        <v>1165</v>
      </c>
      <c r="J437" s="10" t="s">
        <v>390</v>
      </c>
      <c r="K437" s="9" t="s">
        <v>68</v>
      </c>
      <c r="L437" s="9" t="s">
        <v>68</v>
      </c>
      <c r="M437" s="9" t="s">
        <v>68</v>
      </c>
      <c r="N437" s="9" t="s">
        <v>68</v>
      </c>
      <c r="O437" s="9" t="s">
        <v>2856</v>
      </c>
      <c r="P437" s="39" t="s">
        <v>3022</v>
      </c>
      <c r="Q437" s="9" t="s">
        <v>2856</v>
      </c>
      <c r="R437" s="9" t="s">
        <v>68</v>
      </c>
      <c r="S437" s="9" t="s">
        <v>68</v>
      </c>
      <c r="T437" s="9" t="s">
        <v>68</v>
      </c>
      <c r="U437" s="9" t="s">
        <v>68</v>
      </c>
      <c r="V437" s="9" t="s">
        <v>68</v>
      </c>
      <c r="W437" s="9" t="s">
        <v>68</v>
      </c>
      <c r="X437" s="9" t="s">
        <v>68</v>
      </c>
      <c r="Y437" s="18" t="s">
        <v>57</v>
      </c>
      <c r="Z437" s="18" t="s">
        <v>58</v>
      </c>
      <c r="AA437" s="18" t="s">
        <v>58</v>
      </c>
      <c r="AB437" s="18" t="s">
        <v>58</v>
      </c>
      <c r="AC437" s="18" t="s">
        <v>58</v>
      </c>
      <c r="AD437" s="18" t="s">
        <v>58</v>
      </c>
      <c r="AE437" s="35" t="s">
        <v>3023</v>
      </c>
      <c r="AF437" s="14"/>
      <c r="AG437" s="14"/>
      <c r="AH437" s="14"/>
      <c r="AI437" s="8" t="s">
        <v>71</v>
      </c>
      <c r="AJ437" s="14"/>
      <c r="AK437" s="14"/>
      <c r="AL437" s="14"/>
      <c r="AM437" s="14"/>
      <c r="AN437" s="14"/>
      <c r="AO437" s="14"/>
      <c r="AP437" s="14"/>
      <c r="AQ437" s="14"/>
      <c r="AR437" s="14"/>
    </row>
    <row r="438" ht="22.5" customHeight="1">
      <c r="A438" s="74">
        <v>46080.0</v>
      </c>
      <c r="B438" s="69" t="s">
        <v>3024</v>
      </c>
      <c r="C438" s="8" t="s">
        <v>45</v>
      </c>
      <c r="D438" s="9" t="s">
        <v>61</v>
      </c>
      <c r="E438" s="9" t="s">
        <v>3025</v>
      </c>
      <c r="F438" s="9" t="s">
        <v>68</v>
      </c>
      <c r="G438" s="10">
        <v>500008.0</v>
      </c>
      <c r="H438" s="9" t="s">
        <v>302</v>
      </c>
      <c r="I438" s="11" t="str">
        <f>VLOOKUP(H438,Mapping!D:E,2,0)</f>
        <v>manikonda</v>
      </c>
      <c r="J438" s="136" t="s">
        <v>303</v>
      </c>
      <c r="K438" s="12">
        <v>0.2</v>
      </c>
      <c r="L438" s="14" t="str">
        <f t="shared" ref="L438:L1004" si="30">if(K438=0,"0",(if(K438&lt;15%,"&lt;15%",if(K438&lt;17%,"&lt;17%",IF(K438&lt;20%,"&lt;20%","20%+")))))</f>
        <v>20%+</v>
      </c>
      <c r="M438" s="13">
        <v>0.018</v>
      </c>
      <c r="N438" s="14"/>
      <c r="O438" s="9" t="s">
        <v>3024</v>
      </c>
      <c r="P438" s="9" t="s">
        <v>3026</v>
      </c>
      <c r="Q438" s="9" t="s">
        <v>3027</v>
      </c>
      <c r="R438" s="16" t="s">
        <v>3028</v>
      </c>
      <c r="S438" s="9" t="s">
        <v>68</v>
      </c>
      <c r="T438" s="9" t="s">
        <v>3024</v>
      </c>
      <c r="U438" s="9" t="s">
        <v>215</v>
      </c>
      <c r="V438" s="17">
        <v>1.42961900001026E14</v>
      </c>
      <c r="W438" s="9" t="s">
        <v>3029</v>
      </c>
      <c r="X438" s="9" t="s">
        <v>68</v>
      </c>
      <c r="Y438" s="18" t="s">
        <v>57</v>
      </c>
      <c r="Z438" s="18" t="s">
        <v>58</v>
      </c>
      <c r="AA438" s="18" t="s">
        <v>58</v>
      </c>
      <c r="AB438" s="18" t="s">
        <v>57</v>
      </c>
      <c r="AC438" s="18" t="s">
        <v>58</v>
      </c>
      <c r="AD438" s="18" t="s">
        <v>58</v>
      </c>
      <c r="AE438" s="39" t="s">
        <v>3030</v>
      </c>
      <c r="AF438" s="14"/>
      <c r="AG438" s="14"/>
      <c r="AH438" s="14"/>
      <c r="AI438" s="20"/>
      <c r="AJ438" s="14"/>
      <c r="AK438" s="14"/>
      <c r="AL438" s="14"/>
      <c r="AM438" s="14"/>
      <c r="AN438" s="14"/>
      <c r="AO438" s="14"/>
      <c r="AP438" s="14"/>
      <c r="AQ438" s="14"/>
      <c r="AR438" s="14"/>
    </row>
    <row r="439" ht="22.5" customHeight="1">
      <c r="A439" s="74">
        <v>46080.0</v>
      </c>
      <c r="B439" s="97" t="s">
        <v>3031</v>
      </c>
      <c r="C439" s="8" t="s">
        <v>45</v>
      </c>
      <c r="D439" s="9" t="s">
        <v>61</v>
      </c>
      <c r="E439" s="39" t="s">
        <v>3032</v>
      </c>
      <c r="F439" s="9" t="s">
        <v>68</v>
      </c>
      <c r="G439" s="10">
        <v>500089.0</v>
      </c>
      <c r="H439" s="9" t="s">
        <v>302</v>
      </c>
      <c r="I439" s="11" t="str">
        <f>VLOOKUP(H439,Mapping!D:E,2,0)</f>
        <v>manikonda</v>
      </c>
      <c r="J439" s="9" t="s">
        <v>303</v>
      </c>
      <c r="K439" s="12">
        <v>0.19</v>
      </c>
      <c r="L439" s="14" t="str">
        <f t="shared" si="30"/>
        <v>&lt;20%</v>
      </c>
      <c r="M439" s="13">
        <v>0.018</v>
      </c>
      <c r="N439" s="14"/>
      <c r="O439" s="9" t="s">
        <v>3033</v>
      </c>
      <c r="P439" s="39" t="s">
        <v>3034</v>
      </c>
      <c r="Q439" s="9" t="s">
        <v>3033</v>
      </c>
      <c r="R439" s="16" t="s">
        <v>3035</v>
      </c>
      <c r="S439" s="9" t="s">
        <v>3036</v>
      </c>
      <c r="T439" s="9" t="s">
        <v>3037</v>
      </c>
      <c r="U439" s="9" t="s">
        <v>2953</v>
      </c>
      <c r="V439" s="17">
        <v>8.1120500000714E13</v>
      </c>
      <c r="W439" s="9" t="s">
        <v>3038</v>
      </c>
      <c r="X439" s="9" t="s">
        <v>68</v>
      </c>
      <c r="Y439" s="88" t="s">
        <v>57</v>
      </c>
      <c r="Z439" s="88" t="s">
        <v>57</v>
      </c>
      <c r="AA439" s="88" t="s">
        <v>57</v>
      </c>
      <c r="AB439" s="88" t="s">
        <v>57</v>
      </c>
      <c r="AC439" s="88" t="s">
        <v>57</v>
      </c>
      <c r="AD439" s="88" t="s">
        <v>57</v>
      </c>
      <c r="AE439" s="128" t="s">
        <v>3039</v>
      </c>
      <c r="AF439" s="14"/>
      <c r="AG439" s="14"/>
      <c r="AH439" s="14"/>
      <c r="AI439" s="20"/>
      <c r="AJ439" s="14"/>
      <c r="AK439" s="14"/>
      <c r="AL439" s="14"/>
      <c r="AM439" s="14"/>
      <c r="AN439" s="14"/>
      <c r="AO439" s="14"/>
      <c r="AP439" s="14"/>
      <c r="AQ439" s="14"/>
      <c r="AR439" s="14"/>
    </row>
    <row r="440" ht="22.5" customHeight="1">
      <c r="A440" s="190">
        <v>46080.0</v>
      </c>
      <c r="B440" s="191" t="s">
        <v>3040</v>
      </c>
      <c r="C440" s="143" t="s">
        <v>248</v>
      </c>
      <c r="D440" s="144" t="s">
        <v>46</v>
      </c>
      <c r="E440" s="144" t="s">
        <v>3041</v>
      </c>
      <c r="F440" s="144" t="s">
        <v>68</v>
      </c>
      <c r="G440" s="145">
        <v>500018.0</v>
      </c>
      <c r="H440" s="144" t="s">
        <v>2752</v>
      </c>
      <c r="I440" s="144" t="s">
        <v>3042</v>
      </c>
      <c r="J440" s="148" t="s">
        <v>161</v>
      </c>
      <c r="K440" s="147">
        <v>0.22</v>
      </c>
      <c r="L440" s="148" t="str">
        <f t="shared" si="30"/>
        <v>20%+</v>
      </c>
      <c r="M440" s="148"/>
      <c r="N440" s="148"/>
      <c r="O440" s="144" t="s">
        <v>68</v>
      </c>
      <c r="P440" s="144" t="s">
        <v>3041</v>
      </c>
      <c r="Q440" s="144" t="s">
        <v>3043</v>
      </c>
      <c r="R440" s="192" t="s">
        <v>3044</v>
      </c>
      <c r="S440" s="144" t="s">
        <v>68</v>
      </c>
      <c r="T440" s="144" t="s">
        <v>68</v>
      </c>
      <c r="U440" s="144" t="s">
        <v>68</v>
      </c>
      <c r="V440" s="144" t="s">
        <v>68</v>
      </c>
      <c r="W440" s="144" t="s">
        <v>68</v>
      </c>
      <c r="X440" s="144" t="s">
        <v>68</v>
      </c>
      <c r="Y440" s="193"/>
      <c r="Z440" s="193"/>
      <c r="AA440" s="193"/>
      <c r="AB440" s="193"/>
      <c r="AC440" s="193"/>
      <c r="AD440" s="193"/>
      <c r="AE440" s="194" t="s">
        <v>3045</v>
      </c>
      <c r="AF440" s="148"/>
      <c r="AG440" s="148"/>
      <c r="AH440" s="144" t="s">
        <v>3046</v>
      </c>
      <c r="AI440" s="151"/>
      <c r="AJ440" s="148"/>
      <c r="AK440" s="148"/>
      <c r="AL440" s="148"/>
      <c r="AM440" s="148"/>
      <c r="AN440" s="148"/>
      <c r="AO440" s="148"/>
      <c r="AP440" s="148"/>
      <c r="AQ440" s="148"/>
      <c r="AR440" s="148"/>
    </row>
    <row r="441" ht="22.5" customHeight="1">
      <c r="A441" s="74">
        <v>46081.0</v>
      </c>
      <c r="B441" s="69" t="s">
        <v>3047</v>
      </c>
      <c r="C441" s="8" t="s">
        <v>60</v>
      </c>
      <c r="D441" s="9" t="s">
        <v>258</v>
      </c>
      <c r="E441" s="9" t="s">
        <v>3048</v>
      </c>
      <c r="F441" s="9" t="s">
        <v>68</v>
      </c>
      <c r="G441" s="10">
        <v>500072.0</v>
      </c>
      <c r="H441" s="9" t="s">
        <v>1165</v>
      </c>
      <c r="I441" s="11" t="str">
        <f>VLOOKUP(H441,Mapping!D:E,2,0)</f>
        <v>kukatpally</v>
      </c>
      <c r="J441" s="61" t="s">
        <v>390</v>
      </c>
      <c r="K441" s="12">
        <v>0.22</v>
      </c>
      <c r="L441" s="14" t="str">
        <f t="shared" si="30"/>
        <v>20%+</v>
      </c>
      <c r="M441" s="13">
        <v>0.018</v>
      </c>
      <c r="N441" s="127">
        <v>0.02</v>
      </c>
      <c r="O441" s="15" t="s">
        <v>3049</v>
      </c>
      <c r="P441" s="9" t="s">
        <v>3048</v>
      </c>
      <c r="Q441" s="9" t="s">
        <v>68</v>
      </c>
      <c r="R441" s="9" t="s">
        <v>68</v>
      </c>
      <c r="S441" s="9" t="s">
        <v>68</v>
      </c>
      <c r="T441" s="9" t="s">
        <v>68</v>
      </c>
      <c r="U441" s="9" t="s">
        <v>68</v>
      </c>
      <c r="V441" s="9" t="s">
        <v>68</v>
      </c>
      <c r="W441" s="9" t="s">
        <v>68</v>
      </c>
      <c r="X441" s="9" t="s">
        <v>68</v>
      </c>
      <c r="Y441" s="91" t="s">
        <v>57</v>
      </c>
      <c r="Z441" s="92" t="s">
        <v>69</v>
      </c>
      <c r="AA441" s="91" t="s">
        <v>57</v>
      </c>
      <c r="AB441" s="92" t="s">
        <v>58</v>
      </c>
      <c r="AC441" s="92" t="s">
        <v>58</v>
      </c>
      <c r="AD441" s="92" t="s">
        <v>69</v>
      </c>
      <c r="AE441" s="93" t="s">
        <v>3050</v>
      </c>
      <c r="AF441" s="14"/>
      <c r="AG441" s="14"/>
      <c r="AH441" s="14"/>
      <c r="AI441" s="8" t="s">
        <v>71</v>
      </c>
      <c r="AJ441" s="14"/>
      <c r="AK441" s="14"/>
      <c r="AL441" s="14"/>
      <c r="AM441" s="14"/>
      <c r="AN441" s="14"/>
      <c r="AO441" s="14"/>
      <c r="AP441" s="14"/>
      <c r="AQ441" s="14"/>
      <c r="AR441" s="14"/>
    </row>
    <row r="442" ht="22.5" customHeight="1">
      <c r="A442" s="81">
        <v>46081.0</v>
      </c>
      <c r="B442" s="97" t="s">
        <v>3051</v>
      </c>
      <c r="C442" s="8" t="s">
        <v>60</v>
      </c>
      <c r="D442" s="9" t="s">
        <v>258</v>
      </c>
      <c r="E442" s="9" t="s">
        <v>3048</v>
      </c>
      <c r="F442" s="9" t="s">
        <v>68</v>
      </c>
      <c r="G442" s="10">
        <v>500072.0</v>
      </c>
      <c r="H442" s="9" t="s">
        <v>1165</v>
      </c>
      <c r="I442" s="11" t="str">
        <f>VLOOKUP(H442,Mapping!D:E,2,0)</f>
        <v>kukatpally</v>
      </c>
      <c r="J442" s="61" t="s">
        <v>390</v>
      </c>
      <c r="K442" s="12">
        <v>0.22</v>
      </c>
      <c r="L442" s="14" t="str">
        <f t="shared" si="30"/>
        <v>20%+</v>
      </c>
      <c r="M442" s="13">
        <v>0.018</v>
      </c>
      <c r="N442" s="127">
        <v>0.02</v>
      </c>
      <c r="O442" s="15" t="s">
        <v>3049</v>
      </c>
      <c r="P442" s="9" t="s">
        <v>3048</v>
      </c>
      <c r="Q442" s="9" t="s">
        <v>68</v>
      </c>
      <c r="R442" s="9" t="s">
        <v>68</v>
      </c>
      <c r="S442" s="9" t="s">
        <v>68</v>
      </c>
      <c r="T442" s="9" t="s">
        <v>68</v>
      </c>
      <c r="U442" s="9" t="s">
        <v>68</v>
      </c>
      <c r="V442" s="9" t="s">
        <v>68</v>
      </c>
      <c r="W442" s="9" t="s">
        <v>68</v>
      </c>
      <c r="X442" s="9" t="s">
        <v>68</v>
      </c>
      <c r="Y442" s="86" t="s">
        <v>57</v>
      </c>
      <c r="Z442" s="92" t="s">
        <v>69</v>
      </c>
      <c r="AA442" s="86" t="s">
        <v>57</v>
      </c>
      <c r="AB442" s="85" t="s">
        <v>58</v>
      </c>
      <c r="AC442" s="85" t="s">
        <v>58</v>
      </c>
      <c r="AD442" s="85" t="s">
        <v>69</v>
      </c>
      <c r="AE442" s="189"/>
      <c r="AF442" s="14"/>
      <c r="AG442" s="14"/>
      <c r="AH442" s="14"/>
      <c r="AI442" s="20"/>
      <c r="AJ442" s="14"/>
      <c r="AK442" s="14"/>
      <c r="AL442" s="14"/>
      <c r="AM442" s="14"/>
      <c r="AN442" s="14"/>
      <c r="AO442" s="14"/>
      <c r="AP442" s="14"/>
      <c r="AQ442" s="14"/>
      <c r="AR442" s="14"/>
    </row>
    <row r="443" ht="22.5" customHeight="1">
      <c r="A443" s="74">
        <v>46081.0</v>
      </c>
      <c r="B443" s="69" t="s">
        <v>3052</v>
      </c>
      <c r="C443" s="8" t="s">
        <v>60</v>
      </c>
      <c r="D443" s="9" t="s">
        <v>258</v>
      </c>
      <c r="E443" s="9" t="s">
        <v>3048</v>
      </c>
      <c r="F443" s="9" t="s">
        <v>68</v>
      </c>
      <c r="G443" s="10">
        <v>500072.0</v>
      </c>
      <c r="H443" s="9" t="s">
        <v>1165</v>
      </c>
      <c r="I443" s="11" t="str">
        <f>VLOOKUP(H443,Mapping!D:E,2,0)</f>
        <v>kukatpally</v>
      </c>
      <c r="J443" s="61" t="s">
        <v>390</v>
      </c>
      <c r="K443" s="12">
        <v>0.22</v>
      </c>
      <c r="L443" s="14" t="str">
        <f t="shared" si="30"/>
        <v>20%+</v>
      </c>
      <c r="M443" s="13">
        <v>0.018</v>
      </c>
      <c r="N443" s="127">
        <v>0.02</v>
      </c>
      <c r="O443" s="15" t="s">
        <v>3049</v>
      </c>
      <c r="P443" s="9" t="s">
        <v>3048</v>
      </c>
      <c r="Q443" s="9" t="s">
        <v>68</v>
      </c>
      <c r="R443" s="9" t="s">
        <v>68</v>
      </c>
      <c r="S443" s="9" t="s">
        <v>68</v>
      </c>
      <c r="T443" s="9" t="s">
        <v>68</v>
      </c>
      <c r="U443" s="9" t="s">
        <v>68</v>
      </c>
      <c r="V443" s="9" t="s">
        <v>68</v>
      </c>
      <c r="W443" s="9" t="s">
        <v>68</v>
      </c>
      <c r="X443" s="9" t="s">
        <v>68</v>
      </c>
      <c r="Y443" s="91" t="s">
        <v>57</v>
      </c>
      <c r="Z443" s="92" t="s">
        <v>69</v>
      </c>
      <c r="AA443" s="91" t="s">
        <v>57</v>
      </c>
      <c r="AB443" s="92" t="s">
        <v>58</v>
      </c>
      <c r="AC443" s="92" t="s">
        <v>58</v>
      </c>
      <c r="AD443" s="92" t="s">
        <v>69</v>
      </c>
      <c r="AE443" s="195"/>
      <c r="AF443" s="14"/>
      <c r="AG443" s="14"/>
      <c r="AH443" s="14"/>
      <c r="AI443" s="20"/>
      <c r="AJ443" s="14"/>
      <c r="AK443" s="14"/>
      <c r="AL443" s="14"/>
      <c r="AM443" s="14"/>
      <c r="AN443" s="14"/>
      <c r="AO443" s="14"/>
      <c r="AP443" s="14"/>
      <c r="AQ443" s="14"/>
      <c r="AR443" s="14"/>
    </row>
    <row r="444" ht="22.5" customHeight="1">
      <c r="A444" s="74">
        <v>46081.0</v>
      </c>
      <c r="B444" s="97" t="s">
        <v>3053</v>
      </c>
      <c r="C444" s="8" t="s">
        <v>60</v>
      </c>
      <c r="D444" s="9" t="s">
        <v>258</v>
      </c>
      <c r="E444" s="39" t="s">
        <v>3054</v>
      </c>
      <c r="F444" s="9" t="s">
        <v>3055</v>
      </c>
      <c r="G444" s="10">
        <v>500045.0</v>
      </c>
      <c r="H444" s="9" t="s">
        <v>2016</v>
      </c>
      <c r="I444" s="9" t="s">
        <v>2016</v>
      </c>
      <c r="J444" s="61" t="s">
        <v>86</v>
      </c>
      <c r="K444" s="12">
        <v>0.23</v>
      </c>
      <c r="L444" s="14" t="str">
        <f t="shared" si="30"/>
        <v>20%+</v>
      </c>
      <c r="M444" s="13">
        <v>0.018</v>
      </c>
      <c r="N444" s="9"/>
      <c r="O444" s="15" t="s">
        <v>3053</v>
      </c>
      <c r="P444" s="39" t="s">
        <v>3056</v>
      </c>
      <c r="Q444" s="10" t="s">
        <v>2004</v>
      </c>
      <c r="R444" s="10" t="s">
        <v>2004</v>
      </c>
      <c r="S444" s="10" t="s">
        <v>2004</v>
      </c>
      <c r="T444" s="10" t="s">
        <v>68</v>
      </c>
      <c r="U444" s="10" t="s">
        <v>2004</v>
      </c>
      <c r="V444" s="10" t="s">
        <v>2004</v>
      </c>
      <c r="W444" s="10" t="s">
        <v>2004</v>
      </c>
      <c r="X444" s="10" t="s">
        <v>2004</v>
      </c>
      <c r="Y444" s="86" t="s">
        <v>57</v>
      </c>
      <c r="Z444" s="92" t="s">
        <v>69</v>
      </c>
      <c r="AA444" s="86" t="s">
        <v>57</v>
      </c>
      <c r="AB444" s="85" t="s">
        <v>58</v>
      </c>
      <c r="AC444" s="85" t="s">
        <v>58</v>
      </c>
      <c r="AD444" s="85" t="s">
        <v>69</v>
      </c>
      <c r="AE444" s="101" t="s">
        <v>3057</v>
      </c>
      <c r="AF444" s="14"/>
      <c r="AG444" s="14"/>
      <c r="AH444" s="14"/>
      <c r="AI444" s="8" t="s">
        <v>71</v>
      </c>
      <c r="AJ444" s="14"/>
      <c r="AK444" s="14"/>
      <c r="AL444" s="14"/>
      <c r="AM444" s="14"/>
      <c r="AN444" s="14"/>
      <c r="AO444" s="14"/>
      <c r="AP444" s="14"/>
      <c r="AQ444" s="14"/>
      <c r="AR444" s="14"/>
    </row>
    <row r="445" ht="22.5" customHeight="1">
      <c r="A445" s="129">
        <v>46081.0</v>
      </c>
      <c r="B445" s="97" t="s">
        <v>3058</v>
      </c>
      <c r="C445" s="8" t="s">
        <v>60</v>
      </c>
      <c r="D445" s="9" t="s">
        <v>258</v>
      </c>
      <c r="E445" s="9" t="s">
        <v>3059</v>
      </c>
      <c r="F445" s="9" t="s">
        <v>3060</v>
      </c>
      <c r="G445" s="10">
        <v>500075.0</v>
      </c>
      <c r="H445" s="9" t="s">
        <v>3061</v>
      </c>
      <c r="I445" s="9" t="s">
        <v>2016</v>
      </c>
      <c r="J445" s="61" t="s">
        <v>86</v>
      </c>
      <c r="K445" s="12">
        <v>0.2</v>
      </c>
      <c r="L445" s="14" t="str">
        <f t="shared" si="30"/>
        <v>20%+</v>
      </c>
      <c r="M445" s="13">
        <v>0.018</v>
      </c>
      <c r="N445" s="9"/>
      <c r="O445" s="15" t="s">
        <v>3062</v>
      </c>
      <c r="P445" s="9" t="s">
        <v>3059</v>
      </c>
      <c r="Q445" s="9" t="s">
        <v>3060</v>
      </c>
      <c r="R445" s="16" t="s">
        <v>3063</v>
      </c>
      <c r="S445" s="9" t="s">
        <v>3064</v>
      </c>
      <c r="T445" s="9" t="s">
        <v>3065</v>
      </c>
      <c r="U445" s="9" t="s">
        <v>307</v>
      </c>
      <c r="V445" s="17" t="s">
        <v>3066</v>
      </c>
      <c r="W445" s="9" t="s">
        <v>3067</v>
      </c>
      <c r="X445" s="9" t="s">
        <v>56</v>
      </c>
      <c r="Y445" s="91" t="s">
        <v>57</v>
      </c>
      <c r="Z445" s="92" t="s">
        <v>69</v>
      </c>
      <c r="AA445" s="91" t="s">
        <v>57</v>
      </c>
      <c r="AB445" s="91" t="s">
        <v>57</v>
      </c>
      <c r="AC445" s="92" t="s">
        <v>58</v>
      </c>
      <c r="AD445" s="92" t="s">
        <v>69</v>
      </c>
      <c r="AE445" s="196" t="s">
        <v>3068</v>
      </c>
      <c r="AF445" s="14"/>
      <c r="AG445" s="14"/>
      <c r="AH445" s="14"/>
      <c r="AI445" s="20"/>
      <c r="AJ445" s="14"/>
      <c r="AK445" s="14"/>
      <c r="AL445" s="14"/>
      <c r="AM445" s="14"/>
      <c r="AN445" s="14"/>
      <c r="AO445" s="14"/>
      <c r="AP445" s="14"/>
      <c r="AQ445" s="14"/>
      <c r="AR445" s="14"/>
    </row>
    <row r="446" ht="22.5" customHeight="1">
      <c r="A446" s="129">
        <v>46081.0</v>
      </c>
      <c r="B446" s="97" t="s">
        <v>3069</v>
      </c>
      <c r="C446" s="8" t="s">
        <v>60</v>
      </c>
      <c r="D446" s="9" t="s">
        <v>258</v>
      </c>
      <c r="E446" s="9" t="s">
        <v>3059</v>
      </c>
      <c r="F446" s="9" t="s">
        <v>3060</v>
      </c>
      <c r="G446" s="10">
        <v>500075.0</v>
      </c>
      <c r="H446" s="9" t="s">
        <v>3061</v>
      </c>
      <c r="I446" s="9" t="s">
        <v>2016</v>
      </c>
      <c r="J446" s="61" t="s">
        <v>86</v>
      </c>
      <c r="K446" s="12">
        <v>0.2</v>
      </c>
      <c r="L446" s="14" t="str">
        <f t="shared" si="30"/>
        <v>20%+</v>
      </c>
      <c r="M446" s="13">
        <v>0.018</v>
      </c>
      <c r="N446" s="9"/>
      <c r="O446" s="15" t="s">
        <v>3062</v>
      </c>
      <c r="P446" s="9" t="s">
        <v>3059</v>
      </c>
      <c r="Q446" s="9" t="s">
        <v>3060</v>
      </c>
      <c r="R446" s="16" t="s">
        <v>3063</v>
      </c>
      <c r="S446" s="9" t="s">
        <v>3064</v>
      </c>
      <c r="T446" s="9" t="s">
        <v>3065</v>
      </c>
      <c r="U446" s="9" t="s">
        <v>307</v>
      </c>
      <c r="V446" s="17" t="s">
        <v>3066</v>
      </c>
      <c r="W446" s="9" t="s">
        <v>3067</v>
      </c>
      <c r="X446" s="9" t="s">
        <v>56</v>
      </c>
      <c r="Y446" s="86" t="s">
        <v>57</v>
      </c>
      <c r="Z446" s="85" t="s">
        <v>69</v>
      </c>
      <c r="AA446" s="86" t="s">
        <v>57</v>
      </c>
      <c r="AB446" s="86" t="s">
        <v>57</v>
      </c>
      <c r="AC446" s="85" t="s">
        <v>58</v>
      </c>
      <c r="AD446" s="85" t="s">
        <v>69</v>
      </c>
      <c r="AE446" s="197" t="s">
        <v>3068</v>
      </c>
      <c r="AF446" s="14"/>
      <c r="AG446" s="14"/>
      <c r="AH446" s="14"/>
      <c r="AI446" s="20"/>
      <c r="AJ446" s="14"/>
      <c r="AK446" s="14"/>
      <c r="AL446" s="14"/>
      <c r="AM446" s="14"/>
      <c r="AN446" s="14"/>
      <c r="AO446" s="14"/>
      <c r="AP446" s="14"/>
      <c r="AQ446" s="14"/>
      <c r="AR446" s="14"/>
    </row>
    <row r="447" ht="22.5" customHeight="1">
      <c r="A447" s="129">
        <v>46081.0</v>
      </c>
      <c r="B447" s="97" t="s">
        <v>3070</v>
      </c>
      <c r="C447" s="8" t="s">
        <v>60</v>
      </c>
      <c r="D447" s="9" t="s">
        <v>258</v>
      </c>
      <c r="E447" s="9" t="s">
        <v>3059</v>
      </c>
      <c r="F447" s="9" t="s">
        <v>3060</v>
      </c>
      <c r="G447" s="10">
        <v>500075.0</v>
      </c>
      <c r="H447" s="9" t="s">
        <v>3061</v>
      </c>
      <c r="I447" s="9" t="s">
        <v>2016</v>
      </c>
      <c r="J447" s="61" t="s">
        <v>86</v>
      </c>
      <c r="K447" s="12">
        <v>0.2</v>
      </c>
      <c r="L447" s="14" t="str">
        <f t="shared" si="30"/>
        <v>20%+</v>
      </c>
      <c r="M447" s="13">
        <v>0.018</v>
      </c>
      <c r="N447" s="9"/>
      <c r="O447" s="15" t="s">
        <v>3062</v>
      </c>
      <c r="P447" s="9" t="s">
        <v>3059</v>
      </c>
      <c r="Q447" s="9" t="s">
        <v>3060</v>
      </c>
      <c r="R447" s="16" t="s">
        <v>3063</v>
      </c>
      <c r="S447" s="9" t="s">
        <v>3064</v>
      </c>
      <c r="T447" s="9" t="s">
        <v>3065</v>
      </c>
      <c r="U447" s="9" t="s">
        <v>307</v>
      </c>
      <c r="V447" s="17" t="s">
        <v>3066</v>
      </c>
      <c r="W447" s="9" t="s">
        <v>3067</v>
      </c>
      <c r="X447" s="9" t="s">
        <v>56</v>
      </c>
      <c r="Y447" s="91" t="s">
        <v>57</v>
      </c>
      <c r="Z447" s="92" t="s">
        <v>69</v>
      </c>
      <c r="AA447" s="91" t="s">
        <v>57</v>
      </c>
      <c r="AB447" s="91" t="s">
        <v>57</v>
      </c>
      <c r="AC447" s="92" t="s">
        <v>58</v>
      </c>
      <c r="AD447" s="92" t="s">
        <v>69</v>
      </c>
      <c r="AE447" s="196" t="s">
        <v>3068</v>
      </c>
      <c r="AF447" s="14"/>
      <c r="AG447" s="14"/>
      <c r="AH447" s="14"/>
      <c r="AI447" s="20"/>
      <c r="AJ447" s="14"/>
      <c r="AK447" s="14"/>
      <c r="AL447" s="14"/>
      <c r="AM447" s="14"/>
      <c r="AN447" s="14"/>
      <c r="AO447" s="14"/>
      <c r="AP447" s="14"/>
      <c r="AQ447" s="14"/>
      <c r="AR447" s="14"/>
    </row>
    <row r="448" ht="22.5" customHeight="1">
      <c r="A448" s="74">
        <v>46081.0</v>
      </c>
      <c r="B448" s="97" t="s">
        <v>3071</v>
      </c>
      <c r="C448" s="8" t="s">
        <v>60</v>
      </c>
      <c r="D448" s="9" t="s">
        <v>258</v>
      </c>
      <c r="E448" s="39" t="s">
        <v>3072</v>
      </c>
      <c r="F448" s="9" t="s">
        <v>68</v>
      </c>
      <c r="G448" s="10">
        <v>500045.0</v>
      </c>
      <c r="H448" s="9" t="s">
        <v>1041</v>
      </c>
      <c r="I448" s="11" t="str">
        <f>VLOOKUP(H448,Mapping!D:E,2,0)</f>
        <v>yousufguda</v>
      </c>
      <c r="J448" s="61" t="s">
        <v>161</v>
      </c>
      <c r="K448" s="12">
        <v>0.23</v>
      </c>
      <c r="L448" s="14" t="str">
        <f t="shared" si="30"/>
        <v>20%+</v>
      </c>
      <c r="M448" s="13">
        <v>0.018</v>
      </c>
      <c r="N448" s="127">
        <v>0.02</v>
      </c>
      <c r="O448" s="9" t="s">
        <v>68</v>
      </c>
      <c r="P448" s="9" t="s">
        <v>68</v>
      </c>
      <c r="Q448" s="9" t="s">
        <v>68</v>
      </c>
      <c r="R448" s="9" t="s">
        <v>68</v>
      </c>
      <c r="S448" s="9" t="s">
        <v>68</v>
      </c>
      <c r="T448" s="9" t="s">
        <v>68</v>
      </c>
      <c r="U448" s="9" t="s">
        <v>68</v>
      </c>
      <c r="V448" s="9" t="s">
        <v>68</v>
      </c>
      <c r="W448" s="9" t="s">
        <v>68</v>
      </c>
      <c r="X448" s="9" t="s">
        <v>68</v>
      </c>
      <c r="Y448" s="86" t="s">
        <v>58</v>
      </c>
      <c r="Z448" s="92" t="s">
        <v>69</v>
      </c>
      <c r="AA448" s="86" t="s">
        <v>57</v>
      </c>
      <c r="AB448" s="86" t="s">
        <v>57</v>
      </c>
      <c r="AC448" s="85" t="s">
        <v>58</v>
      </c>
      <c r="AD448" s="85" t="s">
        <v>69</v>
      </c>
      <c r="AE448" s="197" t="s">
        <v>3073</v>
      </c>
      <c r="AF448" s="14"/>
      <c r="AG448" s="14"/>
      <c r="AH448" s="14"/>
      <c r="AI448" s="20"/>
      <c r="AJ448" s="14"/>
      <c r="AK448" s="14"/>
      <c r="AL448" s="14"/>
      <c r="AM448" s="14"/>
      <c r="AN448" s="14"/>
      <c r="AO448" s="14"/>
      <c r="AP448" s="14"/>
      <c r="AQ448" s="14"/>
      <c r="AR448" s="14"/>
    </row>
    <row r="449" ht="22.5" customHeight="1">
      <c r="A449" s="74">
        <v>46081.0</v>
      </c>
      <c r="B449" s="97" t="s">
        <v>3074</v>
      </c>
      <c r="C449" s="8" t="s">
        <v>60</v>
      </c>
      <c r="D449" s="9" t="s">
        <v>258</v>
      </c>
      <c r="E449" s="39" t="s">
        <v>3075</v>
      </c>
      <c r="F449" s="9" t="s">
        <v>68</v>
      </c>
      <c r="G449" s="10">
        <v>500045.0</v>
      </c>
      <c r="H449" s="9" t="s">
        <v>1041</v>
      </c>
      <c r="I449" s="11" t="str">
        <f>VLOOKUP(H449,Mapping!D:E,2,0)</f>
        <v>yousufguda</v>
      </c>
      <c r="J449" s="61" t="s">
        <v>161</v>
      </c>
      <c r="K449" s="9" t="s">
        <v>68</v>
      </c>
      <c r="L449" s="14" t="str">
        <f t="shared" si="30"/>
        <v>20%+</v>
      </c>
      <c r="M449" s="13">
        <v>0.018</v>
      </c>
      <c r="N449" s="9"/>
      <c r="O449" s="9" t="s">
        <v>68</v>
      </c>
      <c r="P449" s="9" t="s">
        <v>68</v>
      </c>
      <c r="Q449" s="9" t="s">
        <v>68</v>
      </c>
      <c r="R449" s="9" t="s">
        <v>68</v>
      </c>
      <c r="S449" s="9" t="s">
        <v>68</v>
      </c>
      <c r="T449" s="9" t="s">
        <v>68</v>
      </c>
      <c r="U449" s="9" t="s">
        <v>68</v>
      </c>
      <c r="V449" s="9" t="s">
        <v>68</v>
      </c>
      <c r="W449" s="9" t="s">
        <v>68</v>
      </c>
      <c r="X449" s="9" t="s">
        <v>68</v>
      </c>
      <c r="Y449" s="91" t="s">
        <v>58</v>
      </c>
      <c r="Z449" s="92" t="s">
        <v>69</v>
      </c>
      <c r="AA449" s="91" t="s">
        <v>57</v>
      </c>
      <c r="AB449" s="92" t="s">
        <v>57</v>
      </c>
      <c r="AC449" s="92" t="s">
        <v>58</v>
      </c>
      <c r="AD449" s="92" t="s">
        <v>69</v>
      </c>
      <c r="AE449" s="196" t="s">
        <v>3073</v>
      </c>
      <c r="AF449" s="14"/>
      <c r="AG449" s="14"/>
      <c r="AH449" s="14"/>
      <c r="AI449" s="8" t="s">
        <v>71</v>
      </c>
      <c r="AJ449" s="14"/>
      <c r="AK449" s="14"/>
      <c r="AL449" s="14"/>
      <c r="AM449" s="14"/>
      <c r="AN449" s="14"/>
      <c r="AO449" s="14"/>
      <c r="AP449" s="14"/>
      <c r="AQ449" s="14"/>
      <c r="AR449" s="14"/>
    </row>
    <row r="450" ht="22.5" customHeight="1">
      <c r="A450" s="74">
        <v>46081.0</v>
      </c>
      <c r="B450" s="97" t="s">
        <v>3076</v>
      </c>
      <c r="C450" s="8" t="s">
        <v>60</v>
      </c>
      <c r="D450" s="9" t="s">
        <v>258</v>
      </c>
      <c r="E450" s="39" t="s">
        <v>3077</v>
      </c>
      <c r="F450" s="9" t="s">
        <v>68</v>
      </c>
      <c r="G450" s="10">
        <v>500045.0</v>
      </c>
      <c r="H450" s="9" t="s">
        <v>1041</v>
      </c>
      <c r="I450" s="11" t="str">
        <f>VLOOKUP(H450,Mapping!D:E,2,0)</f>
        <v>yousufguda</v>
      </c>
      <c r="J450" s="61" t="s">
        <v>161</v>
      </c>
      <c r="K450" s="9" t="s">
        <v>68</v>
      </c>
      <c r="L450" s="14" t="str">
        <f t="shared" si="30"/>
        <v>20%+</v>
      </c>
      <c r="M450" s="13">
        <v>0.018</v>
      </c>
      <c r="N450" s="9"/>
      <c r="O450" s="15" t="s">
        <v>3078</v>
      </c>
      <c r="P450" s="39" t="s">
        <v>3079</v>
      </c>
      <c r="Q450" s="9" t="s">
        <v>68</v>
      </c>
      <c r="R450" s="9" t="s">
        <v>68</v>
      </c>
      <c r="S450" s="9" t="s">
        <v>68</v>
      </c>
      <c r="T450" s="9" t="s">
        <v>68</v>
      </c>
      <c r="U450" s="9" t="s">
        <v>68</v>
      </c>
      <c r="V450" s="9" t="s">
        <v>68</v>
      </c>
      <c r="W450" s="9" t="s">
        <v>68</v>
      </c>
      <c r="X450" s="9" t="s">
        <v>68</v>
      </c>
      <c r="Y450" s="86" t="s">
        <v>58</v>
      </c>
      <c r="Z450" s="92" t="s">
        <v>69</v>
      </c>
      <c r="AA450" s="86" t="s">
        <v>57</v>
      </c>
      <c r="AB450" s="85" t="s">
        <v>57</v>
      </c>
      <c r="AC450" s="85" t="s">
        <v>58</v>
      </c>
      <c r="AD450" s="85" t="s">
        <v>69</v>
      </c>
      <c r="AE450" s="197" t="s">
        <v>3073</v>
      </c>
      <c r="AF450" s="14"/>
      <c r="AG450" s="14"/>
      <c r="AH450" s="14"/>
      <c r="AI450" s="8" t="s">
        <v>71</v>
      </c>
      <c r="AJ450" s="14"/>
      <c r="AK450" s="14"/>
      <c r="AL450" s="14"/>
      <c r="AM450" s="14"/>
      <c r="AN450" s="14"/>
      <c r="AO450" s="14"/>
      <c r="AP450" s="14"/>
      <c r="AQ450" s="14"/>
      <c r="AR450" s="14"/>
    </row>
    <row r="451" ht="22.5" customHeight="1">
      <c r="A451" s="129">
        <v>46081.0</v>
      </c>
      <c r="B451" s="97" t="s">
        <v>3080</v>
      </c>
      <c r="C451" s="8" t="s">
        <v>45</v>
      </c>
      <c r="D451" s="9" t="s">
        <v>258</v>
      </c>
      <c r="E451" s="39" t="s">
        <v>3081</v>
      </c>
      <c r="F451" s="9" t="s">
        <v>68</v>
      </c>
      <c r="G451" s="10" t="s">
        <v>68</v>
      </c>
      <c r="H451" s="9" t="s">
        <v>3082</v>
      </c>
      <c r="I451" s="11" t="str">
        <f>VLOOKUP(H451,Mapping!D:E,2,0)</f>
        <v>#N/A</v>
      </c>
      <c r="J451" s="155"/>
      <c r="K451" s="12">
        <v>0.12</v>
      </c>
      <c r="L451" s="14" t="str">
        <f t="shared" si="30"/>
        <v>&lt;15%</v>
      </c>
      <c r="M451" s="13">
        <v>0.018</v>
      </c>
      <c r="N451" s="9"/>
      <c r="O451" s="43" t="s">
        <v>3080</v>
      </c>
      <c r="P451" s="39" t="s">
        <v>3083</v>
      </c>
      <c r="Q451" s="9" t="s">
        <v>3084</v>
      </c>
      <c r="R451" s="16" t="s">
        <v>3085</v>
      </c>
      <c r="S451" s="9" t="s">
        <v>3086</v>
      </c>
      <c r="T451" s="15" t="s">
        <v>3080</v>
      </c>
      <c r="U451" s="9" t="s">
        <v>1139</v>
      </c>
      <c r="V451" s="17">
        <v>9.24020005914439E14</v>
      </c>
      <c r="W451" s="9" t="s">
        <v>3087</v>
      </c>
      <c r="X451" s="9" t="s">
        <v>80</v>
      </c>
      <c r="Y451" s="14"/>
      <c r="Z451" s="14"/>
      <c r="AA451" s="14"/>
      <c r="AB451" s="14"/>
      <c r="AC451" s="14"/>
      <c r="AD451" s="14"/>
      <c r="AE451" s="14"/>
      <c r="AF451" s="14"/>
      <c r="AG451" s="9"/>
      <c r="AH451" s="14"/>
      <c r="AI451" s="20"/>
      <c r="AJ451" s="14"/>
      <c r="AK451" s="14"/>
      <c r="AL451" s="14"/>
      <c r="AM451" s="14"/>
      <c r="AN451" s="14"/>
      <c r="AO451" s="14"/>
      <c r="AP451" s="14"/>
      <c r="AQ451" s="14"/>
      <c r="AR451" s="14"/>
    </row>
    <row r="452" ht="22.5" customHeight="1">
      <c r="A452" s="129">
        <v>46081.0</v>
      </c>
      <c r="B452" s="97" t="s">
        <v>3088</v>
      </c>
      <c r="C452" s="8" t="s">
        <v>45</v>
      </c>
      <c r="D452" s="9" t="s">
        <v>61</v>
      </c>
      <c r="E452" s="9" t="s">
        <v>3089</v>
      </c>
      <c r="F452" s="9" t="s">
        <v>68</v>
      </c>
      <c r="G452" s="10">
        <v>500043.0</v>
      </c>
      <c r="H452" s="9" t="s">
        <v>1165</v>
      </c>
      <c r="I452" s="11" t="str">
        <f>VLOOKUP(H452,Mapping!D:E,2,0)</f>
        <v>kukatpally</v>
      </c>
      <c r="J452" s="61" t="s">
        <v>390</v>
      </c>
      <c r="K452" s="12">
        <v>0.12</v>
      </c>
      <c r="L452" s="14" t="str">
        <f t="shared" si="30"/>
        <v>&lt;15%</v>
      </c>
      <c r="M452" s="13">
        <v>0.018</v>
      </c>
      <c r="N452" s="9"/>
      <c r="O452" s="43" t="s">
        <v>3090</v>
      </c>
      <c r="P452" s="9" t="s">
        <v>3091</v>
      </c>
      <c r="Q452" s="9" t="s">
        <v>3092</v>
      </c>
      <c r="R452" s="16" t="s">
        <v>3093</v>
      </c>
      <c r="S452" s="9" t="s">
        <v>3094</v>
      </c>
      <c r="T452" s="43" t="s">
        <v>3090</v>
      </c>
      <c r="U452" s="9" t="s">
        <v>2381</v>
      </c>
      <c r="V452" s="17">
        <v>2.79905002841E11</v>
      </c>
      <c r="W452" s="9" t="s">
        <v>3095</v>
      </c>
      <c r="X452" s="9" t="s">
        <v>80</v>
      </c>
      <c r="Y452" s="88" t="s">
        <v>57</v>
      </c>
      <c r="Z452" s="88" t="s">
        <v>57</v>
      </c>
      <c r="AA452" s="88" t="s">
        <v>57</v>
      </c>
      <c r="AB452" s="88" t="s">
        <v>57</v>
      </c>
      <c r="AC452" s="88" t="s">
        <v>58</v>
      </c>
      <c r="AD452" s="88" t="s">
        <v>58</v>
      </c>
      <c r="AE452" s="128" t="s">
        <v>3096</v>
      </c>
      <c r="AF452" s="14"/>
      <c r="AG452" s="14"/>
      <c r="AH452" s="14"/>
      <c r="AI452" s="20"/>
      <c r="AJ452" s="14"/>
      <c r="AK452" s="14"/>
      <c r="AL452" s="14"/>
      <c r="AM452" s="14"/>
      <c r="AN452" s="14"/>
      <c r="AO452" s="14"/>
      <c r="AP452" s="14"/>
      <c r="AQ452" s="14"/>
      <c r="AR452" s="14"/>
    </row>
    <row r="453" ht="22.5" customHeight="1">
      <c r="A453" s="81">
        <v>46083.0</v>
      </c>
      <c r="B453" s="97" t="s">
        <v>3097</v>
      </c>
      <c r="C453" s="8" t="s">
        <v>241</v>
      </c>
      <c r="D453" s="9" t="s">
        <v>258</v>
      </c>
      <c r="E453" s="39" t="s">
        <v>3098</v>
      </c>
      <c r="F453" s="9" t="s">
        <v>3099</v>
      </c>
      <c r="G453" s="10">
        <v>500075.0</v>
      </c>
      <c r="H453" s="9" t="s">
        <v>1559</v>
      </c>
      <c r="I453" s="11" t="str">
        <f>VLOOKUP(H453,Mapping!D:E,2,0)</f>
        <v>Nanakramguda</v>
      </c>
      <c r="J453" s="61" t="s">
        <v>303</v>
      </c>
      <c r="K453" s="12">
        <v>0.22</v>
      </c>
      <c r="L453" s="14" t="str">
        <f t="shared" si="30"/>
        <v>20%+</v>
      </c>
      <c r="M453" s="13">
        <v>0.018</v>
      </c>
      <c r="N453" s="14"/>
      <c r="O453" s="15" t="s">
        <v>3097</v>
      </c>
      <c r="P453" s="15" t="s">
        <v>3100</v>
      </c>
      <c r="Q453" s="9" t="s">
        <v>3101</v>
      </c>
      <c r="R453" s="16" t="s">
        <v>3102</v>
      </c>
      <c r="S453" s="9" t="s">
        <v>3103</v>
      </c>
      <c r="T453" s="9" t="s">
        <v>3104</v>
      </c>
      <c r="U453" s="9" t="s">
        <v>877</v>
      </c>
      <c r="V453" s="17">
        <v>3.0212200061585E13</v>
      </c>
      <c r="W453" s="9" t="s">
        <v>3105</v>
      </c>
      <c r="X453" s="9" t="s">
        <v>68</v>
      </c>
      <c r="Y453" s="18" t="s">
        <v>57</v>
      </c>
      <c r="Z453" s="18" t="s">
        <v>69</v>
      </c>
      <c r="AA453" s="18" t="s">
        <v>57</v>
      </c>
      <c r="AB453" s="18" t="s">
        <v>57</v>
      </c>
      <c r="AC453" s="18" t="s">
        <v>58</v>
      </c>
      <c r="AD453" s="18" t="s">
        <v>69</v>
      </c>
      <c r="AE453" s="35" t="s">
        <v>3106</v>
      </c>
      <c r="AF453" s="14"/>
      <c r="AG453" s="14"/>
      <c r="AH453" s="9" t="s">
        <v>3107</v>
      </c>
      <c r="AI453" s="20"/>
      <c r="AJ453" s="14"/>
      <c r="AK453" s="14"/>
      <c r="AL453" s="14"/>
      <c r="AM453" s="14"/>
      <c r="AN453" s="14"/>
      <c r="AO453" s="14"/>
      <c r="AP453" s="14"/>
      <c r="AQ453" s="14"/>
      <c r="AR453" s="14"/>
    </row>
    <row r="454" ht="22.5" customHeight="1">
      <c r="A454" s="74">
        <v>46083.0</v>
      </c>
      <c r="B454" s="69" t="s">
        <v>3108</v>
      </c>
      <c r="C454" s="8" t="s">
        <v>96</v>
      </c>
      <c r="D454" s="9" t="s">
        <v>258</v>
      </c>
      <c r="E454" s="9" t="s">
        <v>3109</v>
      </c>
      <c r="F454" s="9" t="s">
        <v>68</v>
      </c>
      <c r="G454" s="9"/>
      <c r="H454" s="9" t="s">
        <v>421</v>
      </c>
      <c r="I454" s="11" t="str">
        <f>VLOOKUP(H454,Mapping!D:E,2,0)</f>
        <v>Khairathabad</v>
      </c>
      <c r="J454" s="61" t="s">
        <v>50</v>
      </c>
      <c r="K454" s="12">
        <v>0.22</v>
      </c>
      <c r="L454" s="14" t="str">
        <f t="shared" si="30"/>
        <v>20%+</v>
      </c>
      <c r="M454" s="13">
        <v>0.018</v>
      </c>
      <c r="N454" s="14"/>
      <c r="O454" s="9" t="s">
        <v>3108</v>
      </c>
      <c r="P454" s="9" t="s">
        <v>3110</v>
      </c>
      <c r="Q454" s="9" t="s">
        <v>3111</v>
      </c>
      <c r="R454" s="9" t="s">
        <v>3112</v>
      </c>
      <c r="S454" s="9" t="s">
        <v>3113</v>
      </c>
      <c r="T454" s="9" t="s">
        <v>3108</v>
      </c>
      <c r="U454" s="9" t="s">
        <v>877</v>
      </c>
      <c r="V454" s="17">
        <v>1.20038051424E11</v>
      </c>
      <c r="W454" s="9" t="s">
        <v>3114</v>
      </c>
      <c r="X454" s="9" t="s">
        <v>80</v>
      </c>
      <c r="Y454" s="18" t="s">
        <v>57</v>
      </c>
      <c r="Z454" s="18" t="s">
        <v>58</v>
      </c>
      <c r="AA454" s="18" t="s">
        <v>57</v>
      </c>
      <c r="AB454" s="18" t="s">
        <v>57</v>
      </c>
      <c r="AC454" s="18" t="s">
        <v>57</v>
      </c>
      <c r="AD454" s="18" t="s">
        <v>57</v>
      </c>
      <c r="AE454" s="35" t="s">
        <v>3115</v>
      </c>
      <c r="AF454" s="14"/>
      <c r="AG454" s="14"/>
      <c r="AH454" s="14"/>
      <c r="AI454" s="20"/>
      <c r="AJ454" s="14"/>
      <c r="AK454" s="14"/>
      <c r="AL454" s="14"/>
      <c r="AM454" s="14"/>
      <c r="AN454" s="14"/>
      <c r="AO454" s="14"/>
      <c r="AP454" s="14"/>
      <c r="AQ454" s="14"/>
      <c r="AR454" s="14"/>
    </row>
    <row r="455" ht="22.5" customHeight="1">
      <c r="A455" s="74">
        <v>46083.0</v>
      </c>
      <c r="B455" s="69" t="s">
        <v>3116</v>
      </c>
      <c r="C455" s="8" t="s">
        <v>96</v>
      </c>
      <c r="D455" s="9" t="s">
        <v>258</v>
      </c>
      <c r="E455" s="9" t="s">
        <v>3117</v>
      </c>
      <c r="F455" s="9" t="s">
        <v>3118</v>
      </c>
      <c r="G455" s="10">
        <v>500082.0</v>
      </c>
      <c r="H455" s="9" t="s">
        <v>690</v>
      </c>
      <c r="I455" s="11" t="str">
        <f>VLOOKUP(H455,Mapping!D:E,2,0)</f>
        <v>panjagutta</v>
      </c>
      <c r="J455" s="61" t="s">
        <v>161</v>
      </c>
      <c r="K455" s="12">
        <v>0.2</v>
      </c>
      <c r="L455" s="14" t="str">
        <f t="shared" si="30"/>
        <v>20%+</v>
      </c>
      <c r="M455" s="13">
        <v>0.018</v>
      </c>
      <c r="N455" s="14"/>
      <c r="O455" s="9" t="s">
        <v>3119</v>
      </c>
      <c r="P455" s="9" t="s">
        <v>3120</v>
      </c>
      <c r="Q455" s="9" t="s">
        <v>3118</v>
      </c>
      <c r="R455" s="16" t="s">
        <v>3121</v>
      </c>
      <c r="S455" s="9" t="s">
        <v>3122</v>
      </c>
      <c r="T455" s="9" t="s">
        <v>3123</v>
      </c>
      <c r="U455" s="9" t="s">
        <v>215</v>
      </c>
      <c r="V455" s="17">
        <v>9.763300006949E12</v>
      </c>
      <c r="W455" s="9" t="s">
        <v>2361</v>
      </c>
      <c r="X455" s="9" t="s">
        <v>80</v>
      </c>
      <c r="Y455" s="18" t="s">
        <v>57</v>
      </c>
      <c r="Z455" s="18" t="s">
        <v>58</v>
      </c>
      <c r="AA455" s="18" t="s">
        <v>57</v>
      </c>
      <c r="AB455" s="18" t="s">
        <v>57</v>
      </c>
      <c r="AC455" s="18" t="s">
        <v>57</v>
      </c>
      <c r="AD455" s="18" t="s">
        <v>58</v>
      </c>
      <c r="AE455" s="35" t="s">
        <v>3124</v>
      </c>
      <c r="AF455" s="14"/>
      <c r="AG455" s="14"/>
      <c r="AH455" s="14"/>
      <c r="AI455" s="20"/>
      <c r="AJ455" s="14"/>
      <c r="AK455" s="14"/>
      <c r="AL455" s="14"/>
      <c r="AM455" s="14"/>
      <c r="AN455" s="14"/>
      <c r="AO455" s="14"/>
      <c r="AP455" s="14"/>
      <c r="AQ455" s="14"/>
      <c r="AR455" s="14"/>
    </row>
    <row r="456" ht="22.5" customHeight="1">
      <c r="A456" s="74">
        <v>46083.0</v>
      </c>
      <c r="B456" s="69" t="s">
        <v>3125</v>
      </c>
      <c r="C456" s="8" t="s">
        <v>248</v>
      </c>
      <c r="D456" s="9" t="s">
        <v>258</v>
      </c>
      <c r="E456" s="9" t="s">
        <v>3126</v>
      </c>
      <c r="F456" s="9" t="s">
        <v>3127</v>
      </c>
      <c r="G456" s="10">
        <v>500004.0</v>
      </c>
      <c r="H456" s="9" t="s">
        <v>421</v>
      </c>
      <c r="I456" s="11" t="str">
        <f>VLOOKUP(H456,Mapping!D:E,2,0)</f>
        <v>Khairathabad</v>
      </c>
      <c r="J456" s="61" t="s">
        <v>50</v>
      </c>
      <c r="K456" s="12">
        <v>0.2</v>
      </c>
      <c r="L456" s="14" t="str">
        <f t="shared" si="30"/>
        <v>20%+</v>
      </c>
      <c r="M456" s="13">
        <v>0.018</v>
      </c>
      <c r="N456" s="14"/>
      <c r="O456" s="9" t="s">
        <v>3127</v>
      </c>
      <c r="P456" s="9" t="s">
        <v>3126</v>
      </c>
      <c r="Q456" s="9" t="s">
        <v>3127</v>
      </c>
      <c r="R456" s="16" t="s">
        <v>3128</v>
      </c>
      <c r="S456" s="9" t="s">
        <v>3129</v>
      </c>
      <c r="T456" s="9" t="s">
        <v>68</v>
      </c>
      <c r="U456" s="9" t="s">
        <v>119</v>
      </c>
      <c r="V456" s="17">
        <v>9.21010003523141E14</v>
      </c>
      <c r="W456" s="9" t="s">
        <v>3130</v>
      </c>
      <c r="X456" s="9" t="s">
        <v>68</v>
      </c>
      <c r="Y456" s="18" t="s">
        <v>57</v>
      </c>
      <c r="Z456" s="18" t="s">
        <v>58</v>
      </c>
      <c r="AA456" s="18" t="s">
        <v>57</v>
      </c>
      <c r="AB456" s="18" t="s">
        <v>57</v>
      </c>
      <c r="AC456" s="18" t="s">
        <v>58</v>
      </c>
      <c r="AD456" s="18" t="s">
        <v>58</v>
      </c>
      <c r="AE456" s="39" t="s">
        <v>3131</v>
      </c>
      <c r="AF456" s="14"/>
      <c r="AG456" s="14"/>
      <c r="AH456" s="9" t="s">
        <v>3132</v>
      </c>
      <c r="AI456" s="8" t="s">
        <v>71</v>
      </c>
      <c r="AJ456" s="14"/>
      <c r="AK456" s="14"/>
      <c r="AL456" s="14"/>
      <c r="AM456" s="14"/>
      <c r="AN456" s="14"/>
      <c r="AO456" s="14"/>
      <c r="AP456" s="14"/>
      <c r="AQ456" s="14"/>
      <c r="AR456" s="14"/>
    </row>
    <row r="457" ht="22.5" customHeight="1">
      <c r="A457" s="74">
        <v>46083.0</v>
      </c>
      <c r="B457" s="69" t="s">
        <v>3133</v>
      </c>
      <c r="C457" s="8" t="s">
        <v>60</v>
      </c>
      <c r="D457" s="9" t="s">
        <v>258</v>
      </c>
      <c r="E457" s="9" t="s">
        <v>3134</v>
      </c>
      <c r="F457" s="9" t="s">
        <v>68</v>
      </c>
      <c r="G457" s="10">
        <v>500072.0</v>
      </c>
      <c r="H457" s="9" t="s">
        <v>1165</v>
      </c>
      <c r="I457" s="11" t="str">
        <f>VLOOKUP(H457,Mapping!D:E,2,0)</f>
        <v>kukatpally</v>
      </c>
      <c r="J457" s="61" t="s">
        <v>390</v>
      </c>
      <c r="K457" s="12">
        <v>0.22</v>
      </c>
      <c r="L457" s="14" t="str">
        <f t="shared" si="30"/>
        <v>20%+</v>
      </c>
      <c r="M457" s="13">
        <v>0.018</v>
      </c>
      <c r="N457" s="14"/>
      <c r="O457" s="43" t="s">
        <v>3133</v>
      </c>
      <c r="P457" s="9" t="s">
        <v>3135</v>
      </c>
      <c r="Q457" s="9" t="s">
        <v>68</v>
      </c>
      <c r="R457" s="9" t="s">
        <v>68</v>
      </c>
      <c r="S457" s="9" t="s">
        <v>68</v>
      </c>
      <c r="T457" s="9" t="s">
        <v>68</v>
      </c>
      <c r="U457" s="9" t="s">
        <v>68</v>
      </c>
      <c r="V457" s="9" t="s">
        <v>68</v>
      </c>
      <c r="W457" s="9" t="s">
        <v>68</v>
      </c>
      <c r="X457" s="9" t="s">
        <v>68</v>
      </c>
      <c r="Y457" s="91" t="s">
        <v>57</v>
      </c>
      <c r="Z457" s="92" t="s">
        <v>69</v>
      </c>
      <c r="AA457" s="91" t="s">
        <v>57</v>
      </c>
      <c r="AB457" s="92" t="s">
        <v>58</v>
      </c>
      <c r="AC457" s="92" t="s">
        <v>58</v>
      </c>
      <c r="AD457" s="92" t="s">
        <v>69</v>
      </c>
      <c r="AE457" s="196" t="s">
        <v>3136</v>
      </c>
      <c r="AF457" s="14"/>
      <c r="AG457" s="14"/>
      <c r="AH457" s="14"/>
      <c r="AI457" s="8" t="s">
        <v>71</v>
      </c>
      <c r="AJ457" s="14"/>
      <c r="AK457" s="14"/>
      <c r="AL457" s="14"/>
      <c r="AM457" s="14"/>
      <c r="AN457" s="14"/>
      <c r="AO457" s="14"/>
      <c r="AP457" s="14"/>
      <c r="AQ457" s="14"/>
      <c r="AR457" s="14"/>
    </row>
    <row r="458" ht="22.5" customHeight="1">
      <c r="A458" s="74">
        <v>46083.0</v>
      </c>
      <c r="B458" s="69" t="s">
        <v>3137</v>
      </c>
      <c r="C458" s="8" t="s">
        <v>60</v>
      </c>
      <c r="D458" s="9" t="s">
        <v>258</v>
      </c>
      <c r="E458" s="9" t="s">
        <v>3134</v>
      </c>
      <c r="F458" s="9" t="s">
        <v>68</v>
      </c>
      <c r="G458" s="10">
        <v>500072.0</v>
      </c>
      <c r="H458" s="9" t="s">
        <v>1165</v>
      </c>
      <c r="I458" s="11" t="str">
        <f>VLOOKUP(H458,Mapping!D:E,2,0)</f>
        <v>kukatpally</v>
      </c>
      <c r="J458" s="61" t="s">
        <v>390</v>
      </c>
      <c r="K458" s="12">
        <v>0.22</v>
      </c>
      <c r="L458" s="14" t="str">
        <f t="shared" si="30"/>
        <v>20%+</v>
      </c>
      <c r="M458" s="13">
        <v>0.018</v>
      </c>
      <c r="N458" s="14"/>
      <c r="O458" s="43" t="s">
        <v>3133</v>
      </c>
      <c r="P458" s="9" t="s">
        <v>3135</v>
      </c>
      <c r="Q458" s="9" t="s">
        <v>1008</v>
      </c>
      <c r="R458" s="16" t="s">
        <v>3138</v>
      </c>
      <c r="S458" s="9" t="s">
        <v>3139</v>
      </c>
      <c r="T458" s="9" t="s">
        <v>3140</v>
      </c>
      <c r="U458" s="9" t="s">
        <v>1014</v>
      </c>
      <c r="V458" s="17">
        <v>5.0100532565376E13</v>
      </c>
      <c r="W458" s="9" t="s">
        <v>3141</v>
      </c>
      <c r="X458" s="9" t="s">
        <v>56</v>
      </c>
      <c r="Y458" s="86" t="s">
        <v>57</v>
      </c>
      <c r="Z458" s="92" t="s">
        <v>69</v>
      </c>
      <c r="AA458" s="86" t="s">
        <v>57</v>
      </c>
      <c r="AB458" s="85" t="s">
        <v>58</v>
      </c>
      <c r="AC458" s="85" t="s">
        <v>58</v>
      </c>
      <c r="AD458" s="85" t="s">
        <v>69</v>
      </c>
      <c r="AE458" s="197" t="s">
        <v>3142</v>
      </c>
      <c r="AF458" s="14"/>
      <c r="AG458" s="14"/>
      <c r="AH458" s="14"/>
      <c r="AI458" s="20"/>
      <c r="AJ458" s="14"/>
      <c r="AK458" s="14"/>
      <c r="AL458" s="14"/>
      <c r="AM458" s="14"/>
      <c r="AN458" s="14"/>
      <c r="AO458" s="14"/>
      <c r="AP458" s="14"/>
      <c r="AQ458" s="14"/>
      <c r="AR458" s="14"/>
    </row>
    <row r="459" ht="22.5" customHeight="1">
      <c r="A459" s="74">
        <v>46083.0</v>
      </c>
      <c r="B459" s="69" t="s">
        <v>3143</v>
      </c>
      <c r="C459" s="8" t="s">
        <v>96</v>
      </c>
      <c r="D459" s="9" t="s">
        <v>258</v>
      </c>
      <c r="E459" s="9" t="s">
        <v>3144</v>
      </c>
      <c r="F459" s="9" t="s">
        <v>3145</v>
      </c>
      <c r="G459" s="10">
        <v>500086.0</v>
      </c>
      <c r="H459" s="9" t="s">
        <v>2388</v>
      </c>
      <c r="I459" s="11" t="str">
        <f>VLOOKUP(H459,Mapping!D:E,2,0)</f>
        <v>mehdipatnam</v>
      </c>
      <c r="J459" s="61" t="s">
        <v>50</v>
      </c>
      <c r="K459" s="12">
        <v>0.22</v>
      </c>
      <c r="L459" s="14" t="str">
        <f t="shared" si="30"/>
        <v>20%+</v>
      </c>
      <c r="M459" s="13">
        <v>0.018</v>
      </c>
      <c r="N459" s="14"/>
      <c r="O459" s="9" t="s">
        <v>3143</v>
      </c>
      <c r="P459" s="9" t="s">
        <v>3146</v>
      </c>
      <c r="Q459" s="9" t="s">
        <v>3145</v>
      </c>
      <c r="R459" s="16" t="s">
        <v>3147</v>
      </c>
      <c r="S459" s="9" t="s">
        <v>3148</v>
      </c>
      <c r="T459" s="9" t="s">
        <v>3149</v>
      </c>
      <c r="U459" s="9" t="s">
        <v>105</v>
      </c>
      <c r="V459" s="17">
        <v>6.052362851E9</v>
      </c>
      <c r="W459" s="9" t="s">
        <v>2160</v>
      </c>
      <c r="X459" s="9" t="s">
        <v>56</v>
      </c>
      <c r="Y459" s="18" t="s">
        <v>57</v>
      </c>
      <c r="Z459" s="18" t="s">
        <v>58</v>
      </c>
      <c r="AA459" s="18" t="s">
        <v>57</v>
      </c>
      <c r="AB459" s="18" t="s">
        <v>57</v>
      </c>
      <c r="AC459" s="18" t="s">
        <v>57</v>
      </c>
      <c r="AD459" s="18" t="s">
        <v>58</v>
      </c>
      <c r="AE459" s="35" t="s">
        <v>3150</v>
      </c>
      <c r="AF459" s="14"/>
      <c r="AG459" s="14"/>
      <c r="AH459" s="14"/>
      <c r="AI459" s="20"/>
      <c r="AJ459" s="14"/>
      <c r="AK459" s="14"/>
      <c r="AL459" s="14"/>
      <c r="AM459" s="14"/>
      <c r="AN459" s="14"/>
      <c r="AO459" s="14"/>
      <c r="AP459" s="14"/>
      <c r="AQ459" s="14"/>
      <c r="AR459" s="14"/>
    </row>
    <row r="460" ht="22.5" customHeight="1">
      <c r="A460" s="74">
        <v>46083.0</v>
      </c>
      <c r="B460" s="69" t="s">
        <v>3151</v>
      </c>
      <c r="C460" s="8" t="s">
        <v>144</v>
      </c>
      <c r="D460" s="9" t="s">
        <v>258</v>
      </c>
      <c r="E460" s="9" t="s">
        <v>3152</v>
      </c>
      <c r="F460" s="9" t="s">
        <v>3153</v>
      </c>
      <c r="G460" s="10">
        <v>500075.0</v>
      </c>
      <c r="H460" s="15" t="s">
        <v>1424</v>
      </c>
      <c r="I460" s="11" t="str">
        <f>VLOOKUP(H460,Mapping!D:E,2,0)</f>
        <v>gachibowli</v>
      </c>
      <c r="J460" s="61" t="s">
        <v>148</v>
      </c>
      <c r="K460" s="12">
        <v>0.17</v>
      </c>
      <c r="L460" s="14" t="str">
        <f t="shared" si="30"/>
        <v>&lt;20%</v>
      </c>
      <c r="M460" s="13">
        <v>0.018</v>
      </c>
      <c r="N460" s="14"/>
      <c r="O460" s="107" t="s">
        <v>3154</v>
      </c>
      <c r="P460" s="9" t="s">
        <v>126</v>
      </c>
      <c r="Q460" s="9" t="s">
        <v>3155</v>
      </c>
      <c r="R460" s="16" t="s">
        <v>3156</v>
      </c>
      <c r="S460" s="9" t="s">
        <v>3157</v>
      </c>
      <c r="T460" s="9" t="s">
        <v>3153</v>
      </c>
      <c r="U460" s="9" t="s">
        <v>2447</v>
      </c>
      <c r="V460" s="17">
        <v>5.0200113957548E13</v>
      </c>
      <c r="W460" s="9" t="s">
        <v>3158</v>
      </c>
      <c r="X460" s="9" t="s">
        <v>80</v>
      </c>
      <c r="Y460" s="18" t="s">
        <v>57</v>
      </c>
      <c r="Z460" s="18" t="s">
        <v>57</v>
      </c>
      <c r="AA460" s="18" t="s">
        <v>57</v>
      </c>
      <c r="AB460" s="18" t="s">
        <v>57</v>
      </c>
      <c r="AC460" s="14"/>
      <c r="AD460" s="14"/>
      <c r="AE460" s="14"/>
      <c r="AF460" s="14"/>
      <c r="AH460" s="14"/>
      <c r="AI460" s="20"/>
      <c r="AJ460" s="14"/>
      <c r="AK460" s="14"/>
      <c r="AL460" s="14"/>
      <c r="AM460" s="14"/>
      <c r="AN460" s="14"/>
      <c r="AO460" s="14"/>
      <c r="AP460" s="14"/>
      <c r="AQ460" s="14"/>
      <c r="AR460" s="14"/>
    </row>
    <row r="461" ht="22.5" customHeight="1">
      <c r="A461" s="74">
        <v>46083.0</v>
      </c>
      <c r="B461" s="69" t="s">
        <v>3159</v>
      </c>
      <c r="C461" s="8" t="s">
        <v>241</v>
      </c>
      <c r="D461" s="9" t="s">
        <v>258</v>
      </c>
      <c r="E461" s="9" t="s">
        <v>68</v>
      </c>
      <c r="F461" s="9" t="s">
        <v>2697</v>
      </c>
      <c r="G461" s="10" t="s">
        <v>68</v>
      </c>
      <c r="H461" s="10" t="s">
        <v>68</v>
      </c>
      <c r="I461" s="11" t="str">
        <f>VLOOKUP(H461,Mapping!D:E,2,0)</f>
        <v>not mentioned</v>
      </c>
      <c r="J461" s="10" t="s">
        <v>68</v>
      </c>
      <c r="K461" s="12">
        <v>0.22</v>
      </c>
      <c r="L461" s="14" t="str">
        <f t="shared" si="30"/>
        <v>20%+</v>
      </c>
      <c r="M461" s="13">
        <v>0.018</v>
      </c>
      <c r="N461" s="14"/>
      <c r="O461" s="43" t="s">
        <v>3160</v>
      </c>
      <c r="P461" s="9" t="s">
        <v>68</v>
      </c>
      <c r="Q461" s="9" t="s">
        <v>2697</v>
      </c>
      <c r="R461" s="16" t="s">
        <v>3161</v>
      </c>
      <c r="S461" s="9" t="s">
        <v>68</v>
      </c>
      <c r="T461" s="9" t="s">
        <v>68</v>
      </c>
      <c r="U461" s="9" t="s">
        <v>68</v>
      </c>
      <c r="V461" s="9" t="s">
        <v>68</v>
      </c>
      <c r="W461" s="9" t="s">
        <v>68</v>
      </c>
      <c r="X461" s="9" t="s">
        <v>68</v>
      </c>
      <c r="Y461" s="18" t="s">
        <v>57</v>
      </c>
      <c r="Z461" s="18" t="s">
        <v>57</v>
      </c>
      <c r="AA461" s="18" t="s">
        <v>57</v>
      </c>
      <c r="AB461" s="18" t="s">
        <v>57</v>
      </c>
      <c r="AC461" s="18" t="s">
        <v>57</v>
      </c>
      <c r="AD461" s="18" t="s">
        <v>69</v>
      </c>
      <c r="AE461" s="14"/>
      <c r="AF461" s="14"/>
      <c r="AG461" s="14"/>
      <c r="AH461" s="14"/>
      <c r="AI461" s="20"/>
      <c r="AJ461" s="14"/>
      <c r="AK461" s="14"/>
      <c r="AL461" s="14"/>
      <c r="AM461" s="14"/>
      <c r="AN461" s="14"/>
      <c r="AO461" s="14"/>
      <c r="AP461" s="14"/>
      <c r="AQ461" s="14"/>
      <c r="AR461" s="14"/>
    </row>
    <row r="462" ht="22.5" customHeight="1">
      <c r="A462" s="74">
        <v>46083.0</v>
      </c>
      <c r="B462" s="69" t="s">
        <v>3162</v>
      </c>
      <c r="C462" s="8" t="s">
        <v>1919</v>
      </c>
      <c r="D462" s="9" t="s">
        <v>258</v>
      </c>
      <c r="E462" s="9" t="s">
        <v>3163</v>
      </c>
      <c r="F462" s="9" t="s">
        <v>3164</v>
      </c>
      <c r="G462" s="10">
        <v>500082.0</v>
      </c>
      <c r="H462" s="9" t="s">
        <v>690</v>
      </c>
      <c r="I462" s="11" t="str">
        <f>VLOOKUP(H462,Mapping!D:E,2,0)</f>
        <v>panjagutta</v>
      </c>
      <c r="J462" s="61" t="s">
        <v>161</v>
      </c>
      <c r="K462" s="12">
        <v>0.2</v>
      </c>
      <c r="L462" s="14" t="str">
        <f t="shared" si="30"/>
        <v>20%+</v>
      </c>
      <c r="M462" s="13">
        <v>0.018</v>
      </c>
      <c r="N462" s="9">
        <v>0.0</v>
      </c>
      <c r="O462" s="9" t="s">
        <v>3165</v>
      </c>
      <c r="P462" s="9" t="s">
        <v>3163</v>
      </c>
      <c r="Q462" s="9" t="s">
        <v>68</v>
      </c>
      <c r="R462" s="9" t="s">
        <v>3166</v>
      </c>
      <c r="S462" s="9" t="s">
        <v>68</v>
      </c>
      <c r="T462" s="9" t="s">
        <v>3165</v>
      </c>
      <c r="U462" s="9" t="s">
        <v>68</v>
      </c>
      <c r="V462" s="9" t="s">
        <v>68</v>
      </c>
      <c r="W462" s="9" t="s">
        <v>68</v>
      </c>
      <c r="X462" s="9" t="s">
        <v>68</v>
      </c>
      <c r="Y462" s="18" t="s">
        <v>57</v>
      </c>
      <c r="Z462" s="18" t="s">
        <v>58</v>
      </c>
      <c r="AA462" s="18" t="s">
        <v>58</v>
      </c>
      <c r="AB462" s="18" t="s">
        <v>58</v>
      </c>
      <c r="AC462" s="18" t="s">
        <v>58</v>
      </c>
      <c r="AD462" s="18" t="s">
        <v>58</v>
      </c>
      <c r="AE462" s="35" t="s">
        <v>3167</v>
      </c>
      <c r="AF462" s="9" t="s">
        <v>3168</v>
      </c>
      <c r="AG462" s="9" t="s">
        <v>1507</v>
      </c>
      <c r="AH462" s="14"/>
      <c r="AI462" s="8" t="s">
        <v>71</v>
      </c>
      <c r="AJ462" s="14"/>
      <c r="AK462" s="14"/>
      <c r="AL462" s="14"/>
      <c r="AM462" s="14"/>
      <c r="AN462" s="14"/>
      <c r="AO462" s="14"/>
      <c r="AP462" s="14"/>
      <c r="AQ462" s="14"/>
      <c r="AR462" s="14"/>
    </row>
    <row r="463" ht="22.5" customHeight="1">
      <c r="A463" s="74">
        <v>46083.0</v>
      </c>
      <c r="B463" s="69" t="s">
        <v>3169</v>
      </c>
      <c r="C463" s="8" t="s">
        <v>73</v>
      </c>
      <c r="D463" s="9" t="s">
        <v>258</v>
      </c>
      <c r="E463" s="9" t="s">
        <v>3170</v>
      </c>
      <c r="F463" s="9" t="s">
        <v>3171</v>
      </c>
      <c r="G463" s="10">
        <v>500072.0</v>
      </c>
      <c r="H463" s="9" t="s">
        <v>610</v>
      </c>
      <c r="I463" s="11" t="str">
        <f>VLOOKUP(H463,Mapping!D:E,2,0)</f>
        <v>kukatpally</v>
      </c>
      <c r="J463" s="61" t="s">
        <v>390</v>
      </c>
      <c r="K463" s="12">
        <v>0.22</v>
      </c>
      <c r="L463" s="14" t="str">
        <f t="shared" si="30"/>
        <v>20%+</v>
      </c>
      <c r="M463" s="13">
        <v>0.018</v>
      </c>
      <c r="N463" s="14"/>
      <c r="O463" s="108" t="s">
        <v>3169</v>
      </c>
      <c r="P463" s="9" t="s">
        <v>610</v>
      </c>
      <c r="Q463" s="9" t="s">
        <v>3171</v>
      </c>
      <c r="R463" s="16" t="s">
        <v>3172</v>
      </c>
      <c r="S463" s="9" t="s">
        <v>3173</v>
      </c>
      <c r="T463" s="9" t="s">
        <v>3174</v>
      </c>
      <c r="U463" s="9" t="s">
        <v>3175</v>
      </c>
      <c r="V463" s="17">
        <v>3.6202620655E10</v>
      </c>
      <c r="W463" s="9" t="s">
        <v>3176</v>
      </c>
      <c r="X463" s="9" t="s">
        <v>56</v>
      </c>
      <c r="Y463" s="18" t="s">
        <v>57</v>
      </c>
      <c r="Z463" s="18" t="s">
        <v>58</v>
      </c>
      <c r="AA463" s="18" t="s">
        <v>57</v>
      </c>
      <c r="AB463" s="18" t="s">
        <v>58</v>
      </c>
      <c r="AC463" s="18" t="s">
        <v>57</v>
      </c>
      <c r="AD463" s="18" t="s">
        <v>58</v>
      </c>
      <c r="AE463" s="33" t="s">
        <v>3177</v>
      </c>
      <c r="AF463" s="14"/>
      <c r="AH463" s="14"/>
      <c r="AI463" s="20"/>
      <c r="AJ463" s="14"/>
      <c r="AK463" s="14"/>
      <c r="AL463" s="14"/>
      <c r="AM463" s="14"/>
      <c r="AN463" s="14"/>
      <c r="AO463" s="14"/>
      <c r="AP463" s="14"/>
      <c r="AQ463" s="14"/>
      <c r="AR463" s="14"/>
    </row>
    <row r="464" ht="22.5" customHeight="1">
      <c r="A464" s="74">
        <v>46083.0</v>
      </c>
      <c r="B464" s="69" t="s">
        <v>3178</v>
      </c>
      <c r="C464" s="8" t="s">
        <v>241</v>
      </c>
      <c r="D464" s="9" t="s">
        <v>2112</v>
      </c>
      <c r="E464" s="39" t="s">
        <v>3179</v>
      </c>
      <c r="F464" s="9" t="s">
        <v>3180</v>
      </c>
      <c r="G464" s="10">
        <v>500089.0</v>
      </c>
      <c r="H464" s="9" t="s">
        <v>1038</v>
      </c>
      <c r="I464" s="11" t="str">
        <f>VLOOKUP(H464,Mapping!D:E,2,0)</f>
        <v>manikonda</v>
      </c>
      <c r="J464" s="61" t="s">
        <v>303</v>
      </c>
      <c r="K464" s="12">
        <v>0.22</v>
      </c>
      <c r="L464" s="14" t="str">
        <f t="shared" si="30"/>
        <v>20%+</v>
      </c>
      <c r="M464" s="13">
        <v>0.018</v>
      </c>
      <c r="N464" s="14"/>
      <c r="O464" s="138" t="s">
        <v>3178</v>
      </c>
      <c r="P464" s="39" t="s">
        <v>3181</v>
      </c>
      <c r="Q464" s="9" t="s">
        <v>3182</v>
      </c>
      <c r="R464" s="16" t="s">
        <v>3183</v>
      </c>
      <c r="S464" s="9" t="s">
        <v>3184</v>
      </c>
      <c r="T464" s="9" t="s">
        <v>3185</v>
      </c>
      <c r="U464" s="15" t="s">
        <v>2525</v>
      </c>
      <c r="V464" s="17">
        <v>9.93111800000007E14</v>
      </c>
      <c r="W464" s="17" t="s">
        <v>3186</v>
      </c>
      <c r="X464" s="9" t="s">
        <v>80</v>
      </c>
      <c r="Y464" s="18" t="s">
        <v>57</v>
      </c>
      <c r="Z464" s="18" t="s">
        <v>69</v>
      </c>
      <c r="AA464" s="18" t="s">
        <v>57</v>
      </c>
      <c r="AB464" s="18" t="s">
        <v>69</v>
      </c>
      <c r="AC464" s="18" t="s">
        <v>58</v>
      </c>
      <c r="AD464" s="18" t="s">
        <v>69</v>
      </c>
      <c r="AE464" s="39" t="s">
        <v>3187</v>
      </c>
      <c r="AF464" s="14"/>
      <c r="AG464" s="14"/>
      <c r="AH464" s="9" t="s">
        <v>3188</v>
      </c>
      <c r="AI464" s="20"/>
      <c r="AJ464" s="14"/>
      <c r="AK464" s="14"/>
      <c r="AL464" s="14"/>
      <c r="AM464" s="14"/>
      <c r="AN464" s="14"/>
      <c r="AO464" s="14"/>
      <c r="AP464" s="14"/>
      <c r="AQ464" s="14"/>
      <c r="AR464" s="14"/>
    </row>
    <row r="465" ht="22.5" customHeight="1">
      <c r="A465" s="74">
        <v>46083.0</v>
      </c>
      <c r="B465" s="69" t="s">
        <v>3189</v>
      </c>
      <c r="C465" s="8" t="s">
        <v>1919</v>
      </c>
      <c r="D465" s="9" t="s">
        <v>68</v>
      </c>
      <c r="E465" s="39" t="s">
        <v>3190</v>
      </c>
      <c r="F465" s="9" t="s">
        <v>3127</v>
      </c>
      <c r="G465" s="10">
        <v>500004.0</v>
      </c>
      <c r="H465" s="9" t="s">
        <v>421</v>
      </c>
      <c r="I465" s="11" t="str">
        <f>VLOOKUP(H465,Mapping!D:E,2,0)</f>
        <v>Khairathabad</v>
      </c>
      <c r="J465" s="61" t="s">
        <v>50</v>
      </c>
      <c r="K465" s="12">
        <v>0.2</v>
      </c>
      <c r="L465" s="14" t="str">
        <f t="shared" si="30"/>
        <v>20%+</v>
      </c>
      <c r="M465" s="13">
        <v>0.018</v>
      </c>
      <c r="N465" s="14"/>
      <c r="O465" s="9" t="s">
        <v>3127</v>
      </c>
      <c r="P465" s="39" t="s">
        <v>3191</v>
      </c>
      <c r="Q465" s="9" t="s">
        <v>3127</v>
      </c>
      <c r="R465" s="16" t="s">
        <v>3128</v>
      </c>
      <c r="S465" s="9" t="s">
        <v>3129</v>
      </c>
      <c r="T465" s="9" t="s">
        <v>3127</v>
      </c>
      <c r="U465" s="9" t="s">
        <v>119</v>
      </c>
      <c r="V465" s="17">
        <v>9.21010003523141E14</v>
      </c>
      <c r="W465" s="9" t="s">
        <v>3130</v>
      </c>
      <c r="X465" s="9" t="s">
        <v>56</v>
      </c>
      <c r="Y465" s="18" t="s">
        <v>57</v>
      </c>
      <c r="Z465" s="18" t="s">
        <v>58</v>
      </c>
      <c r="AA465" s="18" t="s">
        <v>57</v>
      </c>
      <c r="AB465" s="18" t="s">
        <v>57</v>
      </c>
      <c r="AC465" s="18" t="s">
        <v>57</v>
      </c>
      <c r="AD465" s="18" t="s">
        <v>58</v>
      </c>
      <c r="AE465" s="35" t="s">
        <v>3192</v>
      </c>
      <c r="AF465" s="9" t="s">
        <v>3193</v>
      </c>
      <c r="AG465" s="9" t="s">
        <v>1507</v>
      </c>
      <c r="AH465" s="14"/>
      <c r="AI465" s="20"/>
      <c r="AJ465" s="14"/>
      <c r="AK465" s="14"/>
      <c r="AL465" s="14"/>
      <c r="AM465" s="14"/>
      <c r="AN465" s="14"/>
      <c r="AO465" s="14"/>
      <c r="AP465" s="14"/>
      <c r="AQ465" s="14"/>
      <c r="AR465" s="14"/>
    </row>
    <row r="466" ht="22.5" customHeight="1">
      <c r="A466" s="74">
        <v>46083.0</v>
      </c>
      <c r="B466" s="69" t="s">
        <v>3194</v>
      </c>
      <c r="C466" s="8" t="s">
        <v>241</v>
      </c>
      <c r="D466" s="9" t="s">
        <v>258</v>
      </c>
      <c r="E466" s="9" t="s">
        <v>3195</v>
      </c>
      <c r="F466" s="9" t="s">
        <v>3196</v>
      </c>
      <c r="G466" s="10">
        <v>500089.0</v>
      </c>
      <c r="H466" s="9" t="s">
        <v>1038</v>
      </c>
      <c r="I466" s="11" t="str">
        <f>VLOOKUP(H466,Mapping!D:E,2,0)</f>
        <v>manikonda</v>
      </c>
      <c r="J466" s="9" t="s">
        <v>303</v>
      </c>
      <c r="K466" s="12">
        <v>0.22</v>
      </c>
      <c r="L466" s="14" t="str">
        <f t="shared" si="30"/>
        <v>20%+</v>
      </c>
      <c r="M466" s="13">
        <v>0.018</v>
      </c>
      <c r="N466" s="14"/>
      <c r="O466" s="133" t="s">
        <v>3194</v>
      </c>
      <c r="P466" s="15" t="s">
        <v>3197</v>
      </c>
      <c r="Q466" s="9" t="s">
        <v>3198</v>
      </c>
      <c r="R466" s="60" t="s">
        <v>3199</v>
      </c>
      <c r="S466" s="16" t="s">
        <v>3200</v>
      </c>
      <c r="T466" s="9" t="s">
        <v>3201</v>
      </c>
      <c r="U466" s="9" t="s">
        <v>1129</v>
      </c>
      <c r="V466" s="17">
        <v>2.0357949431E10</v>
      </c>
      <c r="W466" s="9" t="s">
        <v>506</v>
      </c>
      <c r="X466" s="9" t="s">
        <v>56</v>
      </c>
      <c r="Y466" s="18" t="s">
        <v>57</v>
      </c>
      <c r="Z466" s="18" t="s">
        <v>69</v>
      </c>
      <c r="AA466" s="18" t="s">
        <v>57</v>
      </c>
      <c r="AB466" s="18" t="s">
        <v>57</v>
      </c>
      <c r="AC466" s="18" t="s">
        <v>57</v>
      </c>
      <c r="AD466" s="18" t="s">
        <v>69</v>
      </c>
      <c r="AE466" s="39" t="s">
        <v>3202</v>
      </c>
      <c r="AF466" s="14"/>
      <c r="AG466" s="14"/>
      <c r="AH466" s="9" t="s">
        <v>3203</v>
      </c>
      <c r="AI466" s="20"/>
      <c r="AJ466" s="14"/>
      <c r="AK466" s="14"/>
      <c r="AL466" s="14"/>
      <c r="AM466" s="14"/>
      <c r="AN466" s="14"/>
      <c r="AO466" s="14"/>
      <c r="AP466" s="14"/>
      <c r="AQ466" s="14"/>
      <c r="AR466" s="14"/>
    </row>
    <row r="467" ht="22.5" customHeight="1">
      <c r="A467" s="74">
        <v>46083.0</v>
      </c>
      <c r="B467" s="121" t="s">
        <v>3204</v>
      </c>
      <c r="C467" s="8" t="s">
        <v>73</v>
      </c>
      <c r="D467" s="9" t="s">
        <v>258</v>
      </c>
      <c r="E467" s="9" t="s">
        <v>3205</v>
      </c>
      <c r="F467" s="9" t="s">
        <v>3206</v>
      </c>
      <c r="G467" s="10">
        <v>500072.0</v>
      </c>
      <c r="H467" s="9" t="s">
        <v>610</v>
      </c>
      <c r="I467" s="11" t="str">
        <f>VLOOKUP(H467,Mapping!D:E,2,0)</f>
        <v>kukatpally</v>
      </c>
      <c r="J467" s="61" t="s">
        <v>390</v>
      </c>
      <c r="K467" s="12">
        <v>0.22</v>
      </c>
      <c r="L467" s="14" t="str">
        <f t="shared" si="30"/>
        <v>20%+</v>
      </c>
      <c r="M467" s="13">
        <v>0.018</v>
      </c>
      <c r="N467" s="14"/>
      <c r="O467" s="9" t="s">
        <v>68</v>
      </c>
      <c r="P467" s="9" t="s">
        <v>3207</v>
      </c>
      <c r="Q467" s="9" t="s">
        <v>3206</v>
      </c>
      <c r="R467" s="16" t="s">
        <v>3208</v>
      </c>
      <c r="S467" s="9" t="s">
        <v>3209</v>
      </c>
      <c r="T467" s="9" t="s">
        <v>68</v>
      </c>
      <c r="U467" s="9" t="s">
        <v>68</v>
      </c>
      <c r="V467" s="9" t="s">
        <v>68</v>
      </c>
      <c r="W467" s="9" t="s">
        <v>68</v>
      </c>
      <c r="X467" s="9" t="s">
        <v>68</v>
      </c>
      <c r="Y467" s="18" t="s">
        <v>58</v>
      </c>
      <c r="Z467" s="18" t="s">
        <v>58</v>
      </c>
      <c r="AA467" s="18" t="s">
        <v>58</v>
      </c>
      <c r="AB467" s="18" t="s">
        <v>58</v>
      </c>
      <c r="AC467" s="18" t="s">
        <v>58</v>
      </c>
      <c r="AD467" s="18" t="s">
        <v>58</v>
      </c>
      <c r="AE467" s="35" t="s">
        <v>3210</v>
      </c>
      <c r="AF467" s="14"/>
      <c r="AG467" s="14"/>
      <c r="AH467" s="14"/>
      <c r="AI467" s="8" t="s">
        <v>71</v>
      </c>
      <c r="AJ467" s="14"/>
      <c r="AK467" s="14"/>
      <c r="AL467" s="14"/>
      <c r="AM467" s="14"/>
      <c r="AN467" s="14"/>
      <c r="AO467" s="14"/>
      <c r="AP467" s="14"/>
      <c r="AQ467" s="14"/>
      <c r="AR467" s="14"/>
    </row>
    <row r="468" ht="22.5" customHeight="1">
      <c r="A468" s="74">
        <v>46083.0</v>
      </c>
      <c r="B468" s="97" t="s">
        <v>3204</v>
      </c>
      <c r="C468" s="8" t="s">
        <v>73</v>
      </c>
      <c r="D468" s="9" t="s">
        <v>258</v>
      </c>
      <c r="E468" s="9" t="s">
        <v>3205</v>
      </c>
      <c r="F468" s="9" t="s">
        <v>957</v>
      </c>
      <c r="G468" s="10">
        <v>500072.0</v>
      </c>
      <c r="H468" s="9" t="s">
        <v>610</v>
      </c>
      <c r="I468" s="11" t="str">
        <f>VLOOKUP(H468,Mapping!D:E,2,0)</f>
        <v>kukatpally</v>
      </c>
      <c r="J468" s="61" t="s">
        <v>390</v>
      </c>
      <c r="K468" s="12">
        <v>0.22</v>
      </c>
      <c r="L468" s="14" t="str">
        <f t="shared" si="30"/>
        <v>20%+</v>
      </c>
      <c r="M468" s="13">
        <v>0.018</v>
      </c>
      <c r="N468" s="14"/>
      <c r="O468" s="9" t="s">
        <v>68</v>
      </c>
      <c r="P468" s="9" t="s">
        <v>3207</v>
      </c>
      <c r="Q468" s="9" t="s">
        <v>3211</v>
      </c>
      <c r="R468" s="16" t="s">
        <v>3208</v>
      </c>
      <c r="S468" s="9" t="s">
        <v>3209</v>
      </c>
      <c r="T468" s="9" t="s">
        <v>68</v>
      </c>
      <c r="U468" s="9" t="s">
        <v>68</v>
      </c>
      <c r="V468" s="9" t="s">
        <v>68</v>
      </c>
      <c r="W468" s="9" t="s">
        <v>68</v>
      </c>
      <c r="X468" s="9" t="s">
        <v>68</v>
      </c>
      <c r="Y468" s="18" t="s">
        <v>58</v>
      </c>
      <c r="Z468" s="18" t="s">
        <v>58</v>
      </c>
      <c r="AA468" s="18" t="s">
        <v>58</v>
      </c>
      <c r="AB468" s="18" t="s">
        <v>58</v>
      </c>
      <c r="AC468" s="18" t="s">
        <v>58</v>
      </c>
      <c r="AD468" s="18" t="s">
        <v>58</v>
      </c>
      <c r="AE468" s="35" t="s">
        <v>3210</v>
      </c>
      <c r="AF468" s="14"/>
      <c r="AG468" s="14"/>
      <c r="AH468" s="14"/>
      <c r="AI468" s="8" t="s">
        <v>71</v>
      </c>
      <c r="AJ468" s="14"/>
      <c r="AK468" s="14"/>
      <c r="AL468" s="14"/>
      <c r="AM468" s="14"/>
      <c r="AN468" s="14"/>
      <c r="AO468" s="14"/>
      <c r="AP468" s="14"/>
      <c r="AQ468" s="14"/>
      <c r="AR468" s="14"/>
    </row>
    <row r="469" ht="22.5" customHeight="1">
      <c r="A469" s="74">
        <v>46083.0</v>
      </c>
      <c r="B469" s="97" t="s">
        <v>3204</v>
      </c>
      <c r="C469" s="8" t="s">
        <v>73</v>
      </c>
      <c r="D469" s="9" t="s">
        <v>258</v>
      </c>
      <c r="E469" s="9" t="s">
        <v>3205</v>
      </c>
      <c r="F469" s="9" t="s">
        <v>957</v>
      </c>
      <c r="G469" s="10">
        <v>500072.0</v>
      </c>
      <c r="H469" s="9" t="s">
        <v>610</v>
      </c>
      <c r="I469" s="11" t="str">
        <f>VLOOKUP(H469,Mapping!D:E,2,0)</f>
        <v>kukatpally</v>
      </c>
      <c r="J469" s="61" t="s">
        <v>390</v>
      </c>
      <c r="K469" s="12">
        <v>0.22</v>
      </c>
      <c r="L469" s="14" t="str">
        <f t="shared" si="30"/>
        <v>20%+</v>
      </c>
      <c r="M469" s="13">
        <v>0.018</v>
      </c>
      <c r="N469" s="14"/>
      <c r="O469" s="9" t="s">
        <v>68</v>
      </c>
      <c r="P469" s="9" t="s">
        <v>3207</v>
      </c>
      <c r="Q469" s="9" t="s">
        <v>3211</v>
      </c>
      <c r="R469" s="16" t="s">
        <v>3208</v>
      </c>
      <c r="S469" s="9" t="s">
        <v>3209</v>
      </c>
      <c r="T469" s="9" t="s">
        <v>68</v>
      </c>
      <c r="U469" s="9" t="s">
        <v>68</v>
      </c>
      <c r="V469" s="17" t="s">
        <v>68</v>
      </c>
      <c r="W469" s="9" t="s">
        <v>68</v>
      </c>
      <c r="X469" s="9" t="s">
        <v>68</v>
      </c>
      <c r="Y469" s="18" t="s">
        <v>58</v>
      </c>
      <c r="Z469" s="18" t="s">
        <v>58</v>
      </c>
      <c r="AA469" s="18" t="s">
        <v>58</v>
      </c>
      <c r="AB469" s="18" t="s">
        <v>58</v>
      </c>
      <c r="AC469" s="18" t="s">
        <v>58</v>
      </c>
      <c r="AD469" s="18" t="s">
        <v>58</v>
      </c>
      <c r="AE469" s="35" t="s">
        <v>3210</v>
      </c>
      <c r="AF469" s="14"/>
      <c r="AG469" s="14"/>
      <c r="AH469" s="14"/>
      <c r="AI469" s="8" t="s">
        <v>71</v>
      </c>
      <c r="AJ469" s="14"/>
      <c r="AK469" s="14"/>
      <c r="AL469" s="14"/>
      <c r="AM469" s="14"/>
      <c r="AN469" s="14"/>
      <c r="AO469" s="14"/>
      <c r="AP469" s="14"/>
      <c r="AQ469" s="14"/>
      <c r="AR469" s="14"/>
    </row>
    <row r="470" ht="22.5" customHeight="1">
      <c r="A470" s="74">
        <v>46083.0</v>
      </c>
      <c r="B470" s="97" t="s">
        <v>3212</v>
      </c>
      <c r="C470" s="8" t="s">
        <v>60</v>
      </c>
      <c r="D470" s="9" t="s">
        <v>258</v>
      </c>
      <c r="E470" s="9" t="s">
        <v>68</v>
      </c>
      <c r="F470" s="9" t="s">
        <v>68</v>
      </c>
      <c r="G470" s="9" t="s">
        <v>68</v>
      </c>
      <c r="H470" s="9" t="s">
        <v>68</v>
      </c>
      <c r="I470" s="11" t="str">
        <f>VLOOKUP(H470,Mapping!D:E,2,0)</f>
        <v>not mentioned</v>
      </c>
      <c r="J470" s="9" t="s">
        <v>68</v>
      </c>
      <c r="K470" s="12">
        <v>0.22</v>
      </c>
      <c r="L470" s="14" t="str">
        <f t="shared" si="30"/>
        <v>20%+</v>
      </c>
      <c r="M470" s="13">
        <v>0.018</v>
      </c>
      <c r="N470" s="14"/>
      <c r="O470" s="9" t="s">
        <v>68</v>
      </c>
      <c r="P470" s="9" t="s">
        <v>68</v>
      </c>
      <c r="Q470" s="9" t="s">
        <v>68</v>
      </c>
      <c r="R470" s="9" t="s">
        <v>68</v>
      </c>
      <c r="S470" s="9" t="s">
        <v>68</v>
      </c>
      <c r="T470" s="9" t="s">
        <v>68</v>
      </c>
      <c r="U470" s="9" t="s">
        <v>68</v>
      </c>
      <c r="V470" s="9" t="s">
        <v>68</v>
      </c>
      <c r="W470" s="9" t="s">
        <v>68</v>
      </c>
      <c r="X470" s="9" t="s">
        <v>68</v>
      </c>
      <c r="Y470" s="91" t="s">
        <v>58</v>
      </c>
      <c r="Z470" s="92" t="s">
        <v>69</v>
      </c>
      <c r="AA470" s="91" t="s">
        <v>57</v>
      </c>
      <c r="AB470" s="92" t="s">
        <v>58</v>
      </c>
      <c r="AC470" s="92" t="s">
        <v>58</v>
      </c>
      <c r="AD470" s="92" t="s">
        <v>69</v>
      </c>
      <c r="AE470" s="196" t="s">
        <v>3213</v>
      </c>
      <c r="AF470" s="14"/>
      <c r="AG470" s="14"/>
      <c r="AH470" s="14"/>
      <c r="AI470" s="8" t="s">
        <v>71</v>
      </c>
      <c r="AJ470" s="14"/>
      <c r="AK470" s="14"/>
      <c r="AL470" s="14"/>
      <c r="AM470" s="14"/>
      <c r="AN470" s="14"/>
      <c r="AO470" s="14"/>
      <c r="AP470" s="14"/>
      <c r="AQ470" s="14"/>
      <c r="AR470" s="14"/>
    </row>
    <row r="471" ht="22.5" customHeight="1">
      <c r="A471" s="74">
        <v>46083.0</v>
      </c>
      <c r="B471" s="69" t="s">
        <v>2637</v>
      </c>
      <c r="C471" s="8" t="s">
        <v>96</v>
      </c>
      <c r="D471" s="9" t="s">
        <v>258</v>
      </c>
      <c r="E471" s="9" t="s">
        <v>3214</v>
      </c>
      <c r="F471" s="9" t="s">
        <v>3215</v>
      </c>
      <c r="G471" s="10">
        <v>500084.0</v>
      </c>
      <c r="H471" s="9" t="s">
        <v>1530</v>
      </c>
      <c r="I471" s="11" t="str">
        <f>VLOOKUP(H471,Mapping!D:E,2,0)</f>
        <v>hafeezpet</v>
      </c>
      <c r="J471" s="61" t="s">
        <v>390</v>
      </c>
      <c r="K471" s="12">
        <v>0.2</v>
      </c>
      <c r="L471" s="14" t="str">
        <f t="shared" si="30"/>
        <v>20%+</v>
      </c>
      <c r="M471" s="13">
        <v>0.018</v>
      </c>
      <c r="N471" s="9"/>
      <c r="O471" s="131" t="s">
        <v>2637</v>
      </c>
      <c r="P471" s="15" t="s">
        <v>3214</v>
      </c>
      <c r="Q471" s="9" t="s">
        <v>3215</v>
      </c>
      <c r="R471" s="16" t="s">
        <v>3216</v>
      </c>
      <c r="S471" s="9" t="s">
        <v>2642</v>
      </c>
      <c r="T471" s="15" t="s">
        <v>2637</v>
      </c>
      <c r="U471" s="9" t="s">
        <v>2381</v>
      </c>
      <c r="V471" s="17">
        <v>5.70205000053E11</v>
      </c>
      <c r="W471" s="9" t="s">
        <v>3217</v>
      </c>
      <c r="X471" s="9" t="s">
        <v>80</v>
      </c>
      <c r="Y471" s="18" t="s">
        <v>57</v>
      </c>
      <c r="Z471" s="18" t="s">
        <v>57</v>
      </c>
      <c r="AA471" s="18" t="s">
        <v>57</v>
      </c>
      <c r="AB471" s="18" t="s">
        <v>57</v>
      </c>
      <c r="AC471" s="18" t="s">
        <v>57</v>
      </c>
      <c r="AD471" s="18" t="s">
        <v>57</v>
      </c>
      <c r="AE471" s="35" t="s">
        <v>3218</v>
      </c>
      <c r="AF471" s="14"/>
      <c r="AG471" s="14"/>
      <c r="AH471" s="14"/>
      <c r="AI471" s="20"/>
      <c r="AJ471" s="14"/>
      <c r="AK471" s="14"/>
      <c r="AL471" s="14"/>
      <c r="AM471" s="14"/>
      <c r="AN471" s="14"/>
      <c r="AO471" s="14"/>
      <c r="AP471" s="14"/>
      <c r="AQ471" s="14"/>
      <c r="AR471" s="14"/>
    </row>
    <row r="472" ht="22.5" customHeight="1">
      <c r="A472" s="74">
        <v>46083.0</v>
      </c>
      <c r="B472" s="97" t="s">
        <v>1314</v>
      </c>
      <c r="C472" s="8" t="s">
        <v>241</v>
      </c>
      <c r="D472" s="9" t="s">
        <v>258</v>
      </c>
      <c r="E472" s="9" t="s">
        <v>3219</v>
      </c>
      <c r="F472" s="9" t="s">
        <v>3220</v>
      </c>
      <c r="G472" s="10">
        <v>500089.0</v>
      </c>
      <c r="H472" s="9" t="s">
        <v>1038</v>
      </c>
      <c r="I472" s="11" t="str">
        <f>VLOOKUP(H472,Mapping!D:E,2,0)</f>
        <v>manikonda</v>
      </c>
      <c r="J472" s="9" t="s">
        <v>303</v>
      </c>
      <c r="K472" s="12">
        <v>0.22</v>
      </c>
      <c r="L472" s="14" t="str">
        <f t="shared" si="30"/>
        <v>20%+</v>
      </c>
      <c r="M472" s="13">
        <v>0.018</v>
      </c>
      <c r="N472" s="14"/>
      <c r="O472" s="43" t="s">
        <v>1314</v>
      </c>
      <c r="P472" s="9" t="s">
        <v>3221</v>
      </c>
      <c r="Q472" s="9" t="s">
        <v>3220</v>
      </c>
      <c r="R472" s="16" t="s">
        <v>3222</v>
      </c>
      <c r="S472" s="9" t="s">
        <v>3223</v>
      </c>
      <c r="T472" s="9" t="s">
        <v>68</v>
      </c>
      <c r="U472" s="9" t="s">
        <v>68</v>
      </c>
      <c r="V472" s="9" t="s">
        <v>68</v>
      </c>
      <c r="W472" s="9" t="s">
        <v>68</v>
      </c>
      <c r="X472" s="9" t="s">
        <v>68</v>
      </c>
      <c r="Y472" s="18" t="s">
        <v>57</v>
      </c>
      <c r="Z472" s="18" t="s">
        <v>69</v>
      </c>
      <c r="AA472" s="18" t="s">
        <v>57</v>
      </c>
      <c r="AB472" s="18" t="s">
        <v>69</v>
      </c>
      <c r="AC472" s="18" t="s">
        <v>57</v>
      </c>
      <c r="AD472" s="18" t="s">
        <v>69</v>
      </c>
      <c r="AE472" s="39" t="s">
        <v>3224</v>
      </c>
      <c r="AF472" s="14"/>
      <c r="AG472" s="14"/>
      <c r="AH472" s="14"/>
      <c r="AI472" s="8" t="s">
        <v>71</v>
      </c>
      <c r="AJ472" s="14"/>
      <c r="AK472" s="14"/>
      <c r="AL472" s="14"/>
      <c r="AM472" s="14"/>
      <c r="AN472" s="14"/>
      <c r="AO472" s="14"/>
      <c r="AP472" s="14"/>
      <c r="AQ472" s="14"/>
      <c r="AR472" s="14"/>
    </row>
    <row r="473" ht="22.5" customHeight="1">
      <c r="A473" s="74">
        <v>46083.0</v>
      </c>
      <c r="B473" s="97" t="s">
        <v>3225</v>
      </c>
      <c r="C473" s="8" t="s">
        <v>1919</v>
      </c>
      <c r="D473" s="9" t="s">
        <v>258</v>
      </c>
      <c r="E473" s="9" t="s">
        <v>3226</v>
      </c>
      <c r="F473" s="9" t="s">
        <v>3227</v>
      </c>
      <c r="G473" s="10">
        <v>500086.0</v>
      </c>
      <c r="H473" s="9" t="s">
        <v>2154</v>
      </c>
      <c r="I473" s="11" t="str">
        <f>VLOOKUP(H473,Mapping!D:E,2,0)</f>
        <v>mehdipatnam</v>
      </c>
      <c r="J473" s="61" t="s">
        <v>50</v>
      </c>
      <c r="K473" s="12">
        <v>0.22</v>
      </c>
      <c r="L473" s="14" t="str">
        <f t="shared" si="30"/>
        <v>20%+</v>
      </c>
      <c r="M473" s="13">
        <v>0.018</v>
      </c>
      <c r="N473" s="14"/>
      <c r="O473" s="9" t="s">
        <v>3227</v>
      </c>
      <c r="P473" s="9" t="s">
        <v>3228</v>
      </c>
      <c r="Q473" s="9" t="s">
        <v>2427</v>
      </c>
      <c r="R473" s="16" t="s">
        <v>2428</v>
      </c>
      <c r="S473" s="9" t="s">
        <v>2429</v>
      </c>
      <c r="T473" s="9" t="s">
        <v>3225</v>
      </c>
      <c r="U473" s="9" t="s">
        <v>919</v>
      </c>
      <c r="V473" s="17">
        <v>1.97405500141E11</v>
      </c>
      <c r="W473" s="9" t="s">
        <v>2431</v>
      </c>
      <c r="X473" s="9" t="s">
        <v>80</v>
      </c>
      <c r="Y473" s="18" t="s">
        <v>57</v>
      </c>
      <c r="Z473" s="18" t="s">
        <v>57</v>
      </c>
      <c r="AA473" s="18" t="s">
        <v>57</v>
      </c>
      <c r="AB473" s="18" t="s">
        <v>57</v>
      </c>
      <c r="AC473" s="18" t="s">
        <v>57</v>
      </c>
      <c r="AD473" s="18" t="s">
        <v>58</v>
      </c>
      <c r="AE473" s="35" t="s">
        <v>2432</v>
      </c>
      <c r="AF473" s="9" t="s">
        <v>2433</v>
      </c>
      <c r="AG473" s="15" t="s">
        <v>2162</v>
      </c>
      <c r="AH473" s="14"/>
      <c r="AI473" s="20"/>
      <c r="AJ473" s="14"/>
      <c r="AK473" s="14"/>
      <c r="AL473" s="14"/>
      <c r="AM473" s="14"/>
      <c r="AN473" s="14"/>
      <c r="AO473" s="14"/>
      <c r="AP473" s="14"/>
      <c r="AQ473" s="14"/>
      <c r="AR473" s="14"/>
    </row>
    <row r="474" ht="22.5" customHeight="1">
      <c r="A474" s="74">
        <v>46083.0</v>
      </c>
      <c r="B474" s="97" t="s">
        <v>3229</v>
      </c>
      <c r="C474" s="8" t="s">
        <v>241</v>
      </c>
      <c r="D474" s="9" t="s">
        <v>68</v>
      </c>
      <c r="E474" s="39" t="s">
        <v>3230</v>
      </c>
      <c r="F474" s="9" t="s">
        <v>3231</v>
      </c>
      <c r="G474" s="10">
        <v>500016.0</v>
      </c>
      <c r="H474" s="9" t="s">
        <v>203</v>
      </c>
      <c r="I474" s="11" t="str">
        <f>VLOOKUP(H474,Mapping!D:E,2,0)</f>
        <v>panjagutta</v>
      </c>
      <c r="J474" s="61" t="s">
        <v>161</v>
      </c>
      <c r="K474" s="9" t="s">
        <v>68</v>
      </c>
      <c r="L474" s="14" t="str">
        <f t="shared" si="30"/>
        <v>20%+</v>
      </c>
      <c r="M474" s="13">
        <v>0.018</v>
      </c>
      <c r="N474" s="14"/>
      <c r="O474" s="15" t="s">
        <v>3232</v>
      </c>
      <c r="P474" s="39" t="s">
        <v>3233</v>
      </c>
      <c r="Q474" s="9" t="s">
        <v>1220</v>
      </c>
      <c r="R474" s="16" t="s">
        <v>3234</v>
      </c>
      <c r="S474" s="9" t="s">
        <v>3235</v>
      </c>
      <c r="T474" s="107" t="s">
        <v>3236</v>
      </c>
      <c r="U474" s="9" t="s">
        <v>1139</v>
      </c>
      <c r="V474" s="17">
        <v>9.11020038082062E14</v>
      </c>
      <c r="W474" s="9" t="s">
        <v>3237</v>
      </c>
      <c r="X474" s="9" t="s">
        <v>56</v>
      </c>
      <c r="Y474" s="18" t="s">
        <v>58</v>
      </c>
      <c r="Z474" s="18" t="s">
        <v>58</v>
      </c>
      <c r="AA474" s="18" t="s">
        <v>58</v>
      </c>
      <c r="AB474" s="18" t="s">
        <v>57</v>
      </c>
      <c r="AC474" s="18" t="s">
        <v>57</v>
      </c>
      <c r="AD474" s="18" t="s">
        <v>69</v>
      </c>
      <c r="AE474" s="39" t="s">
        <v>3238</v>
      </c>
      <c r="AF474" s="14"/>
      <c r="AG474" s="14"/>
      <c r="AH474" s="14"/>
      <c r="AI474" s="20"/>
      <c r="AJ474" s="14"/>
      <c r="AK474" s="14"/>
      <c r="AL474" s="14"/>
      <c r="AM474" s="14"/>
      <c r="AN474" s="14"/>
      <c r="AO474" s="14"/>
      <c r="AP474" s="14"/>
      <c r="AQ474" s="14"/>
      <c r="AR474" s="14"/>
    </row>
    <row r="475" ht="22.5" customHeight="1">
      <c r="A475" s="74">
        <v>46083.0</v>
      </c>
      <c r="B475" s="138" t="s">
        <v>3239</v>
      </c>
      <c r="C475" s="8" t="s">
        <v>186</v>
      </c>
      <c r="D475" s="9" t="s">
        <v>46</v>
      </c>
      <c r="E475" s="9" t="s">
        <v>3240</v>
      </c>
      <c r="F475" s="9" t="s">
        <v>68</v>
      </c>
      <c r="G475" s="10">
        <v>500073.0</v>
      </c>
      <c r="H475" s="9" t="s">
        <v>3061</v>
      </c>
      <c r="I475" s="15" t="s">
        <v>890</v>
      </c>
      <c r="J475" s="136" t="s">
        <v>161</v>
      </c>
      <c r="K475" s="12">
        <v>0.17</v>
      </c>
      <c r="L475" s="14" t="str">
        <f t="shared" si="30"/>
        <v>&lt;20%</v>
      </c>
      <c r="M475" s="14"/>
      <c r="N475" s="127">
        <v>0.02</v>
      </c>
      <c r="O475" s="9" t="s">
        <v>3239</v>
      </c>
      <c r="P475" s="9" t="s">
        <v>3241</v>
      </c>
      <c r="Q475" s="9" t="s">
        <v>3242</v>
      </c>
      <c r="R475" s="16" t="s">
        <v>3243</v>
      </c>
      <c r="S475" s="9" t="s">
        <v>3244</v>
      </c>
      <c r="T475" s="9" t="s">
        <v>3239</v>
      </c>
      <c r="U475" s="9" t="s">
        <v>2398</v>
      </c>
      <c r="V475" s="17">
        <v>9.18020062545006E14</v>
      </c>
      <c r="W475" s="9" t="s">
        <v>3245</v>
      </c>
      <c r="X475" s="9" t="s">
        <v>80</v>
      </c>
      <c r="Y475" s="18" t="s">
        <v>57</v>
      </c>
      <c r="Z475" s="18" t="s">
        <v>58</v>
      </c>
      <c r="AA475" s="18" t="s">
        <v>57</v>
      </c>
      <c r="AB475" s="18" t="s">
        <v>57</v>
      </c>
      <c r="AC475" s="18" t="s">
        <v>57</v>
      </c>
      <c r="AD475" s="18" t="s">
        <v>58</v>
      </c>
      <c r="AE475" s="40" t="s">
        <v>3239</v>
      </c>
      <c r="AF475" s="40" t="s">
        <v>3239</v>
      </c>
      <c r="AG475" s="14"/>
      <c r="AH475" s="14"/>
      <c r="AI475" s="20"/>
      <c r="AJ475" s="14"/>
      <c r="AK475" s="14"/>
      <c r="AL475" s="14"/>
      <c r="AM475" s="14"/>
      <c r="AN475" s="14"/>
      <c r="AO475" s="14"/>
      <c r="AP475" s="14"/>
      <c r="AQ475" s="14"/>
      <c r="AR475" s="14"/>
    </row>
    <row r="476" ht="22.5" customHeight="1">
      <c r="A476" s="76">
        <v>46084.0</v>
      </c>
      <c r="B476" s="97" t="s">
        <v>3246</v>
      </c>
      <c r="C476" s="198" t="s">
        <v>144</v>
      </c>
      <c r="D476" s="9" t="s">
        <v>46</v>
      </c>
      <c r="E476" s="9" t="s">
        <v>3247</v>
      </c>
      <c r="F476" s="9" t="s">
        <v>3248</v>
      </c>
      <c r="G476" s="10">
        <v>500072.0</v>
      </c>
      <c r="H476" s="9" t="s">
        <v>610</v>
      </c>
      <c r="I476" s="11" t="str">
        <f>VLOOKUP(H476,Mapping!D:E,2,0)</f>
        <v>kukatpally</v>
      </c>
      <c r="J476" s="61" t="s">
        <v>390</v>
      </c>
      <c r="K476" s="12">
        <v>0.19</v>
      </c>
      <c r="L476" s="14" t="str">
        <f t="shared" si="30"/>
        <v>&lt;20%</v>
      </c>
      <c r="M476" s="13">
        <v>0.018</v>
      </c>
      <c r="N476" s="14"/>
      <c r="O476" s="9" t="s">
        <v>3249</v>
      </c>
      <c r="P476" s="9" t="s">
        <v>3250</v>
      </c>
      <c r="Q476" s="9" t="s">
        <v>3249</v>
      </c>
      <c r="R476" s="16" t="s">
        <v>3251</v>
      </c>
      <c r="S476" s="9" t="s">
        <v>3252</v>
      </c>
      <c r="T476" s="9" t="s">
        <v>3249</v>
      </c>
      <c r="U476" s="9" t="s">
        <v>877</v>
      </c>
      <c r="V476" s="17">
        <v>1.20037263891E11</v>
      </c>
      <c r="W476" s="9" t="s">
        <v>3253</v>
      </c>
      <c r="X476" s="9" t="s">
        <v>80</v>
      </c>
      <c r="Y476" s="18" t="s">
        <v>57</v>
      </c>
      <c r="Z476" s="18" t="s">
        <v>58</v>
      </c>
      <c r="AA476" s="18" t="s">
        <v>57</v>
      </c>
      <c r="AB476" s="18" t="s">
        <v>57</v>
      </c>
      <c r="AC476" s="14"/>
      <c r="AD476" s="14"/>
      <c r="AE476" s="14"/>
      <c r="AF476" s="14"/>
      <c r="AG476" s="14"/>
      <c r="AH476" s="14"/>
      <c r="AI476" s="20"/>
      <c r="AJ476" s="14"/>
      <c r="AK476" s="14"/>
      <c r="AL476" s="14"/>
      <c r="AM476" s="14"/>
      <c r="AN476" s="14"/>
      <c r="AO476" s="14"/>
      <c r="AP476" s="14"/>
      <c r="AQ476" s="14"/>
      <c r="AR476" s="14"/>
    </row>
    <row r="477" ht="22.5" customHeight="1">
      <c r="A477" s="42">
        <v>46084.0</v>
      </c>
      <c r="B477" s="69" t="s">
        <v>3254</v>
      </c>
      <c r="C477" s="8" t="s">
        <v>73</v>
      </c>
      <c r="D477" s="9" t="s">
        <v>258</v>
      </c>
      <c r="E477" s="39" t="s">
        <v>3255</v>
      </c>
      <c r="F477" s="9" t="s">
        <v>3256</v>
      </c>
      <c r="G477" s="10">
        <v>500018.0</v>
      </c>
      <c r="H477" s="9" t="s">
        <v>1041</v>
      </c>
      <c r="I477" s="11" t="str">
        <f>VLOOKUP(H477,Mapping!D:E,2,0)</f>
        <v>yousufguda</v>
      </c>
      <c r="J477" s="9" t="s">
        <v>161</v>
      </c>
      <c r="K477" s="12">
        <v>0.22</v>
      </c>
      <c r="L477" s="14" t="str">
        <f t="shared" si="30"/>
        <v>20%+</v>
      </c>
      <c r="M477" s="13">
        <v>0.018</v>
      </c>
      <c r="N477" s="14"/>
      <c r="O477" s="9" t="s">
        <v>3254</v>
      </c>
      <c r="P477" s="9" t="s">
        <v>3257</v>
      </c>
      <c r="Q477" s="9" t="s">
        <v>3258</v>
      </c>
      <c r="R477" s="16" t="s">
        <v>3259</v>
      </c>
      <c r="S477" s="9" t="s">
        <v>68</v>
      </c>
      <c r="T477" s="9" t="s">
        <v>3260</v>
      </c>
      <c r="U477" s="9" t="s">
        <v>1110</v>
      </c>
      <c r="V477" s="17">
        <v>1.89002000000422E14</v>
      </c>
      <c r="W477" s="9" t="s">
        <v>3261</v>
      </c>
      <c r="X477" s="9" t="s">
        <v>80</v>
      </c>
      <c r="Y477" s="18" t="s">
        <v>57</v>
      </c>
      <c r="Z477" s="18" t="s">
        <v>57</v>
      </c>
      <c r="AA477" s="18" t="s">
        <v>57</v>
      </c>
      <c r="AB477" s="18" t="s">
        <v>57</v>
      </c>
      <c r="AC477" s="18" t="s">
        <v>57</v>
      </c>
      <c r="AD477" s="18" t="s">
        <v>57</v>
      </c>
      <c r="AE477" s="35" t="s">
        <v>3262</v>
      </c>
      <c r="AF477" s="14"/>
      <c r="AG477" s="14"/>
      <c r="AH477" s="14"/>
      <c r="AI477" s="20"/>
      <c r="AJ477" s="14"/>
      <c r="AK477" s="14"/>
      <c r="AL477" s="14"/>
      <c r="AM477" s="14"/>
      <c r="AN477" s="14"/>
      <c r="AO477" s="14"/>
      <c r="AP477" s="14"/>
      <c r="AQ477" s="14"/>
      <c r="AR477" s="14"/>
    </row>
    <row r="478" ht="22.5" customHeight="1">
      <c r="A478" s="76">
        <v>46084.0</v>
      </c>
      <c r="B478" s="97" t="s">
        <v>3263</v>
      </c>
      <c r="C478" s="8" t="s">
        <v>144</v>
      </c>
      <c r="D478" s="9" t="s">
        <v>258</v>
      </c>
      <c r="E478" s="9" t="s">
        <v>3264</v>
      </c>
      <c r="F478" s="9" t="s">
        <v>3265</v>
      </c>
      <c r="G478" s="10">
        <v>500072.0</v>
      </c>
      <c r="H478" s="9" t="s">
        <v>610</v>
      </c>
      <c r="I478" s="11" t="str">
        <f>VLOOKUP(H478,Mapping!D:E,2,0)</f>
        <v>kukatpally</v>
      </c>
      <c r="J478" s="61" t="s">
        <v>390</v>
      </c>
      <c r="K478" s="12">
        <v>0.2</v>
      </c>
      <c r="L478" s="14" t="str">
        <f t="shared" si="30"/>
        <v>20%+</v>
      </c>
      <c r="M478" s="13">
        <v>0.018</v>
      </c>
      <c r="N478" s="14"/>
      <c r="O478" s="107" t="s">
        <v>68</v>
      </c>
      <c r="P478" s="9" t="s">
        <v>3266</v>
      </c>
      <c r="Q478" s="9" t="s">
        <v>3265</v>
      </c>
      <c r="R478" s="16" t="s">
        <v>3267</v>
      </c>
      <c r="S478" s="9" t="s">
        <v>68</v>
      </c>
      <c r="T478" s="9" t="s">
        <v>68</v>
      </c>
      <c r="U478" s="9" t="s">
        <v>68</v>
      </c>
      <c r="V478" s="9" t="s">
        <v>68</v>
      </c>
      <c r="W478" s="9" t="s">
        <v>68</v>
      </c>
      <c r="X478" s="9" t="s">
        <v>68</v>
      </c>
      <c r="Y478" s="18" t="s">
        <v>57</v>
      </c>
      <c r="Z478" s="18" t="s">
        <v>3268</v>
      </c>
      <c r="AA478" s="18" t="s">
        <v>57</v>
      </c>
      <c r="AB478" s="18" t="s">
        <v>58</v>
      </c>
      <c r="AC478" s="14"/>
      <c r="AD478" s="14"/>
      <c r="AE478" s="14"/>
      <c r="AF478" s="14"/>
      <c r="AG478" s="14"/>
      <c r="AH478" s="14"/>
      <c r="AI478" s="20"/>
      <c r="AJ478" s="14"/>
      <c r="AK478" s="14"/>
      <c r="AL478" s="14"/>
      <c r="AM478" s="14"/>
      <c r="AN478" s="14"/>
      <c r="AO478" s="14"/>
      <c r="AP478" s="14"/>
      <c r="AQ478" s="14"/>
      <c r="AR478" s="14"/>
    </row>
    <row r="479" ht="22.5" customHeight="1">
      <c r="A479" s="76">
        <v>46084.0</v>
      </c>
      <c r="B479" s="69" t="s">
        <v>3269</v>
      </c>
      <c r="C479" s="8" t="s">
        <v>241</v>
      </c>
      <c r="D479" s="9" t="s">
        <v>258</v>
      </c>
      <c r="E479" s="9" t="s">
        <v>3270</v>
      </c>
      <c r="F479" s="9" t="s">
        <v>3271</v>
      </c>
      <c r="G479" s="10">
        <v>500050.0</v>
      </c>
      <c r="H479" s="9" t="s">
        <v>512</v>
      </c>
      <c r="I479" s="11" t="str">
        <f>VLOOKUP(H479,Mapping!D:E,2,0)</f>
        <v>miyapur</v>
      </c>
      <c r="J479" s="61" t="s">
        <v>390</v>
      </c>
      <c r="K479" s="12">
        <v>0.22</v>
      </c>
      <c r="L479" s="14" t="str">
        <f t="shared" si="30"/>
        <v>20%+</v>
      </c>
      <c r="M479" s="13">
        <v>0.018</v>
      </c>
      <c r="N479" s="14"/>
      <c r="O479" s="15" t="s">
        <v>3269</v>
      </c>
      <c r="P479" s="15" t="s">
        <v>3270</v>
      </c>
      <c r="Q479" s="9" t="s">
        <v>3271</v>
      </c>
      <c r="R479" s="16" t="s">
        <v>3272</v>
      </c>
      <c r="S479" s="9" t="s">
        <v>68</v>
      </c>
      <c r="T479" s="9" t="s">
        <v>68</v>
      </c>
      <c r="U479" s="9" t="s">
        <v>3273</v>
      </c>
      <c r="V479" s="17">
        <v>8.246382942E9</v>
      </c>
      <c r="W479" s="9" t="s">
        <v>1877</v>
      </c>
      <c r="X479" s="9" t="s">
        <v>68</v>
      </c>
      <c r="Y479" s="18" t="s">
        <v>57</v>
      </c>
      <c r="Z479" s="18" t="s">
        <v>69</v>
      </c>
      <c r="AA479" s="18" t="s">
        <v>57</v>
      </c>
      <c r="AB479" s="18" t="s">
        <v>57</v>
      </c>
      <c r="AC479" s="18" t="s">
        <v>57</v>
      </c>
      <c r="AD479" s="18" t="s">
        <v>69</v>
      </c>
      <c r="AE479" s="35" t="s">
        <v>3274</v>
      </c>
      <c r="AF479" s="14"/>
      <c r="AG479" s="14"/>
      <c r="AH479" s="14"/>
      <c r="AI479" s="8" t="s">
        <v>71</v>
      </c>
      <c r="AJ479" s="14"/>
      <c r="AK479" s="14"/>
      <c r="AL479" s="14"/>
      <c r="AM479" s="14"/>
      <c r="AN479" s="14"/>
      <c r="AO479" s="14"/>
      <c r="AP479" s="14"/>
      <c r="AQ479" s="14"/>
      <c r="AR479" s="14"/>
    </row>
    <row r="480" ht="22.5" customHeight="1">
      <c r="A480" s="76">
        <v>46084.0</v>
      </c>
      <c r="B480" s="69" t="s">
        <v>3275</v>
      </c>
      <c r="C480" s="8" t="s">
        <v>241</v>
      </c>
      <c r="D480" s="9" t="s">
        <v>258</v>
      </c>
      <c r="E480" s="9" t="s">
        <v>3276</v>
      </c>
      <c r="F480" s="9" t="s">
        <v>3277</v>
      </c>
      <c r="G480" s="10">
        <v>500050.0</v>
      </c>
      <c r="H480" s="9" t="s">
        <v>512</v>
      </c>
      <c r="I480" s="11" t="str">
        <f>VLOOKUP(H480,Mapping!D:E,2,0)</f>
        <v>miyapur</v>
      </c>
      <c r="J480" s="61" t="s">
        <v>390</v>
      </c>
      <c r="K480" s="12">
        <v>0.25</v>
      </c>
      <c r="L480" s="14" t="str">
        <f t="shared" si="30"/>
        <v>20%+</v>
      </c>
      <c r="M480" s="13">
        <v>0.018</v>
      </c>
      <c r="N480" s="14"/>
      <c r="O480" s="15" t="s">
        <v>3275</v>
      </c>
      <c r="P480" s="15" t="s">
        <v>3276</v>
      </c>
      <c r="Q480" s="9" t="s">
        <v>3278</v>
      </c>
      <c r="R480" s="16" t="s">
        <v>3279</v>
      </c>
      <c r="S480" s="9" t="s">
        <v>3280</v>
      </c>
      <c r="T480" s="9" t="s">
        <v>3277</v>
      </c>
      <c r="U480" s="9" t="s">
        <v>254</v>
      </c>
      <c r="V480" s="17">
        <v>1.512423141E9</v>
      </c>
      <c r="W480" s="9" t="s">
        <v>1731</v>
      </c>
      <c r="X480" s="9" t="s">
        <v>56</v>
      </c>
      <c r="Y480" s="18" t="s">
        <v>57</v>
      </c>
      <c r="Z480" s="18" t="s">
        <v>69</v>
      </c>
      <c r="AA480" s="18" t="s">
        <v>57</v>
      </c>
      <c r="AB480" s="18" t="s">
        <v>57</v>
      </c>
      <c r="AC480" s="18" t="s">
        <v>57</v>
      </c>
      <c r="AD480" s="18" t="s">
        <v>69</v>
      </c>
      <c r="AE480" s="39" t="s">
        <v>3281</v>
      </c>
      <c r="AF480" s="14"/>
      <c r="AG480" s="14"/>
      <c r="AH480" s="9" t="s">
        <v>3282</v>
      </c>
      <c r="AI480" s="20"/>
      <c r="AJ480" s="14"/>
      <c r="AK480" s="14"/>
      <c r="AL480" s="14"/>
      <c r="AM480" s="14"/>
      <c r="AN480" s="14"/>
      <c r="AO480" s="14"/>
      <c r="AP480" s="14"/>
      <c r="AQ480" s="14"/>
      <c r="AR480" s="14"/>
    </row>
    <row r="481" ht="22.5" customHeight="1">
      <c r="A481" s="76">
        <v>46084.0</v>
      </c>
      <c r="B481" s="69" t="s">
        <v>3283</v>
      </c>
      <c r="C481" s="198" t="s">
        <v>144</v>
      </c>
      <c r="D481" s="9" t="s">
        <v>258</v>
      </c>
      <c r="E481" s="9" t="s">
        <v>3284</v>
      </c>
      <c r="F481" s="9" t="s">
        <v>3285</v>
      </c>
      <c r="G481" s="10">
        <v>500018.0</v>
      </c>
      <c r="H481" s="9" t="s">
        <v>610</v>
      </c>
      <c r="I481" s="11" t="str">
        <f>VLOOKUP(H481,Mapping!D:E,2,0)</f>
        <v>kukatpally</v>
      </c>
      <c r="J481" s="61" t="s">
        <v>390</v>
      </c>
      <c r="K481" s="12">
        <v>0.2</v>
      </c>
      <c r="L481" s="14" t="str">
        <f t="shared" si="30"/>
        <v>20%+</v>
      </c>
      <c r="M481" s="13">
        <v>0.018</v>
      </c>
      <c r="N481" s="14"/>
      <c r="O481" s="108" t="s">
        <v>68</v>
      </c>
      <c r="P481" s="9" t="s">
        <v>3284</v>
      </c>
      <c r="Q481" s="9" t="s">
        <v>3286</v>
      </c>
      <c r="R481" s="16" t="s">
        <v>3287</v>
      </c>
      <c r="S481" s="9" t="s">
        <v>3288</v>
      </c>
      <c r="T481" s="9" t="s">
        <v>68</v>
      </c>
      <c r="U481" s="9" t="s">
        <v>68</v>
      </c>
      <c r="V481" s="9" t="s">
        <v>68</v>
      </c>
      <c r="W481" s="9" t="s">
        <v>68</v>
      </c>
      <c r="X481" s="9" t="s">
        <v>68</v>
      </c>
      <c r="Y481" s="18" t="s">
        <v>57</v>
      </c>
      <c r="Z481" s="18" t="s">
        <v>58</v>
      </c>
      <c r="AA481" s="18" t="s">
        <v>57</v>
      </c>
      <c r="AB481" s="18" t="s">
        <v>58</v>
      </c>
      <c r="AC481" s="14"/>
      <c r="AD481" s="14"/>
      <c r="AE481" s="14"/>
      <c r="AF481" s="14"/>
      <c r="AG481" s="14"/>
      <c r="AH481" s="14"/>
      <c r="AI481" s="20"/>
      <c r="AJ481" s="14"/>
      <c r="AK481" s="14"/>
      <c r="AL481" s="14"/>
      <c r="AM481" s="14"/>
      <c r="AN481" s="14"/>
      <c r="AO481" s="14"/>
      <c r="AP481" s="14"/>
      <c r="AQ481" s="14"/>
      <c r="AR481" s="14"/>
    </row>
    <row r="482" ht="22.5" customHeight="1">
      <c r="A482" s="74">
        <v>46084.0</v>
      </c>
      <c r="B482" s="138" t="s">
        <v>3289</v>
      </c>
      <c r="C482" s="8" t="s">
        <v>248</v>
      </c>
      <c r="D482" s="9" t="s">
        <v>258</v>
      </c>
      <c r="E482" s="9" t="s">
        <v>3290</v>
      </c>
      <c r="F482" s="9" t="s">
        <v>3291</v>
      </c>
      <c r="G482" s="10">
        <v>500081.0</v>
      </c>
      <c r="H482" s="9" t="s">
        <v>147</v>
      </c>
      <c r="I482" s="11" t="str">
        <f>VLOOKUP(H482,Mapping!D:E,2,0)</f>
        <v>madhapur</v>
      </c>
      <c r="J482" s="61" t="s">
        <v>148</v>
      </c>
      <c r="K482" s="12">
        <v>0.18</v>
      </c>
      <c r="L482" s="14" t="str">
        <f t="shared" si="30"/>
        <v>&lt;20%</v>
      </c>
      <c r="M482" s="13">
        <v>0.018</v>
      </c>
      <c r="N482" s="14"/>
      <c r="O482" s="108" t="s">
        <v>3292</v>
      </c>
      <c r="P482" s="9" t="s">
        <v>3290</v>
      </c>
      <c r="Q482" s="9" t="s">
        <v>3291</v>
      </c>
      <c r="R482" s="16" t="s">
        <v>3293</v>
      </c>
      <c r="S482" s="9" t="s">
        <v>3294</v>
      </c>
      <c r="T482" s="43" t="s">
        <v>3289</v>
      </c>
      <c r="U482" s="9" t="s">
        <v>3018</v>
      </c>
      <c r="V482" s="17">
        <v>1.0036566072E10</v>
      </c>
      <c r="W482" s="9" t="s">
        <v>3295</v>
      </c>
      <c r="X482" s="9" t="s">
        <v>80</v>
      </c>
      <c r="Y482" s="18" t="s">
        <v>57</v>
      </c>
      <c r="Z482" s="18" t="s">
        <v>57</v>
      </c>
      <c r="AA482" s="18" t="s">
        <v>57</v>
      </c>
      <c r="AB482" s="18" t="s">
        <v>57</v>
      </c>
      <c r="AC482" s="18" t="s">
        <v>58</v>
      </c>
      <c r="AD482" s="18" t="s">
        <v>58</v>
      </c>
      <c r="AE482" s="35" t="s">
        <v>3296</v>
      </c>
      <c r="AF482" s="14"/>
      <c r="AG482" s="14"/>
      <c r="AH482" s="9" t="s">
        <v>3132</v>
      </c>
      <c r="AI482" s="20"/>
      <c r="AJ482" s="14"/>
      <c r="AK482" s="14"/>
      <c r="AL482" s="14"/>
      <c r="AM482" s="14"/>
      <c r="AN482" s="14"/>
      <c r="AO482" s="14"/>
      <c r="AP482" s="14"/>
      <c r="AQ482" s="14"/>
      <c r="AR482" s="14"/>
    </row>
    <row r="483" ht="22.5" customHeight="1">
      <c r="A483" s="76">
        <v>46084.0</v>
      </c>
      <c r="B483" s="69" t="s">
        <v>3297</v>
      </c>
      <c r="C483" s="8" t="s">
        <v>73</v>
      </c>
      <c r="D483" s="9" t="s">
        <v>258</v>
      </c>
      <c r="E483" s="39" t="s">
        <v>3298</v>
      </c>
      <c r="F483" s="9" t="s">
        <v>3299</v>
      </c>
      <c r="G483" s="10">
        <v>500072.0</v>
      </c>
      <c r="H483" s="9" t="s">
        <v>610</v>
      </c>
      <c r="I483" s="11" t="str">
        <f>VLOOKUP(H483,Mapping!D:E,2,0)</f>
        <v>kukatpally</v>
      </c>
      <c r="J483" s="61" t="s">
        <v>390</v>
      </c>
      <c r="K483" s="12">
        <v>0.22</v>
      </c>
      <c r="L483" s="14" t="str">
        <f t="shared" si="30"/>
        <v>20%+</v>
      </c>
      <c r="M483" s="13">
        <v>0.018</v>
      </c>
      <c r="N483" s="14"/>
      <c r="O483" s="108" t="s">
        <v>3297</v>
      </c>
      <c r="P483" s="9" t="s">
        <v>610</v>
      </c>
      <c r="Q483" s="9" t="s">
        <v>3299</v>
      </c>
      <c r="R483" s="16" t="s">
        <v>3300</v>
      </c>
      <c r="S483" s="9" t="s">
        <v>68</v>
      </c>
      <c r="T483" s="9" t="s">
        <v>3301</v>
      </c>
      <c r="U483" s="9" t="s">
        <v>105</v>
      </c>
      <c r="V483" s="17">
        <v>7.412212953E9</v>
      </c>
      <c r="W483" s="9" t="s">
        <v>2457</v>
      </c>
      <c r="X483" s="9" t="s">
        <v>56</v>
      </c>
      <c r="Y483" s="18" t="s">
        <v>57</v>
      </c>
      <c r="Z483" s="18" t="s">
        <v>69</v>
      </c>
      <c r="AA483" s="18" t="s">
        <v>57</v>
      </c>
      <c r="AB483" s="18" t="s">
        <v>58</v>
      </c>
      <c r="AC483" s="18" t="s">
        <v>57</v>
      </c>
      <c r="AD483" s="18" t="s">
        <v>69</v>
      </c>
      <c r="AE483" s="35" t="s">
        <v>3302</v>
      </c>
      <c r="AF483" s="14"/>
      <c r="AG483" s="14"/>
      <c r="AH483" s="14"/>
      <c r="AI483" s="20"/>
      <c r="AJ483" s="14"/>
      <c r="AK483" s="14"/>
      <c r="AL483" s="14"/>
      <c r="AM483" s="14"/>
      <c r="AN483" s="14"/>
      <c r="AO483" s="14"/>
      <c r="AP483" s="14"/>
      <c r="AQ483" s="14"/>
      <c r="AR483" s="14"/>
    </row>
    <row r="484" ht="22.5" customHeight="1">
      <c r="A484" s="76">
        <v>46084.0</v>
      </c>
      <c r="B484" s="69" t="s">
        <v>3297</v>
      </c>
      <c r="C484" s="8" t="s">
        <v>73</v>
      </c>
      <c r="D484" s="9" t="s">
        <v>258</v>
      </c>
      <c r="E484" s="39" t="s">
        <v>3303</v>
      </c>
      <c r="F484" s="9" t="s">
        <v>3299</v>
      </c>
      <c r="G484" s="10">
        <v>500072.0</v>
      </c>
      <c r="H484" s="9" t="s">
        <v>610</v>
      </c>
      <c r="I484" s="11" t="str">
        <f>VLOOKUP(H484,Mapping!D:E,2,0)</f>
        <v>kukatpally</v>
      </c>
      <c r="J484" s="61" t="s">
        <v>390</v>
      </c>
      <c r="K484" s="12">
        <v>0.22</v>
      </c>
      <c r="L484" s="14" t="str">
        <f t="shared" si="30"/>
        <v>20%+</v>
      </c>
      <c r="M484" s="13">
        <v>0.018</v>
      </c>
      <c r="N484" s="14"/>
      <c r="O484" s="108" t="s">
        <v>3297</v>
      </c>
      <c r="P484" s="9" t="s">
        <v>610</v>
      </c>
      <c r="Q484" s="9" t="s">
        <v>3299</v>
      </c>
      <c r="R484" s="16" t="s">
        <v>3300</v>
      </c>
      <c r="S484" s="9" t="s">
        <v>68</v>
      </c>
      <c r="T484" s="9" t="s">
        <v>3301</v>
      </c>
      <c r="U484" s="9" t="s">
        <v>105</v>
      </c>
      <c r="V484" s="17">
        <v>7.412212953E9</v>
      </c>
      <c r="W484" s="9" t="s">
        <v>2457</v>
      </c>
      <c r="X484" s="9" t="s">
        <v>56</v>
      </c>
      <c r="Y484" s="18" t="s">
        <v>57</v>
      </c>
      <c r="Z484" s="18" t="s">
        <v>69</v>
      </c>
      <c r="AA484" s="18" t="s">
        <v>57</v>
      </c>
      <c r="AB484" s="18" t="s">
        <v>58</v>
      </c>
      <c r="AC484" s="18" t="s">
        <v>57</v>
      </c>
      <c r="AD484" s="18" t="s">
        <v>69</v>
      </c>
      <c r="AE484" s="35" t="s">
        <v>3302</v>
      </c>
      <c r="AF484" s="14"/>
      <c r="AG484" s="14"/>
      <c r="AH484" s="14"/>
      <c r="AI484" s="20"/>
      <c r="AJ484" s="14"/>
      <c r="AK484" s="14"/>
      <c r="AL484" s="14"/>
      <c r="AM484" s="14"/>
      <c r="AN484" s="14"/>
      <c r="AO484" s="14"/>
      <c r="AP484" s="14"/>
      <c r="AQ484" s="14"/>
      <c r="AR484" s="14"/>
    </row>
    <row r="485" ht="22.5" customHeight="1">
      <c r="A485" s="76">
        <v>46084.0</v>
      </c>
      <c r="B485" s="69" t="s">
        <v>3304</v>
      </c>
      <c r="C485" s="8" t="s">
        <v>241</v>
      </c>
      <c r="D485" s="9" t="s">
        <v>258</v>
      </c>
      <c r="E485" s="9" t="s">
        <v>3305</v>
      </c>
      <c r="F485" s="9" t="s">
        <v>3277</v>
      </c>
      <c r="G485" s="10">
        <v>502032.0</v>
      </c>
      <c r="H485" s="9" t="s">
        <v>512</v>
      </c>
      <c r="I485" s="11" t="str">
        <f>VLOOKUP(H485,Mapping!D:E,2,0)</f>
        <v>miyapur</v>
      </c>
      <c r="J485" s="61" t="s">
        <v>390</v>
      </c>
      <c r="K485" s="12">
        <v>0.25</v>
      </c>
      <c r="L485" s="14" t="str">
        <f t="shared" si="30"/>
        <v>20%+</v>
      </c>
      <c r="M485" s="13">
        <v>0.018</v>
      </c>
      <c r="N485" s="14"/>
      <c r="O485" s="138" t="s">
        <v>3304</v>
      </c>
      <c r="P485" s="9" t="s">
        <v>3305</v>
      </c>
      <c r="Q485" s="9" t="s">
        <v>3278</v>
      </c>
      <c r="R485" s="16" t="s">
        <v>3279</v>
      </c>
      <c r="S485" s="9" t="s">
        <v>3306</v>
      </c>
      <c r="T485" s="9" t="s">
        <v>3307</v>
      </c>
      <c r="U485" s="9" t="s">
        <v>1139</v>
      </c>
      <c r="V485" s="17">
        <v>9.25020040226064E14</v>
      </c>
      <c r="W485" s="9" t="s">
        <v>3308</v>
      </c>
      <c r="X485" s="9" t="s">
        <v>80</v>
      </c>
      <c r="Y485" s="18" t="s">
        <v>57</v>
      </c>
      <c r="Z485" s="18" t="s">
        <v>69</v>
      </c>
      <c r="AA485" s="18" t="s">
        <v>57</v>
      </c>
      <c r="AB485" s="18" t="s">
        <v>57</v>
      </c>
      <c r="AC485" s="18" t="s">
        <v>57</v>
      </c>
      <c r="AD485" s="18" t="s">
        <v>69</v>
      </c>
      <c r="AE485" s="39" t="s">
        <v>3309</v>
      </c>
      <c r="AF485" s="14"/>
      <c r="AG485" s="14"/>
      <c r="AH485" s="9" t="s">
        <v>3282</v>
      </c>
      <c r="AI485" s="20"/>
      <c r="AJ485" s="14"/>
      <c r="AK485" s="14"/>
      <c r="AL485" s="14"/>
      <c r="AM485" s="14"/>
      <c r="AN485" s="14"/>
      <c r="AO485" s="14"/>
      <c r="AP485" s="14"/>
      <c r="AQ485" s="14"/>
      <c r="AR485" s="14"/>
    </row>
    <row r="486" ht="22.5" customHeight="1">
      <c r="A486" s="74">
        <v>46084.0</v>
      </c>
      <c r="B486" s="138" t="s">
        <v>3310</v>
      </c>
      <c r="C486" s="8" t="s">
        <v>96</v>
      </c>
      <c r="D486" s="9" t="s">
        <v>258</v>
      </c>
      <c r="E486" s="39" t="s">
        <v>3311</v>
      </c>
      <c r="F486" s="9" t="s">
        <v>3312</v>
      </c>
      <c r="G486" s="10">
        <v>500008.0</v>
      </c>
      <c r="H486" s="9" t="s">
        <v>171</v>
      </c>
      <c r="I486" s="11" t="str">
        <f>VLOOKUP(H486,Mapping!D:E,2,0)</f>
        <v>Langar Houz</v>
      </c>
      <c r="J486" s="61" t="s">
        <v>86</v>
      </c>
      <c r="K486" s="12">
        <v>0.22</v>
      </c>
      <c r="L486" s="14" t="str">
        <f t="shared" si="30"/>
        <v>20%+</v>
      </c>
      <c r="M486" s="14"/>
      <c r="N486" s="14"/>
      <c r="O486" s="108" t="s">
        <v>3313</v>
      </c>
      <c r="P486" s="39" t="s">
        <v>3314</v>
      </c>
      <c r="Q486" s="9" t="s">
        <v>3315</v>
      </c>
      <c r="R486" s="16" t="s">
        <v>3316</v>
      </c>
      <c r="S486" s="9" t="s">
        <v>3317</v>
      </c>
      <c r="T486" s="9" t="s">
        <v>3318</v>
      </c>
      <c r="U486" s="9" t="s">
        <v>307</v>
      </c>
      <c r="V486" s="17">
        <v>1.56710100065031E14</v>
      </c>
      <c r="W486" s="9" t="s">
        <v>3319</v>
      </c>
      <c r="X486" s="9" t="s">
        <v>56</v>
      </c>
      <c r="Y486" s="18" t="s">
        <v>57</v>
      </c>
      <c r="Z486" s="18" t="s">
        <v>58</v>
      </c>
      <c r="AA486" s="18" t="s">
        <v>57</v>
      </c>
      <c r="AB486" s="18" t="s">
        <v>57</v>
      </c>
      <c r="AC486" s="18" t="s">
        <v>57</v>
      </c>
      <c r="AD486" s="18" t="s">
        <v>57</v>
      </c>
      <c r="AE486" s="35" t="s">
        <v>3320</v>
      </c>
      <c r="AF486" s="14"/>
      <c r="AG486" s="14"/>
      <c r="AH486" s="14"/>
      <c r="AI486" s="20"/>
      <c r="AJ486" s="14"/>
      <c r="AK486" s="14"/>
      <c r="AL486" s="14"/>
      <c r="AM486" s="14"/>
      <c r="AN486" s="14"/>
      <c r="AO486" s="14"/>
      <c r="AP486" s="14"/>
      <c r="AQ486" s="14"/>
      <c r="AR486" s="14"/>
    </row>
    <row r="487" ht="22.5" customHeight="1">
      <c r="A487" s="76">
        <v>46084.0</v>
      </c>
      <c r="B487" s="69" t="s">
        <v>3321</v>
      </c>
      <c r="C487" s="8" t="s">
        <v>241</v>
      </c>
      <c r="D487" s="9" t="s">
        <v>258</v>
      </c>
      <c r="E487" s="9" t="s">
        <v>3305</v>
      </c>
      <c r="F487" s="9" t="s">
        <v>3277</v>
      </c>
      <c r="G487" s="10">
        <v>502032.0</v>
      </c>
      <c r="H487" s="9" t="s">
        <v>512</v>
      </c>
      <c r="I487" s="11" t="str">
        <f>VLOOKUP(H487,Mapping!D:E,2,0)</f>
        <v>miyapur</v>
      </c>
      <c r="J487" s="61" t="s">
        <v>390</v>
      </c>
      <c r="K487" s="12">
        <v>0.25</v>
      </c>
      <c r="L487" s="14" t="str">
        <f t="shared" si="30"/>
        <v>20%+</v>
      </c>
      <c r="M487" s="13">
        <v>0.018</v>
      </c>
      <c r="N487" s="14"/>
      <c r="O487" s="138" t="s">
        <v>3304</v>
      </c>
      <c r="P487" s="9" t="s">
        <v>3305</v>
      </c>
      <c r="Q487" s="9" t="s">
        <v>3278</v>
      </c>
      <c r="R487" s="16" t="s">
        <v>3279</v>
      </c>
      <c r="S487" s="9" t="s">
        <v>3306</v>
      </c>
      <c r="T487" s="9" t="s">
        <v>3307</v>
      </c>
      <c r="U487" s="9" t="s">
        <v>1139</v>
      </c>
      <c r="V487" s="17">
        <v>9.25020040226064E14</v>
      </c>
      <c r="W487" s="9" t="s">
        <v>3308</v>
      </c>
      <c r="X487" s="9" t="s">
        <v>80</v>
      </c>
      <c r="Y487" s="18" t="s">
        <v>57</v>
      </c>
      <c r="Z487" s="18" t="s">
        <v>69</v>
      </c>
      <c r="AA487" s="18" t="s">
        <v>57</v>
      </c>
      <c r="AB487" s="18" t="s">
        <v>57</v>
      </c>
      <c r="AC487" s="18" t="s">
        <v>58</v>
      </c>
      <c r="AD487" s="18" t="s">
        <v>69</v>
      </c>
      <c r="AE487" s="39" t="s">
        <v>3322</v>
      </c>
      <c r="AF487" s="14"/>
      <c r="AG487" s="14"/>
      <c r="AH487" s="9" t="s">
        <v>3282</v>
      </c>
      <c r="AI487" s="20"/>
      <c r="AJ487" s="14"/>
      <c r="AK487" s="14"/>
      <c r="AL487" s="14"/>
      <c r="AM487" s="14"/>
      <c r="AN487" s="14"/>
      <c r="AO487" s="14"/>
      <c r="AP487" s="14"/>
      <c r="AQ487" s="14"/>
      <c r="AR487" s="14"/>
    </row>
    <row r="488" ht="22.5" customHeight="1">
      <c r="A488" s="76">
        <v>46084.0</v>
      </c>
      <c r="B488" s="97" t="s">
        <v>3323</v>
      </c>
      <c r="C488" s="8" t="s">
        <v>241</v>
      </c>
      <c r="D488" s="9" t="s">
        <v>68</v>
      </c>
      <c r="E488" s="9" t="s">
        <v>3324</v>
      </c>
      <c r="F488" s="9" t="s">
        <v>3325</v>
      </c>
      <c r="G488" s="10">
        <v>500049.0</v>
      </c>
      <c r="H488" s="9" t="s">
        <v>512</v>
      </c>
      <c r="I488" s="11" t="str">
        <f>VLOOKUP(H488,Mapping!D:E,2,0)</f>
        <v>miyapur</v>
      </c>
      <c r="J488" s="61" t="s">
        <v>390</v>
      </c>
      <c r="K488" s="12">
        <v>0.25</v>
      </c>
      <c r="L488" s="14" t="str">
        <f t="shared" si="30"/>
        <v>20%+</v>
      </c>
      <c r="M488" s="13">
        <v>0.018</v>
      </c>
      <c r="N488" s="14"/>
      <c r="O488" s="43" t="s">
        <v>3323</v>
      </c>
      <c r="P488" s="9" t="s">
        <v>3326</v>
      </c>
      <c r="Q488" s="9" t="s">
        <v>3325</v>
      </c>
      <c r="R488" s="16" t="s">
        <v>3327</v>
      </c>
      <c r="S488" s="9" t="s">
        <v>68</v>
      </c>
      <c r="T488" s="9" t="s">
        <v>68</v>
      </c>
      <c r="U488" s="9" t="s">
        <v>68</v>
      </c>
      <c r="V488" s="9" t="s">
        <v>68</v>
      </c>
      <c r="W488" s="9" t="s">
        <v>68</v>
      </c>
      <c r="X488" s="9" t="s">
        <v>68</v>
      </c>
      <c r="Y488" s="18" t="s">
        <v>57</v>
      </c>
      <c r="Z488" s="18" t="s">
        <v>69</v>
      </c>
      <c r="AA488" s="18" t="s">
        <v>58</v>
      </c>
      <c r="AB488" s="18" t="s">
        <v>58</v>
      </c>
      <c r="AC488" s="18" t="s">
        <v>58</v>
      </c>
      <c r="AD488" s="18" t="s">
        <v>69</v>
      </c>
      <c r="AE488" s="35" t="s">
        <v>3328</v>
      </c>
      <c r="AF488" s="14"/>
      <c r="AG488" s="14"/>
      <c r="AH488" s="14"/>
      <c r="AI488" s="8" t="s">
        <v>71</v>
      </c>
      <c r="AJ488" s="14"/>
      <c r="AK488" s="14"/>
      <c r="AL488" s="14"/>
      <c r="AM488" s="14"/>
      <c r="AN488" s="14"/>
      <c r="AO488" s="14"/>
      <c r="AP488" s="14"/>
      <c r="AQ488" s="14"/>
      <c r="AR488" s="14"/>
    </row>
    <row r="489" ht="22.5" customHeight="1">
      <c r="A489" s="76">
        <v>46084.0</v>
      </c>
      <c r="B489" s="69" t="s">
        <v>3329</v>
      </c>
      <c r="C489" s="8" t="s">
        <v>241</v>
      </c>
      <c r="D489" s="9" t="s">
        <v>258</v>
      </c>
      <c r="E489" s="9" t="s">
        <v>3330</v>
      </c>
      <c r="F489" s="9" t="s">
        <v>3331</v>
      </c>
      <c r="G489" s="10">
        <v>500050.0</v>
      </c>
      <c r="H489" s="9" t="s">
        <v>512</v>
      </c>
      <c r="I489" s="11" t="str">
        <f>VLOOKUP(H489,Mapping!D:E,2,0)</f>
        <v>miyapur</v>
      </c>
      <c r="J489" s="61" t="s">
        <v>390</v>
      </c>
      <c r="K489" s="12">
        <v>0.22</v>
      </c>
      <c r="L489" s="14" t="str">
        <f t="shared" si="30"/>
        <v>20%+</v>
      </c>
      <c r="M489" s="13">
        <v>0.018</v>
      </c>
      <c r="N489" s="14"/>
      <c r="O489" s="15" t="s">
        <v>3329</v>
      </c>
      <c r="P489" s="15" t="s">
        <v>3330</v>
      </c>
      <c r="Q489" s="9" t="s">
        <v>3331</v>
      </c>
      <c r="R489" s="16" t="s">
        <v>3332</v>
      </c>
      <c r="S489" s="9" t="s">
        <v>3333</v>
      </c>
      <c r="T489" s="9" t="s">
        <v>68</v>
      </c>
      <c r="U489" s="9" t="s">
        <v>68</v>
      </c>
      <c r="V489" s="9" t="s">
        <v>68</v>
      </c>
      <c r="W489" s="9" t="s">
        <v>68</v>
      </c>
      <c r="X489" s="9" t="s">
        <v>68</v>
      </c>
      <c r="Y489" s="18" t="s">
        <v>57</v>
      </c>
      <c r="Z489" s="18" t="s">
        <v>3334</v>
      </c>
      <c r="AA489" s="18" t="s">
        <v>57</v>
      </c>
      <c r="AB489" s="18" t="s">
        <v>57</v>
      </c>
      <c r="AC489" s="18" t="s">
        <v>57</v>
      </c>
      <c r="AD489" s="18" t="s">
        <v>69</v>
      </c>
      <c r="AE489" s="39" t="s">
        <v>3335</v>
      </c>
      <c r="AF489" s="14"/>
      <c r="AG489" s="14"/>
      <c r="AH489" s="9" t="s">
        <v>417</v>
      </c>
      <c r="AI489" s="8" t="s">
        <v>71</v>
      </c>
      <c r="AJ489" s="14"/>
      <c r="AK489" s="14"/>
      <c r="AL489" s="14"/>
      <c r="AM489" s="14"/>
      <c r="AN489" s="14"/>
      <c r="AO489" s="14"/>
      <c r="AP489" s="14"/>
      <c r="AQ489" s="14"/>
      <c r="AR489" s="14"/>
    </row>
    <row r="490" ht="22.5" customHeight="1">
      <c r="A490" s="76">
        <v>46084.0</v>
      </c>
      <c r="B490" s="75" t="s">
        <v>3336</v>
      </c>
      <c r="C490" s="8" t="s">
        <v>73</v>
      </c>
      <c r="D490" s="9" t="s">
        <v>258</v>
      </c>
      <c r="E490" s="9" t="s">
        <v>3337</v>
      </c>
      <c r="F490" s="9" t="s">
        <v>2122</v>
      </c>
      <c r="G490" s="10">
        <v>500038.0</v>
      </c>
      <c r="H490" s="15" t="s">
        <v>231</v>
      </c>
      <c r="I490" s="11" t="str">
        <f>VLOOKUP(H490,Mapping!D:E,2,0)</f>
        <v>panjagutta</v>
      </c>
      <c r="J490" s="9" t="s">
        <v>161</v>
      </c>
      <c r="K490" s="12">
        <v>0.22</v>
      </c>
      <c r="L490" s="14" t="str">
        <f t="shared" si="30"/>
        <v>20%+</v>
      </c>
      <c r="M490" s="13">
        <v>0.018</v>
      </c>
      <c r="N490" s="14"/>
      <c r="O490" s="43" t="s">
        <v>3336</v>
      </c>
      <c r="P490" s="9" t="s">
        <v>203</v>
      </c>
      <c r="Q490" s="9" t="s">
        <v>2122</v>
      </c>
      <c r="R490" s="16" t="s">
        <v>3338</v>
      </c>
      <c r="S490" s="9" t="s">
        <v>3339</v>
      </c>
      <c r="T490" s="9" t="s">
        <v>3340</v>
      </c>
      <c r="U490" s="9" t="s">
        <v>813</v>
      </c>
      <c r="V490" s="17">
        <v>5.0200087578646E13</v>
      </c>
      <c r="W490" s="9" t="s">
        <v>3341</v>
      </c>
      <c r="X490" s="9" t="s">
        <v>80</v>
      </c>
      <c r="Y490" s="18" t="s">
        <v>58</v>
      </c>
      <c r="Z490" s="18" t="s">
        <v>69</v>
      </c>
      <c r="AA490" s="18" t="s">
        <v>57</v>
      </c>
      <c r="AB490" s="18" t="s">
        <v>58</v>
      </c>
      <c r="AC490" s="18" t="s">
        <v>57</v>
      </c>
      <c r="AD490" s="18" t="s">
        <v>69</v>
      </c>
      <c r="AE490" s="35" t="s">
        <v>3342</v>
      </c>
      <c r="AF490" s="14"/>
      <c r="AG490" s="14"/>
      <c r="AH490" s="14"/>
      <c r="AI490" s="20"/>
      <c r="AJ490" s="14"/>
      <c r="AK490" s="14"/>
      <c r="AL490" s="14"/>
      <c r="AM490" s="14"/>
      <c r="AN490" s="14"/>
      <c r="AO490" s="14"/>
      <c r="AP490" s="14"/>
      <c r="AQ490" s="14"/>
      <c r="AR490" s="14"/>
    </row>
    <row r="491" ht="22.5" customHeight="1">
      <c r="A491" s="74">
        <v>46084.0</v>
      </c>
      <c r="B491" s="138" t="s">
        <v>3343</v>
      </c>
      <c r="C491" s="8" t="s">
        <v>1919</v>
      </c>
      <c r="D491" s="9" t="s">
        <v>2112</v>
      </c>
      <c r="E491" s="9" t="s">
        <v>3344</v>
      </c>
      <c r="F491" s="9" t="s">
        <v>3345</v>
      </c>
      <c r="G491" s="10">
        <v>500033.0</v>
      </c>
      <c r="H491" s="9" t="s">
        <v>3346</v>
      </c>
      <c r="I491" s="9" t="s">
        <v>2016</v>
      </c>
      <c r="J491" s="9" t="s">
        <v>3347</v>
      </c>
      <c r="K491" s="12">
        <v>0.18</v>
      </c>
      <c r="L491" s="14" t="str">
        <f t="shared" si="30"/>
        <v>&lt;20%</v>
      </c>
      <c r="M491" s="13">
        <v>0.018</v>
      </c>
      <c r="N491" s="14"/>
      <c r="O491" s="9" t="s">
        <v>3348</v>
      </c>
      <c r="P491" s="9" t="s">
        <v>3344</v>
      </c>
      <c r="Q491" s="9" t="s">
        <v>3349</v>
      </c>
      <c r="R491" s="16" t="s">
        <v>3350</v>
      </c>
      <c r="S491" s="9" t="s">
        <v>3351</v>
      </c>
      <c r="T491" s="9" t="s">
        <v>3352</v>
      </c>
      <c r="U491" s="9" t="s">
        <v>3175</v>
      </c>
      <c r="V491" s="17">
        <v>4.4167291537E10</v>
      </c>
      <c r="W491" s="9" t="s">
        <v>3353</v>
      </c>
      <c r="X491" s="9" t="s">
        <v>80</v>
      </c>
      <c r="Y491" s="18" t="s">
        <v>57</v>
      </c>
      <c r="Z491" s="18" t="s">
        <v>57</v>
      </c>
      <c r="AA491" s="18" t="s">
        <v>57</v>
      </c>
      <c r="AB491" s="18" t="s">
        <v>57</v>
      </c>
      <c r="AC491" s="18" t="s">
        <v>57</v>
      </c>
      <c r="AD491" s="18" t="s">
        <v>58</v>
      </c>
      <c r="AE491" s="35" t="s">
        <v>3354</v>
      </c>
      <c r="AF491" s="9" t="s">
        <v>3355</v>
      </c>
      <c r="AG491" s="9" t="s">
        <v>3356</v>
      </c>
      <c r="AH491" s="14"/>
      <c r="AI491" s="20"/>
      <c r="AJ491" s="14"/>
      <c r="AK491" s="14"/>
      <c r="AL491" s="14"/>
      <c r="AM491" s="14"/>
      <c r="AN491" s="14"/>
      <c r="AO491" s="14"/>
      <c r="AP491" s="14"/>
      <c r="AQ491" s="14"/>
      <c r="AR491" s="14"/>
    </row>
    <row r="492" ht="22.5" customHeight="1">
      <c r="A492" s="74">
        <v>46084.0</v>
      </c>
      <c r="B492" s="75" t="s">
        <v>3357</v>
      </c>
      <c r="C492" s="8" t="s">
        <v>1919</v>
      </c>
      <c r="D492" s="9" t="s">
        <v>2112</v>
      </c>
      <c r="E492" s="9" t="s">
        <v>3344</v>
      </c>
      <c r="F492" s="9" t="s">
        <v>3345</v>
      </c>
      <c r="G492" s="10">
        <v>500033.0</v>
      </c>
      <c r="H492" s="9" t="s">
        <v>3346</v>
      </c>
      <c r="I492" s="9" t="s">
        <v>2016</v>
      </c>
      <c r="J492" s="9" t="s">
        <v>3347</v>
      </c>
      <c r="K492" s="12">
        <v>0.18</v>
      </c>
      <c r="L492" s="14" t="str">
        <f t="shared" si="30"/>
        <v>&lt;20%</v>
      </c>
      <c r="M492" s="13">
        <v>0.018</v>
      </c>
      <c r="N492" s="14"/>
      <c r="O492" s="9" t="s">
        <v>3348</v>
      </c>
      <c r="P492" s="9" t="s">
        <v>3344</v>
      </c>
      <c r="Q492" s="9" t="s">
        <v>3349</v>
      </c>
      <c r="R492" s="16" t="s">
        <v>3350</v>
      </c>
      <c r="S492" s="9" t="s">
        <v>3351</v>
      </c>
      <c r="T492" s="9" t="s">
        <v>3352</v>
      </c>
      <c r="U492" s="9" t="s">
        <v>3175</v>
      </c>
      <c r="V492" s="17">
        <v>4.4167291537E10</v>
      </c>
      <c r="W492" s="9" t="s">
        <v>3353</v>
      </c>
      <c r="X492" s="9" t="s">
        <v>80</v>
      </c>
      <c r="Y492" s="18" t="s">
        <v>57</v>
      </c>
      <c r="Z492" s="18" t="s">
        <v>57</v>
      </c>
      <c r="AA492" s="18" t="s">
        <v>57</v>
      </c>
      <c r="AB492" s="18" t="s">
        <v>57</v>
      </c>
      <c r="AC492" s="18" t="s">
        <v>57</v>
      </c>
      <c r="AD492" s="18" t="s">
        <v>58</v>
      </c>
      <c r="AE492" s="35" t="s">
        <v>3354</v>
      </c>
      <c r="AF492" s="9" t="s">
        <v>3355</v>
      </c>
      <c r="AG492" s="9" t="s">
        <v>3356</v>
      </c>
      <c r="AH492" s="14"/>
      <c r="AI492" s="20"/>
      <c r="AJ492" s="14"/>
      <c r="AK492" s="14"/>
      <c r="AL492" s="14"/>
      <c r="AM492" s="14"/>
      <c r="AN492" s="14"/>
      <c r="AO492" s="14"/>
      <c r="AP492" s="14"/>
      <c r="AQ492" s="14"/>
      <c r="AR492" s="14"/>
    </row>
    <row r="493" ht="22.5" customHeight="1">
      <c r="A493" s="74">
        <v>46084.0</v>
      </c>
      <c r="B493" s="138" t="s">
        <v>3358</v>
      </c>
      <c r="C493" s="8" t="s">
        <v>1919</v>
      </c>
      <c r="D493" s="9" t="s">
        <v>2112</v>
      </c>
      <c r="E493" s="9" t="s">
        <v>3344</v>
      </c>
      <c r="F493" s="9" t="s">
        <v>3345</v>
      </c>
      <c r="G493" s="10">
        <v>500033.0</v>
      </c>
      <c r="H493" s="9" t="s">
        <v>3346</v>
      </c>
      <c r="I493" s="9" t="s">
        <v>2016</v>
      </c>
      <c r="J493" s="9" t="s">
        <v>3347</v>
      </c>
      <c r="K493" s="12">
        <v>0.18</v>
      </c>
      <c r="L493" s="14" t="str">
        <f t="shared" si="30"/>
        <v>&lt;20%</v>
      </c>
      <c r="M493" s="13">
        <v>0.018</v>
      </c>
      <c r="N493" s="14"/>
      <c r="O493" s="9" t="s">
        <v>3348</v>
      </c>
      <c r="P493" s="9" t="s">
        <v>3344</v>
      </c>
      <c r="Q493" s="9" t="s">
        <v>3349</v>
      </c>
      <c r="R493" s="16" t="s">
        <v>3350</v>
      </c>
      <c r="S493" s="9" t="s">
        <v>3351</v>
      </c>
      <c r="T493" s="9" t="s">
        <v>3352</v>
      </c>
      <c r="U493" s="9" t="s">
        <v>3175</v>
      </c>
      <c r="V493" s="17">
        <v>4.4167291537E10</v>
      </c>
      <c r="W493" s="9" t="s">
        <v>3353</v>
      </c>
      <c r="X493" s="9" t="s">
        <v>80</v>
      </c>
      <c r="Y493" s="18" t="s">
        <v>57</v>
      </c>
      <c r="Z493" s="18" t="s">
        <v>57</v>
      </c>
      <c r="AA493" s="18" t="s">
        <v>57</v>
      </c>
      <c r="AB493" s="18" t="s">
        <v>57</v>
      </c>
      <c r="AC493" s="18" t="s">
        <v>57</v>
      </c>
      <c r="AD493" s="18" t="s">
        <v>58</v>
      </c>
      <c r="AE493" s="35" t="s">
        <v>3354</v>
      </c>
      <c r="AF493" s="9" t="s">
        <v>3355</v>
      </c>
      <c r="AG493" s="9" t="s">
        <v>3356</v>
      </c>
      <c r="AH493" s="14"/>
      <c r="AI493" s="20"/>
      <c r="AJ493" s="14"/>
      <c r="AK493" s="14"/>
      <c r="AL493" s="14"/>
      <c r="AM493" s="14"/>
      <c r="AN493" s="14"/>
      <c r="AO493" s="14"/>
      <c r="AP493" s="14"/>
      <c r="AQ493" s="14"/>
      <c r="AR493" s="14"/>
    </row>
    <row r="494" ht="22.5" customHeight="1">
      <c r="A494" s="74">
        <v>46086.0</v>
      </c>
      <c r="B494" s="75" t="s">
        <v>3359</v>
      </c>
      <c r="C494" s="8" t="s">
        <v>96</v>
      </c>
      <c r="D494" s="9" t="s">
        <v>258</v>
      </c>
      <c r="E494" s="9" t="s">
        <v>3360</v>
      </c>
      <c r="F494" s="9" t="s">
        <v>3361</v>
      </c>
      <c r="G494" s="10">
        <v>500049.0</v>
      </c>
      <c r="H494" s="9" t="s">
        <v>1530</v>
      </c>
      <c r="I494" s="11" t="str">
        <f>VLOOKUP(H494,Mapping!D:E,2,0)</f>
        <v>hafeezpet</v>
      </c>
      <c r="J494" s="61" t="s">
        <v>390</v>
      </c>
      <c r="K494" s="12">
        <v>0.22</v>
      </c>
      <c r="L494" s="14" t="str">
        <f t="shared" si="30"/>
        <v>20%+</v>
      </c>
      <c r="M494" s="14"/>
      <c r="N494" s="14"/>
      <c r="O494" s="9" t="s">
        <v>3362</v>
      </c>
      <c r="P494" s="9" t="s">
        <v>3363</v>
      </c>
      <c r="Q494" s="9" t="s">
        <v>3361</v>
      </c>
      <c r="R494" s="16" t="s">
        <v>3364</v>
      </c>
      <c r="S494" s="9" t="s">
        <v>3365</v>
      </c>
      <c r="T494" s="9" t="s">
        <v>3361</v>
      </c>
      <c r="U494" s="9" t="s">
        <v>254</v>
      </c>
      <c r="V494" s="17">
        <v>7.148915104E9</v>
      </c>
      <c r="W494" s="9" t="s">
        <v>1731</v>
      </c>
      <c r="X494" s="9" t="s">
        <v>56</v>
      </c>
      <c r="Y494" s="18" t="s">
        <v>57</v>
      </c>
      <c r="Z494" s="18" t="s">
        <v>58</v>
      </c>
      <c r="AA494" s="18" t="s">
        <v>57</v>
      </c>
      <c r="AB494" s="18" t="s">
        <v>57</v>
      </c>
      <c r="AC494" s="18" t="s">
        <v>57</v>
      </c>
      <c r="AD494" s="18" t="s">
        <v>58</v>
      </c>
      <c r="AE494" s="35" t="s">
        <v>3366</v>
      </c>
      <c r="AF494" s="14"/>
      <c r="AG494" s="14"/>
      <c r="AH494" s="14"/>
      <c r="AI494" s="20"/>
      <c r="AJ494" s="14"/>
      <c r="AK494" s="14"/>
      <c r="AL494" s="14"/>
      <c r="AM494" s="14"/>
      <c r="AN494" s="14"/>
      <c r="AO494" s="14"/>
      <c r="AP494" s="14"/>
      <c r="AQ494" s="14"/>
      <c r="AR494" s="14"/>
    </row>
    <row r="495" ht="22.5" customHeight="1">
      <c r="A495" s="74">
        <v>46086.0</v>
      </c>
      <c r="B495" s="138" t="s">
        <v>3367</v>
      </c>
      <c r="C495" s="8" t="s">
        <v>186</v>
      </c>
      <c r="D495" s="9" t="s">
        <v>258</v>
      </c>
      <c r="E495" s="9" t="s">
        <v>3368</v>
      </c>
      <c r="F495" s="9" t="s">
        <v>68</v>
      </c>
      <c r="G495" s="10">
        <v>500072.0</v>
      </c>
      <c r="H495" s="9" t="s">
        <v>610</v>
      </c>
      <c r="I495" s="11" t="str">
        <f>VLOOKUP(H495,Mapping!D:E,2,0)</f>
        <v>kukatpally</v>
      </c>
      <c r="J495" s="61" t="s">
        <v>390</v>
      </c>
      <c r="K495" s="12">
        <v>0.15</v>
      </c>
      <c r="L495" s="14" t="str">
        <f t="shared" si="30"/>
        <v>&lt;17%</v>
      </c>
      <c r="M495" s="13">
        <v>0.018</v>
      </c>
      <c r="N495" s="14"/>
      <c r="O495" s="43" t="s">
        <v>3369</v>
      </c>
      <c r="P495" s="9" t="s">
        <v>3370</v>
      </c>
      <c r="Q495" s="9" t="s">
        <v>3371</v>
      </c>
      <c r="R495" s="16" t="s">
        <v>3372</v>
      </c>
      <c r="S495" s="9" t="s">
        <v>3373</v>
      </c>
      <c r="T495" s="9" t="s">
        <v>3374</v>
      </c>
      <c r="U495" s="9" t="s">
        <v>1139</v>
      </c>
      <c r="V495" s="17">
        <v>9.22020018758873E14</v>
      </c>
      <c r="W495" s="9" t="s">
        <v>3375</v>
      </c>
      <c r="X495" s="9" t="s">
        <v>80</v>
      </c>
      <c r="Y495" s="18" t="s">
        <v>57</v>
      </c>
      <c r="Z495" s="18" t="s">
        <v>57</v>
      </c>
      <c r="AA495" s="18" t="s">
        <v>57</v>
      </c>
      <c r="AB495" s="18" t="s">
        <v>57</v>
      </c>
      <c r="AC495" s="18" t="s">
        <v>57</v>
      </c>
      <c r="AD495" s="18" t="s">
        <v>58</v>
      </c>
      <c r="AE495" s="40" t="s">
        <v>3376</v>
      </c>
      <c r="AF495" s="40" t="s">
        <v>3377</v>
      </c>
      <c r="AG495" s="14"/>
      <c r="AH495" s="14"/>
      <c r="AI495" s="20"/>
      <c r="AJ495" s="14"/>
      <c r="AK495" s="14"/>
      <c r="AL495" s="14"/>
      <c r="AM495" s="14"/>
      <c r="AN495" s="14"/>
      <c r="AO495" s="14"/>
      <c r="AP495" s="14"/>
      <c r="AQ495" s="14"/>
      <c r="AR495" s="14"/>
    </row>
    <row r="496" ht="22.5" customHeight="1">
      <c r="A496" s="74">
        <v>46086.0</v>
      </c>
      <c r="B496" s="75" t="s">
        <v>3378</v>
      </c>
      <c r="C496" s="8" t="s">
        <v>96</v>
      </c>
      <c r="D496" s="9" t="s">
        <v>258</v>
      </c>
      <c r="E496" s="9" t="s">
        <v>3360</v>
      </c>
      <c r="F496" s="9" t="s">
        <v>3379</v>
      </c>
      <c r="G496" s="10">
        <v>500049.0</v>
      </c>
      <c r="H496" s="9" t="s">
        <v>512</v>
      </c>
      <c r="I496" s="11" t="str">
        <f>VLOOKUP(H496,Mapping!D:E,2,0)</f>
        <v>miyapur</v>
      </c>
      <c r="J496" s="61" t="s">
        <v>390</v>
      </c>
      <c r="K496" s="12">
        <v>0.22</v>
      </c>
      <c r="L496" s="14" t="str">
        <f t="shared" si="30"/>
        <v>20%+</v>
      </c>
      <c r="M496" s="14"/>
      <c r="N496" s="14"/>
      <c r="O496" s="9" t="s">
        <v>3380</v>
      </c>
      <c r="P496" s="9" t="s">
        <v>3360</v>
      </c>
      <c r="Q496" s="9" t="s">
        <v>3291</v>
      </c>
      <c r="R496" s="16" t="s">
        <v>3381</v>
      </c>
      <c r="S496" s="9" t="s">
        <v>3382</v>
      </c>
      <c r="T496" s="9" t="s">
        <v>3380</v>
      </c>
      <c r="U496" s="9" t="s">
        <v>1129</v>
      </c>
      <c r="V496" s="17">
        <v>3.9978485949E10</v>
      </c>
      <c r="W496" s="9" t="s">
        <v>3383</v>
      </c>
      <c r="X496" s="9" t="s">
        <v>56</v>
      </c>
      <c r="Y496" s="18" t="s">
        <v>57</v>
      </c>
      <c r="Z496" s="18" t="s">
        <v>58</v>
      </c>
      <c r="AA496" s="18" t="s">
        <v>57</v>
      </c>
      <c r="AB496" s="18" t="s">
        <v>57</v>
      </c>
      <c r="AC496" s="18" t="s">
        <v>57</v>
      </c>
      <c r="AD496" s="18" t="s">
        <v>58</v>
      </c>
      <c r="AE496" s="35" t="s">
        <v>3384</v>
      </c>
      <c r="AF496" s="14"/>
      <c r="AG496" s="14"/>
      <c r="AH496" s="14"/>
      <c r="AI496" s="20"/>
      <c r="AJ496" s="14"/>
      <c r="AK496" s="14"/>
      <c r="AL496" s="14"/>
      <c r="AM496" s="14"/>
      <c r="AN496" s="14"/>
      <c r="AO496" s="14"/>
      <c r="AP496" s="14"/>
      <c r="AQ496" s="14"/>
      <c r="AR496" s="14"/>
    </row>
    <row r="497" ht="22.5" customHeight="1">
      <c r="A497" s="74">
        <v>46086.0</v>
      </c>
      <c r="B497" s="138" t="s">
        <v>3385</v>
      </c>
      <c r="C497" s="8" t="s">
        <v>96</v>
      </c>
      <c r="D497" s="9" t="s">
        <v>258</v>
      </c>
      <c r="E497" s="9" t="s">
        <v>3360</v>
      </c>
      <c r="F497" s="9" t="s">
        <v>3379</v>
      </c>
      <c r="G497" s="10">
        <v>500049.0</v>
      </c>
      <c r="H497" s="9" t="s">
        <v>1530</v>
      </c>
      <c r="I497" s="11" t="str">
        <f>VLOOKUP(H497,Mapping!D:E,2,0)</f>
        <v>hafeezpet</v>
      </c>
      <c r="J497" s="61" t="s">
        <v>390</v>
      </c>
      <c r="K497" s="12">
        <v>0.22</v>
      </c>
      <c r="L497" s="14" t="str">
        <f t="shared" si="30"/>
        <v>20%+</v>
      </c>
      <c r="M497" s="14"/>
      <c r="N497" s="14"/>
      <c r="O497" s="15" t="s">
        <v>3379</v>
      </c>
      <c r="P497" s="9" t="s">
        <v>3360</v>
      </c>
      <c r="Q497" s="9" t="s">
        <v>3291</v>
      </c>
      <c r="R497" s="16" t="s">
        <v>3381</v>
      </c>
      <c r="S497" s="9" t="s">
        <v>3382</v>
      </c>
      <c r="T497" s="9" t="s">
        <v>3380</v>
      </c>
      <c r="U497" s="9" t="s">
        <v>1129</v>
      </c>
      <c r="V497" s="17">
        <v>3.9978485949E10</v>
      </c>
      <c r="W497" s="9" t="s">
        <v>3383</v>
      </c>
      <c r="X497" s="9" t="s">
        <v>56</v>
      </c>
      <c r="Y497" s="18" t="s">
        <v>57</v>
      </c>
      <c r="Z497" s="18" t="s">
        <v>58</v>
      </c>
      <c r="AA497" s="18" t="s">
        <v>57</v>
      </c>
      <c r="AB497" s="18" t="s">
        <v>57</v>
      </c>
      <c r="AC497" s="18" t="s">
        <v>57</v>
      </c>
      <c r="AD497" s="18" t="s">
        <v>58</v>
      </c>
      <c r="AE497" s="39" t="s">
        <v>3384</v>
      </c>
      <c r="AF497" s="14"/>
      <c r="AG497" s="14"/>
      <c r="AH497" s="14"/>
      <c r="AI497" s="20"/>
      <c r="AJ497" s="14"/>
      <c r="AK497" s="14"/>
      <c r="AL497" s="14"/>
      <c r="AM497" s="14"/>
      <c r="AN497" s="14"/>
      <c r="AO497" s="14"/>
      <c r="AP497" s="14"/>
      <c r="AQ497" s="14"/>
      <c r="AR497" s="14"/>
    </row>
    <row r="498" ht="22.5" customHeight="1">
      <c r="A498" s="74">
        <v>46086.0</v>
      </c>
      <c r="B498" s="75" t="s">
        <v>3386</v>
      </c>
      <c r="C498" s="8" t="s">
        <v>96</v>
      </c>
      <c r="D498" s="9" t="s">
        <v>258</v>
      </c>
      <c r="E498" s="9" t="s">
        <v>3360</v>
      </c>
      <c r="F498" s="9" t="s">
        <v>3387</v>
      </c>
      <c r="G498" s="10">
        <v>500049.0</v>
      </c>
      <c r="H498" s="9" t="s">
        <v>512</v>
      </c>
      <c r="I498" s="11" t="str">
        <f>VLOOKUP(H498,Mapping!D:E,2,0)</f>
        <v>miyapur</v>
      </c>
      <c r="J498" s="61" t="s">
        <v>390</v>
      </c>
      <c r="K498" s="12">
        <v>0.24</v>
      </c>
      <c r="L498" s="14" t="str">
        <f t="shared" si="30"/>
        <v>20%+</v>
      </c>
      <c r="M498" s="14"/>
      <c r="N498" s="14"/>
      <c r="O498" s="9" t="s">
        <v>3380</v>
      </c>
      <c r="P498" s="9" t="s">
        <v>3360</v>
      </c>
      <c r="Q498" s="9" t="s">
        <v>3291</v>
      </c>
      <c r="R498" s="16" t="s">
        <v>3381</v>
      </c>
      <c r="S498" s="9" t="s">
        <v>3382</v>
      </c>
      <c r="T498" s="9" t="s">
        <v>3380</v>
      </c>
      <c r="U498" s="9" t="s">
        <v>1129</v>
      </c>
      <c r="V498" s="17">
        <v>3.9978485949E10</v>
      </c>
      <c r="W498" s="9" t="s">
        <v>3383</v>
      </c>
      <c r="X498" s="9" t="s">
        <v>56</v>
      </c>
      <c r="Y498" s="18" t="s">
        <v>57</v>
      </c>
      <c r="Z498" s="18" t="s">
        <v>58</v>
      </c>
      <c r="AA498" s="18" t="s">
        <v>57</v>
      </c>
      <c r="AB498" s="18" t="s">
        <v>57</v>
      </c>
      <c r="AC498" s="18" t="s">
        <v>57</v>
      </c>
      <c r="AD498" s="18" t="s">
        <v>58</v>
      </c>
      <c r="AE498" s="35" t="s">
        <v>3384</v>
      </c>
      <c r="AF498" s="14"/>
      <c r="AG498" s="14"/>
      <c r="AH498" s="14"/>
      <c r="AI498" s="20"/>
      <c r="AJ498" s="14"/>
      <c r="AK498" s="14"/>
      <c r="AL498" s="14"/>
      <c r="AM498" s="14"/>
      <c r="AN498" s="14"/>
      <c r="AO498" s="14"/>
      <c r="AP498" s="14"/>
      <c r="AQ498" s="14"/>
      <c r="AR498" s="14"/>
    </row>
    <row r="499" ht="22.5" customHeight="1">
      <c r="A499" s="74">
        <v>46086.0</v>
      </c>
      <c r="B499" s="75" t="s">
        <v>3388</v>
      </c>
      <c r="C499" s="8" t="s">
        <v>73</v>
      </c>
      <c r="D499" s="9" t="s">
        <v>3389</v>
      </c>
      <c r="E499" s="39" t="s">
        <v>3390</v>
      </c>
      <c r="F499" s="9" t="s">
        <v>3391</v>
      </c>
      <c r="G499" s="10">
        <v>500085.0</v>
      </c>
      <c r="H499" s="9" t="s">
        <v>610</v>
      </c>
      <c r="I499" s="11" t="str">
        <f>VLOOKUP(H499,Mapping!D:E,2,0)</f>
        <v>kukatpally</v>
      </c>
      <c r="J499" s="61" t="s">
        <v>390</v>
      </c>
      <c r="K499" s="12">
        <v>0.22</v>
      </c>
      <c r="L499" s="14" t="str">
        <f t="shared" si="30"/>
        <v>20%+</v>
      </c>
      <c r="M499" s="13">
        <v>0.018</v>
      </c>
      <c r="N499" s="14"/>
      <c r="O499" s="15" t="s">
        <v>3388</v>
      </c>
      <c r="P499" s="15" t="s">
        <v>610</v>
      </c>
      <c r="Q499" s="9" t="s">
        <v>3391</v>
      </c>
      <c r="R499" s="16" t="s">
        <v>3392</v>
      </c>
      <c r="S499" s="9" t="s">
        <v>3393</v>
      </c>
      <c r="T499" s="15" t="s">
        <v>3388</v>
      </c>
      <c r="U499" s="9" t="s">
        <v>3018</v>
      </c>
      <c r="V499" s="17">
        <v>8.32871618E9</v>
      </c>
      <c r="W499" s="9" t="s">
        <v>3394</v>
      </c>
      <c r="X499" s="9" t="s">
        <v>80</v>
      </c>
      <c r="Y499" s="18" t="s">
        <v>57</v>
      </c>
      <c r="Z499" s="18" t="s">
        <v>69</v>
      </c>
      <c r="AA499" s="18" t="s">
        <v>57</v>
      </c>
      <c r="AB499" s="18" t="s">
        <v>57</v>
      </c>
      <c r="AC499" s="18" t="s">
        <v>57</v>
      </c>
      <c r="AD499" s="18" t="s">
        <v>69</v>
      </c>
      <c r="AE499" s="35" t="s">
        <v>3395</v>
      </c>
      <c r="AF499" s="14"/>
      <c r="AG499" s="14"/>
      <c r="AH499" s="14"/>
      <c r="AI499" s="20"/>
      <c r="AJ499" s="14"/>
      <c r="AK499" s="14"/>
      <c r="AL499" s="14"/>
      <c r="AM499" s="14"/>
      <c r="AN499" s="14"/>
      <c r="AO499" s="14"/>
      <c r="AP499" s="14"/>
      <c r="AQ499" s="14"/>
      <c r="AR499" s="14"/>
    </row>
    <row r="500" ht="22.5" customHeight="1">
      <c r="A500" s="74">
        <v>46086.0</v>
      </c>
      <c r="B500" s="75" t="s">
        <v>3396</v>
      </c>
      <c r="C500" s="8" t="s">
        <v>96</v>
      </c>
      <c r="D500" s="9" t="s">
        <v>258</v>
      </c>
      <c r="E500" s="39" t="s">
        <v>3397</v>
      </c>
      <c r="F500" s="9" t="s">
        <v>3398</v>
      </c>
      <c r="G500" s="10">
        <v>500050.0</v>
      </c>
      <c r="H500" s="9" t="s">
        <v>512</v>
      </c>
      <c r="I500" s="11" t="str">
        <f>VLOOKUP(H500,Mapping!D:E,2,0)</f>
        <v>miyapur</v>
      </c>
      <c r="J500" s="61" t="s">
        <v>390</v>
      </c>
      <c r="K500" s="12">
        <v>0.22</v>
      </c>
      <c r="L500" s="14" t="str">
        <f t="shared" si="30"/>
        <v>20%+</v>
      </c>
      <c r="M500" s="13">
        <v>0.018</v>
      </c>
      <c r="N500" s="14"/>
      <c r="O500" s="43" t="s">
        <v>3399</v>
      </c>
      <c r="P500" s="15" t="s">
        <v>3400</v>
      </c>
      <c r="Q500" s="9" t="s">
        <v>3398</v>
      </c>
      <c r="R500" s="16" t="s">
        <v>3401</v>
      </c>
      <c r="S500" s="9" t="s">
        <v>3402</v>
      </c>
      <c r="T500" s="9" t="s">
        <v>3403</v>
      </c>
      <c r="U500" s="9" t="s">
        <v>1139</v>
      </c>
      <c r="V500" s="17">
        <v>9.20020032884901E14</v>
      </c>
      <c r="W500" s="9" t="s">
        <v>3404</v>
      </c>
      <c r="X500" s="9" t="s">
        <v>80</v>
      </c>
      <c r="Y500" s="18" t="s">
        <v>57</v>
      </c>
      <c r="Z500" s="18" t="s">
        <v>57</v>
      </c>
      <c r="AA500" s="18" t="s">
        <v>57</v>
      </c>
      <c r="AB500" s="18" t="s">
        <v>57</v>
      </c>
      <c r="AC500" s="18" t="s">
        <v>57</v>
      </c>
      <c r="AD500" s="18" t="s">
        <v>58</v>
      </c>
      <c r="AE500" s="35" t="s">
        <v>3405</v>
      </c>
      <c r="AF500" s="14"/>
      <c r="AG500" s="14"/>
      <c r="AH500" s="14"/>
      <c r="AI500" s="20"/>
      <c r="AJ500" s="14"/>
      <c r="AK500" s="14"/>
      <c r="AL500" s="14"/>
      <c r="AM500" s="14"/>
      <c r="AN500" s="14"/>
      <c r="AO500" s="14"/>
      <c r="AP500" s="14"/>
      <c r="AQ500" s="14"/>
      <c r="AR500" s="14"/>
    </row>
    <row r="501" ht="22.5" customHeight="1">
      <c r="A501" s="74">
        <v>46086.0</v>
      </c>
      <c r="B501" s="75" t="s">
        <v>3406</v>
      </c>
      <c r="C501" s="8" t="s">
        <v>96</v>
      </c>
      <c r="D501" s="9" t="s">
        <v>258</v>
      </c>
      <c r="E501" s="39" t="s">
        <v>3407</v>
      </c>
      <c r="F501" s="9" t="s">
        <v>3398</v>
      </c>
      <c r="G501" s="10">
        <v>500050.0</v>
      </c>
      <c r="H501" s="9" t="s">
        <v>512</v>
      </c>
      <c r="I501" s="11" t="str">
        <f>VLOOKUP(H501,Mapping!D:E,2,0)</f>
        <v>miyapur</v>
      </c>
      <c r="J501" s="61" t="s">
        <v>390</v>
      </c>
      <c r="K501" s="12">
        <v>0.24</v>
      </c>
      <c r="L501" s="14" t="str">
        <f t="shared" si="30"/>
        <v>20%+</v>
      </c>
      <c r="M501" s="13">
        <v>0.018</v>
      </c>
      <c r="N501" s="14"/>
      <c r="O501" s="15" t="s">
        <v>3408</v>
      </c>
      <c r="P501" s="15" t="s">
        <v>3400</v>
      </c>
      <c r="Q501" s="9" t="s">
        <v>3398</v>
      </c>
      <c r="R501" s="16" t="s">
        <v>3401</v>
      </c>
      <c r="S501" s="9" t="s">
        <v>3402</v>
      </c>
      <c r="T501" s="9" t="s">
        <v>3403</v>
      </c>
      <c r="U501" s="9" t="s">
        <v>1139</v>
      </c>
      <c r="V501" s="17">
        <v>9.20020032884901E14</v>
      </c>
      <c r="W501" s="9" t="s">
        <v>3404</v>
      </c>
      <c r="X501" s="9" t="s">
        <v>80</v>
      </c>
      <c r="Y501" s="18" t="s">
        <v>57</v>
      </c>
      <c r="Z501" s="18" t="s">
        <v>57</v>
      </c>
      <c r="AA501" s="18" t="s">
        <v>57</v>
      </c>
      <c r="AB501" s="18" t="s">
        <v>57</v>
      </c>
      <c r="AC501" s="18" t="s">
        <v>57</v>
      </c>
      <c r="AD501" s="18" t="s">
        <v>58</v>
      </c>
      <c r="AE501" s="35" t="s">
        <v>3405</v>
      </c>
      <c r="AF501" s="14"/>
      <c r="AG501" s="14"/>
      <c r="AH501" s="14"/>
      <c r="AI501" s="20"/>
      <c r="AJ501" s="14"/>
      <c r="AK501" s="14"/>
      <c r="AL501" s="14"/>
      <c r="AM501" s="14"/>
      <c r="AN501" s="14"/>
      <c r="AO501" s="14"/>
      <c r="AP501" s="14"/>
      <c r="AQ501" s="14"/>
      <c r="AR501" s="14"/>
    </row>
    <row r="502" ht="22.5" customHeight="1">
      <c r="A502" s="74">
        <v>46086.0</v>
      </c>
      <c r="B502" s="75" t="s">
        <v>3409</v>
      </c>
      <c r="C502" s="8" t="s">
        <v>241</v>
      </c>
      <c r="D502" s="9" t="s">
        <v>258</v>
      </c>
      <c r="E502" s="39" t="s">
        <v>3410</v>
      </c>
      <c r="F502" s="9" t="s">
        <v>3398</v>
      </c>
      <c r="G502" s="10">
        <v>500050.0</v>
      </c>
      <c r="H502" s="9" t="s">
        <v>512</v>
      </c>
      <c r="I502" s="11" t="str">
        <f>VLOOKUP(H502,Mapping!D:E,2,0)</f>
        <v>miyapur</v>
      </c>
      <c r="J502" s="61" t="s">
        <v>390</v>
      </c>
      <c r="K502" s="12">
        <v>0.24</v>
      </c>
      <c r="L502" s="14" t="str">
        <f t="shared" si="30"/>
        <v>20%+</v>
      </c>
      <c r="M502" s="13">
        <v>0.018</v>
      </c>
      <c r="N502" s="14"/>
      <c r="O502" s="15" t="s">
        <v>3408</v>
      </c>
      <c r="P502" s="15" t="s">
        <v>3400</v>
      </c>
      <c r="Q502" s="9" t="s">
        <v>3398</v>
      </c>
      <c r="R502" s="16" t="s">
        <v>3401</v>
      </c>
      <c r="S502" s="9" t="s">
        <v>3402</v>
      </c>
      <c r="T502" s="9" t="s">
        <v>3403</v>
      </c>
      <c r="U502" s="9" t="s">
        <v>1139</v>
      </c>
      <c r="V502" s="17">
        <v>9.20020032884901E14</v>
      </c>
      <c r="W502" s="9" t="s">
        <v>3404</v>
      </c>
      <c r="X502" s="9" t="s">
        <v>80</v>
      </c>
      <c r="Y502" s="18" t="s">
        <v>57</v>
      </c>
      <c r="Z502" s="18" t="s">
        <v>69</v>
      </c>
      <c r="AA502" s="18" t="s">
        <v>57</v>
      </c>
      <c r="AB502" s="18" t="s">
        <v>57</v>
      </c>
      <c r="AC502" s="18" t="s">
        <v>58</v>
      </c>
      <c r="AD502" s="18" t="s">
        <v>69</v>
      </c>
      <c r="AE502" s="39" t="s">
        <v>3411</v>
      </c>
      <c r="AF502" s="14"/>
      <c r="AG502" s="14"/>
      <c r="AH502" s="9" t="s">
        <v>417</v>
      </c>
      <c r="AI502" s="20"/>
      <c r="AJ502" s="14"/>
      <c r="AK502" s="14"/>
      <c r="AL502" s="14"/>
      <c r="AM502" s="14"/>
      <c r="AN502" s="14"/>
      <c r="AO502" s="14"/>
      <c r="AP502" s="14"/>
      <c r="AQ502" s="14"/>
      <c r="AR502" s="14"/>
    </row>
    <row r="503" ht="22.5" customHeight="1">
      <c r="A503" s="74">
        <v>46086.0</v>
      </c>
      <c r="B503" s="138" t="s">
        <v>3412</v>
      </c>
      <c r="C503" s="8" t="s">
        <v>241</v>
      </c>
      <c r="D503" s="9" t="s">
        <v>258</v>
      </c>
      <c r="E503" s="39" t="s">
        <v>3413</v>
      </c>
      <c r="F503" s="9" t="s">
        <v>3398</v>
      </c>
      <c r="G503" s="10">
        <v>500050.0</v>
      </c>
      <c r="H503" s="9" t="s">
        <v>512</v>
      </c>
      <c r="I503" s="11" t="str">
        <f>VLOOKUP(H503,Mapping!D:E,2,0)</f>
        <v>miyapur</v>
      </c>
      <c r="J503" s="61" t="s">
        <v>390</v>
      </c>
      <c r="K503" s="12">
        <v>0.22</v>
      </c>
      <c r="L503" s="14" t="str">
        <f t="shared" si="30"/>
        <v>20%+</v>
      </c>
      <c r="M503" s="13">
        <v>0.018</v>
      </c>
      <c r="N503" s="14"/>
      <c r="O503" s="43" t="s">
        <v>3414</v>
      </c>
      <c r="P503" s="15" t="s">
        <v>3400</v>
      </c>
      <c r="Q503" s="9" t="s">
        <v>3398</v>
      </c>
      <c r="R503" s="16" t="s">
        <v>3401</v>
      </c>
      <c r="S503" s="9" t="s">
        <v>3402</v>
      </c>
      <c r="T503" s="9" t="s">
        <v>3403</v>
      </c>
      <c r="U503" s="9" t="s">
        <v>1139</v>
      </c>
      <c r="V503" s="17">
        <v>9.20020032884901E14</v>
      </c>
      <c r="W503" s="9" t="s">
        <v>3404</v>
      </c>
      <c r="X503" s="9" t="s">
        <v>80</v>
      </c>
      <c r="Y503" s="18" t="s">
        <v>57</v>
      </c>
      <c r="Z503" s="18" t="s">
        <v>69</v>
      </c>
      <c r="AA503" s="18" t="s">
        <v>57</v>
      </c>
      <c r="AB503" s="18" t="s">
        <v>57</v>
      </c>
      <c r="AC503" s="18" t="s">
        <v>58</v>
      </c>
      <c r="AD503" s="18" t="s">
        <v>69</v>
      </c>
      <c r="AE503" s="39" t="s">
        <v>3411</v>
      </c>
      <c r="AF503" s="14"/>
      <c r="AG503" s="14"/>
      <c r="AH503" s="9" t="s">
        <v>417</v>
      </c>
      <c r="AI503" s="20"/>
      <c r="AJ503" s="14"/>
      <c r="AK503" s="14"/>
      <c r="AL503" s="14"/>
      <c r="AM503" s="14"/>
      <c r="AN503" s="14"/>
      <c r="AO503" s="14"/>
      <c r="AP503" s="14"/>
      <c r="AQ503" s="14"/>
      <c r="AR503" s="14"/>
    </row>
    <row r="504" ht="22.5" customHeight="1">
      <c r="A504" s="74">
        <v>46086.0</v>
      </c>
      <c r="B504" s="75" t="s">
        <v>3414</v>
      </c>
      <c r="C504" s="8" t="s">
        <v>96</v>
      </c>
      <c r="D504" s="9" t="s">
        <v>258</v>
      </c>
      <c r="E504" s="39" t="s">
        <v>3415</v>
      </c>
      <c r="F504" s="9" t="s">
        <v>3398</v>
      </c>
      <c r="G504" s="10">
        <v>500050.0</v>
      </c>
      <c r="H504" s="9" t="s">
        <v>512</v>
      </c>
      <c r="I504" s="11" t="str">
        <f>VLOOKUP(H504,Mapping!D:E,2,0)</f>
        <v>miyapur</v>
      </c>
      <c r="J504" s="61" t="s">
        <v>390</v>
      </c>
      <c r="K504" s="12">
        <v>0.22</v>
      </c>
      <c r="L504" s="14" t="str">
        <f t="shared" si="30"/>
        <v>20%+</v>
      </c>
      <c r="M504" s="13">
        <v>0.018</v>
      </c>
      <c r="N504" s="14"/>
      <c r="O504" s="43" t="s">
        <v>3414</v>
      </c>
      <c r="P504" s="15" t="s">
        <v>3400</v>
      </c>
      <c r="Q504" s="9" t="s">
        <v>3398</v>
      </c>
      <c r="R504" s="16" t="s">
        <v>3401</v>
      </c>
      <c r="S504" s="9" t="s">
        <v>3402</v>
      </c>
      <c r="T504" s="9" t="s">
        <v>3403</v>
      </c>
      <c r="U504" s="9" t="s">
        <v>1139</v>
      </c>
      <c r="V504" s="17">
        <v>9.20020032884901E14</v>
      </c>
      <c r="W504" s="9" t="s">
        <v>3404</v>
      </c>
      <c r="X504" s="9" t="s">
        <v>80</v>
      </c>
      <c r="Y504" s="18" t="s">
        <v>57</v>
      </c>
      <c r="Z504" s="18" t="s">
        <v>57</v>
      </c>
      <c r="AA504" s="18" t="s">
        <v>57</v>
      </c>
      <c r="AB504" s="18" t="s">
        <v>57</v>
      </c>
      <c r="AC504" s="18" t="s">
        <v>57</v>
      </c>
      <c r="AD504" s="18" t="s">
        <v>58</v>
      </c>
      <c r="AE504" s="35" t="s">
        <v>3405</v>
      </c>
      <c r="AF504" s="14"/>
      <c r="AG504" s="14"/>
      <c r="AH504" s="14"/>
      <c r="AI504" s="20"/>
      <c r="AJ504" s="14"/>
      <c r="AK504" s="14"/>
      <c r="AL504" s="14"/>
      <c r="AM504" s="14"/>
      <c r="AN504" s="14"/>
      <c r="AO504" s="14"/>
      <c r="AP504" s="14"/>
      <c r="AQ504" s="14"/>
      <c r="AR504" s="14"/>
    </row>
    <row r="505" ht="22.5" customHeight="1">
      <c r="A505" s="74">
        <v>46086.0</v>
      </c>
      <c r="B505" s="138" t="s">
        <v>3416</v>
      </c>
      <c r="C505" s="8" t="s">
        <v>241</v>
      </c>
      <c r="D505" s="9" t="s">
        <v>258</v>
      </c>
      <c r="E505" s="39" t="s">
        <v>3417</v>
      </c>
      <c r="F505" s="9" t="s">
        <v>3398</v>
      </c>
      <c r="G505" s="10">
        <v>500050.0</v>
      </c>
      <c r="H505" s="9" t="s">
        <v>512</v>
      </c>
      <c r="I505" s="11" t="str">
        <f>VLOOKUP(H505,Mapping!D:E,2,0)</f>
        <v>miyapur</v>
      </c>
      <c r="J505" s="61" t="s">
        <v>390</v>
      </c>
      <c r="K505" s="12">
        <v>0.24</v>
      </c>
      <c r="L505" s="14" t="str">
        <f t="shared" si="30"/>
        <v>20%+</v>
      </c>
      <c r="M505" s="13">
        <v>0.018</v>
      </c>
      <c r="N505" s="14"/>
      <c r="O505" s="43" t="s">
        <v>3416</v>
      </c>
      <c r="P505" s="15" t="s">
        <v>3400</v>
      </c>
      <c r="Q505" s="9" t="s">
        <v>3398</v>
      </c>
      <c r="R505" s="16" t="s">
        <v>3401</v>
      </c>
      <c r="S505" s="9" t="s">
        <v>3402</v>
      </c>
      <c r="T505" s="9" t="s">
        <v>3403</v>
      </c>
      <c r="U505" s="9" t="s">
        <v>1139</v>
      </c>
      <c r="V505" s="17">
        <v>9.20020032884901E14</v>
      </c>
      <c r="W505" s="9" t="s">
        <v>3404</v>
      </c>
      <c r="X505" s="9" t="s">
        <v>80</v>
      </c>
      <c r="Y505" s="18" t="s">
        <v>57</v>
      </c>
      <c r="Z505" s="18" t="s">
        <v>69</v>
      </c>
      <c r="AA505" s="18" t="s">
        <v>57</v>
      </c>
      <c r="AB505" s="18" t="s">
        <v>57</v>
      </c>
      <c r="AC505" s="18" t="s">
        <v>58</v>
      </c>
      <c r="AD505" s="18" t="s">
        <v>69</v>
      </c>
      <c r="AE505" s="39" t="s">
        <v>3411</v>
      </c>
      <c r="AF505" s="14"/>
      <c r="AG505" s="14"/>
      <c r="AH505" s="9" t="s">
        <v>417</v>
      </c>
      <c r="AI505" s="20"/>
      <c r="AJ505" s="14"/>
      <c r="AK505" s="14"/>
      <c r="AL505" s="14"/>
      <c r="AM505" s="14"/>
      <c r="AN505" s="14"/>
      <c r="AO505" s="14"/>
      <c r="AP505" s="14"/>
      <c r="AQ505" s="14"/>
      <c r="AR505" s="14"/>
    </row>
    <row r="506" ht="22.5" customHeight="1">
      <c r="A506" s="74">
        <v>46086.0</v>
      </c>
      <c r="B506" s="138" t="s">
        <v>3418</v>
      </c>
      <c r="C506" s="8" t="s">
        <v>241</v>
      </c>
      <c r="D506" s="9" t="s">
        <v>258</v>
      </c>
      <c r="E506" s="39" t="s">
        <v>3419</v>
      </c>
      <c r="F506" s="9" t="s">
        <v>3398</v>
      </c>
      <c r="G506" s="10">
        <v>500050.0</v>
      </c>
      <c r="H506" s="9" t="s">
        <v>512</v>
      </c>
      <c r="I506" s="11" t="str">
        <f>VLOOKUP(H506,Mapping!D:E,2,0)</f>
        <v>miyapur</v>
      </c>
      <c r="J506" s="61" t="s">
        <v>390</v>
      </c>
      <c r="K506" s="12">
        <v>0.22</v>
      </c>
      <c r="L506" s="14" t="str">
        <f t="shared" si="30"/>
        <v>20%+</v>
      </c>
      <c r="M506" s="13">
        <v>0.018</v>
      </c>
      <c r="N506" s="14"/>
      <c r="O506" s="43" t="s">
        <v>3418</v>
      </c>
      <c r="P506" s="15" t="s">
        <v>3400</v>
      </c>
      <c r="Q506" s="9" t="s">
        <v>3398</v>
      </c>
      <c r="R506" s="16" t="s">
        <v>3401</v>
      </c>
      <c r="S506" s="9" t="s">
        <v>3402</v>
      </c>
      <c r="T506" s="9" t="s">
        <v>3403</v>
      </c>
      <c r="U506" s="9" t="s">
        <v>1139</v>
      </c>
      <c r="V506" s="17">
        <v>9.20020032884901E14</v>
      </c>
      <c r="W506" s="9" t="s">
        <v>3404</v>
      </c>
      <c r="X506" s="9" t="s">
        <v>80</v>
      </c>
      <c r="Y506" s="18" t="s">
        <v>57</v>
      </c>
      <c r="Z506" s="18" t="s">
        <v>69</v>
      </c>
      <c r="AA506" s="18" t="s">
        <v>57</v>
      </c>
      <c r="AB506" s="18" t="s">
        <v>57</v>
      </c>
      <c r="AC506" s="18" t="s">
        <v>58</v>
      </c>
      <c r="AD506" s="18" t="s">
        <v>69</v>
      </c>
      <c r="AE506" s="33" t="s">
        <v>3411</v>
      </c>
      <c r="AF506" s="14"/>
      <c r="AG506" s="14"/>
      <c r="AH506" s="9" t="s">
        <v>417</v>
      </c>
      <c r="AI506" s="20"/>
      <c r="AJ506" s="14"/>
      <c r="AK506" s="14"/>
      <c r="AL506" s="14"/>
      <c r="AM506" s="14"/>
      <c r="AN506" s="14"/>
      <c r="AO506" s="14"/>
      <c r="AP506" s="14"/>
      <c r="AQ506" s="14"/>
      <c r="AR506" s="14"/>
    </row>
    <row r="507" ht="22.5" customHeight="1">
      <c r="A507" s="74">
        <v>46086.0</v>
      </c>
      <c r="B507" s="138" t="s">
        <v>3420</v>
      </c>
      <c r="C507" s="8" t="s">
        <v>241</v>
      </c>
      <c r="D507" s="9" t="s">
        <v>258</v>
      </c>
      <c r="E507" s="39" t="s">
        <v>3421</v>
      </c>
      <c r="F507" s="9" t="s">
        <v>3398</v>
      </c>
      <c r="G507" s="10">
        <v>500050.0</v>
      </c>
      <c r="H507" s="9" t="s">
        <v>512</v>
      </c>
      <c r="I507" s="11" t="str">
        <f>VLOOKUP(H507,Mapping!D:E,2,0)</f>
        <v>miyapur</v>
      </c>
      <c r="J507" s="61" t="s">
        <v>390</v>
      </c>
      <c r="K507" s="12">
        <v>0.22</v>
      </c>
      <c r="L507" s="14" t="str">
        <f t="shared" si="30"/>
        <v>20%+</v>
      </c>
      <c r="M507" s="13">
        <v>0.018</v>
      </c>
      <c r="N507" s="14"/>
      <c r="O507" s="138" t="s">
        <v>3420</v>
      </c>
      <c r="P507" s="15" t="s">
        <v>3400</v>
      </c>
      <c r="Q507" s="9" t="s">
        <v>3398</v>
      </c>
      <c r="R507" s="16" t="s">
        <v>3401</v>
      </c>
      <c r="S507" s="9" t="s">
        <v>3402</v>
      </c>
      <c r="T507" s="9" t="s">
        <v>3403</v>
      </c>
      <c r="U507" s="9" t="s">
        <v>1139</v>
      </c>
      <c r="V507" s="17">
        <v>9.20020032884901E14</v>
      </c>
      <c r="W507" s="9" t="s">
        <v>3404</v>
      </c>
      <c r="X507" s="9" t="s">
        <v>80</v>
      </c>
      <c r="Y507" s="18" t="s">
        <v>57</v>
      </c>
      <c r="Z507" s="18" t="s">
        <v>69</v>
      </c>
      <c r="AA507" s="18" t="s">
        <v>57</v>
      </c>
      <c r="AB507" s="18" t="s">
        <v>57</v>
      </c>
      <c r="AC507" s="18" t="s">
        <v>58</v>
      </c>
      <c r="AD507" s="18" t="s">
        <v>69</v>
      </c>
      <c r="AE507" s="39" t="s">
        <v>3411</v>
      </c>
      <c r="AF507" s="14"/>
      <c r="AG507" s="14"/>
      <c r="AH507" s="9" t="s">
        <v>417</v>
      </c>
      <c r="AI507" s="20"/>
      <c r="AJ507" s="14"/>
      <c r="AK507" s="14"/>
      <c r="AL507" s="14"/>
      <c r="AM507" s="14"/>
      <c r="AN507" s="14"/>
      <c r="AO507" s="14"/>
      <c r="AP507" s="14"/>
      <c r="AQ507" s="14"/>
      <c r="AR507" s="14"/>
    </row>
    <row r="508" ht="22.5" customHeight="1">
      <c r="A508" s="74">
        <v>46086.0</v>
      </c>
      <c r="B508" s="75" t="s">
        <v>3422</v>
      </c>
      <c r="C508" s="8" t="s">
        <v>96</v>
      </c>
      <c r="D508" s="9" t="s">
        <v>258</v>
      </c>
      <c r="E508" s="39" t="s">
        <v>3423</v>
      </c>
      <c r="F508" s="9" t="s">
        <v>3398</v>
      </c>
      <c r="G508" s="10">
        <v>500050.0</v>
      </c>
      <c r="H508" s="9" t="s">
        <v>512</v>
      </c>
      <c r="I508" s="11" t="str">
        <f>VLOOKUP(H508,Mapping!D:E,2,0)</f>
        <v>miyapur</v>
      </c>
      <c r="J508" s="61" t="s">
        <v>390</v>
      </c>
      <c r="K508" s="12">
        <v>0.24</v>
      </c>
      <c r="L508" s="14" t="str">
        <f t="shared" si="30"/>
        <v>20%+</v>
      </c>
      <c r="M508" s="13">
        <v>0.018</v>
      </c>
      <c r="N508" s="14"/>
      <c r="O508" s="43" t="s">
        <v>3414</v>
      </c>
      <c r="P508" s="15" t="s">
        <v>3400</v>
      </c>
      <c r="Q508" s="9" t="s">
        <v>3398</v>
      </c>
      <c r="R508" s="16" t="s">
        <v>3401</v>
      </c>
      <c r="S508" s="9" t="s">
        <v>3402</v>
      </c>
      <c r="T508" s="9" t="s">
        <v>3403</v>
      </c>
      <c r="U508" s="9" t="s">
        <v>1139</v>
      </c>
      <c r="V508" s="17">
        <v>9.20020032884901E14</v>
      </c>
      <c r="W508" s="9" t="s">
        <v>3404</v>
      </c>
      <c r="X508" s="9" t="s">
        <v>80</v>
      </c>
      <c r="Y508" s="18" t="s">
        <v>57</v>
      </c>
      <c r="Z508" s="18" t="s">
        <v>57</v>
      </c>
      <c r="AA508" s="18" t="s">
        <v>57</v>
      </c>
      <c r="AB508" s="18" t="s">
        <v>57</v>
      </c>
      <c r="AC508" s="18" t="s">
        <v>57</v>
      </c>
      <c r="AD508" s="18" t="s">
        <v>58</v>
      </c>
      <c r="AE508" s="35" t="s">
        <v>3405</v>
      </c>
      <c r="AF508" s="14"/>
      <c r="AG508" s="14"/>
      <c r="AH508" s="14"/>
      <c r="AI508" s="20"/>
      <c r="AJ508" s="14"/>
      <c r="AK508" s="14"/>
      <c r="AL508" s="14"/>
      <c r="AM508" s="14"/>
      <c r="AN508" s="14"/>
      <c r="AO508" s="14"/>
      <c r="AP508" s="14"/>
      <c r="AQ508" s="14"/>
      <c r="AR508" s="14"/>
    </row>
    <row r="509" ht="22.5" customHeight="1">
      <c r="A509" s="74">
        <v>46086.0</v>
      </c>
      <c r="B509" s="138" t="s">
        <v>3424</v>
      </c>
      <c r="C509" s="8" t="s">
        <v>241</v>
      </c>
      <c r="D509" s="9" t="s">
        <v>258</v>
      </c>
      <c r="E509" s="9" t="s">
        <v>3425</v>
      </c>
      <c r="F509" s="9" t="s">
        <v>3426</v>
      </c>
      <c r="G509" s="10">
        <v>500050.0</v>
      </c>
      <c r="H509" s="9" t="s">
        <v>512</v>
      </c>
      <c r="I509" s="11" t="str">
        <f>VLOOKUP(H509,Mapping!D:E,2,0)</f>
        <v>miyapur</v>
      </c>
      <c r="J509" s="61" t="s">
        <v>390</v>
      </c>
      <c r="K509" s="12">
        <v>0.24</v>
      </c>
      <c r="L509" s="14" t="str">
        <f t="shared" si="30"/>
        <v>20%+</v>
      </c>
      <c r="M509" s="14"/>
      <c r="N509" s="14"/>
      <c r="O509" s="15" t="s">
        <v>3424</v>
      </c>
      <c r="P509" s="15" t="s">
        <v>3425</v>
      </c>
      <c r="Q509" s="9" t="s">
        <v>3426</v>
      </c>
      <c r="R509" s="16" t="s">
        <v>3427</v>
      </c>
      <c r="S509" s="9" t="s">
        <v>3428</v>
      </c>
      <c r="T509" s="9" t="s">
        <v>3429</v>
      </c>
      <c r="U509" s="9" t="s">
        <v>1129</v>
      </c>
      <c r="V509" s="17">
        <v>2.0269211075E10</v>
      </c>
      <c r="W509" s="9" t="s">
        <v>3430</v>
      </c>
      <c r="X509" s="9" t="s">
        <v>56</v>
      </c>
      <c r="Y509" s="18" t="s">
        <v>57</v>
      </c>
      <c r="Z509" s="18" t="s">
        <v>69</v>
      </c>
      <c r="AA509" s="18" t="s">
        <v>57</v>
      </c>
      <c r="AB509" s="18" t="s">
        <v>57</v>
      </c>
      <c r="AC509" s="18" t="s">
        <v>57</v>
      </c>
      <c r="AD509" s="18" t="s">
        <v>69</v>
      </c>
      <c r="AE509" s="35" t="s">
        <v>3431</v>
      </c>
      <c r="AF509" s="14"/>
      <c r="AG509" s="14"/>
      <c r="AH509" s="9" t="s">
        <v>3432</v>
      </c>
      <c r="AI509" s="20"/>
      <c r="AJ509" s="14"/>
      <c r="AK509" s="14"/>
      <c r="AL509" s="14"/>
      <c r="AM509" s="14"/>
      <c r="AN509" s="14"/>
      <c r="AO509" s="14"/>
      <c r="AP509" s="14"/>
      <c r="AQ509" s="14"/>
      <c r="AR509" s="14"/>
    </row>
    <row r="510" ht="22.5" customHeight="1">
      <c r="A510" s="74">
        <v>46086.0</v>
      </c>
      <c r="B510" s="75" t="s">
        <v>3433</v>
      </c>
      <c r="C510" s="8" t="s">
        <v>241</v>
      </c>
      <c r="D510" s="9" t="s">
        <v>258</v>
      </c>
      <c r="E510" s="9" t="s">
        <v>3434</v>
      </c>
      <c r="F510" s="9" t="s">
        <v>3435</v>
      </c>
      <c r="G510" s="10">
        <v>500019.0</v>
      </c>
      <c r="H510" s="9" t="s">
        <v>1530</v>
      </c>
      <c r="I510" s="11" t="str">
        <f>VLOOKUP(H510,Mapping!D:E,2,0)</f>
        <v>hafeezpet</v>
      </c>
      <c r="J510" s="61" t="s">
        <v>390</v>
      </c>
      <c r="K510" s="12">
        <v>0.22</v>
      </c>
      <c r="L510" s="14" t="str">
        <f t="shared" si="30"/>
        <v>20%+</v>
      </c>
      <c r="M510" s="14"/>
      <c r="N510" s="14"/>
      <c r="O510" s="133" t="s">
        <v>3433</v>
      </c>
      <c r="P510" s="15" t="s">
        <v>3434</v>
      </c>
      <c r="Q510" s="9" t="s">
        <v>3435</v>
      </c>
      <c r="R510" s="16" t="s">
        <v>3436</v>
      </c>
      <c r="S510" s="9" t="s">
        <v>3437</v>
      </c>
      <c r="T510" s="9" t="s">
        <v>3435</v>
      </c>
      <c r="U510" s="9" t="s">
        <v>254</v>
      </c>
      <c r="V510" s="17">
        <v>7.549267543E9</v>
      </c>
      <c r="W510" s="9" t="s">
        <v>3438</v>
      </c>
      <c r="X510" s="9" t="s">
        <v>80</v>
      </c>
      <c r="Y510" s="18" t="s">
        <v>57</v>
      </c>
      <c r="Z510" s="18" t="s">
        <v>57</v>
      </c>
      <c r="AA510" s="18" t="s">
        <v>57</v>
      </c>
      <c r="AB510" s="18" t="s">
        <v>57</v>
      </c>
      <c r="AC510" s="18" t="s">
        <v>57</v>
      </c>
      <c r="AD510" s="18" t="s">
        <v>69</v>
      </c>
      <c r="AE510" s="39" t="s">
        <v>3439</v>
      </c>
      <c r="AF510" s="14"/>
      <c r="AG510" s="14"/>
      <c r="AH510" s="9" t="s">
        <v>417</v>
      </c>
      <c r="AI510" s="20"/>
      <c r="AJ510" s="14"/>
      <c r="AK510" s="14"/>
      <c r="AL510" s="14"/>
      <c r="AM510" s="14"/>
      <c r="AN510" s="14"/>
      <c r="AO510" s="14"/>
      <c r="AP510" s="14"/>
      <c r="AQ510" s="14"/>
      <c r="AR510" s="14"/>
    </row>
    <row r="511" ht="22.5" customHeight="1">
      <c r="A511" s="74">
        <v>46086.0</v>
      </c>
      <c r="B511" s="138" t="s">
        <v>3433</v>
      </c>
      <c r="C511" s="8" t="s">
        <v>96</v>
      </c>
      <c r="D511" s="9" t="s">
        <v>258</v>
      </c>
      <c r="E511" s="9" t="s">
        <v>3434</v>
      </c>
      <c r="F511" s="9" t="s">
        <v>3435</v>
      </c>
      <c r="G511" s="10">
        <v>500019.0</v>
      </c>
      <c r="H511" s="9" t="s">
        <v>1530</v>
      </c>
      <c r="I511" s="11" t="str">
        <f>VLOOKUP(H511,Mapping!D:E,2,0)</f>
        <v>hafeezpet</v>
      </c>
      <c r="J511" s="61" t="s">
        <v>390</v>
      </c>
      <c r="K511" s="12">
        <v>0.22</v>
      </c>
      <c r="L511" s="14" t="str">
        <f t="shared" si="30"/>
        <v>20%+</v>
      </c>
      <c r="M511" s="14"/>
      <c r="N511" s="14"/>
      <c r="O511" s="9" t="s">
        <v>3440</v>
      </c>
      <c r="P511" s="15" t="s">
        <v>3434</v>
      </c>
      <c r="Q511" s="9" t="s">
        <v>3435</v>
      </c>
      <c r="R511" s="16" t="s">
        <v>3436</v>
      </c>
      <c r="S511" s="9" t="s">
        <v>3437</v>
      </c>
      <c r="T511" s="9" t="s">
        <v>3435</v>
      </c>
      <c r="U511" s="9" t="s">
        <v>254</v>
      </c>
      <c r="V511" s="17">
        <v>7.549267543E9</v>
      </c>
      <c r="W511" s="9" t="s">
        <v>3438</v>
      </c>
      <c r="X511" s="9" t="s">
        <v>80</v>
      </c>
      <c r="Y511" s="18" t="s">
        <v>57</v>
      </c>
      <c r="Z511" s="18" t="s">
        <v>58</v>
      </c>
      <c r="AA511" s="18" t="s">
        <v>57</v>
      </c>
      <c r="AB511" s="18" t="s">
        <v>57</v>
      </c>
      <c r="AC511" s="18" t="s">
        <v>57</v>
      </c>
      <c r="AD511" s="18" t="s">
        <v>58</v>
      </c>
      <c r="AE511" s="35" t="s">
        <v>3441</v>
      </c>
      <c r="AF511" s="14"/>
      <c r="AG511" s="14"/>
      <c r="AH511" s="14"/>
      <c r="AI511" s="20"/>
      <c r="AJ511" s="14"/>
      <c r="AK511" s="14"/>
      <c r="AL511" s="14"/>
      <c r="AM511" s="14"/>
      <c r="AN511" s="14"/>
      <c r="AO511" s="14"/>
      <c r="AP511" s="14"/>
      <c r="AQ511" s="14"/>
      <c r="AR511" s="14"/>
    </row>
    <row r="512" ht="22.5" customHeight="1">
      <c r="A512" s="74">
        <v>46086.0</v>
      </c>
      <c r="B512" s="75" t="s">
        <v>3442</v>
      </c>
      <c r="C512" s="8" t="s">
        <v>1919</v>
      </c>
      <c r="D512" s="9" t="s">
        <v>258</v>
      </c>
      <c r="E512" s="9" t="s">
        <v>3443</v>
      </c>
      <c r="F512" s="9" t="s">
        <v>3444</v>
      </c>
      <c r="G512" s="10">
        <v>500084.0</v>
      </c>
      <c r="H512" s="9" t="s">
        <v>389</v>
      </c>
      <c r="I512" s="11" t="str">
        <f>VLOOKUP(H512,Mapping!D:E,2,0)</f>
        <v>Kondapur</v>
      </c>
      <c r="J512" s="61" t="s">
        <v>390</v>
      </c>
      <c r="K512" s="12">
        <v>0.2</v>
      </c>
      <c r="L512" s="14" t="str">
        <f t="shared" si="30"/>
        <v>20%+</v>
      </c>
      <c r="M512" s="13">
        <v>0.018</v>
      </c>
      <c r="N512" s="14"/>
      <c r="O512" s="9" t="s">
        <v>3444</v>
      </c>
      <c r="P512" s="9" t="s">
        <v>3445</v>
      </c>
      <c r="Q512" s="15" t="s">
        <v>3444</v>
      </c>
      <c r="R512" s="60" t="s">
        <v>3446</v>
      </c>
      <c r="S512" s="16" t="s">
        <v>3447</v>
      </c>
      <c r="T512" s="15" t="s">
        <v>3444</v>
      </c>
      <c r="U512" s="9" t="s">
        <v>2942</v>
      </c>
      <c r="V512" s="9" t="s">
        <v>3448</v>
      </c>
      <c r="W512" s="17" t="s">
        <v>3449</v>
      </c>
      <c r="X512" s="9" t="s">
        <v>80</v>
      </c>
      <c r="Y512" s="18" t="s">
        <v>57</v>
      </c>
      <c r="Z512" s="18" t="s">
        <v>57</v>
      </c>
      <c r="AA512" s="18" t="s">
        <v>57</v>
      </c>
      <c r="AB512" s="18" t="s">
        <v>57</v>
      </c>
      <c r="AC512" s="18" t="s">
        <v>58</v>
      </c>
      <c r="AD512" s="18" t="s">
        <v>58</v>
      </c>
      <c r="AE512" s="35" t="s">
        <v>3450</v>
      </c>
      <c r="AF512" s="9" t="s">
        <v>3451</v>
      </c>
      <c r="AG512" s="9" t="s">
        <v>1198</v>
      </c>
      <c r="AH512" s="9" t="s">
        <v>3452</v>
      </c>
      <c r="AI512" s="8"/>
      <c r="AJ512" s="14"/>
      <c r="AK512" s="14"/>
      <c r="AL512" s="14"/>
      <c r="AM512" s="14"/>
      <c r="AN512" s="14"/>
      <c r="AO512" s="14"/>
      <c r="AP512" s="14"/>
      <c r="AQ512" s="14"/>
      <c r="AR512" s="14"/>
    </row>
    <row r="513" ht="22.5" customHeight="1">
      <c r="A513" s="74">
        <v>46086.0</v>
      </c>
      <c r="B513" s="138" t="s">
        <v>3453</v>
      </c>
      <c r="C513" s="8" t="s">
        <v>96</v>
      </c>
      <c r="D513" s="9" t="s">
        <v>258</v>
      </c>
      <c r="E513" s="9" t="s">
        <v>3360</v>
      </c>
      <c r="F513" s="9" t="s">
        <v>3361</v>
      </c>
      <c r="G513" s="10">
        <v>500049.0</v>
      </c>
      <c r="H513" s="9" t="s">
        <v>1530</v>
      </c>
      <c r="I513" s="11" t="str">
        <f>VLOOKUP(H513,Mapping!D:E,2,0)</f>
        <v>hafeezpet</v>
      </c>
      <c r="J513" s="61" t="s">
        <v>390</v>
      </c>
      <c r="K513" s="12">
        <v>0.2</v>
      </c>
      <c r="L513" s="14" t="str">
        <f t="shared" si="30"/>
        <v>20%+</v>
      </c>
      <c r="M513" s="14"/>
      <c r="N513" s="14"/>
      <c r="O513" s="9" t="s">
        <v>3453</v>
      </c>
      <c r="P513" s="9" t="s">
        <v>3363</v>
      </c>
      <c r="Q513" s="9" t="s">
        <v>3361</v>
      </c>
      <c r="R513" s="16" t="s">
        <v>3364</v>
      </c>
      <c r="S513" s="9" t="s">
        <v>3365</v>
      </c>
      <c r="T513" s="9" t="s">
        <v>3361</v>
      </c>
      <c r="U513" s="9" t="s">
        <v>254</v>
      </c>
      <c r="V513" s="17">
        <v>7.148915104E9</v>
      </c>
      <c r="W513" s="9" t="s">
        <v>1731</v>
      </c>
      <c r="X513" s="9" t="s">
        <v>56</v>
      </c>
      <c r="Y513" s="18" t="s">
        <v>57</v>
      </c>
      <c r="Z513" s="18" t="s">
        <v>58</v>
      </c>
      <c r="AA513" s="18" t="s">
        <v>57</v>
      </c>
      <c r="AB513" s="18" t="s">
        <v>57</v>
      </c>
      <c r="AC513" s="18" t="s">
        <v>57</v>
      </c>
      <c r="AD513" s="18" t="s">
        <v>58</v>
      </c>
      <c r="AE513" s="35" t="s">
        <v>3366</v>
      </c>
      <c r="AF513" s="14"/>
      <c r="AG513" s="14"/>
      <c r="AH513" s="14"/>
      <c r="AI513" s="20"/>
      <c r="AJ513" s="14"/>
      <c r="AK513" s="14"/>
      <c r="AL513" s="14"/>
      <c r="AM513" s="14"/>
      <c r="AN513" s="14"/>
      <c r="AO513" s="14"/>
      <c r="AP513" s="14"/>
      <c r="AQ513" s="14"/>
      <c r="AR513" s="14"/>
    </row>
    <row r="514" ht="22.5" customHeight="1">
      <c r="A514" s="74">
        <v>46086.0</v>
      </c>
      <c r="B514" s="75" t="s">
        <v>3454</v>
      </c>
      <c r="C514" s="8" t="s">
        <v>1919</v>
      </c>
      <c r="D514" s="9" t="s">
        <v>258</v>
      </c>
      <c r="E514" s="9" t="s">
        <v>3455</v>
      </c>
      <c r="F514" s="9" t="s">
        <v>3456</v>
      </c>
      <c r="G514" s="10">
        <v>500090.0</v>
      </c>
      <c r="H514" s="9" t="s">
        <v>610</v>
      </c>
      <c r="I514" s="11" t="str">
        <f>VLOOKUP(H514,Mapping!D:E,2,0)</f>
        <v>kukatpally</v>
      </c>
      <c r="J514" s="61" t="s">
        <v>390</v>
      </c>
      <c r="K514" s="12">
        <v>0.2</v>
      </c>
      <c r="L514" s="14" t="str">
        <f t="shared" si="30"/>
        <v>20%+</v>
      </c>
      <c r="M514" s="13">
        <v>0.018</v>
      </c>
      <c r="N514" s="14"/>
      <c r="O514" s="15" t="s">
        <v>3456</v>
      </c>
      <c r="P514" s="9" t="s">
        <v>3455</v>
      </c>
      <c r="Q514" s="15" t="s">
        <v>3456</v>
      </c>
      <c r="R514" s="16" t="s">
        <v>3457</v>
      </c>
      <c r="S514" s="9" t="s">
        <v>3458</v>
      </c>
      <c r="T514" s="15" t="s">
        <v>3456</v>
      </c>
      <c r="U514" s="9" t="s">
        <v>1014</v>
      </c>
      <c r="V514" s="17">
        <v>5.0200102359455E13</v>
      </c>
      <c r="W514" s="9" t="s">
        <v>3459</v>
      </c>
      <c r="X514" s="9" t="s">
        <v>80</v>
      </c>
      <c r="Y514" s="18" t="s">
        <v>57</v>
      </c>
      <c r="Z514" s="18" t="s">
        <v>57</v>
      </c>
      <c r="AA514" s="18" t="s">
        <v>57</v>
      </c>
      <c r="AB514" s="18" t="s">
        <v>57</v>
      </c>
      <c r="AC514" s="18" t="s">
        <v>57</v>
      </c>
      <c r="AD514" s="18" t="s">
        <v>58</v>
      </c>
      <c r="AE514" s="35" t="s">
        <v>3460</v>
      </c>
      <c r="AF514" s="14"/>
      <c r="AG514" s="9" t="s">
        <v>610</v>
      </c>
      <c r="AH514" s="9" t="s">
        <v>3461</v>
      </c>
      <c r="AI514" s="20"/>
      <c r="AJ514" s="14"/>
      <c r="AK514" s="14"/>
      <c r="AL514" s="14"/>
      <c r="AM514" s="14"/>
      <c r="AN514" s="14"/>
      <c r="AO514" s="14"/>
      <c r="AP514" s="14"/>
      <c r="AQ514" s="14"/>
      <c r="AR514" s="14"/>
    </row>
    <row r="515" ht="22.5" customHeight="1">
      <c r="A515" s="74">
        <v>46086.0</v>
      </c>
      <c r="B515" s="138" t="s">
        <v>3462</v>
      </c>
      <c r="C515" s="8" t="s">
        <v>248</v>
      </c>
      <c r="D515" s="9" t="s">
        <v>258</v>
      </c>
      <c r="E515" s="9" t="s">
        <v>3463</v>
      </c>
      <c r="F515" s="9" t="s">
        <v>3464</v>
      </c>
      <c r="G515" s="10">
        <v>500085.0</v>
      </c>
      <c r="H515" s="9" t="s">
        <v>147</v>
      </c>
      <c r="I515" s="11" t="str">
        <f>VLOOKUP(H515,Mapping!D:E,2,0)</f>
        <v>madhapur</v>
      </c>
      <c r="J515" s="61" t="s">
        <v>148</v>
      </c>
      <c r="K515" s="12">
        <v>0.2</v>
      </c>
      <c r="L515" s="14" t="str">
        <f t="shared" si="30"/>
        <v>20%+</v>
      </c>
      <c r="M515" s="13">
        <v>0.018</v>
      </c>
      <c r="N515" s="14"/>
      <c r="O515" s="9" t="s">
        <v>3464</v>
      </c>
      <c r="P515" s="9" t="s">
        <v>3465</v>
      </c>
      <c r="Q515" s="9" t="s">
        <v>3464</v>
      </c>
      <c r="R515" s="16" t="s">
        <v>3466</v>
      </c>
      <c r="S515" s="9" t="s">
        <v>3467</v>
      </c>
      <c r="T515" s="9" t="s">
        <v>3464</v>
      </c>
      <c r="U515" s="9" t="s">
        <v>1129</v>
      </c>
      <c r="V515" s="17">
        <v>3.8883463457E10</v>
      </c>
      <c r="W515" s="9" t="s">
        <v>3468</v>
      </c>
      <c r="X515" s="9" t="s">
        <v>56</v>
      </c>
      <c r="Y515" s="18" t="s">
        <v>57</v>
      </c>
      <c r="Z515" s="18" t="s">
        <v>58</v>
      </c>
      <c r="AA515" s="18" t="s">
        <v>57</v>
      </c>
      <c r="AB515" s="18" t="s">
        <v>57</v>
      </c>
      <c r="AC515" s="18" t="s">
        <v>58</v>
      </c>
      <c r="AD515" s="18" t="s">
        <v>58</v>
      </c>
      <c r="AE515" s="35" t="s">
        <v>3469</v>
      </c>
      <c r="AF515" s="14"/>
      <c r="AG515" s="14"/>
      <c r="AH515" s="9" t="s">
        <v>1800</v>
      </c>
      <c r="AI515" s="20"/>
      <c r="AJ515" s="14"/>
      <c r="AK515" s="14"/>
      <c r="AL515" s="14"/>
      <c r="AM515" s="14"/>
      <c r="AN515" s="14"/>
      <c r="AO515" s="14"/>
      <c r="AP515" s="14"/>
      <c r="AQ515" s="14"/>
      <c r="AR515" s="14"/>
    </row>
    <row r="516" ht="22.5" customHeight="1">
      <c r="A516" s="74">
        <v>46086.0</v>
      </c>
      <c r="B516" s="75" t="s">
        <v>3470</v>
      </c>
      <c r="C516" s="8" t="s">
        <v>248</v>
      </c>
      <c r="D516" s="9" t="s">
        <v>258</v>
      </c>
      <c r="E516" s="9" t="s">
        <v>3463</v>
      </c>
      <c r="F516" s="9" t="s">
        <v>3464</v>
      </c>
      <c r="G516" s="10">
        <v>500085.0</v>
      </c>
      <c r="H516" s="9" t="s">
        <v>147</v>
      </c>
      <c r="I516" s="11" t="str">
        <f>VLOOKUP(H516,Mapping!D:E,2,0)</f>
        <v>madhapur</v>
      </c>
      <c r="J516" s="61" t="s">
        <v>148</v>
      </c>
      <c r="K516" s="12">
        <v>0.2</v>
      </c>
      <c r="L516" s="14" t="str">
        <f t="shared" si="30"/>
        <v>20%+</v>
      </c>
      <c r="M516" s="13">
        <v>0.018</v>
      </c>
      <c r="N516" s="14"/>
      <c r="O516" s="9" t="s">
        <v>3464</v>
      </c>
      <c r="P516" s="9" t="s">
        <v>3465</v>
      </c>
      <c r="Q516" s="9" t="s">
        <v>3464</v>
      </c>
      <c r="R516" s="16" t="s">
        <v>3466</v>
      </c>
      <c r="S516" s="9" t="s">
        <v>3467</v>
      </c>
      <c r="T516" s="9" t="s">
        <v>3464</v>
      </c>
      <c r="U516" s="9" t="s">
        <v>1129</v>
      </c>
      <c r="V516" s="17">
        <v>3.8883463457E10</v>
      </c>
      <c r="W516" s="9" t="s">
        <v>3468</v>
      </c>
      <c r="X516" s="9" t="s">
        <v>56</v>
      </c>
      <c r="Y516" s="18" t="s">
        <v>57</v>
      </c>
      <c r="Z516" s="18" t="s">
        <v>58</v>
      </c>
      <c r="AA516" s="18" t="s">
        <v>57</v>
      </c>
      <c r="AB516" s="18" t="s">
        <v>57</v>
      </c>
      <c r="AC516" s="18" t="s">
        <v>58</v>
      </c>
      <c r="AD516" s="18" t="s">
        <v>58</v>
      </c>
      <c r="AE516" s="35" t="s">
        <v>3471</v>
      </c>
      <c r="AF516" s="14"/>
      <c r="AG516" s="14"/>
      <c r="AH516" s="9" t="s">
        <v>1800</v>
      </c>
      <c r="AI516" s="20"/>
      <c r="AJ516" s="14"/>
      <c r="AK516" s="14"/>
      <c r="AL516" s="14"/>
      <c r="AM516" s="14"/>
      <c r="AN516" s="14"/>
      <c r="AO516" s="14"/>
      <c r="AP516" s="14"/>
      <c r="AQ516" s="14"/>
      <c r="AR516" s="14"/>
    </row>
    <row r="517" ht="22.5" customHeight="1">
      <c r="A517" s="74">
        <v>46086.0</v>
      </c>
      <c r="B517" s="75" t="s">
        <v>3472</v>
      </c>
      <c r="C517" s="8" t="s">
        <v>73</v>
      </c>
      <c r="D517" s="9" t="s">
        <v>258</v>
      </c>
      <c r="E517" s="39" t="s">
        <v>3473</v>
      </c>
      <c r="F517" s="9" t="s">
        <v>3474</v>
      </c>
      <c r="G517" s="10">
        <v>500072.0</v>
      </c>
      <c r="H517" s="9" t="s">
        <v>610</v>
      </c>
      <c r="I517" s="11" t="str">
        <f>VLOOKUP(H517,Mapping!D:E,2,0)</f>
        <v>kukatpally</v>
      </c>
      <c r="J517" s="61" t="s">
        <v>390</v>
      </c>
      <c r="K517" s="12">
        <v>0.22</v>
      </c>
      <c r="L517" s="14" t="str">
        <f t="shared" si="30"/>
        <v>20%+</v>
      </c>
      <c r="M517" s="13">
        <v>0.018</v>
      </c>
      <c r="N517" s="14"/>
      <c r="O517" s="75" t="s">
        <v>3472</v>
      </c>
      <c r="P517" s="15" t="s">
        <v>610</v>
      </c>
      <c r="Q517" s="9" t="s">
        <v>3474</v>
      </c>
      <c r="R517" s="16" t="s">
        <v>3392</v>
      </c>
      <c r="S517" s="9" t="s">
        <v>3475</v>
      </c>
      <c r="T517" s="9" t="s">
        <v>3474</v>
      </c>
      <c r="U517" s="9" t="s">
        <v>3476</v>
      </c>
      <c r="V517" s="17">
        <v>1.001633000014E14</v>
      </c>
      <c r="W517" s="9" t="s">
        <v>3477</v>
      </c>
      <c r="X517" s="9" t="s">
        <v>80</v>
      </c>
      <c r="Y517" s="18" t="s">
        <v>57</v>
      </c>
      <c r="Z517" s="18" t="s">
        <v>69</v>
      </c>
      <c r="AA517" s="18" t="s">
        <v>57</v>
      </c>
      <c r="AB517" s="18" t="s">
        <v>57</v>
      </c>
      <c r="AC517" s="18" t="s">
        <v>57</v>
      </c>
      <c r="AD517" s="18" t="s">
        <v>69</v>
      </c>
      <c r="AE517" s="35" t="s">
        <v>3478</v>
      </c>
      <c r="AF517" s="14"/>
      <c r="AG517" s="14"/>
      <c r="AH517" s="14"/>
      <c r="AI517" s="20"/>
      <c r="AJ517" s="14"/>
      <c r="AK517" s="14"/>
      <c r="AL517" s="14"/>
      <c r="AM517" s="14"/>
      <c r="AN517" s="14"/>
      <c r="AO517" s="14"/>
      <c r="AP517" s="14"/>
      <c r="AQ517" s="14"/>
      <c r="AR517" s="14"/>
    </row>
    <row r="518" ht="22.5" customHeight="1">
      <c r="A518" s="74">
        <v>46086.0</v>
      </c>
      <c r="B518" s="75" t="s">
        <v>3479</v>
      </c>
      <c r="C518" s="8" t="s">
        <v>96</v>
      </c>
      <c r="D518" s="9" t="s">
        <v>258</v>
      </c>
      <c r="E518" s="9" t="s">
        <v>3360</v>
      </c>
      <c r="F518" s="9" t="s">
        <v>3361</v>
      </c>
      <c r="G518" s="10">
        <v>500049.0</v>
      </c>
      <c r="H518" s="9" t="s">
        <v>512</v>
      </c>
      <c r="I518" s="11" t="str">
        <f>VLOOKUP(H518,Mapping!D:E,2,0)</f>
        <v>miyapur</v>
      </c>
      <c r="J518" s="61" t="s">
        <v>390</v>
      </c>
      <c r="K518" s="12">
        <v>0.22</v>
      </c>
      <c r="L518" s="14" t="str">
        <f t="shared" si="30"/>
        <v>20%+</v>
      </c>
      <c r="M518" s="14"/>
      <c r="N518" s="14"/>
      <c r="O518" s="9" t="s">
        <v>3480</v>
      </c>
      <c r="P518" s="9" t="s">
        <v>3363</v>
      </c>
      <c r="Q518" s="9" t="s">
        <v>3361</v>
      </c>
      <c r="R518" s="16" t="s">
        <v>3364</v>
      </c>
      <c r="S518" s="9" t="s">
        <v>3365</v>
      </c>
      <c r="T518" s="9" t="s">
        <v>3361</v>
      </c>
      <c r="U518" s="9" t="s">
        <v>254</v>
      </c>
      <c r="V518" s="17">
        <v>7.148915104E9</v>
      </c>
      <c r="W518" s="9" t="s">
        <v>1731</v>
      </c>
      <c r="X518" s="9" t="s">
        <v>56</v>
      </c>
      <c r="Y518" s="18" t="s">
        <v>57</v>
      </c>
      <c r="Z518" s="18" t="s">
        <v>58</v>
      </c>
      <c r="AA518" s="18" t="s">
        <v>57</v>
      </c>
      <c r="AB518" s="18" t="s">
        <v>57</v>
      </c>
      <c r="AC518" s="18" t="s">
        <v>57</v>
      </c>
      <c r="AD518" s="18" t="s">
        <v>58</v>
      </c>
      <c r="AE518" s="35" t="s">
        <v>3366</v>
      </c>
      <c r="AF518" s="14"/>
      <c r="AG518" s="14"/>
      <c r="AH518" s="14"/>
      <c r="AI518" s="20"/>
      <c r="AJ518" s="14"/>
      <c r="AK518" s="14"/>
      <c r="AL518" s="14"/>
      <c r="AM518" s="14"/>
      <c r="AN518" s="14"/>
      <c r="AO518" s="14"/>
      <c r="AP518" s="14"/>
      <c r="AQ518" s="14"/>
      <c r="AR518" s="14"/>
    </row>
    <row r="519" ht="22.5" customHeight="1">
      <c r="A519" s="74">
        <v>46086.0</v>
      </c>
      <c r="B519" s="75" t="s">
        <v>3481</v>
      </c>
      <c r="C519" s="8" t="s">
        <v>96</v>
      </c>
      <c r="D519" s="9" t="s">
        <v>258</v>
      </c>
      <c r="E519" s="9" t="s">
        <v>3360</v>
      </c>
      <c r="F519" s="9" t="s">
        <v>3361</v>
      </c>
      <c r="G519" s="10">
        <v>500049.0</v>
      </c>
      <c r="H519" s="9" t="s">
        <v>1530</v>
      </c>
      <c r="I519" s="11" t="str">
        <f>VLOOKUP(H519,Mapping!D:E,2,0)</f>
        <v>hafeezpet</v>
      </c>
      <c r="J519" s="61" t="s">
        <v>390</v>
      </c>
      <c r="K519" s="12">
        <v>0.2</v>
      </c>
      <c r="L519" s="14" t="str">
        <f t="shared" si="30"/>
        <v>20%+</v>
      </c>
      <c r="M519" s="14"/>
      <c r="N519" s="14"/>
      <c r="O519" s="9" t="s">
        <v>3482</v>
      </c>
      <c r="P519" s="9" t="s">
        <v>3483</v>
      </c>
      <c r="Q519" s="9" t="s">
        <v>3361</v>
      </c>
      <c r="R519" s="16" t="s">
        <v>3364</v>
      </c>
      <c r="S519" s="9" t="s">
        <v>3365</v>
      </c>
      <c r="T519" s="9" t="s">
        <v>3361</v>
      </c>
      <c r="U519" s="9" t="s">
        <v>254</v>
      </c>
      <c r="V519" s="17">
        <v>7.148915104E9</v>
      </c>
      <c r="W519" s="9" t="s">
        <v>1731</v>
      </c>
      <c r="X519" s="9" t="s">
        <v>56</v>
      </c>
      <c r="Y519" s="18" t="s">
        <v>57</v>
      </c>
      <c r="Z519" s="18" t="s">
        <v>58</v>
      </c>
      <c r="AA519" s="18" t="s">
        <v>57</v>
      </c>
      <c r="AB519" s="18" t="s">
        <v>57</v>
      </c>
      <c r="AC519" s="18" t="s">
        <v>57</v>
      </c>
      <c r="AD519" s="18" t="s">
        <v>58</v>
      </c>
      <c r="AE519" s="39" t="s">
        <v>3484</v>
      </c>
      <c r="AF519" s="14"/>
      <c r="AG519" s="14"/>
      <c r="AH519" s="14"/>
      <c r="AI519" s="20"/>
      <c r="AJ519" s="14"/>
      <c r="AK519" s="14"/>
      <c r="AL519" s="14"/>
      <c r="AM519" s="14"/>
      <c r="AN519" s="14"/>
      <c r="AO519" s="14"/>
      <c r="AP519" s="14"/>
      <c r="AQ519" s="14"/>
      <c r="AR519" s="14"/>
    </row>
    <row r="520" ht="22.5" customHeight="1">
      <c r="A520" s="74">
        <v>46087.0</v>
      </c>
      <c r="B520" s="75" t="s">
        <v>3485</v>
      </c>
      <c r="C520" s="8" t="s">
        <v>186</v>
      </c>
      <c r="D520" s="9" t="s">
        <v>2112</v>
      </c>
      <c r="E520" s="39" t="s">
        <v>3486</v>
      </c>
      <c r="F520" s="9" t="s">
        <v>68</v>
      </c>
      <c r="G520" s="10">
        <v>500072.0</v>
      </c>
      <c r="H520" s="9" t="s">
        <v>2515</v>
      </c>
      <c r="I520" s="11" t="str">
        <f>VLOOKUP(H520,Mapping!D:E,2,0)</f>
        <v>miyapur</v>
      </c>
      <c r="J520" s="61" t="s">
        <v>390</v>
      </c>
      <c r="K520" s="12">
        <v>0.22</v>
      </c>
      <c r="L520" s="14" t="str">
        <f t="shared" si="30"/>
        <v>20%+</v>
      </c>
      <c r="M520" s="14"/>
      <c r="N520" s="14"/>
      <c r="O520" s="9" t="s">
        <v>3487</v>
      </c>
      <c r="P520" s="9" t="s">
        <v>3488</v>
      </c>
      <c r="Q520" s="9" t="s">
        <v>3489</v>
      </c>
      <c r="R520" s="16" t="s">
        <v>3490</v>
      </c>
      <c r="S520" s="9" t="s">
        <v>68</v>
      </c>
      <c r="T520" s="9" t="s">
        <v>3491</v>
      </c>
      <c r="U520" s="15" t="s">
        <v>307</v>
      </c>
      <c r="V520" s="17">
        <v>9.20010059932943E14</v>
      </c>
      <c r="W520" s="9" t="s">
        <v>3492</v>
      </c>
      <c r="X520" s="9" t="s">
        <v>56</v>
      </c>
      <c r="Y520" s="18" t="s">
        <v>57</v>
      </c>
      <c r="Z520" s="18" t="s">
        <v>58</v>
      </c>
      <c r="AA520" s="18" t="s">
        <v>57</v>
      </c>
      <c r="AB520" s="18" t="s">
        <v>57</v>
      </c>
      <c r="AC520" s="18" t="s">
        <v>57</v>
      </c>
      <c r="AD520" s="18" t="s">
        <v>58</v>
      </c>
      <c r="AE520" s="40" t="s">
        <v>3485</v>
      </c>
      <c r="AF520" s="39" t="s">
        <v>3493</v>
      </c>
      <c r="AG520" s="14"/>
      <c r="AH520" s="14"/>
      <c r="AI520" s="20"/>
      <c r="AJ520" s="14"/>
      <c r="AK520" s="14"/>
      <c r="AL520" s="14"/>
      <c r="AM520" s="14"/>
      <c r="AN520" s="14"/>
      <c r="AO520" s="14"/>
      <c r="AP520" s="14"/>
      <c r="AQ520" s="14"/>
      <c r="AR520" s="14"/>
    </row>
    <row r="521" ht="22.5" customHeight="1">
      <c r="A521" s="74">
        <v>46087.0</v>
      </c>
      <c r="B521" s="138" t="s">
        <v>3494</v>
      </c>
      <c r="C521" s="8" t="s">
        <v>73</v>
      </c>
      <c r="D521" s="9" t="s">
        <v>258</v>
      </c>
      <c r="E521" s="39" t="s">
        <v>3495</v>
      </c>
      <c r="F521" s="9" t="s">
        <v>3496</v>
      </c>
      <c r="G521" s="10">
        <v>500072.0</v>
      </c>
      <c r="H521" s="9" t="s">
        <v>610</v>
      </c>
      <c r="I521" s="11" t="str">
        <f>VLOOKUP(H521,Mapping!D:E,2,0)</f>
        <v>kukatpally</v>
      </c>
      <c r="J521" s="61" t="s">
        <v>390</v>
      </c>
      <c r="K521" s="12">
        <v>0.22</v>
      </c>
      <c r="L521" s="14" t="str">
        <f t="shared" si="30"/>
        <v>20%+</v>
      </c>
      <c r="M521" s="14"/>
      <c r="N521" s="14"/>
      <c r="O521" s="108" t="s">
        <v>3497</v>
      </c>
      <c r="P521" s="9" t="s">
        <v>3498</v>
      </c>
      <c r="Q521" s="9" t="s">
        <v>3496</v>
      </c>
      <c r="R521" s="16" t="s">
        <v>3499</v>
      </c>
      <c r="S521" s="9" t="s">
        <v>3500</v>
      </c>
      <c r="T521" s="9" t="s">
        <v>3501</v>
      </c>
      <c r="U521" s="9" t="s">
        <v>1129</v>
      </c>
      <c r="V521" s="17">
        <v>3.9665554375E10</v>
      </c>
      <c r="W521" s="9" t="s">
        <v>3502</v>
      </c>
      <c r="X521" s="9" t="s">
        <v>56</v>
      </c>
      <c r="Y521" s="18" t="s">
        <v>57</v>
      </c>
      <c r="Z521" s="18" t="s">
        <v>69</v>
      </c>
      <c r="AA521" s="18" t="s">
        <v>57</v>
      </c>
      <c r="AB521" s="18" t="s">
        <v>57</v>
      </c>
      <c r="AC521" s="18" t="s">
        <v>57</v>
      </c>
      <c r="AD521" s="18" t="s">
        <v>69</v>
      </c>
      <c r="AE521" s="35" t="s">
        <v>3503</v>
      </c>
      <c r="AF521" s="14"/>
      <c r="AG521" s="14"/>
      <c r="AH521" s="14"/>
      <c r="AI521" s="20"/>
      <c r="AJ521" s="14"/>
      <c r="AK521" s="14"/>
      <c r="AL521" s="14"/>
      <c r="AM521" s="14"/>
      <c r="AN521" s="14"/>
      <c r="AO521" s="14"/>
      <c r="AP521" s="14"/>
      <c r="AQ521" s="14"/>
      <c r="AR521" s="14"/>
    </row>
    <row r="522" ht="22.5" customHeight="1">
      <c r="A522" s="74">
        <v>46087.0</v>
      </c>
      <c r="B522" s="138" t="s">
        <v>3504</v>
      </c>
      <c r="C522" s="8" t="s">
        <v>73</v>
      </c>
      <c r="D522" s="9" t="s">
        <v>258</v>
      </c>
      <c r="E522" s="39" t="s">
        <v>3505</v>
      </c>
      <c r="F522" s="9" t="s">
        <v>3496</v>
      </c>
      <c r="G522" s="10">
        <v>500072.0</v>
      </c>
      <c r="H522" s="9" t="s">
        <v>610</v>
      </c>
      <c r="I522" s="11" t="str">
        <f>VLOOKUP(H522,Mapping!D:E,2,0)</f>
        <v>kukatpally</v>
      </c>
      <c r="J522" s="61" t="s">
        <v>390</v>
      </c>
      <c r="K522" s="12">
        <v>0.22</v>
      </c>
      <c r="L522" s="14" t="str">
        <f t="shared" si="30"/>
        <v>20%+</v>
      </c>
      <c r="M522" s="14"/>
      <c r="N522" s="14"/>
      <c r="O522" s="108" t="s">
        <v>3497</v>
      </c>
      <c r="P522" s="9" t="s">
        <v>3498</v>
      </c>
      <c r="Q522" s="9" t="s">
        <v>3496</v>
      </c>
      <c r="R522" s="16" t="s">
        <v>3499</v>
      </c>
      <c r="S522" s="9" t="s">
        <v>3500</v>
      </c>
      <c r="T522" s="9" t="s">
        <v>3501</v>
      </c>
      <c r="U522" s="9" t="s">
        <v>1129</v>
      </c>
      <c r="V522" s="17">
        <v>3.9665554375E10</v>
      </c>
      <c r="W522" s="9" t="s">
        <v>3502</v>
      </c>
      <c r="X522" s="9" t="s">
        <v>56</v>
      </c>
      <c r="Y522" s="18" t="s">
        <v>57</v>
      </c>
      <c r="Z522" s="18" t="s">
        <v>69</v>
      </c>
      <c r="AA522" s="18" t="s">
        <v>57</v>
      </c>
      <c r="AB522" s="18" t="s">
        <v>57</v>
      </c>
      <c r="AC522" s="18" t="s">
        <v>57</v>
      </c>
      <c r="AD522" s="18" t="s">
        <v>69</v>
      </c>
      <c r="AE522" s="35" t="s">
        <v>3503</v>
      </c>
      <c r="AF522" s="14"/>
      <c r="AG522" s="14"/>
      <c r="AH522" s="14"/>
      <c r="AI522" s="20"/>
      <c r="AJ522" s="14"/>
      <c r="AK522" s="14"/>
      <c r="AL522" s="14"/>
      <c r="AM522" s="14"/>
      <c r="AN522" s="14"/>
      <c r="AO522" s="14"/>
      <c r="AP522" s="14"/>
      <c r="AQ522" s="14"/>
      <c r="AR522" s="14"/>
    </row>
    <row r="523" ht="22.5" customHeight="1">
      <c r="A523" s="74">
        <v>46087.0</v>
      </c>
      <c r="B523" s="138" t="s">
        <v>3506</v>
      </c>
      <c r="C523" s="8" t="s">
        <v>73</v>
      </c>
      <c r="D523" s="9" t="s">
        <v>258</v>
      </c>
      <c r="E523" s="39" t="s">
        <v>3507</v>
      </c>
      <c r="F523" s="9" t="s">
        <v>3496</v>
      </c>
      <c r="G523" s="10">
        <v>500072.0</v>
      </c>
      <c r="H523" s="9" t="s">
        <v>610</v>
      </c>
      <c r="I523" s="11" t="str">
        <f>VLOOKUP(H523,Mapping!D:E,2,0)</f>
        <v>kukatpally</v>
      </c>
      <c r="J523" s="61" t="s">
        <v>390</v>
      </c>
      <c r="K523" s="12">
        <v>0.22</v>
      </c>
      <c r="L523" s="14" t="str">
        <f t="shared" si="30"/>
        <v>20%+</v>
      </c>
      <c r="M523" s="14"/>
      <c r="N523" s="14"/>
      <c r="O523" s="108" t="s">
        <v>3497</v>
      </c>
      <c r="P523" s="9" t="s">
        <v>3498</v>
      </c>
      <c r="Q523" s="9" t="s">
        <v>3496</v>
      </c>
      <c r="R523" s="16" t="s">
        <v>3499</v>
      </c>
      <c r="S523" s="9" t="s">
        <v>3500</v>
      </c>
      <c r="T523" s="9" t="s">
        <v>3501</v>
      </c>
      <c r="U523" s="9" t="s">
        <v>1129</v>
      </c>
      <c r="V523" s="17">
        <v>3.9665554375E10</v>
      </c>
      <c r="W523" s="9" t="s">
        <v>3502</v>
      </c>
      <c r="X523" s="9" t="s">
        <v>56</v>
      </c>
      <c r="Y523" s="18" t="s">
        <v>57</v>
      </c>
      <c r="Z523" s="18" t="s">
        <v>69</v>
      </c>
      <c r="AA523" s="18" t="s">
        <v>57</v>
      </c>
      <c r="AB523" s="18" t="s">
        <v>57</v>
      </c>
      <c r="AC523" s="18" t="s">
        <v>57</v>
      </c>
      <c r="AD523" s="18" t="s">
        <v>69</v>
      </c>
      <c r="AE523" s="35" t="s">
        <v>3503</v>
      </c>
      <c r="AF523" s="14"/>
      <c r="AG523" s="14"/>
      <c r="AH523" s="14"/>
      <c r="AI523" s="20"/>
      <c r="AJ523" s="14"/>
      <c r="AK523" s="14"/>
      <c r="AL523" s="14"/>
      <c r="AM523" s="14"/>
      <c r="AN523" s="14"/>
      <c r="AO523" s="14"/>
      <c r="AP523" s="14"/>
      <c r="AQ523" s="14"/>
      <c r="AR523" s="14"/>
    </row>
    <row r="524" ht="22.5" customHeight="1">
      <c r="A524" s="74">
        <v>46087.0</v>
      </c>
      <c r="B524" s="75" t="s">
        <v>3508</v>
      </c>
      <c r="C524" s="8" t="s">
        <v>73</v>
      </c>
      <c r="D524" s="9" t="s">
        <v>258</v>
      </c>
      <c r="E524" s="39" t="s">
        <v>3509</v>
      </c>
      <c r="F524" s="9" t="s">
        <v>3496</v>
      </c>
      <c r="G524" s="10">
        <v>500072.0</v>
      </c>
      <c r="H524" s="9" t="s">
        <v>610</v>
      </c>
      <c r="I524" s="11" t="str">
        <f>VLOOKUP(H524,Mapping!D:E,2,0)</f>
        <v>kukatpally</v>
      </c>
      <c r="J524" s="61" t="s">
        <v>390</v>
      </c>
      <c r="K524" s="12">
        <v>0.22</v>
      </c>
      <c r="L524" s="14" t="str">
        <f t="shared" si="30"/>
        <v>20%+</v>
      </c>
      <c r="M524" s="14"/>
      <c r="N524" s="14"/>
      <c r="O524" s="9" t="s">
        <v>3497</v>
      </c>
      <c r="P524" s="9" t="s">
        <v>3498</v>
      </c>
      <c r="Q524" s="9" t="s">
        <v>3496</v>
      </c>
      <c r="R524" s="16" t="s">
        <v>3499</v>
      </c>
      <c r="S524" s="9" t="s">
        <v>3500</v>
      </c>
      <c r="T524" s="9" t="s">
        <v>3501</v>
      </c>
      <c r="U524" s="9" t="s">
        <v>1129</v>
      </c>
      <c r="V524" s="17">
        <v>3.9665554375E10</v>
      </c>
      <c r="W524" s="9" t="s">
        <v>3502</v>
      </c>
      <c r="X524" s="9" t="s">
        <v>56</v>
      </c>
      <c r="Y524" s="18" t="s">
        <v>57</v>
      </c>
      <c r="Z524" s="18" t="s">
        <v>69</v>
      </c>
      <c r="AA524" s="18" t="s">
        <v>57</v>
      </c>
      <c r="AB524" s="18" t="s">
        <v>57</v>
      </c>
      <c r="AC524" s="18" t="s">
        <v>57</v>
      </c>
      <c r="AD524" s="18" t="s">
        <v>69</v>
      </c>
      <c r="AE524" s="35" t="s">
        <v>3503</v>
      </c>
      <c r="AF524" s="14"/>
      <c r="AG524" s="14"/>
      <c r="AH524" s="14"/>
      <c r="AI524" s="20"/>
      <c r="AJ524" s="14"/>
      <c r="AK524" s="14"/>
      <c r="AL524" s="14"/>
      <c r="AM524" s="14"/>
      <c r="AN524" s="14"/>
      <c r="AO524" s="14"/>
      <c r="AP524" s="14"/>
      <c r="AQ524" s="14"/>
      <c r="AR524" s="14"/>
    </row>
    <row r="525" ht="22.5" customHeight="1">
      <c r="A525" s="74">
        <v>46087.0</v>
      </c>
      <c r="B525" s="138" t="s">
        <v>3510</v>
      </c>
      <c r="C525" s="8" t="s">
        <v>186</v>
      </c>
      <c r="D525" s="9" t="s">
        <v>2112</v>
      </c>
      <c r="E525" s="9" t="s">
        <v>3511</v>
      </c>
      <c r="F525" s="9" t="s">
        <v>68</v>
      </c>
      <c r="G525" s="10">
        <v>500072.0</v>
      </c>
      <c r="H525" s="9" t="s">
        <v>2515</v>
      </c>
      <c r="I525" s="11" t="str">
        <f>VLOOKUP(H525,Mapping!D:E,2,0)</f>
        <v>miyapur</v>
      </c>
      <c r="J525" s="61" t="s">
        <v>390</v>
      </c>
      <c r="K525" s="12">
        <v>0.22</v>
      </c>
      <c r="L525" s="14" t="str">
        <f t="shared" si="30"/>
        <v>20%+</v>
      </c>
      <c r="M525" s="14"/>
      <c r="N525" s="14"/>
      <c r="O525" s="9" t="s">
        <v>3487</v>
      </c>
      <c r="P525" s="9" t="s">
        <v>3488</v>
      </c>
      <c r="Q525" s="9" t="s">
        <v>3489</v>
      </c>
      <c r="R525" s="16" t="s">
        <v>3490</v>
      </c>
      <c r="S525" s="9" t="s">
        <v>68</v>
      </c>
      <c r="T525" s="9" t="s">
        <v>3491</v>
      </c>
      <c r="U525" s="15" t="s">
        <v>307</v>
      </c>
      <c r="V525" s="17">
        <v>9.20010059932943E14</v>
      </c>
      <c r="W525" s="9" t="s">
        <v>3492</v>
      </c>
      <c r="X525" s="9" t="s">
        <v>56</v>
      </c>
      <c r="Y525" s="18" t="s">
        <v>57</v>
      </c>
      <c r="Z525" s="18" t="s">
        <v>58</v>
      </c>
      <c r="AA525" s="18" t="s">
        <v>57</v>
      </c>
      <c r="AB525" s="18" t="s">
        <v>57</v>
      </c>
      <c r="AC525" s="18" t="s">
        <v>57</v>
      </c>
      <c r="AD525" s="18" t="s">
        <v>58</v>
      </c>
      <c r="AE525" s="40" t="s">
        <v>3510</v>
      </c>
      <c r="AF525" s="14"/>
      <c r="AG525" s="14"/>
      <c r="AH525" s="14"/>
      <c r="AI525" s="20"/>
      <c r="AJ525" s="14"/>
      <c r="AK525" s="14"/>
      <c r="AL525" s="14"/>
      <c r="AM525" s="14"/>
      <c r="AN525" s="14"/>
      <c r="AO525" s="14"/>
      <c r="AP525" s="14"/>
      <c r="AQ525" s="14"/>
      <c r="AR525" s="14"/>
    </row>
    <row r="526" ht="22.5" customHeight="1">
      <c r="A526" s="74">
        <v>46087.0</v>
      </c>
      <c r="B526" s="75" t="s">
        <v>3512</v>
      </c>
      <c r="C526" s="8" t="s">
        <v>186</v>
      </c>
      <c r="D526" s="9" t="s">
        <v>258</v>
      </c>
      <c r="E526" s="9" t="s">
        <v>3513</v>
      </c>
      <c r="F526" s="9" t="s">
        <v>452</v>
      </c>
      <c r="G526" s="10">
        <v>500072.0</v>
      </c>
      <c r="H526" s="9" t="s">
        <v>2515</v>
      </c>
      <c r="I526" s="11" t="str">
        <f>VLOOKUP(H526,Mapping!D:E,2,0)</f>
        <v>miyapur</v>
      </c>
      <c r="J526" s="61" t="s">
        <v>390</v>
      </c>
      <c r="K526" s="12">
        <v>0.23</v>
      </c>
      <c r="L526" s="14" t="str">
        <f t="shared" si="30"/>
        <v>20%+</v>
      </c>
      <c r="M526" s="14"/>
      <c r="N526" s="14"/>
      <c r="O526" s="107" t="s">
        <v>3514</v>
      </c>
      <c r="P526" s="9" t="s">
        <v>3515</v>
      </c>
      <c r="Q526" s="9" t="s">
        <v>3516</v>
      </c>
      <c r="R526" s="16" t="s">
        <v>3517</v>
      </c>
      <c r="S526" s="9" t="s">
        <v>68</v>
      </c>
      <c r="T526" s="9" t="s">
        <v>3516</v>
      </c>
      <c r="U526" s="9" t="s">
        <v>2371</v>
      </c>
      <c r="V526" s="17">
        <v>3.3401005425E11</v>
      </c>
      <c r="W526" s="9" t="s">
        <v>2457</v>
      </c>
      <c r="X526" s="9" t="s">
        <v>56</v>
      </c>
      <c r="Y526" s="18" t="s">
        <v>57</v>
      </c>
      <c r="Z526" s="18" t="s">
        <v>58</v>
      </c>
      <c r="AA526" s="18" t="s">
        <v>57</v>
      </c>
      <c r="AB526" s="18" t="s">
        <v>57</v>
      </c>
      <c r="AC526" s="18" t="s">
        <v>57</v>
      </c>
      <c r="AD526" s="18" t="s">
        <v>58</v>
      </c>
      <c r="AE526" s="40" t="s">
        <v>3518</v>
      </c>
      <c r="AF526" s="35" t="s">
        <v>3519</v>
      </c>
      <c r="AG526" s="14"/>
      <c r="AH526" s="14"/>
      <c r="AI526" s="20"/>
      <c r="AJ526" s="14"/>
      <c r="AK526" s="14"/>
      <c r="AL526" s="14"/>
      <c r="AM526" s="14"/>
      <c r="AN526" s="14"/>
      <c r="AO526" s="14"/>
      <c r="AP526" s="14"/>
      <c r="AQ526" s="14"/>
      <c r="AR526" s="14"/>
    </row>
    <row r="527" ht="22.5" customHeight="1">
      <c r="A527" s="74">
        <v>46087.0</v>
      </c>
      <c r="B527" s="138" t="s">
        <v>3520</v>
      </c>
      <c r="C527" s="8" t="s">
        <v>186</v>
      </c>
      <c r="D527" s="9" t="s">
        <v>258</v>
      </c>
      <c r="E527" s="9" t="s">
        <v>3513</v>
      </c>
      <c r="F527" s="9" t="s">
        <v>452</v>
      </c>
      <c r="G527" s="10">
        <v>500072.0</v>
      </c>
      <c r="H527" s="9" t="s">
        <v>2515</v>
      </c>
      <c r="I527" s="11" t="str">
        <f>VLOOKUP(H527,Mapping!D:E,2,0)</f>
        <v>miyapur</v>
      </c>
      <c r="J527" s="61" t="s">
        <v>390</v>
      </c>
      <c r="K527" s="12">
        <v>0.23</v>
      </c>
      <c r="L527" s="14" t="str">
        <f t="shared" si="30"/>
        <v>20%+</v>
      </c>
      <c r="M527" s="14"/>
      <c r="N527" s="14"/>
      <c r="O527" s="9" t="s">
        <v>3514</v>
      </c>
      <c r="P527" s="9" t="s">
        <v>3515</v>
      </c>
      <c r="Q527" s="9" t="s">
        <v>3516</v>
      </c>
      <c r="R527" s="16" t="s">
        <v>3517</v>
      </c>
      <c r="S527" s="9" t="s">
        <v>68</v>
      </c>
      <c r="T527" s="9" t="s">
        <v>3516</v>
      </c>
      <c r="U527" s="9" t="s">
        <v>2371</v>
      </c>
      <c r="V527" s="17">
        <v>3.3401005425E11</v>
      </c>
      <c r="W527" s="9" t="s">
        <v>2457</v>
      </c>
      <c r="X527" s="9" t="s">
        <v>56</v>
      </c>
      <c r="Y527" s="18" t="s">
        <v>57</v>
      </c>
      <c r="Z527" s="18" t="s">
        <v>58</v>
      </c>
      <c r="AA527" s="18" t="s">
        <v>57</v>
      </c>
      <c r="AB527" s="18" t="s">
        <v>57</v>
      </c>
      <c r="AC527" s="18" t="s">
        <v>57</v>
      </c>
      <c r="AD527" s="18" t="s">
        <v>58</v>
      </c>
      <c r="AE527" s="40" t="s">
        <v>3521</v>
      </c>
      <c r="AF527" s="9" t="s">
        <v>3522</v>
      </c>
      <c r="AG527" s="14"/>
      <c r="AH527" s="14"/>
      <c r="AI527" s="20"/>
      <c r="AJ527" s="14"/>
      <c r="AK527" s="14"/>
      <c r="AL527" s="14"/>
      <c r="AM527" s="14"/>
      <c r="AN527" s="14"/>
      <c r="AO527" s="14"/>
      <c r="AP527" s="14"/>
      <c r="AQ527" s="14"/>
      <c r="AR527" s="14"/>
    </row>
    <row r="528" ht="22.5" customHeight="1">
      <c r="A528" s="74">
        <v>46087.0</v>
      </c>
      <c r="B528" s="75" t="s">
        <v>3523</v>
      </c>
      <c r="C528" s="8" t="s">
        <v>96</v>
      </c>
      <c r="D528" s="9" t="s">
        <v>258</v>
      </c>
      <c r="E528" s="9" t="s">
        <v>3524</v>
      </c>
      <c r="F528" s="9" t="s">
        <v>3118</v>
      </c>
      <c r="G528" s="10">
        <v>500049.0</v>
      </c>
      <c r="H528" s="9" t="s">
        <v>512</v>
      </c>
      <c r="I528" s="11" t="str">
        <f>VLOOKUP(H528,Mapping!D:E,2,0)</f>
        <v>miyapur</v>
      </c>
      <c r="J528" s="61" t="s">
        <v>390</v>
      </c>
      <c r="K528" s="12">
        <v>0.22</v>
      </c>
      <c r="L528" s="14" t="str">
        <f t="shared" si="30"/>
        <v>20%+</v>
      </c>
      <c r="M528" s="14"/>
      <c r="N528" s="14"/>
      <c r="O528" s="107" t="s">
        <v>3525</v>
      </c>
      <c r="P528" s="9" t="s">
        <v>3526</v>
      </c>
      <c r="Q528" s="9" t="s">
        <v>3118</v>
      </c>
      <c r="R528" s="16" t="s">
        <v>3527</v>
      </c>
      <c r="S528" s="9" t="s">
        <v>68</v>
      </c>
      <c r="T528" s="9" t="s">
        <v>68</v>
      </c>
      <c r="U528" s="9" t="s">
        <v>68</v>
      </c>
      <c r="V528" s="9" t="s">
        <v>68</v>
      </c>
      <c r="W528" s="9" t="s">
        <v>68</v>
      </c>
      <c r="X528" s="9" t="s">
        <v>68</v>
      </c>
      <c r="Y528" s="14"/>
      <c r="Z528" s="14"/>
      <c r="AA528" s="14"/>
      <c r="AB528" s="14"/>
      <c r="AC528" s="14"/>
      <c r="AD528" s="14"/>
      <c r="AE528" s="14"/>
      <c r="AF528" s="14"/>
      <c r="AG528" s="14"/>
      <c r="AH528" s="14"/>
      <c r="AI528" s="20"/>
      <c r="AJ528" s="14"/>
      <c r="AK528" s="14"/>
      <c r="AL528" s="14"/>
      <c r="AM528" s="14"/>
      <c r="AN528" s="14"/>
      <c r="AO528" s="14"/>
      <c r="AP528" s="14"/>
      <c r="AQ528" s="14"/>
      <c r="AR528" s="14"/>
    </row>
    <row r="529" ht="22.5" customHeight="1">
      <c r="A529" s="74">
        <v>46087.0</v>
      </c>
      <c r="B529" s="138" t="s">
        <v>3528</v>
      </c>
      <c r="C529" s="8" t="s">
        <v>248</v>
      </c>
      <c r="D529" s="9" t="s">
        <v>258</v>
      </c>
      <c r="E529" s="9" t="s">
        <v>3529</v>
      </c>
      <c r="F529" s="9" t="s">
        <v>3530</v>
      </c>
      <c r="G529" s="10">
        <v>500018.0</v>
      </c>
      <c r="H529" s="9" t="s">
        <v>1165</v>
      </c>
      <c r="I529" s="11" t="str">
        <f>VLOOKUP(H529,Mapping!D:E,2,0)</f>
        <v>kukatpally</v>
      </c>
      <c r="J529" s="61" t="s">
        <v>390</v>
      </c>
      <c r="K529" s="12">
        <v>0.22</v>
      </c>
      <c r="L529" s="14" t="str">
        <f t="shared" si="30"/>
        <v>20%+</v>
      </c>
      <c r="M529" s="14"/>
      <c r="N529" s="14"/>
      <c r="O529" s="9" t="s">
        <v>3531</v>
      </c>
      <c r="P529" s="39" t="s">
        <v>3532</v>
      </c>
      <c r="Q529" s="9" t="s">
        <v>3530</v>
      </c>
      <c r="R529" s="16" t="s">
        <v>3533</v>
      </c>
      <c r="S529" s="9" t="s">
        <v>3534</v>
      </c>
      <c r="T529" s="9" t="s">
        <v>3535</v>
      </c>
      <c r="U529" s="9" t="s">
        <v>3536</v>
      </c>
      <c r="V529" s="17">
        <v>1.011014000017E12</v>
      </c>
      <c r="W529" s="9" t="s">
        <v>3537</v>
      </c>
      <c r="X529" s="9" t="s">
        <v>80</v>
      </c>
      <c r="Y529" s="18" t="s">
        <v>57</v>
      </c>
      <c r="Z529" s="18" t="s">
        <v>69</v>
      </c>
      <c r="AA529" s="18" t="s">
        <v>57</v>
      </c>
      <c r="AB529" s="18" t="s">
        <v>57</v>
      </c>
      <c r="AC529" s="18" t="s">
        <v>58</v>
      </c>
      <c r="AD529" s="18" t="s">
        <v>58</v>
      </c>
      <c r="AE529" s="35" t="s">
        <v>3538</v>
      </c>
      <c r="AF529" s="14"/>
      <c r="AG529" s="14"/>
      <c r="AH529" s="14"/>
      <c r="AI529" s="20"/>
      <c r="AJ529" s="14"/>
      <c r="AK529" s="14"/>
      <c r="AL529" s="14"/>
      <c r="AM529" s="14"/>
      <c r="AN529" s="14"/>
      <c r="AO529" s="14"/>
      <c r="AP529" s="14"/>
      <c r="AQ529" s="14"/>
      <c r="AR529" s="14"/>
    </row>
    <row r="530" ht="22.5" customHeight="1">
      <c r="A530" s="74">
        <v>46087.0</v>
      </c>
      <c r="B530" s="75" t="s">
        <v>3539</v>
      </c>
      <c r="C530" s="8" t="s">
        <v>45</v>
      </c>
      <c r="D530" s="9" t="s">
        <v>258</v>
      </c>
      <c r="E530" s="9" t="s">
        <v>3540</v>
      </c>
      <c r="F530" s="9" t="s">
        <v>3541</v>
      </c>
      <c r="G530" s="10">
        <v>500089.0</v>
      </c>
      <c r="H530" s="9" t="s">
        <v>1961</v>
      </c>
      <c r="I530" s="11" t="str">
        <f>VLOOKUP(H530,Mapping!D:E,2,0)</f>
        <v>miyapur</v>
      </c>
      <c r="J530" s="61" t="s">
        <v>390</v>
      </c>
      <c r="K530" s="12">
        <v>0.2</v>
      </c>
      <c r="L530" s="14" t="str">
        <f t="shared" si="30"/>
        <v>20%+</v>
      </c>
      <c r="M530" s="14"/>
      <c r="N530" s="14"/>
      <c r="O530" s="43" t="s">
        <v>3539</v>
      </c>
      <c r="P530" s="9" t="s">
        <v>3542</v>
      </c>
      <c r="Q530" s="15" t="s">
        <v>3541</v>
      </c>
      <c r="R530" s="16" t="s">
        <v>3543</v>
      </c>
      <c r="S530" s="9" t="s">
        <v>68</v>
      </c>
      <c r="T530" s="9" t="s">
        <v>3541</v>
      </c>
      <c r="U530" s="9" t="s">
        <v>1014</v>
      </c>
      <c r="V530" s="17">
        <v>5.0100144715322E13</v>
      </c>
      <c r="W530" s="9" t="s">
        <v>3341</v>
      </c>
      <c r="X530" s="9" t="s">
        <v>56</v>
      </c>
      <c r="Y530" s="18" t="s">
        <v>57</v>
      </c>
      <c r="Z530" s="18" t="s">
        <v>58</v>
      </c>
      <c r="AA530" s="18" t="s">
        <v>57</v>
      </c>
      <c r="AB530" s="18" t="s">
        <v>57</v>
      </c>
      <c r="AC530" s="18" t="s">
        <v>57</v>
      </c>
      <c r="AD530" s="18" t="s">
        <v>58</v>
      </c>
      <c r="AE530" s="39" t="s">
        <v>3544</v>
      </c>
      <c r="AF530" s="14"/>
      <c r="AG530" s="14"/>
      <c r="AH530" s="14"/>
      <c r="AI530" s="20"/>
      <c r="AJ530" s="14"/>
      <c r="AK530" s="14"/>
      <c r="AL530" s="14"/>
      <c r="AM530" s="14"/>
      <c r="AN530" s="14"/>
      <c r="AO530" s="14"/>
      <c r="AP530" s="14"/>
      <c r="AQ530" s="14"/>
      <c r="AR530" s="14"/>
    </row>
    <row r="531" ht="22.5" customHeight="1">
      <c r="A531" s="74">
        <v>46087.0</v>
      </c>
      <c r="B531" s="138" t="s">
        <v>3545</v>
      </c>
      <c r="C531" s="8" t="s">
        <v>45</v>
      </c>
      <c r="D531" s="9" t="s">
        <v>258</v>
      </c>
      <c r="E531" s="9" t="s">
        <v>3540</v>
      </c>
      <c r="F531" s="9" t="s">
        <v>3541</v>
      </c>
      <c r="G531" s="10">
        <v>500089.0</v>
      </c>
      <c r="H531" s="9" t="s">
        <v>1961</v>
      </c>
      <c r="I531" s="11" t="str">
        <f>VLOOKUP(H531,Mapping!D:E,2,0)</f>
        <v>miyapur</v>
      </c>
      <c r="J531" s="61" t="s">
        <v>390</v>
      </c>
      <c r="K531" s="12">
        <v>0.2</v>
      </c>
      <c r="L531" s="14" t="str">
        <f t="shared" si="30"/>
        <v>20%+</v>
      </c>
      <c r="M531" s="14"/>
      <c r="N531" s="14"/>
      <c r="O531" s="43" t="s">
        <v>3539</v>
      </c>
      <c r="P531" s="9" t="s">
        <v>3542</v>
      </c>
      <c r="Q531" s="15" t="s">
        <v>3541</v>
      </c>
      <c r="R531" s="16" t="s">
        <v>3543</v>
      </c>
      <c r="S531" s="9" t="s">
        <v>68</v>
      </c>
      <c r="T531" s="9" t="s">
        <v>3541</v>
      </c>
      <c r="U531" s="9" t="s">
        <v>1014</v>
      </c>
      <c r="V531" s="17">
        <v>5.0100144715322E13</v>
      </c>
      <c r="W531" s="9" t="s">
        <v>3341</v>
      </c>
      <c r="X531" s="9" t="s">
        <v>56</v>
      </c>
      <c r="Y531" s="18" t="s">
        <v>57</v>
      </c>
      <c r="Z531" s="18" t="s">
        <v>58</v>
      </c>
      <c r="AA531" s="18" t="s">
        <v>57</v>
      </c>
      <c r="AB531" s="18" t="s">
        <v>57</v>
      </c>
      <c r="AC531" s="18" t="s">
        <v>57</v>
      </c>
      <c r="AD531" s="18" t="s">
        <v>58</v>
      </c>
      <c r="AE531" s="35" t="s">
        <v>3544</v>
      </c>
      <c r="AF531" s="14"/>
      <c r="AG531" s="14"/>
      <c r="AH531" s="14"/>
      <c r="AI531" s="20"/>
      <c r="AJ531" s="14"/>
      <c r="AK531" s="14"/>
      <c r="AL531" s="14"/>
      <c r="AM531" s="14"/>
      <c r="AN531" s="14"/>
      <c r="AO531" s="14"/>
      <c r="AP531" s="14"/>
      <c r="AQ531" s="14"/>
      <c r="AR531" s="14"/>
    </row>
    <row r="532" ht="22.5" customHeight="1">
      <c r="A532" s="74">
        <v>46087.0</v>
      </c>
      <c r="B532" s="75" t="s">
        <v>3546</v>
      </c>
      <c r="C532" s="8" t="s">
        <v>96</v>
      </c>
      <c r="D532" s="9" t="s">
        <v>258</v>
      </c>
      <c r="E532" s="9" t="s">
        <v>3547</v>
      </c>
      <c r="F532" s="9" t="s">
        <v>1853</v>
      </c>
      <c r="G532" s="10">
        <v>502032.0</v>
      </c>
      <c r="H532" s="9" t="s">
        <v>1961</v>
      </c>
      <c r="I532" s="11" t="str">
        <f>VLOOKUP(H532,Mapping!D:E,2,0)</f>
        <v>miyapur</v>
      </c>
      <c r="J532" s="61" t="s">
        <v>390</v>
      </c>
      <c r="K532" s="12">
        <v>0.22</v>
      </c>
      <c r="L532" s="14" t="str">
        <f t="shared" si="30"/>
        <v>20%+</v>
      </c>
      <c r="M532" s="14"/>
      <c r="N532" s="14"/>
      <c r="O532" s="15" t="s">
        <v>3546</v>
      </c>
      <c r="P532" s="15" t="s">
        <v>3547</v>
      </c>
      <c r="Q532" s="9" t="s">
        <v>1853</v>
      </c>
      <c r="R532" s="16" t="s">
        <v>3548</v>
      </c>
      <c r="S532" s="9" t="s">
        <v>3549</v>
      </c>
      <c r="T532" s="15" t="s">
        <v>3546</v>
      </c>
      <c r="U532" s="9" t="s">
        <v>1014</v>
      </c>
      <c r="V532" s="17">
        <v>5.0200095844955E13</v>
      </c>
      <c r="W532" s="9" t="s">
        <v>3550</v>
      </c>
      <c r="X532" s="9" t="s">
        <v>80</v>
      </c>
      <c r="Y532" s="18" t="s">
        <v>57</v>
      </c>
      <c r="Z532" s="18" t="s">
        <v>58</v>
      </c>
      <c r="AA532" s="18" t="s">
        <v>57</v>
      </c>
      <c r="AB532" s="18" t="s">
        <v>57</v>
      </c>
      <c r="AC532" s="18" t="s">
        <v>57</v>
      </c>
      <c r="AD532" s="18" t="s">
        <v>58</v>
      </c>
      <c r="AE532" s="35" t="s">
        <v>3551</v>
      </c>
      <c r="AF532" s="14"/>
      <c r="AG532" s="14"/>
      <c r="AH532" s="14"/>
      <c r="AI532" s="20"/>
      <c r="AJ532" s="14"/>
      <c r="AK532" s="14"/>
      <c r="AL532" s="14"/>
      <c r="AM532" s="14"/>
      <c r="AN532" s="14"/>
      <c r="AO532" s="14"/>
      <c r="AP532" s="14"/>
      <c r="AQ532" s="14"/>
      <c r="AR532" s="14"/>
    </row>
    <row r="533" ht="22.5" customHeight="1">
      <c r="A533" s="74">
        <v>46087.0</v>
      </c>
      <c r="B533" s="138" t="s">
        <v>3552</v>
      </c>
      <c r="C533" s="8" t="s">
        <v>241</v>
      </c>
      <c r="D533" s="9" t="s">
        <v>258</v>
      </c>
      <c r="E533" s="39" t="s">
        <v>3553</v>
      </c>
      <c r="F533" s="9" t="s">
        <v>1180</v>
      </c>
      <c r="G533" s="10">
        <v>500050.0</v>
      </c>
      <c r="H533" s="9" t="s">
        <v>512</v>
      </c>
      <c r="I533" s="11" t="str">
        <f>VLOOKUP(H533,Mapping!D:E,2,0)</f>
        <v>miyapur</v>
      </c>
      <c r="J533" s="61" t="s">
        <v>390</v>
      </c>
      <c r="K533" s="12">
        <v>0.22</v>
      </c>
      <c r="L533" s="14" t="str">
        <f t="shared" si="30"/>
        <v>20%+</v>
      </c>
      <c r="M533" s="14"/>
      <c r="N533" s="14"/>
      <c r="O533" s="43" t="s">
        <v>3552</v>
      </c>
      <c r="P533" s="39" t="s">
        <v>3554</v>
      </c>
      <c r="Q533" s="9" t="s">
        <v>1180</v>
      </c>
      <c r="R533" s="16" t="s">
        <v>3555</v>
      </c>
      <c r="S533" s="9" t="s">
        <v>3556</v>
      </c>
      <c r="T533" s="15" t="s">
        <v>3546</v>
      </c>
      <c r="U533" s="9" t="s">
        <v>1014</v>
      </c>
      <c r="V533" s="17">
        <v>5.0200095844955E13</v>
      </c>
      <c r="W533" s="9" t="s">
        <v>3550</v>
      </c>
      <c r="X533" s="9" t="s">
        <v>80</v>
      </c>
      <c r="Y533" s="18" t="s">
        <v>57</v>
      </c>
      <c r="Z533" s="18" t="s">
        <v>69</v>
      </c>
      <c r="AA533" s="18" t="s">
        <v>58</v>
      </c>
      <c r="AB533" s="18" t="s">
        <v>57</v>
      </c>
      <c r="AC533" s="18" t="s">
        <v>58</v>
      </c>
      <c r="AD533" s="18" t="s">
        <v>69</v>
      </c>
      <c r="AE533" s="39" t="s">
        <v>3557</v>
      </c>
      <c r="AF533" s="14"/>
      <c r="AG533" s="14"/>
      <c r="AH533" s="14"/>
      <c r="AI533" s="20"/>
      <c r="AJ533" s="14"/>
      <c r="AK533" s="14"/>
      <c r="AL533" s="14"/>
      <c r="AM533" s="14"/>
      <c r="AN533" s="14"/>
      <c r="AO533" s="14"/>
      <c r="AP533" s="14"/>
      <c r="AQ533" s="14"/>
      <c r="AR533" s="14"/>
    </row>
    <row r="534" ht="22.5" customHeight="1">
      <c r="A534" s="74">
        <v>46087.0</v>
      </c>
      <c r="B534" s="75" t="s">
        <v>3558</v>
      </c>
      <c r="C534" s="8" t="s">
        <v>144</v>
      </c>
      <c r="D534" s="9" t="s">
        <v>258</v>
      </c>
      <c r="E534" s="39" t="s">
        <v>3559</v>
      </c>
      <c r="F534" s="9" t="s">
        <v>3560</v>
      </c>
      <c r="G534" s="10">
        <v>500072.0</v>
      </c>
      <c r="H534" s="9" t="s">
        <v>2515</v>
      </c>
      <c r="I534" s="11" t="str">
        <f>VLOOKUP(H534,Mapping!D:E,2,0)</f>
        <v>miyapur</v>
      </c>
      <c r="J534" s="61" t="s">
        <v>390</v>
      </c>
      <c r="K534" s="12">
        <v>0.2</v>
      </c>
      <c r="L534" s="14" t="str">
        <f t="shared" si="30"/>
        <v>20%+</v>
      </c>
      <c r="M534" s="14"/>
      <c r="N534" s="14"/>
      <c r="O534" s="43" t="s">
        <v>3558</v>
      </c>
      <c r="P534" s="39" t="s">
        <v>3561</v>
      </c>
      <c r="Q534" s="9" t="s">
        <v>3562</v>
      </c>
      <c r="R534" s="16" t="s">
        <v>3563</v>
      </c>
      <c r="S534" s="9" t="s">
        <v>3564</v>
      </c>
      <c r="T534" s="15" t="s">
        <v>3565</v>
      </c>
      <c r="U534" s="9" t="s">
        <v>738</v>
      </c>
      <c r="V534" s="17" t="s">
        <v>3566</v>
      </c>
      <c r="W534" s="9" t="s">
        <v>1705</v>
      </c>
      <c r="X534" s="9" t="s">
        <v>80</v>
      </c>
      <c r="Y534" s="14"/>
      <c r="Z534" s="14"/>
      <c r="AA534" s="14"/>
      <c r="AB534" s="14"/>
      <c r="AC534" s="14"/>
      <c r="AD534" s="14"/>
      <c r="AE534" s="14"/>
      <c r="AF534" s="14"/>
      <c r="AG534" s="14"/>
      <c r="AH534" s="14"/>
      <c r="AI534" s="20"/>
      <c r="AJ534" s="14"/>
      <c r="AK534" s="14"/>
      <c r="AL534" s="14"/>
      <c r="AM534" s="14"/>
      <c r="AN534" s="14"/>
      <c r="AO534" s="14"/>
      <c r="AP534" s="14"/>
      <c r="AQ534" s="14"/>
      <c r="AR534" s="14"/>
    </row>
    <row r="535" ht="22.5" customHeight="1">
      <c r="A535" s="74">
        <v>46087.0</v>
      </c>
      <c r="B535" s="138" t="s">
        <v>3565</v>
      </c>
      <c r="C535" s="8" t="s">
        <v>248</v>
      </c>
      <c r="D535" s="9" t="s">
        <v>258</v>
      </c>
      <c r="E535" s="39" t="s">
        <v>3567</v>
      </c>
      <c r="F535" s="9" t="s">
        <v>3560</v>
      </c>
      <c r="G535" s="10">
        <v>500072.0</v>
      </c>
      <c r="H535" s="9" t="s">
        <v>2515</v>
      </c>
      <c r="I535" s="11" t="str">
        <f>VLOOKUP(H535,Mapping!D:E,2,0)</f>
        <v>miyapur</v>
      </c>
      <c r="J535" s="61" t="s">
        <v>390</v>
      </c>
      <c r="K535" s="12">
        <v>0.2</v>
      </c>
      <c r="L535" s="14" t="str">
        <f t="shared" si="30"/>
        <v>20%+</v>
      </c>
      <c r="M535" s="14"/>
      <c r="N535" s="14"/>
      <c r="O535" s="15" t="s">
        <v>3565</v>
      </c>
      <c r="P535" s="39" t="s">
        <v>3568</v>
      </c>
      <c r="Q535" s="9" t="s">
        <v>3562</v>
      </c>
      <c r="R535" s="16" t="s">
        <v>3563</v>
      </c>
      <c r="S535" s="9" t="s">
        <v>3564</v>
      </c>
      <c r="T535" s="15" t="s">
        <v>3565</v>
      </c>
      <c r="U535" s="9" t="s">
        <v>738</v>
      </c>
      <c r="V535" s="17" t="s">
        <v>3566</v>
      </c>
      <c r="W535" s="9" t="s">
        <v>1705</v>
      </c>
      <c r="X535" s="9" t="s">
        <v>80</v>
      </c>
      <c r="Y535" s="18" t="s">
        <v>57</v>
      </c>
      <c r="Z535" s="18" t="s">
        <v>69</v>
      </c>
      <c r="AA535" s="18" t="s">
        <v>57</v>
      </c>
      <c r="AB535" s="18" t="s">
        <v>57</v>
      </c>
      <c r="AC535" s="18" t="s">
        <v>57</v>
      </c>
      <c r="AD535" s="18" t="s">
        <v>58</v>
      </c>
      <c r="AE535" s="35" t="s">
        <v>3569</v>
      </c>
      <c r="AF535" s="14"/>
      <c r="AG535" s="14"/>
      <c r="AH535" s="9" t="s">
        <v>2401</v>
      </c>
      <c r="AI535" s="20"/>
      <c r="AJ535" s="14"/>
      <c r="AK535" s="14"/>
      <c r="AL535" s="14"/>
      <c r="AM535" s="14"/>
      <c r="AN535" s="14"/>
      <c r="AO535" s="14"/>
      <c r="AP535" s="14"/>
      <c r="AQ535" s="14"/>
      <c r="AR535" s="14"/>
    </row>
    <row r="536" ht="22.5" customHeight="1">
      <c r="A536" s="74">
        <v>46087.0</v>
      </c>
      <c r="B536" s="75" t="s">
        <v>3570</v>
      </c>
      <c r="C536" s="8" t="s">
        <v>186</v>
      </c>
      <c r="D536" s="9" t="s">
        <v>258</v>
      </c>
      <c r="E536" s="9" t="s">
        <v>3571</v>
      </c>
      <c r="F536" s="9" t="s">
        <v>452</v>
      </c>
      <c r="G536" s="10">
        <v>500049.0</v>
      </c>
      <c r="H536" s="9" t="s">
        <v>2515</v>
      </c>
      <c r="I536" s="11" t="str">
        <f>VLOOKUP(H536,Mapping!D:E,2,0)</f>
        <v>miyapur</v>
      </c>
      <c r="J536" s="61" t="s">
        <v>390</v>
      </c>
      <c r="K536" s="12">
        <v>0.23</v>
      </c>
      <c r="L536" s="14" t="str">
        <f t="shared" si="30"/>
        <v>20%+</v>
      </c>
      <c r="M536" s="14"/>
      <c r="N536" s="14"/>
      <c r="O536" s="9" t="s">
        <v>3572</v>
      </c>
      <c r="P536" s="9" t="s">
        <v>3573</v>
      </c>
      <c r="Q536" s="9" t="s">
        <v>3516</v>
      </c>
      <c r="R536" s="16" t="s">
        <v>3574</v>
      </c>
      <c r="S536" s="9" t="s">
        <v>3575</v>
      </c>
      <c r="T536" s="9" t="s">
        <v>3576</v>
      </c>
      <c r="U536" s="9" t="s">
        <v>3577</v>
      </c>
      <c r="V536" s="17">
        <v>1.83410100007985E14</v>
      </c>
      <c r="W536" s="9" t="s">
        <v>3578</v>
      </c>
      <c r="X536" s="9" t="s">
        <v>56</v>
      </c>
      <c r="Y536" s="18" t="s">
        <v>57</v>
      </c>
      <c r="Z536" s="18" t="s">
        <v>58</v>
      </c>
      <c r="AA536" s="18" t="s">
        <v>57</v>
      </c>
      <c r="AB536" s="18" t="s">
        <v>57</v>
      </c>
      <c r="AC536" s="18" t="s">
        <v>57</v>
      </c>
      <c r="AD536" s="18" t="s">
        <v>58</v>
      </c>
      <c r="AE536" s="40" t="s">
        <v>3579</v>
      </c>
      <c r="AF536" s="35" t="s">
        <v>3519</v>
      </c>
      <c r="AG536" s="14"/>
      <c r="AH536" s="14"/>
      <c r="AI536" s="20"/>
      <c r="AJ536" s="14"/>
      <c r="AK536" s="14"/>
      <c r="AL536" s="14"/>
      <c r="AM536" s="14"/>
      <c r="AN536" s="14"/>
      <c r="AO536" s="14"/>
      <c r="AP536" s="14"/>
      <c r="AQ536" s="14"/>
      <c r="AR536" s="14"/>
    </row>
    <row r="537" ht="22.5" customHeight="1">
      <c r="A537" s="74">
        <v>46087.0</v>
      </c>
      <c r="B537" s="138" t="s">
        <v>3580</v>
      </c>
      <c r="C537" s="8" t="s">
        <v>241</v>
      </c>
      <c r="D537" s="9" t="s">
        <v>258</v>
      </c>
      <c r="E537" s="39" t="s">
        <v>3581</v>
      </c>
      <c r="F537" s="9" t="s">
        <v>3312</v>
      </c>
      <c r="G537" s="10">
        <v>500008.0</v>
      </c>
      <c r="H537" s="9" t="s">
        <v>171</v>
      </c>
      <c r="I537" s="11" t="str">
        <f>VLOOKUP(H537,Mapping!D:E,2,0)</f>
        <v>Langar Houz</v>
      </c>
      <c r="J537" s="61" t="s">
        <v>86</v>
      </c>
      <c r="K537" s="12">
        <v>0.22</v>
      </c>
      <c r="L537" s="14" t="str">
        <f t="shared" si="30"/>
        <v>20%+</v>
      </c>
      <c r="M537" s="14"/>
      <c r="N537" s="14"/>
      <c r="O537" s="9" t="s">
        <v>3313</v>
      </c>
      <c r="P537" s="39" t="s">
        <v>3582</v>
      </c>
      <c r="Q537" s="9" t="s">
        <v>3315</v>
      </c>
      <c r="R537" s="16" t="s">
        <v>3316</v>
      </c>
      <c r="S537" s="9" t="s">
        <v>3317</v>
      </c>
      <c r="T537" s="9" t="s">
        <v>3318</v>
      </c>
      <c r="U537" s="9" t="s">
        <v>307</v>
      </c>
      <c r="V537" s="17">
        <v>1.56710100065031E14</v>
      </c>
      <c r="W537" s="9" t="s">
        <v>3319</v>
      </c>
      <c r="X537" s="9" t="s">
        <v>56</v>
      </c>
      <c r="Y537" s="18" t="s">
        <v>57</v>
      </c>
      <c r="Z537" s="18" t="s">
        <v>69</v>
      </c>
      <c r="AA537" s="18" t="s">
        <v>57</v>
      </c>
      <c r="AB537" s="18" t="s">
        <v>57</v>
      </c>
      <c r="AC537" s="18" t="s">
        <v>57</v>
      </c>
      <c r="AD537" s="18" t="s">
        <v>69</v>
      </c>
      <c r="AE537" s="35" t="s">
        <v>3583</v>
      </c>
      <c r="AF537" s="14"/>
      <c r="AG537" s="14"/>
      <c r="AH537" s="14"/>
      <c r="AI537" s="20"/>
      <c r="AJ537" s="14"/>
      <c r="AK537" s="14"/>
      <c r="AL537" s="14"/>
      <c r="AM537" s="14"/>
      <c r="AN537" s="14"/>
      <c r="AO537" s="14"/>
      <c r="AP537" s="14"/>
      <c r="AQ537" s="14"/>
      <c r="AR537" s="14"/>
    </row>
    <row r="538" ht="22.5" customHeight="1">
      <c r="A538" s="74">
        <v>46087.0</v>
      </c>
      <c r="B538" s="75" t="s">
        <v>3525</v>
      </c>
      <c r="C538" s="8" t="s">
        <v>241</v>
      </c>
      <c r="D538" s="9" t="s">
        <v>258</v>
      </c>
      <c r="E538" s="9" t="s">
        <v>3524</v>
      </c>
      <c r="F538" s="9" t="s">
        <v>3118</v>
      </c>
      <c r="G538" s="10">
        <v>500049.0</v>
      </c>
      <c r="H538" s="9" t="s">
        <v>512</v>
      </c>
      <c r="I538" s="11" t="str">
        <f>VLOOKUP(H538,Mapping!D:E,2,0)</f>
        <v>miyapur</v>
      </c>
      <c r="J538" s="61" t="s">
        <v>390</v>
      </c>
      <c r="K538" s="12">
        <v>0.22</v>
      </c>
      <c r="L538" s="14" t="str">
        <f t="shared" si="30"/>
        <v>20%+</v>
      </c>
      <c r="M538" s="14"/>
      <c r="N538" s="14"/>
      <c r="O538" s="9" t="s">
        <v>3525</v>
      </c>
      <c r="P538" s="9" t="s">
        <v>3526</v>
      </c>
      <c r="Q538" s="9" t="s">
        <v>3118</v>
      </c>
      <c r="R538" s="16" t="s">
        <v>3527</v>
      </c>
      <c r="S538" s="9" t="s">
        <v>68</v>
      </c>
      <c r="T538" s="9" t="s">
        <v>68</v>
      </c>
      <c r="U538" s="9" t="s">
        <v>68</v>
      </c>
      <c r="V538" s="9" t="s">
        <v>68</v>
      </c>
      <c r="W538" s="9" t="s">
        <v>68</v>
      </c>
      <c r="X538" s="9" t="s">
        <v>68</v>
      </c>
      <c r="Y538" s="18" t="s">
        <v>58</v>
      </c>
      <c r="Z538" s="18" t="s">
        <v>58</v>
      </c>
      <c r="AA538" s="18" t="s">
        <v>58</v>
      </c>
      <c r="AB538" s="18" t="s">
        <v>58</v>
      </c>
      <c r="AC538" s="18" t="s">
        <v>58</v>
      </c>
      <c r="AD538" s="18" t="s">
        <v>69</v>
      </c>
      <c r="AE538" s="9"/>
      <c r="AF538" s="14"/>
      <c r="AG538" s="14"/>
      <c r="AH538" s="14"/>
      <c r="AI538" s="20"/>
      <c r="AJ538" s="14"/>
      <c r="AK538" s="14"/>
      <c r="AL538" s="14"/>
      <c r="AM538" s="14"/>
      <c r="AN538" s="14"/>
      <c r="AO538" s="14"/>
      <c r="AP538" s="14"/>
      <c r="AQ538" s="14"/>
      <c r="AR538" s="14"/>
    </row>
    <row r="539" ht="22.5" customHeight="1">
      <c r="A539" s="74">
        <v>46087.0</v>
      </c>
      <c r="B539" s="138" t="s">
        <v>3584</v>
      </c>
      <c r="C539" s="8" t="s">
        <v>1919</v>
      </c>
      <c r="D539" s="9" t="s">
        <v>258</v>
      </c>
      <c r="E539" s="9" t="s">
        <v>3585</v>
      </c>
      <c r="F539" s="9" t="s">
        <v>3586</v>
      </c>
      <c r="G539" s="10">
        <v>501301.0</v>
      </c>
      <c r="H539" s="9" t="s">
        <v>3587</v>
      </c>
      <c r="I539" s="11" t="str">
        <f>VLOOKUP(H539,Mapping!D:E,2,0)</f>
        <v>#N/A</v>
      </c>
      <c r="J539" s="155"/>
      <c r="K539" s="12">
        <v>0.2</v>
      </c>
      <c r="L539" s="14" t="str">
        <f t="shared" si="30"/>
        <v>20%+</v>
      </c>
      <c r="M539" s="13">
        <v>0.018</v>
      </c>
      <c r="N539" s="14"/>
      <c r="O539" s="9" t="s">
        <v>3586</v>
      </c>
      <c r="P539" s="15" t="s">
        <v>3585</v>
      </c>
      <c r="Q539" s="9" t="s">
        <v>3586</v>
      </c>
      <c r="R539" s="16" t="s">
        <v>3588</v>
      </c>
      <c r="S539" s="9" t="s">
        <v>3589</v>
      </c>
      <c r="T539" s="9" t="s">
        <v>3586</v>
      </c>
      <c r="U539" s="9" t="s">
        <v>1139</v>
      </c>
      <c r="V539" s="17">
        <v>9.21010002961119E14</v>
      </c>
      <c r="W539" s="9" t="s">
        <v>3590</v>
      </c>
      <c r="X539" s="9" t="s">
        <v>56</v>
      </c>
      <c r="Y539" s="18" t="s">
        <v>57</v>
      </c>
      <c r="Z539" s="18" t="s">
        <v>58</v>
      </c>
      <c r="AA539" s="18" t="s">
        <v>57</v>
      </c>
      <c r="AB539" s="18" t="s">
        <v>57</v>
      </c>
      <c r="AC539" s="18" t="s">
        <v>58</v>
      </c>
      <c r="AD539" s="18" t="s">
        <v>58</v>
      </c>
      <c r="AE539" s="35" t="s">
        <v>3591</v>
      </c>
      <c r="AF539" s="14"/>
      <c r="AG539" s="9" t="s">
        <v>3592</v>
      </c>
      <c r="AH539" s="9" t="s">
        <v>3593</v>
      </c>
      <c r="AI539" s="8"/>
      <c r="AJ539" s="14"/>
      <c r="AK539" s="14"/>
      <c r="AL539" s="14"/>
      <c r="AM539" s="14"/>
      <c r="AN539" s="14"/>
      <c r="AO539" s="14"/>
      <c r="AP539" s="14"/>
      <c r="AQ539" s="14"/>
      <c r="AR539" s="14"/>
    </row>
    <row r="540" ht="22.5" customHeight="1">
      <c r="A540" s="74">
        <v>46087.0</v>
      </c>
      <c r="B540" s="75" t="s">
        <v>3594</v>
      </c>
      <c r="C540" s="8" t="s">
        <v>144</v>
      </c>
      <c r="D540" s="9" t="s">
        <v>258</v>
      </c>
      <c r="E540" s="9" t="s">
        <v>3595</v>
      </c>
      <c r="F540" s="9" t="s">
        <v>3596</v>
      </c>
      <c r="G540" s="10">
        <v>500072.0</v>
      </c>
      <c r="H540" s="9" t="s">
        <v>2515</v>
      </c>
      <c r="I540" s="11" t="str">
        <f>VLOOKUP(H540,Mapping!D:E,2,0)</f>
        <v>miyapur</v>
      </c>
      <c r="J540" s="61" t="s">
        <v>390</v>
      </c>
      <c r="K540" s="12">
        <v>0.18</v>
      </c>
      <c r="L540" s="14" t="str">
        <f t="shared" si="30"/>
        <v>&lt;20%</v>
      </c>
      <c r="M540" s="14"/>
      <c r="N540" s="14"/>
      <c r="O540" s="9" t="s">
        <v>3597</v>
      </c>
      <c r="P540" s="9" t="s">
        <v>3598</v>
      </c>
      <c r="Q540" s="9" t="s">
        <v>3596</v>
      </c>
      <c r="R540" s="16" t="s">
        <v>3599</v>
      </c>
      <c r="S540" s="9" t="s">
        <v>3600</v>
      </c>
      <c r="T540" s="9" t="s">
        <v>68</v>
      </c>
      <c r="U540" s="9" t="s">
        <v>3577</v>
      </c>
      <c r="V540" s="17">
        <v>9.2502003302611E14</v>
      </c>
      <c r="W540" s="9" t="s">
        <v>3375</v>
      </c>
      <c r="X540" s="9" t="s">
        <v>80</v>
      </c>
      <c r="Y540" s="14"/>
      <c r="Z540" s="14"/>
      <c r="AA540" s="14"/>
      <c r="AB540" s="14"/>
      <c r="AC540" s="14"/>
      <c r="AD540" s="14"/>
      <c r="AE540" s="14"/>
      <c r="AF540" s="14"/>
      <c r="AG540" s="14"/>
      <c r="AH540" s="14"/>
      <c r="AI540" s="20"/>
      <c r="AJ540" s="14"/>
      <c r="AK540" s="14"/>
      <c r="AL540" s="14"/>
      <c r="AM540" s="14"/>
      <c r="AN540" s="14"/>
      <c r="AO540" s="14"/>
      <c r="AP540" s="14"/>
      <c r="AQ540" s="14"/>
      <c r="AR540" s="14"/>
    </row>
    <row r="541" ht="22.5" customHeight="1">
      <c r="A541" s="74">
        <v>46087.0</v>
      </c>
      <c r="B541" s="138" t="s">
        <v>3601</v>
      </c>
      <c r="C541" s="8" t="s">
        <v>248</v>
      </c>
      <c r="D541" s="9" t="s">
        <v>258</v>
      </c>
      <c r="E541" s="9" t="s">
        <v>3595</v>
      </c>
      <c r="F541" s="9" t="s">
        <v>3596</v>
      </c>
      <c r="G541" s="10">
        <v>500072.0</v>
      </c>
      <c r="H541" s="9" t="s">
        <v>2515</v>
      </c>
      <c r="I541" s="11" t="str">
        <f>VLOOKUP(H541,Mapping!D:E,2,0)</f>
        <v>miyapur</v>
      </c>
      <c r="J541" s="61" t="s">
        <v>390</v>
      </c>
      <c r="K541" s="12">
        <v>0.18</v>
      </c>
      <c r="L541" s="14" t="str">
        <f t="shared" si="30"/>
        <v>&lt;20%</v>
      </c>
      <c r="M541" s="14"/>
      <c r="N541" s="14"/>
      <c r="O541" s="9" t="s">
        <v>3597</v>
      </c>
      <c r="P541" s="9" t="s">
        <v>3598</v>
      </c>
      <c r="Q541" s="9" t="s">
        <v>3596</v>
      </c>
      <c r="R541" s="16" t="s">
        <v>3599</v>
      </c>
      <c r="S541" s="9" t="s">
        <v>3600</v>
      </c>
      <c r="T541" s="9" t="s">
        <v>68</v>
      </c>
      <c r="U541" s="9" t="s">
        <v>3577</v>
      </c>
      <c r="V541" s="17">
        <v>9.2502003302611E14</v>
      </c>
      <c r="W541" s="9" t="s">
        <v>3375</v>
      </c>
      <c r="X541" s="9" t="s">
        <v>80</v>
      </c>
      <c r="Y541" s="18" t="s">
        <v>57</v>
      </c>
      <c r="Z541" s="18" t="s">
        <v>69</v>
      </c>
      <c r="AA541" s="18" t="s">
        <v>57</v>
      </c>
      <c r="AB541" s="18" t="s">
        <v>57</v>
      </c>
      <c r="AC541" s="18" t="s">
        <v>58</v>
      </c>
      <c r="AD541" s="18" t="s">
        <v>58</v>
      </c>
      <c r="AE541" s="35" t="s">
        <v>3602</v>
      </c>
      <c r="AF541" s="14"/>
      <c r="AG541" s="14"/>
      <c r="AH541" s="9" t="s">
        <v>1800</v>
      </c>
      <c r="AI541" s="8" t="s">
        <v>71</v>
      </c>
      <c r="AJ541" s="14"/>
      <c r="AK541" s="14"/>
      <c r="AL541" s="14"/>
      <c r="AM541" s="14"/>
      <c r="AN541" s="14"/>
      <c r="AO541" s="14"/>
      <c r="AP541" s="14"/>
      <c r="AQ541" s="14"/>
      <c r="AR541" s="14"/>
    </row>
    <row r="542" ht="22.5" customHeight="1">
      <c r="A542" s="74">
        <v>46087.0</v>
      </c>
      <c r="B542" s="75" t="s">
        <v>3603</v>
      </c>
      <c r="C542" s="8" t="s">
        <v>241</v>
      </c>
      <c r="D542" s="9" t="s">
        <v>258</v>
      </c>
      <c r="E542" s="9" t="s">
        <v>3604</v>
      </c>
      <c r="F542" s="9" t="s">
        <v>3605</v>
      </c>
      <c r="G542" s="10">
        <v>500049.0</v>
      </c>
      <c r="H542" s="9" t="s">
        <v>512</v>
      </c>
      <c r="I542" s="11" t="str">
        <f>VLOOKUP(H542,Mapping!D:E,2,0)</f>
        <v>miyapur</v>
      </c>
      <c r="J542" s="61" t="s">
        <v>390</v>
      </c>
      <c r="K542" s="12">
        <v>0.22</v>
      </c>
      <c r="L542" s="14" t="str">
        <f t="shared" si="30"/>
        <v>20%+</v>
      </c>
      <c r="M542" s="14"/>
      <c r="N542" s="14"/>
      <c r="O542" s="43" t="s">
        <v>3603</v>
      </c>
      <c r="P542" s="9" t="s">
        <v>3604</v>
      </c>
      <c r="Q542" s="9" t="s">
        <v>3605</v>
      </c>
      <c r="R542" s="16" t="s">
        <v>3606</v>
      </c>
      <c r="S542" s="9" t="s">
        <v>3607</v>
      </c>
      <c r="T542" s="9" t="s">
        <v>3605</v>
      </c>
      <c r="U542" s="9" t="s">
        <v>1129</v>
      </c>
      <c r="V542" s="17">
        <v>3.5332027368E10</v>
      </c>
      <c r="W542" s="9" t="s">
        <v>3608</v>
      </c>
      <c r="X542" s="9" t="s">
        <v>56</v>
      </c>
      <c r="Y542" s="18" t="s">
        <v>57</v>
      </c>
      <c r="Z542" s="18" t="s">
        <v>69</v>
      </c>
      <c r="AA542" s="18" t="s">
        <v>57</v>
      </c>
      <c r="AB542" s="18" t="s">
        <v>57</v>
      </c>
      <c r="AC542" s="18" t="s">
        <v>58</v>
      </c>
      <c r="AD542" s="18" t="s">
        <v>69</v>
      </c>
      <c r="AE542" s="39" t="s">
        <v>3609</v>
      </c>
      <c r="AF542" s="14"/>
      <c r="AG542" s="14"/>
      <c r="AH542" s="14"/>
      <c r="AI542" s="20"/>
      <c r="AJ542" s="14"/>
      <c r="AK542" s="14"/>
      <c r="AL542" s="14"/>
      <c r="AM542" s="14"/>
      <c r="AN542" s="14"/>
      <c r="AO542" s="14"/>
      <c r="AP542" s="14"/>
      <c r="AQ542" s="14"/>
      <c r="AR542" s="14"/>
    </row>
    <row r="543" ht="22.5" customHeight="1">
      <c r="A543" s="74">
        <v>46087.0</v>
      </c>
      <c r="B543" s="138" t="s">
        <v>3610</v>
      </c>
      <c r="C543" s="8" t="s">
        <v>96</v>
      </c>
      <c r="D543" s="9" t="s">
        <v>258</v>
      </c>
      <c r="E543" s="39" t="s">
        <v>3611</v>
      </c>
      <c r="F543" s="9" t="s">
        <v>3315</v>
      </c>
      <c r="G543" s="10">
        <v>500008.0</v>
      </c>
      <c r="H543" s="9" t="s">
        <v>171</v>
      </c>
      <c r="I543" s="11" t="str">
        <f>VLOOKUP(H543,Mapping!D:E,2,0)</f>
        <v>Langar Houz</v>
      </c>
      <c r="J543" s="61" t="s">
        <v>86</v>
      </c>
      <c r="K543" s="12">
        <v>0.22</v>
      </c>
      <c r="L543" s="14" t="str">
        <f t="shared" si="30"/>
        <v>20%+</v>
      </c>
      <c r="M543" s="14"/>
      <c r="N543" s="14"/>
      <c r="O543" s="9" t="s">
        <v>3313</v>
      </c>
      <c r="P543" s="39" t="s">
        <v>3612</v>
      </c>
      <c r="Q543" s="9" t="s">
        <v>3315</v>
      </c>
      <c r="R543" s="16" t="s">
        <v>3316</v>
      </c>
      <c r="S543" s="9" t="s">
        <v>3317</v>
      </c>
      <c r="T543" s="9" t="s">
        <v>3318</v>
      </c>
      <c r="U543" s="9" t="s">
        <v>307</v>
      </c>
      <c r="V543" s="17">
        <v>1.56710100065031E14</v>
      </c>
      <c r="W543" s="9" t="s">
        <v>3319</v>
      </c>
      <c r="X543" s="9" t="s">
        <v>56</v>
      </c>
      <c r="Y543" s="18" t="s">
        <v>57</v>
      </c>
      <c r="Z543" s="18" t="s">
        <v>58</v>
      </c>
      <c r="AA543" s="18" t="s">
        <v>57</v>
      </c>
      <c r="AB543" s="18" t="s">
        <v>57</v>
      </c>
      <c r="AC543" s="18" t="s">
        <v>57</v>
      </c>
      <c r="AD543" s="18" t="s">
        <v>58</v>
      </c>
      <c r="AE543" s="35" t="s">
        <v>3613</v>
      </c>
      <c r="AF543" s="14"/>
      <c r="AG543" s="14"/>
      <c r="AH543" s="14"/>
      <c r="AI543" s="20"/>
      <c r="AJ543" s="14"/>
      <c r="AK543" s="14"/>
      <c r="AL543" s="14"/>
      <c r="AM543" s="14"/>
      <c r="AN543" s="14"/>
      <c r="AO543" s="14"/>
      <c r="AP543" s="14"/>
      <c r="AQ543" s="14"/>
      <c r="AR543" s="14"/>
    </row>
    <row r="544" ht="22.5" customHeight="1">
      <c r="A544" s="74">
        <v>46087.0</v>
      </c>
      <c r="B544" s="75" t="s">
        <v>3614</v>
      </c>
      <c r="C544" s="8" t="s">
        <v>186</v>
      </c>
      <c r="D544" s="9" t="s">
        <v>2112</v>
      </c>
      <c r="E544" s="9" t="s">
        <v>3615</v>
      </c>
      <c r="F544" s="9" t="s">
        <v>68</v>
      </c>
      <c r="G544" s="10">
        <v>500085.0</v>
      </c>
      <c r="H544" s="9" t="s">
        <v>2515</v>
      </c>
      <c r="I544" s="11" t="str">
        <f>VLOOKUP(H544,Mapping!D:E,2,0)</f>
        <v>miyapur</v>
      </c>
      <c r="J544" s="136" t="s">
        <v>390</v>
      </c>
      <c r="K544" s="12">
        <v>0.21</v>
      </c>
      <c r="L544" s="14" t="str">
        <f t="shared" si="30"/>
        <v>20%+</v>
      </c>
      <c r="M544" s="14"/>
      <c r="N544" s="127">
        <v>0.02</v>
      </c>
      <c r="O544" s="9" t="s">
        <v>3616</v>
      </c>
      <c r="P544" s="9" t="s">
        <v>3617</v>
      </c>
      <c r="Q544" s="15" t="s">
        <v>3618</v>
      </c>
      <c r="R544" s="16" t="s">
        <v>3619</v>
      </c>
      <c r="S544" s="9" t="s">
        <v>2313</v>
      </c>
      <c r="T544" s="9" t="s">
        <v>3620</v>
      </c>
      <c r="U544" s="9" t="s">
        <v>919</v>
      </c>
      <c r="V544" s="17">
        <v>4.005026932E9</v>
      </c>
      <c r="W544" s="9" t="s">
        <v>3621</v>
      </c>
      <c r="X544" s="9" t="s">
        <v>80</v>
      </c>
      <c r="Y544" s="18" t="s">
        <v>57</v>
      </c>
      <c r="Z544" s="18" t="s">
        <v>58</v>
      </c>
      <c r="AA544" s="18" t="s">
        <v>57</v>
      </c>
      <c r="AB544" s="18" t="s">
        <v>57</v>
      </c>
      <c r="AC544" s="18" t="s">
        <v>57</v>
      </c>
      <c r="AD544" s="18" t="s">
        <v>58</v>
      </c>
      <c r="AE544" s="40" t="s">
        <v>3622</v>
      </c>
      <c r="AF544" s="40" t="s">
        <v>3623</v>
      </c>
      <c r="AG544" s="14"/>
      <c r="AH544" s="14"/>
      <c r="AI544" s="20"/>
      <c r="AJ544" s="14"/>
      <c r="AK544" s="14"/>
      <c r="AL544" s="14"/>
      <c r="AM544" s="14"/>
      <c r="AN544" s="14"/>
      <c r="AO544" s="14"/>
      <c r="AP544" s="14"/>
      <c r="AQ544" s="14"/>
      <c r="AR544" s="14"/>
    </row>
    <row r="545" ht="22.5" customHeight="1">
      <c r="A545" s="74">
        <v>46087.0</v>
      </c>
      <c r="B545" s="138" t="s">
        <v>3624</v>
      </c>
      <c r="C545" s="8" t="s">
        <v>186</v>
      </c>
      <c r="D545" s="9" t="s">
        <v>2112</v>
      </c>
      <c r="E545" s="9" t="s">
        <v>3625</v>
      </c>
      <c r="F545" s="9" t="s">
        <v>68</v>
      </c>
      <c r="G545" s="10">
        <v>500004.0</v>
      </c>
      <c r="H545" s="9" t="s">
        <v>2515</v>
      </c>
      <c r="I545" s="11" t="str">
        <f>VLOOKUP(H545,Mapping!D:E,2,0)</f>
        <v>miyapur</v>
      </c>
      <c r="J545" s="61" t="s">
        <v>390</v>
      </c>
      <c r="K545" s="12">
        <v>0.21</v>
      </c>
      <c r="L545" s="14" t="str">
        <f t="shared" si="30"/>
        <v>20%+</v>
      </c>
      <c r="M545" s="14"/>
      <c r="N545" s="127">
        <v>0.02</v>
      </c>
      <c r="O545" s="9" t="s">
        <v>3626</v>
      </c>
      <c r="P545" s="9" t="s">
        <v>3627</v>
      </c>
      <c r="Q545" s="9" t="s">
        <v>3628</v>
      </c>
      <c r="R545" s="9" t="s">
        <v>3619</v>
      </c>
      <c r="S545" s="9" t="s">
        <v>2313</v>
      </c>
      <c r="T545" s="9" t="s">
        <v>3629</v>
      </c>
      <c r="U545" s="9" t="s">
        <v>254</v>
      </c>
      <c r="V545" s="17">
        <v>1.548349217E9</v>
      </c>
      <c r="W545" s="9" t="s">
        <v>2457</v>
      </c>
      <c r="X545" s="9" t="s">
        <v>3630</v>
      </c>
      <c r="Y545" s="18" t="s">
        <v>57</v>
      </c>
      <c r="Z545" s="18" t="s">
        <v>58</v>
      </c>
      <c r="AA545" s="18" t="s">
        <v>57</v>
      </c>
      <c r="AB545" s="18" t="s">
        <v>57</v>
      </c>
      <c r="AC545" s="18" t="s">
        <v>57</v>
      </c>
      <c r="AD545" s="18" t="s">
        <v>58</v>
      </c>
      <c r="AE545" s="40" t="s">
        <v>3629</v>
      </c>
      <c r="AF545" s="40" t="s">
        <v>3631</v>
      </c>
      <c r="AG545" s="14"/>
      <c r="AH545" s="14"/>
      <c r="AI545" s="20"/>
      <c r="AJ545" s="14"/>
      <c r="AK545" s="14"/>
      <c r="AL545" s="14"/>
      <c r="AM545" s="14"/>
      <c r="AN545" s="14"/>
      <c r="AO545" s="14"/>
      <c r="AP545" s="14"/>
      <c r="AQ545" s="14"/>
      <c r="AR545" s="14"/>
    </row>
    <row r="546" ht="22.5" customHeight="1">
      <c r="A546" s="74">
        <v>46087.0</v>
      </c>
      <c r="B546" s="75" t="s">
        <v>3632</v>
      </c>
      <c r="C546" s="8" t="s">
        <v>45</v>
      </c>
      <c r="D546" s="9" t="s">
        <v>258</v>
      </c>
      <c r="E546" s="9" t="s">
        <v>3633</v>
      </c>
      <c r="F546" s="9" t="s">
        <v>68</v>
      </c>
      <c r="G546" s="10">
        <v>500072.0</v>
      </c>
      <c r="H546" s="9" t="s">
        <v>3634</v>
      </c>
      <c r="I546" s="11" t="str">
        <f>VLOOKUP(H546,Mapping!D:E,2,0)</f>
        <v>miyapur</v>
      </c>
      <c r="J546" s="61" t="s">
        <v>390</v>
      </c>
      <c r="K546" s="12">
        <v>0.2</v>
      </c>
      <c r="L546" s="14" t="str">
        <f t="shared" si="30"/>
        <v>20%+</v>
      </c>
      <c r="M546" s="14"/>
      <c r="N546" s="14"/>
      <c r="O546" s="9" t="s">
        <v>68</v>
      </c>
      <c r="P546" s="9" t="s">
        <v>68</v>
      </c>
      <c r="Q546" s="9" t="s">
        <v>68</v>
      </c>
      <c r="R546" s="9" t="s">
        <v>68</v>
      </c>
      <c r="S546" s="9" t="s">
        <v>68</v>
      </c>
      <c r="T546" s="9" t="s">
        <v>68</v>
      </c>
      <c r="U546" s="9" t="s">
        <v>68</v>
      </c>
      <c r="V546" s="9" t="s">
        <v>68</v>
      </c>
      <c r="W546" s="9" t="s">
        <v>68</v>
      </c>
      <c r="X546" s="9" t="s">
        <v>68</v>
      </c>
      <c r="Y546" s="18" t="s">
        <v>58</v>
      </c>
      <c r="Z546" s="18" t="s">
        <v>58</v>
      </c>
      <c r="AA546" s="18" t="s">
        <v>58</v>
      </c>
      <c r="AB546" s="18" t="s">
        <v>58</v>
      </c>
      <c r="AC546" s="18" t="s">
        <v>58</v>
      </c>
      <c r="AD546" s="18" t="s">
        <v>58</v>
      </c>
      <c r="AE546" s="14"/>
      <c r="AF546" s="14"/>
      <c r="AG546" s="14"/>
      <c r="AH546" s="9" t="s">
        <v>730</v>
      </c>
      <c r="AI546" s="20"/>
      <c r="AJ546" s="14"/>
      <c r="AK546" s="14"/>
      <c r="AL546" s="14"/>
      <c r="AM546" s="14"/>
      <c r="AN546" s="14"/>
      <c r="AO546" s="14"/>
      <c r="AP546" s="14"/>
      <c r="AQ546" s="14"/>
      <c r="AR546" s="14"/>
    </row>
    <row r="547" ht="22.5" customHeight="1">
      <c r="A547" s="74">
        <v>46087.0</v>
      </c>
      <c r="B547" s="75" t="s">
        <v>3635</v>
      </c>
      <c r="C547" s="8" t="s">
        <v>45</v>
      </c>
      <c r="D547" s="9" t="s">
        <v>258</v>
      </c>
      <c r="E547" s="9" t="s">
        <v>68</v>
      </c>
      <c r="F547" s="10" t="s">
        <v>68</v>
      </c>
      <c r="G547" s="10">
        <v>500072.0</v>
      </c>
      <c r="H547" s="9" t="s">
        <v>3634</v>
      </c>
      <c r="I547" s="11" t="str">
        <f>VLOOKUP(H547,Mapping!D:E,2,0)</f>
        <v>miyapur</v>
      </c>
      <c r="J547" s="61" t="s">
        <v>390</v>
      </c>
      <c r="K547" s="12">
        <v>0.2</v>
      </c>
      <c r="L547" s="14" t="str">
        <f t="shared" si="30"/>
        <v>20%+</v>
      </c>
      <c r="M547" s="14"/>
      <c r="N547" s="14"/>
      <c r="O547" s="9" t="s">
        <v>68</v>
      </c>
      <c r="P547" s="9" t="s">
        <v>68</v>
      </c>
      <c r="Q547" s="9" t="s">
        <v>68</v>
      </c>
      <c r="R547" s="9" t="s">
        <v>68</v>
      </c>
      <c r="S547" s="9" t="s">
        <v>68</v>
      </c>
      <c r="T547" s="9" t="s">
        <v>68</v>
      </c>
      <c r="U547" s="9" t="s">
        <v>68</v>
      </c>
      <c r="V547" s="9" t="s">
        <v>68</v>
      </c>
      <c r="W547" s="9" t="s">
        <v>68</v>
      </c>
      <c r="X547" s="9" t="s">
        <v>68</v>
      </c>
      <c r="Y547" s="18" t="s">
        <v>58</v>
      </c>
      <c r="Z547" s="18" t="s">
        <v>58</v>
      </c>
      <c r="AA547" s="18" t="s">
        <v>58</v>
      </c>
      <c r="AB547" s="18" t="s">
        <v>58</v>
      </c>
      <c r="AC547" s="18" t="s">
        <v>58</v>
      </c>
      <c r="AD547" s="18" t="s">
        <v>58</v>
      </c>
      <c r="AE547" s="9" t="s">
        <v>309</v>
      </c>
      <c r="AF547" s="14"/>
      <c r="AG547" s="14"/>
      <c r="AH547" s="9" t="s">
        <v>730</v>
      </c>
      <c r="AI547" s="20"/>
      <c r="AJ547" s="14"/>
      <c r="AK547" s="14"/>
      <c r="AL547" s="14"/>
      <c r="AM547" s="14"/>
      <c r="AN547" s="14"/>
      <c r="AO547" s="14"/>
      <c r="AP547" s="14"/>
      <c r="AQ547" s="14"/>
      <c r="AR547" s="14"/>
    </row>
    <row r="548" ht="22.5" customHeight="1">
      <c r="A548" s="74">
        <v>46090.0</v>
      </c>
      <c r="B548" s="75" t="s">
        <v>3636</v>
      </c>
      <c r="C548" s="8" t="s">
        <v>248</v>
      </c>
      <c r="D548" s="9" t="s">
        <v>258</v>
      </c>
      <c r="E548" s="9" t="s">
        <v>3637</v>
      </c>
      <c r="F548" s="9" t="s">
        <v>3638</v>
      </c>
      <c r="G548" s="10">
        <v>500072.0</v>
      </c>
      <c r="H548" s="9" t="s">
        <v>2515</v>
      </c>
      <c r="I548" s="11" t="str">
        <f>VLOOKUP(H548,Mapping!D:E,2,0)</f>
        <v>miyapur</v>
      </c>
      <c r="J548" s="61" t="s">
        <v>390</v>
      </c>
      <c r="K548" s="12">
        <v>0.22</v>
      </c>
      <c r="L548" s="14" t="str">
        <f t="shared" si="30"/>
        <v>20%+</v>
      </c>
      <c r="M548" s="14"/>
      <c r="N548" s="14"/>
      <c r="O548" s="9" t="s">
        <v>68</v>
      </c>
      <c r="P548" s="9" t="s">
        <v>3637</v>
      </c>
      <c r="Q548" s="9" t="s">
        <v>3638</v>
      </c>
      <c r="R548" s="16" t="s">
        <v>3639</v>
      </c>
      <c r="S548" s="9" t="s">
        <v>3640</v>
      </c>
      <c r="T548" s="9" t="s">
        <v>68</v>
      </c>
      <c r="U548" s="9" t="s">
        <v>68</v>
      </c>
      <c r="V548" s="9" t="s">
        <v>68</v>
      </c>
      <c r="W548" s="9" t="s">
        <v>68</v>
      </c>
      <c r="X548" s="9" t="s">
        <v>68</v>
      </c>
      <c r="Y548" s="18" t="s">
        <v>58</v>
      </c>
      <c r="Z548" s="18" t="s">
        <v>69</v>
      </c>
      <c r="AA548" s="18" t="s">
        <v>58</v>
      </c>
      <c r="AB548" s="18" t="s">
        <v>58</v>
      </c>
      <c r="AC548" s="18" t="s">
        <v>58</v>
      </c>
      <c r="AD548" s="18" t="s">
        <v>57</v>
      </c>
      <c r="AE548" s="35" t="s">
        <v>3641</v>
      </c>
      <c r="AF548" s="14"/>
      <c r="AG548" s="14"/>
      <c r="AH548" s="9" t="s">
        <v>3642</v>
      </c>
      <c r="AI548" s="8" t="s">
        <v>71</v>
      </c>
      <c r="AJ548" s="14"/>
      <c r="AK548" s="14"/>
      <c r="AL548" s="14"/>
      <c r="AM548" s="14"/>
      <c r="AN548" s="14"/>
      <c r="AO548" s="14"/>
      <c r="AP548" s="14"/>
      <c r="AQ548" s="14"/>
      <c r="AR548" s="14"/>
    </row>
    <row r="549" ht="22.5" customHeight="1">
      <c r="A549" s="74">
        <v>46090.0</v>
      </c>
      <c r="B549" s="75" t="s">
        <v>3442</v>
      </c>
      <c r="C549" s="8" t="s">
        <v>73</v>
      </c>
      <c r="D549" s="9" t="s">
        <v>258</v>
      </c>
      <c r="E549" s="39" t="s">
        <v>3643</v>
      </c>
      <c r="F549" s="9" t="s">
        <v>3644</v>
      </c>
      <c r="G549" s="10">
        <v>500081.0</v>
      </c>
      <c r="H549" s="15" t="s">
        <v>2686</v>
      </c>
      <c r="I549" s="15" t="s">
        <v>2686</v>
      </c>
      <c r="J549" s="61" t="s">
        <v>303</v>
      </c>
      <c r="K549" s="12">
        <v>0.2</v>
      </c>
      <c r="L549" s="14" t="str">
        <f t="shared" si="30"/>
        <v>20%+</v>
      </c>
      <c r="M549" s="14"/>
      <c r="N549" s="14"/>
      <c r="O549" s="43" t="s">
        <v>3442</v>
      </c>
      <c r="P549" s="15" t="s">
        <v>2686</v>
      </c>
      <c r="Q549" s="9" t="s">
        <v>3644</v>
      </c>
      <c r="R549" s="16" t="s">
        <v>3645</v>
      </c>
      <c r="S549" s="9" t="s">
        <v>3646</v>
      </c>
      <c r="T549" s="9" t="s">
        <v>3442</v>
      </c>
      <c r="U549" s="9" t="s">
        <v>1014</v>
      </c>
      <c r="V549" s="17">
        <v>5.0200081127915E13</v>
      </c>
      <c r="W549" s="9" t="s">
        <v>2337</v>
      </c>
      <c r="X549" s="9" t="s">
        <v>80</v>
      </c>
      <c r="Y549" s="18" t="s">
        <v>57</v>
      </c>
      <c r="Z549" s="18" t="s">
        <v>57</v>
      </c>
      <c r="AA549" s="18" t="s">
        <v>57</v>
      </c>
      <c r="AB549" s="18" t="s">
        <v>57</v>
      </c>
      <c r="AC549" s="18" t="s">
        <v>57</v>
      </c>
      <c r="AD549" s="18" t="s">
        <v>58</v>
      </c>
      <c r="AE549" s="35" t="s">
        <v>3647</v>
      </c>
      <c r="AF549" s="14"/>
      <c r="AG549" s="14"/>
      <c r="AH549" s="14"/>
      <c r="AI549" s="20"/>
      <c r="AJ549" s="14"/>
      <c r="AK549" s="14"/>
      <c r="AL549" s="14"/>
      <c r="AM549" s="14"/>
      <c r="AN549" s="14"/>
      <c r="AO549" s="14"/>
      <c r="AP549" s="14"/>
      <c r="AQ549" s="14"/>
      <c r="AR549" s="14"/>
    </row>
    <row r="550" ht="22.5" customHeight="1">
      <c r="A550" s="74">
        <v>46090.0</v>
      </c>
      <c r="B550" s="75" t="s">
        <v>3648</v>
      </c>
      <c r="C550" s="8" t="s">
        <v>1919</v>
      </c>
      <c r="D550" s="9" t="s">
        <v>258</v>
      </c>
      <c r="E550" s="9" t="s">
        <v>3649</v>
      </c>
      <c r="F550" s="9" t="s">
        <v>3650</v>
      </c>
      <c r="G550" s="10">
        <v>500072.0</v>
      </c>
      <c r="H550" s="9" t="s">
        <v>610</v>
      </c>
      <c r="I550" s="11" t="str">
        <f>VLOOKUP(H550,Mapping!D:E,2,0)</f>
        <v>kukatpally</v>
      </c>
      <c r="J550" s="61" t="s">
        <v>390</v>
      </c>
      <c r="K550" s="12">
        <v>0.2</v>
      </c>
      <c r="L550" s="14" t="str">
        <f t="shared" si="30"/>
        <v>20%+</v>
      </c>
      <c r="M550" s="13">
        <v>0.018</v>
      </c>
      <c r="N550" s="14"/>
      <c r="O550" s="9" t="s">
        <v>3650</v>
      </c>
      <c r="P550" s="9" t="s">
        <v>3649</v>
      </c>
      <c r="Q550" s="9" t="s">
        <v>3651</v>
      </c>
      <c r="R550" s="16" t="s">
        <v>3652</v>
      </c>
      <c r="S550" s="9" t="s">
        <v>3653</v>
      </c>
      <c r="T550" s="9" t="s">
        <v>3654</v>
      </c>
      <c r="U550" s="9" t="s">
        <v>1129</v>
      </c>
      <c r="V550" s="17">
        <v>4.45935568366E11</v>
      </c>
      <c r="W550" s="9" t="s">
        <v>3655</v>
      </c>
      <c r="X550" s="9" t="s">
        <v>80</v>
      </c>
      <c r="Y550" s="18" t="s">
        <v>57</v>
      </c>
      <c r="Z550" s="18" t="s">
        <v>58</v>
      </c>
      <c r="AA550" s="18" t="s">
        <v>57</v>
      </c>
      <c r="AB550" s="18" t="s">
        <v>57</v>
      </c>
      <c r="AC550" s="18" t="s">
        <v>57</v>
      </c>
      <c r="AD550" s="18" t="s">
        <v>58</v>
      </c>
      <c r="AE550" s="35" t="s">
        <v>3656</v>
      </c>
      <c r="AF550" s="9" t="s">
        <v>3657</v>
      </c>
      <c r="AG550" s="9" t="s">
        <v>610</v>
      </c>
      <c r="AH550" s="14"/>
      <c r="AI550" s="20"/>
      <c r="AJ550" s="14"/>
      <c r="AK550" s="14"/>
      <c r="AL550" s="14"/>
      <c r="AM550" s="14"/>
      <c r="AN550" s="14"/>
      <c r="AO550" s="14"/>
      <c r="AP550" s="14"/>
      <c r="AQ550" s="14"/>
      <c r="AR550" s="14"/>
    </row>
    <row r="551" ht="22.5" customHeight="1">
      <c r="A551" s="74">
        <v>46090.0</v>
      </c>
      <c r="B551" s="138" t="s">
        <v>3658</v>
      </c>
      <c r="C551" s="8" t="s">
        <v>186</v>
      </c>
      <c r="D551" s="9" t="s">
        <v>2112</v>
      </c>
      <c r="E551" s="9" t="s">
        <v>3659</v>
      </c>
      <c r="F551" s="9" t="s">
        <v>68</v>
      </c>
      <c r="G551" s="10">
        <v>500072.0</v>
      </c>
      <c r="H551" s="9" t="s">
        <v>610</v>
      </c>
      <c r="I551" s="11" t="str">
        <f>VLOOKUP(H551,Mapping!D:E,2,0)</f>
        <v>kukatpally</v>
      </c>
      <c r="J551" s="61" t="s">
        <v>390</v>
      </c>
      <c r="K551" s="12">
        <v>0.2</v>
      </c>
      <c r="L551" s="14" t="str">
        <f t="shared" si="30"/>
        <v>20%+</v>
      </c>
      <c r="M551" s="14"/>
      <c r="N551" s="127">
        <v>0.02</v>
      </c>
      <c r="O551" s="43" t="s">
        <v>3658</v>
      </c>
      <c r="P551" s="9" t="s">
        <v>3660</v>
      </c>
      <c r="Q551" s="9" t="s">
        <v>3661</v>
      </c>
      <c r="R551" s="16" t="s">
        <v>3662</v>
      </c>
      <c r="S551" s="9" t="s">
        <v>3663</v>
      </c>
      <c r="T551" s="9" t="s">
        <v>3664</v>
      </c>
      <c r="U551" s="9" t="s">
        <v>2421</v>
      </c>
      <c r="V551" s="17">
        <v>7.777010930035E12</v>
      </c>
      <c r="W551" s="9" t="s">
        <v>3665</v>
      </c>
      <c r="X551" s="9" t="s">
        <v>56</v>
      </c>
      <c r="Y551" s="18" t="s">
        <v>57</v>
      </c>
      <c r="Z551" s="18" t="s">
        <v>58</v>
      </c>
      <c r="AA551" s="18" t="s">
        <v>57</v>
      </c>
      <c r="AB551" s="18" t="s">
        <v>57</v>
      </c>
      <c r="AC551" s="18" t="s">
        <v>58</v>
      </c>
      <c r="AD551" s="18" t="s">
        <v>58</v>
      </c>
      <c r="AE551" s="40" t="s">
        <v>3658</v>
      </c>
      <c r="AF551" s="40" t="s">
        <v>3658</v>
      </c>
      <c r="AG551" s="14"/>
      <c r="AH551" s="14"/>
      <c r="AI551" s="20"/>
      <c r="AJ551" s="14"/>
      <c r="AK551" s="14"/>
      <c r="AL551" s="14"/>
      <c r="AM551" s="14"/>
      <c r="AN551" s="14"/>
      <c r="AO551" s="14"/>
      <c r="AP551" s="14"/>
      <c r="AQ551" s="14"/>
      <c r="AR551" s="14"/>
    </row>
    <row r="552" ht="22.5" customHeight="1">
      <c r="A552" s="74">
        <v>46090.0</v>
      </c>
      <c r="B552" s="75" t="s">
        <v>3666</v>
      </c>
      <c r="C552" s="8" t="s">
        <v>186</v>
      </c>
      <c r="D552" s="9" t="s">
        <v>46</v>
      </c>
      <c r="E552" s="9" t="s">
        <v>3667</v>
      </c>
      <c r="F552" s="9" t="s">
        <v>68</v>
      </c>
      <c r="G552" s="10">
        <v>500081.0</v>
      </c>
      <c r="H552" s="9" t="s">
        <v>1530</v>
      </c>
      <c r="I552" s="11" t="str">
        <f>VLOOKUP(H552,Mapping!D:E,2,0)</f>
        <v>hafeezpet</v>
      </c>
      <c r="J552" s="61" t="s">
        <v>390</v>
      </c>
      <c r="K552" s="12">
        <v>0.23</v>
      </c>
      <c r="L552" s="14" t="str">
        <f t="shared" si="30"/>
        <v>20%+</v>
      </c>
      <c r="M552" s="14"/>
      <c r="N552" s="14"/>
      <c r="O552" s="9" t="s">
        <v>3668</v>
      </c>
      <c r="P552" s="15" t="s">
        <v>3669</v>
      </c>
      <c r="Q552" s="9" t="s">
        <v>3670</v>
      </c>
      <c r="R552" s="16" t="s">
        <v>3671</v>
      </c>
      <c r="S552" s="16" t="s">
        <v>68</v>
      </c>
      <c r="T552" s="9" t="s">
        <v>3672</v>
      </c>
      <c r="U552" s="9" t="s">
        <v>1129</v>
      </c>
      <c r="V552" s="17">
        <v>2.0287776633E10</v>
      </c>
      <c r="W552" s="9" t="s">
        <v>3673</v>
      </c>
      <c r="X552" s="9" t="s">
        <v>56</v>
      </c>
      <c r="Y552" s="18" t="s">
        <v>57</v>
      </c>
      <c r="Z552" s="18" t="s">
        <v>58</v>
      </c>
      <c r="AA552" s="18" t="s">
        <v>57</v>
      </c>
      <c r="AB552" s="18" t="s">
        <v>57</v>
      </c>
      <c r="AC552" s="18" t="s">
        <v>57</v>
      </c>
      <c r="AD552" s="18" t="s">
        <v>58</v>
      </c>
      <c r="AE552" s="40" t="s">
        <v>3666</v>
      </c>
      <c r="AF552" s="35" t="s">
        <v>3674</v>
      </c>
      <c r="AG552" s="14"/>
      <c r="AH552" s="14"/>
      <c r="AI552" s="20"/>
      <c r="AJ552" s="14"/>
      <c r="AK552" s="14"/>
      <c r="AL552" s="14"/>
      <c r="AM552" s="14"/>
      <c r="AN552" s="14"/>
      <c r="AO552" s="14"/>
      <c r="AP552" s="14"/>
      <c r="AQ552" s="14"/>
      <c r="AR552" s="14"/>
    </row>
    <row r="553" ht="22.5" customHeight="1">
      <c r="A553" s="74">
        <v>46091.0</v>
      </c>
      <c r="B553" s="138" t="s">
        <v>3675</v>
      </c>
      <c r="C553" s="8" t="s">
        <v>1919</v>
      </c>
      <c r="D553" s="9" t="s">
        <v>258</v>
      </c>
      <c r="E553" s="39" t="s">
        <v>3676</v>
      </c>
      <c r="F553" s="9" t="s">
        <v>3677</v>
      </c>
      <c r="G553" s="10">
        <v>500085.0</v>
      </c>
      <c r="H553" s="9" t="s">
        <v>610</v>
      </c>
      <c r="I553" s="11" t="str">
        <f>VLOOKUP(H553,Mapping!D:E,2,0)</f>
        <v>kukatpally</v>
      </c>
      <c r="J553" s="61" t="s">
        <v>390</v>
      </c>
      <c r="K553" s="12">
        <v>0.2</v>
      </c>
      <c r="L553" s="14" t="str">
        <f t="shared" si="30"/>
        <v>20%+</v>
      </c>
      <c r="M553" s="14"/>
      <c r="N553" s="14"/>
      <c r="O553" s="131" t="s">
        <v>3677</v>
      </c>
      <c r="P553" s="39" t="s">
        <v>3678</v>
      </c>
      <c r="Q553" s="9" t="s">
        <v>3679</v>
      </c>
      <c r="R553" s="16" t="s">
        <v>3680</v>
      </c>
      <c r="S553" s="9" t="s">
        <v>3681</v>
      </c>
      <c r="T553" s="108" t="s">
        <v>3682</v>
      </c>
      <c r="U553" s="9" t="s">
        <v>215</v>
      </c>
      <c r="V553" s="17">
        <v>1.45361900002201E15</v>
      </c>
      <c r="W553" s="9" t="s">
        <v>3683</v>
      </c>
      <c r="X553" s="9" t="s">
        <v>80</v>
      </c>
      <c r="Y553" s="18" t="s">
        <v>57</v>
      </c>
      <c r="Z553" s="18" t="s">
        <v>58</v>
      </c>
      <c r="AA553" s="18" t="s">
        <v>57</v>
      </c>
      <c r="AB553" s="18" t="s">
        <v>57</v>
      </c>
      <c r="AC553" s="18" t="s">
        <v>57</v>
      </c>
      <c r="AD553" s="18" t="s">
        <v>58</v>
      </c>
      <c r="AE553" s="35" t="s">
        <v>3684</v>
      </c>
      <c r="AF553" s="9" t="s">
        <v>3685</v>
      </c>
      <c r="AG553" s="9" t="s">
        <v>610</v>
      </c>
      <c r="AH553" s="9" t="s">
        <v>3686</v>
      </c>
      <c r="AI553" s="20"/>
      <c r="AJ553" s="14"/>
      <c r="AK553" s="14"/>
      <c r="AL553" s="14"/>
      <c r="AM553" s="14"/>
      <c r="AN553" s="14"/>
      <c r="AO553" s="14"/>
      <c r="AP553" s="14"/>
      <c r="AQ553" s="14"/>
      <c r="AR553" s="14"/>
    </row>
    <row r="554" ht="22.5" customHeight="1">
      <c r="A554" s="74">
        <v>46091.0</v>
      </c>
      <c r="B554" s="75" t="s">
        <v>3687</v>
      </c>
      <c r="C554" s="8" t="s">
        <v>1919</v>
      </c>
      <c r="D554" s="9" t="s">
        <v>258</v>
      </c>
      <c r="E554" s="39" t="s">
        <v>3688</v>
      </c>
      <c r="F554" s="9" t="s">
        <v>3689</v>
      </c>
      <c r="G554" s="10">
        <v>500085.0</v>
      </c>
      <c r="H554" s="9" t="s">
        <v>1691</v>
      </c>
      <c r="I554" s="11" t="str">
        <f>VLOOKUP(H554,Mapping!D:E,2,0)</f>
        <v>miyapur</v>
      </c>
      <c r="J554" s="61" t="s">
        <v>390</v>
      </c>
      <c r="K554" s="12">
        <v>0.2</v>
      </c>
      <c r="L554" s="14" t="str">
        <f t="shared" si="30"/>
        <v>20%+</v>
      </c>
      <c r="M554" s="14"/>
      <c r="N554" s="14"/>
      <c r="O554" s="107" t="s">
        <v>3689</v>
      </c>
      <c r="P554" s="39" t="s">
        <v>3690</v>
      </c>
      <c r="Q554" s="9" t="s">
        <v>3689</v>
      </c>
      <c r="R554" s="16" t="s">
        <v>3691</v>
      </c>
      <c r="S554" s="9" t="s">
        <v>3692</v>
      </c>
      <c r="T554" s="9" t="s">
        <v>3693</v>
      </c>
      <c r="U554" s="9" t="s">
        <v>1129</v>
      </c>
      <c r="V554" s="17">
        <v>3.9592316374E10</v>
      </c>
      <c r="W554" s="9" t="s">
        <v>3694</v>
      </c>
      <c r="X554" s="9" t="s">
        <v>56</v>
      </c>
      <c r="Y554" s="18" t="s">
        <v>57</v>
      </c>
      <c r="Z554" s="18" t="s">
        <v>57</v>
      </c>
      <c r="AA554" s="18" t="s">
        <v>57</v>
      </c>
      <c r="AB554" s="18" t="s">
        <v>57</v>
      </c>
      <c r="AC554" s="18" t="s">
        <v>57</v>
      </c>
      <c r="AD554" s="18" t="s">
        <v>58</v>
      </c>
      <c r="AE554" s="35" t="s">
        <v>3695</v>
      </c>
      <c r="AF554" s="14"/>
      <c r="AG554" s="9" t="s">
        <v>610</v>
      </c>
      <c r="AH554" s="9" t="s">
        <v>3686</v>
      </c>
      <c r="AI554" s="20"/>
      <c r="AJ554" s="14"/>
      <c r="AK554" s="14"/>
      <c r="AL554" s="14"/>
      <c r="AM554" s="14"/>
      <c r="AN554" s="14"/>
      <c r="AO554" s="14"/>
      <c r="AP554" s="14"/>
      <c r="AQ554" s="14"/>
      <c r="AR554" s="14"/>
    </row>
    <row r="555" ht="22.5" customHeight="1">
      <c r="A555" s="74">
        <v>46091.0</v>
      </c>
      <c r="B555" s="138" t="s">
        <v>3696</v>
      </c>
      <c r="C555" s="8" t="s">
        <v>186</v>
      </c>
      <c r="D555" s="9" t="s">
        <v>2112</v>
      </c>
      <c r="E555" s="39" t="s">
        <v>3697</v>
      </c>
      <c r="F555" s="9" t="s">
        <v>68</v>
      </c>
      <c r="G555" s="10">
        <v>500032.0</v>
      </c>
      <c r="H555" s="9" t="s">
        <v>1424</v>
      </c>
      <c r="I555" s="11" t="str">
        <f>VLOOKUP(H555,Mapping!D:E,2,0)</f>
        <v>gachibowli</v>
      </c>
      <c r="J555" s="61" t="s">
        <v>148</v>
      </c>
      <c r="K555" s="12">
        <v>0.18</v>
      </c>
      <c r="L555" s="14" t="str">
        <f t="shared" si="30"/>
        <v>&lt;20%</v>
      </c>
      <c r="M555" s="14"/>
      <c r="N555" s="127">
        <v>0.02</v>
      </c>
      <c r="O555" s="138" t="s">
        <v>3698</v>
      </c>
      <c r="P555" s="39" t="s">
        <v>3699</v>
      </c>
      <c r="Q555" s="9" t="s">
        <v>3700</v>
      </c>
      <c r="R555" s="16" t="s">
        <v>3701</v>
      </c>
      <c r="S555" s="39" t="s">
        <v>3702</v>
      </c>
      <c r="T555" s="43" t="s">
        <v>3698</v>
      </c>
      <c r="U555" s="9" t="s">
        <v>1956</v>
      </c>
      <c r="V555" s="17">
        <v>1.0163060481E10</v>
      </c>
      <c r="W555" s="9" t="s">
        <v>2097</v>
      </c>
      <c r="X555" s="9" t="s">
        <v>80</v>
      </c>
      <c r="Y555" s="18" t="s">
        <v>57</v>
      </c>
      <c r="Z555" s="18" t="s">
        <v>57</v>
      </c>
      <c r="AA555" s="18" t="s">
        <v>57</v>
      </c>
      <c r="AB555" s="18" t="s">
        <v>57</v>
      </c>
      <c r="AC555" s="18" t="s">
        <v>57</v>
      </c>
      <c r="AD555" s="18" t="s">
        <v>58</v>
      </c>
      <c r="AE555" s="40" t="s">
        <v>3703</v>
      </c>
      <c r="AF555" s="40" t="s">
        <v>3704</v>
      </c>
      <c r="AG555" s="14"/>
      <c r="AH555" s="14"/>
      <c r="AI555" s="20"/>
      <c r="AJ555" s="14"/>
      <c r="AK555" s="14"/>
      <c r="AL555" s="14"/>
      <c r="AM555" s="14"/>
      <c r="AN555" s="14"/>
      <c r="AO555" s="14"/>
      <c r="AP555" s="14"/>
      <c r="AQ555" s="14"/>
      <c r="AR555" s="14"/>
    </row>
    <row r="556" ht="22.5" customHeight="1">
      <c r="A556" s="74">
        <v>46091.0</v>
      </c>
      <c r="B556" s="138" t="s">
        <v>3705</v>
      </c>
      <c r="C556" s="8" t="s">
        <v>186</v>
      </c>
      <c r="D556" s="9" t="s">
        <v>2112</v>
      </c>
      <c r="E556" s="9" t="s">
        <v>3706</v>
      </c>
      <c r="F556" s="9" t="s">
        <v>68</v>
      </c>
      <c r="G556" s="10">
        <v>500081.0</v>
      </c>
      <c r="H556" s="9" t="s">
        <v>147</v>
      </c>
      <c r="I556" s="11" t="str">
        <f>VLOOKUP(H556,Mapping!D:E,2,0)</f>
        <v>madhapur</v>
      </c>
      <c r="J556" s="61" t="s">
        <v>148</v>
      </c>
      <c r="K556" s="12">
        <v>0.2</v>
      </c>
      <c r="L556" s="14" t="str">
        <f t="shared" si="30"/>
        <v>20%+</v>
      </c>
      <c r="M556" s="14"/>
      <c r="N556" s="14"/>
      <c r="O556" s="138" t="s">
        <v>3707</v>
      </c>
      <c r="P556" s="9" t="s">
        <v>3708</v>
      </c>
      <c r="Q556" s="9" t="s">
        <v>3700</v>
      </c>
      <c r="R556" s="16" t="s">
        <v>3701</v>
      </c>
      <c r="S556" s="39" t="s">
        <v>3709</v>
      </c>
      <c r="T556" s="15" t="s">
        <v>3710</v>
      </c>
      <c r="U556" s="9" t="s">
        <v>1956</v>
      </c>
      <c r="V556" s="17">
        <v>1.01264647215E11</v>
      </c>
      <c r="W556" s="9" t="s">
        <v>3711</v>
      </c>
      <c r="X556" s="9" t="s">
        <v>80</v>
      </c>
      <c r="Y556" s="18" t="s">
        <v>57</v>
      </c>
      <c r="Z556" s="18" t="s">
        <v>57</v>
      </c>
      <c r="AA556" s="18" t="s">
        <v>57</v>
      </c>
      <c r="AB556" s="18" t="s">
        <v>57</v>
      </c>
      <c r="AC556" s="18" t="s">
        <v>57</v>
      </c>
      <c r="AD556" s="18" t="s">
        <v>58</v>
      </c>
      <c r="AE556" s="40" t="s">
        <v>3712</v>
      </c>
      <c r="AF556" s="40" t="s">
        <v>3713</v>
      </c>
      <c r="AG556" s="14"/>
      <c r="AH556" s="14"/>
      <c r="AI556" s="20"/>
      <c r="AJ556" s="14"/>
      <c r="AK556" s="14"/>
      <c r="AL556" s="14"/>
      <c r="AM556" s="14"/>
      <c r="AN556" s="14"/>
      <c r="AO556" s="14"/>
      <c r="AP556" s="14"/>
      <c r="AQ556" s="14"/>
      <c r="AR556" s="14"/>
    </row>
    <row r="557" ht="22.5" customHeight="1">
      <c r="A557" s="74">
        <v>46091.0</v>
      </c>
      <c r="B557" s="138" t="s">
        <v>3714</v>
      </c>
      <c r="C557" s="8" t="s">
        <v>186</v>
      </c>
      <c r="D557" s="9" t="s">
        <v>258</v>
      </c>
      <c r="E557" s="9" t="s">
        <v>3715</v>
      </c>
      <c r="F557" s="9" t="s">
        <v>68</v>
      </c>
      <c r="G557" s="10">
        <v>500084.0</v>
      </c>
      <c r="H557" s="9" t="s">
        <v>2089</v>
      </c>
      <c r="I557" s="11" t="str">
        <f>VLOOKUP(H557,Mapping!D:E,2,0)</f>
        <v>Hitech-City</v>
      </c>
      <c r="J557" s="61" t="s">
        <v>148</v>
      </c>
      <c r="K557" s="12">
        <v>0.18</v>
      </c>
      <c r="L557" s="14" t="str">
        <f t="shared" si="30"/>
        <v>&lt;20%</v>
      </c>
      <c r="M557" s="14"/>
      <c r="N557" s="127">
        <v>0.02</v>
      </c>
      <c r="O557" s="43" t="s">
        <v>3716</v>
      </c>
      <c r="P557" s="9" t="s">
        <v>3717</v>
      </c>
      <c r="Q557" s="9" t="s">
        <v>3700</v>
      </c>
      <c r="R557" s="16" t="s">
        <v>3701</v>
      </c>
      <c r="S557" s="39" t="s">
        <v>3718</v>
      </c>
      <c r="T557" s="15" t="s">
        <v>3716</v>
      </c>
      <c r="U557" s="9" t="s">
        <v>1956</v>
      </c>
      <c r="V557" s="17">
        <v>1.0070902944E10</v>
      </c>
      <c r="W557" s="9" t="s">
        <v>3719</v>
      </c>
      <c r="X557" s="9" t="s">
        <v>80</v>
      </c>
      <c r="Y557" s="18" t="s">
        <v>57</v>
      </c>
      <c r="Z557" s="18" t="s">
        <v>57</v>
      </c>
      <c r="AA557" s="18" t="s">
        <v>57</v>
      </c>
      <c r="AB557" s="18" t="s">
        <v>57</v>
      </c>
      <c r="AC557" s="18" t="s">
        <v>57</v>
      </c>
      <c r="AD557" s="18" t="s">
        <v>58</v>
      </c>
      <c r="AE557" s="40" t="s">
        <v>3720</v>
      </c>
      <c r="AF557" s="40" t="s">
        <v>3721</v>
      </c>
      <c r="AG557" s="14"/>
      <c r="AH557" s="14"/>
      <c r="AI557" s="20"/>
      <c r="AJ557" s="14"/>
      <c r="AK557" s="14"/>
      <c r="AL557" s="14"/>
      <c r="AM557" s="14"/>
      <c r="AN557" s="14"/>
      <c r="AO557" s="14"/>
      <c r="AP557" s="14"/>
      <c r="AQ557" s="14"/>
      <c r="AR557" s="14"/>
    </row>
    <row r="558" ht="22.5" customHeight="1">
      <c r="A558" s="74">
        <v>46091.0</v>
      </c>
      <c r="B558" s="75" t="s">
        <v>3714</v>
      </c>
      <c r="C558" s="8" t="s">
        <v>186</v>
      </c>
      <c r="D558" s="9" t="s">
        <v>258</v>
      </c>
      <c r="E558" s="9" t="s">
        <v>3715</v>
      </c>
      <c r="F558" s="9" t="s">
        <v>68</v>
      </c>
      <c r="G558" s="10">
        <v>500084.0</v>
      </c>
      <c r="H558" s="9" t="s">
        <v>2089</v>
      </c>
      <c r="I558" s="11" t="str">
        <f>VLOOKUP(H558,Mapping!D:E,2,0)</f>
        <v>Hitech-City</v>
      </c>
      <c r="J558" s="61" t="s">
        <v>148</v>
      </c>
      <c r="K558" s="12">
        <v>0.18</v>
      </c>
      <c r="L558" s="14" t="str">
        <f t="shared" si="30"/>
        <v>&lt;20%</v>
      </c>
      <c r="M558" s="14"/>
      <c r="N558" s="127">
        <v>0.02</v>
      </c>
      <c r="O558" s="75" t="s">
        <v>3716</v>
      </c>
      <c r="P558" s="9" t="s">
        <v>3722</v>
      </c>
      <c r="Q558" s="9" t="s">
        <v>3700</v>
      </c>
      <c r="R558" s="16" t="s">
        <v>3701</v>
      </c>
      <c r="S558" s="39" t="s">
        <v>3723</v>
      </c>
      <c r="T558" s="15" t="s">
        <v>3716</v>
      </c>
      <c r="U558" s="9" t="s">
        <v>1956</v>
      </c>
      <c r="V558" s="17">
        <v>1.0070902944E10</v>
      </c>
      <c r="W558" s="9" t="s">
        <v>3719</v>
      </c>
      <c r="X558" s="9" t="s">
        <v>80</v>
      </c>
      <c r="Y558" s="18" t="s">
        <v>57</v>
      </c>
      <c r="Z558" s="18" t="s">
        <v>57</v>
      </c>
      <c r="AA558" s="18" t="s">
        <v>57</v>
      </c>
      <c r="AB558" s="18" t="s">
        <v>57</v>
      </c>
      <c r="AC558" s="18" t="s">
        <v>57</v>
      </c>
      <c r="AD558" s="18" t="s">
        <v>58</v>
      </c>
      <c r="AE558" s="40" t="s">
        <v>3724</v>
      </c>
      <c r="AF558" s="40" t="s">
        <v>3721</v>
      </c>
      <c r="AG558" s="14"/>
      <c r="AH558" s="14"/>
      <c r="AI558" s="20"/>
      <c r="AJ558" s="14"/>
      <c r="AK558" s="14"/>
      <c r="AL558" s="14"/>
      <c r="AM558" s="14"/>
      <c r="AN558" s="14"/>
      <c r="AO558" s="14"/>
      <c r="AP558" s="14"/>
      <c r="AQ558" s="14"/>
      <c r="AR558" s="14"/>
    </row>
    <row r="559" ht="22.5" customHeight="1">
      <c r="A559" s="74">
        <v>46091.0</v>
      </c>
      <c r="B559" s="138" t="s">
        <v>3725</v>
      </c>
      <c r="C559" s="8" t="s">
        <v>186</v>
      </c>
      <c r="D559" s="9" t="s">
        <v>2112</v>
      </c>
      <c r="E559" s="9" t="s">
        <v>3726</v>
      </c>
      <c r="F559" s="9" t="s">
        <v>68</v>
      </c>
      <c r="G559" s="10">
        <v>500081.0</v>
      </c>
      <c r="H559" s="9" t="s">
        <v>147</v>
      </c>
      <c r="I559" s="11" t="str">
        <f>VLOOKUP(H559,Mapping!D:E,2,0)</f>
        <v>madhapur</v>
      </c>
      <c r="J559" s="61" t="s">
        <v>148</v>
      </c>
      <c r="K559" s="12">
        <v>0.18</v>
      </c>
      <c r="L559" s="14" t="str">
        <f t="shared" si="30"/>
        <v>&lt;20%</v>
      </c>
      <c r="M559" s="14"/>
      <c r="N559" s="127">
        <v>0.02</v>
      </c>
      <c r="O559" s="9" t="s">
        <v>3727</v>
      </c>
      <c r="P559" s="9" t="s">
        <v>3708</v>
      </c>
      <c r="Q559" s="9" t="s">
        <v>3700</v>
      </c>
      <c r="R559" s="16" t="s">
        <v>3701</v>
      </c>
      <c r="S559" s="39" t="s">
        <v>3728</v>
      </c>
      <c r="T559" s="9" t="s">
        <v>3727</v>
      </c>
      <c r="U559" s="9" t="s">
        <v>1956</v>
      </c>
      <c r="V559" s="17">
        <v>1.0222082568E10</v>
      </c>
      <c r="W559" s="15" t="s">
        <v>2097</v>
      </c>
      <c r="X559" s="9" t="s">
        <v>80</v>
      </c>
      <c r="Y559" s="18" t="s">
        <v>57</v>
      </c>
      <c r="Z559" s="18" t="s">
        <v>57</v>
      </c>
      <c r="AA559" s="18" t="s">
        <v>57</v>
      </c>
      <c r="AB559" s="18" t="s">
        <v>57</v>
      </c>
      <c r="AC559" s="18" t="s">
        <v>57</v>
      </c>
      <c r="AD559" s="18" t="s">
        <v>58</v>
      </c>
      <c r="AE559" s="40" t="s">
        <v>3729</v>
      </c>
      <c r="AF559" s="40" t="s">
        <v>3730</v>
      </c>
      <c r="AG559" s="14"/>
      <c r="AH559" s="14"/>
      <c r="AI559" s="20"/>
      <c r="AJ559" s="14"/>
      <c r="AK559" s="14"/>
      <c r="AL559" s="14"/>
      <c r="AM559" s="14"/>
      <c r="AN559" s="14"/>
      <c r="AO559" s="14"/>
      <c r="AP559" s="14"/>
      <c r="AQ559" s="14"/>
      <c r="AR559" s="14"/>
    </row>
    <row r="560" ht="22.5" customHeight="1">
      <c r="A560" s="74">
        <v>46092.0</v>
      </c>
      <c r="B560" s="75" t="s">
        <v>3731</v>
      </c>
      <c r="C560" s="8" t="s">
        <v>241</v>
      </c>
      <c r="D560" s="9" t="s">
        <v>2112</v>
      </c>
      <c r="E560" s="39" t="s">
        <v>3732</v>
      </c>
      <c r="F560" s="9" t="s">
        <v>3733</v>
      </c>
      <c r="G560" s="10">
        <v>500081.0</v>
      </c>
      <c r="H560" s="9" t="s">
        <v>147</v>
      </c>
      <c r="I560" s="11" t="str">
        <f>VLOOKUP(H560,Mapping!D:E,2,0)</f>
        <v>madhapur</v>
      </c>
      <c r="J560" s="61" t="s">
        <v>148</v>
      </c>
      <c r="K560" s="12">
        <v>0.2</v>
      </c>
      <c r="L560" s="14" t="str">
        <f t="shared" si="30"/>
        <v>20%+</v>
      </c>
      <c r="M560" s="14"/>
      <c r="N560" s="14"/>
      <c r="O560" s="43" t="s">
        <v>3731</v>
      </c>
      <c r="P560" s="39" t="s">
        <v>3734</v>
      </c>
      <c r="Q560" s="9" t="s">
        <v>3733</v>
      </c>
      <c r="R560" s="9" t="s">
        <v>3735</v>
      </c>
      <c r="S560" s="9" t="s">
        <v>3736</v>
      </c>
      <c r="T560" s="107" t="s">
        <v>3733</v>
      </c>
      <c r="U560" s="9" t="s">
        <v>1014</v>
      </c>
      <c r="V560" s="17">
        <v>5.0200098129376E13</v>
      </c>
      <c r="W560" s="9" t="s">
        <v>3737</v>
      </c>
      <c r="X560" s="9" t="s">
        <v>80</v>
      </c>
      <c r="Y560" s="18" t="s">
        <v>57</v>
      </c>
      <c r="Z560" s="18" t="s">
        <v>57</v>
      </c>
      <c r="AA560" s="18" t="s">
        <v>57</v>
      </c>
      <c r="AB560" s="18" t="s">
        <v>57</v>
      </c>
      <c r="AC560" s="18" t="s">
        <v>57</v>
      </c>
      <c r="AD560" s="18" t="s">
        <v>69</v>
      </c>
      <c r="AE560" s="35" t="s">
        <v>3738</v>
      </c>
      <c r="AF560" s="14"/>
      <c r="AG560" s="14"/>
      <c r="AH560" s="14"/>
      <c r="AI560" s="20"/>
      <c r="AJ560" s="14"/>
      <c r="AK560" s="14"/>
      <c r="AL560" s="14"/>
      <c r="AM560" s="14"/>
      <c r="AN560" s="14"/>
      <c r="AO560" s="14"/>
      <c r="AP560" s="14"/>
      <c r="AQ560" s="14"/>
      <c r="AR560" s="14"/>
    </row>
    <row r="561" ht="22.5" customHeight="1">
      <c r="A561" s="74">
        <v>46092.0</v>
      </c>
      <c r="B561" s="138" t="s">
        <v>3739</v>
      </c>
      <c r="C561" s="8" t="s">
        <v>96</v>
      </c>
      <c r="D561" s="9" t="s">
        <v>258</v>
      </c>
      <c r="E561" s="9" t="s">
        <v>3740</v>
      </c>
      <c r="F561" s="9" t="s">
        <v>3741</v>
      </c>
      <c r="G561" s="10">
        <v>500081.0</v>
      </c>
      <c r="H561" s="9" t="s">
        <v>147</v>
      </c>
      <c r="I561" s="11" t="str">
        <f>VLOOKUP(H561,Mapping!D:E,2,0)</f>
        <v>madhapur</v>
      </c>
      <c r="J561" s="61" t="s">
        <v>148</v>
      </c>
      <c r="K561" s="12">
        <v>0.2</v>
      </c>
      <c r="L561" s="14" t="str">
        <f t="shared" si="30"/>
        <v>20%+</v>
      </c>
      <c r="M561" s="14"/>
      <c r="N561" s="14"/>
      <c r="O561" s="9" t="s">
        <v>3742</v>
      </c>
      <c r="P561" s="9" t="s">
        <v>3743</v>
      </c>
      <c r="Q561" s="15" t="s">
        <v>3741</v>
      </c>
      <c r="R561" s="16" t="s">
        <v>3744</v>
      </c>
      <c r="S561" s="9" t="s">
        <v>3745</v>
      </c>
      <c r="T561" s="9" t="s">
        <v>3746</v>
      </c>
      <c r="U561" s="9" t="s">
        <v>3747</v>
      </c>
      <c r="V561" s="17" t="s">
        <v>3748</v>
      </c>
      <c r="W561" s="9" t="s">
        <v>3749</v>
      </c>
      <c r="X561" s="9" t="s">
        <v>80</v>
      </c>
      <c r="Y561" s="18" t="s">
        <v>57</v>
      </c>
      <c r="Z561" s="18" t="s">
        <v>57</v>
      </c>
      <c r="AA561" s="18" t="s">
        <v>57</v>
      </c>
      <c r="AB561" s="18" t="s">
        <v>57</v>
      </c>
      <c r="AC561" s="18" t="s">
        <v>57</v>
      </c>
      <c r="AD561" s="14"/>
      <c r="AE561" s="35" t="s">
        <v>3750</v>
      </c>
      <c r="AF561" s="14"/>
      <c r="AG561" s="14"/>
      <c r="AH561" s="14"/>
      <c r="AI561" s="20"/>
      <c r="AJ561" s="14"/>
      <c r="AK561" s="14"/>
      <c r="AL561" s="14"/>
      <c r="AM561" s="14"/>
      <c r="AN561" s="14"/>
      <c r="AO561" s="14"/>
      <c r="AP561" s="14"/>
      <c r="AQ561" s="14"/>
      <c r="AR561" s="14"/>
    </row>
    <row r="562" ht="22.5" customHeight="1">
      <c r="A562" s="74">
        <v>46092.0</v>
      </c>
      <c r="B562" s="75" t="s">
        <v>3751</v>
      </c>
      <c r="C562" s="8" t="s">
        <v>1919</v>
      </c>
      <c r="D562" s="9" t="s">
        <v>258</v>
      </c>
      <c r="E562" s="9" t="s">
        <v>3752</v>
      </c>
      <c r="F562" s="9" t="s">
        <v>3753</v>
      </c>
      <c r="G562" s="10">
        <v>500018.0</v>
      </c>
      <c r="H562" s="9" t="s">
        <v>610</v>
      </c>
      <c r="I562" s="11" t="str">
        <f>VLOOKUP(H562,Mapping!D:E,2,0)</f>
        <v>kukatpally</v>
      </c>
      <c r="J562" s="61" t="s">
        <v>390</v>
      </c>
      <c r="K562" s="12">
        <v>0.2</v>
      </c>
      <c r="L562" s="14" t="str">
        <f t="shared" si="30"/>
        <v>20%+</v>
      </c>
      <c r="M562" s="14"/>
      <c r="N562" s="14"/>
      <c r="O562" s="9" t="s">
        <v>3754</v>
      </c>
      <c r="P562" s="9" t="s">
        <v>3755</v>
      </c>
      <c r="Q562" s="15" t="s">
        <v>3753</v>
      </c>
      <c r="R562" s="16" t="s">
        <v>3756</v>
      </c>
      <c r="S562" s="9" t="s">
        <v>3757</v>
      </c>
      <c r="T562" s="43" t="s">
        <v>3751</v>
      </c>
      <c r="U562" s="9" t="s">
        <v>2891</v>
      </c>
      <c r="V562" s="17">
        <v>2.0100077168248E13</v>
      </c>
      <c r="W562" s="9" t="s">
        <v>3758</v>
      </c>
      <c r="X562" s="9" t="s">
        <v>80</v>
      </c>
      <c r="Y562" s="18" t="s">
        <v>57</v>
      </c>
      <c r="Z562" s="18" t="s">
        <v>58</v>
      </c>
      <c r="AA562" s="18" t="s">
        <v>57</v>
      </c>
      <c r="AB562" s="18" t="s">
        <v>57</v>
      </c>
      <c r="AC562" s="18" t="s">
        <v>57</v>
      </c>
      <c r="AD562" s="18" t="s">
        <v>57</v>
      </c>
      <c r="AE562" s="35" t="s">
        <v>3759</v>
      </c>
      <c r="AF562" s="14"/>
      <c r="AG562" s="9" t="s">
        <v>610</v>
      </c>
      <c r="AH562" s="9" t="s">
        <v>3760</v>
      </c>
      <c r="AI562" s="20"/>
      <c r="AJ562" s="14"/>
      <c r="AK562" s="14"/>
      <c r="AL562" s="14"/>
      <c r="AM562" s="14"/>
      <c r="AN562" s="14"/>
      <c r="AO562" s="14"/>
      <c r="AP562" s="14"/>
      <c r="AQ562" s="14"/>
      <c r="AR562" s="14"/>
    </row>
    <row r="563" ht="22.5" customHeight="1">
      <c r="A563" s="74">
        <v>46097.0</v>
      </c>
      <c r="B563" s="138" t="s">
        <v>3761</v>
      </c>
      <c r="C563" s="8" t="s">
        <v>96</v>
      </c>
      <c r="D563" s="9" t="s">
        <v>2112</v>
      </c>
      <c r="E563" s="199" t="s">
        <v>3762</v>
      </c>
      <c r="F563" s="9" t="s">
        <v>3763</v>
      </c>
      <c r="G563" s="10">
        <v>500038.0</v>
      </c>
      <c r="H563" s="9" t="s">
        <v>203</v>
      </c>
      <c r="I563" s="11" t="str">
        <f>VLOOKUP(H563,Mapping!D:E,2,0)</f>
        <v>panjagutta</v>
      </c>
      <c r="J563" s="136" t="s">
        <v>161</v>
      </c>
      <c r="K563" s="12">
        <v>0.2</v>
      </c>
      <c r="L563" s="14" t="str">
        <f t="shared" si="30"/>
        <v>20%+</v>
      </c>
      <c r="M563" s="14"/>
      <c r="N563" s="14"/>
      <c r="O563" s="138" t="s">
        <v>3761</v>
      </c>
      <c r="P563" s="199" t="s">
        <v>3764</v>
      </c>
      <c r="Q563" s="9" t="s">
        <v>3763</v>
      </c>
      <c r="R563" s="16" t="s">
        <v>3765</v>
      </c>
      <c r="S563" s="9" t="s">
        <v>3766</v>
      </c>
      <c r="T563" s="15" t="s">
        <v>3761</v>
      </c>
      <c r="U563" s="9" t="s">
        <v>919</v>
      </c>
      <c r="V563" s="17">
        <v>1.11105003263E11</v>
      </c>
      <c r="W563" s="9" t="s">
        <v>3767</v>
      </c>
      <c r="X563" s="9" t="s">
        <v>80</v>
      </c>
      <c r="Y563" s="14"/>
      <c r="Z563" s="14"/>
      <c r="AA563" s="14"/>
      <c r="AB563" s="14"/>
      <c r="AC563" s="14"/>
      <c r="AD563" s="14"/>
      <c r="AE563" s="14"/>
      <c r="AF563" s="14"/>
      <c r="AG563" s="14"/>
      <c r="AH563" s="14"/>
      <c r="AI563" s="20"/>
      <c r="AJ563" s="14"/>
      <c r="AK563" s="14"/>
      <c r="AL563" s="14"/>
      <c r="AM563" s="14"/>
      <c r="AN563" s="14"/>
      <c r="AO563" s="14"/>
      <c r="AP563" s="14"/>
      <c r="AQ563" s="14"/>
      <c r="AR563" s="14"/>
    </row>
    <row r="564" ht="22.5" customHeight="1">
      <c r="A564" s="74">
        <v>46097.0</v>
      </c>
      <c r="B564" s="75" t="s">
        <v>3768</v>
      </c>
      <c r="C564" s="8" t="s">
        <v>96</v>
      </c>
      <c r="D564" s="9" t="s">
        <v>258</v>
      </c>
      <c r="E564" s="16" t="s">
        <v>3769</v>
      </c>
      <c r="F564" s="9" t="s">
        <v>3770</v>
      </c>
      <c r="G564" s="10">
        <v>500038.0</v>
      </c>
      <c r="H564" s="9" t="s">
        <v>203</v>
      </c>
      <c r="I564" s="11" t="str">
        <f>VLOOKUP(H564,Mapping!D:E,2,0)</f>
        <v>panjagutta</v>
      </c>
      <c r="J564" s="136" t="s">
        <v>161</v>
      </c>
      <c r="K564" s="12">
        <v>0.2</v>
      </c>
      <c r="L564" s="14" t="str">
        <f t="shared" si="30"/>
        <v>20%+</v>
      </c>
      <c r="M564" s="14"/>
      <c r="N564" s="14"/>
      <c r="O564" s="75" t="s">
        <v>3768</v>
      </c>
      <c r="P564" s="16" t="s">
        <v>3771</v>
      </c>
      <c r="Q564" s="9" t="s">
        <v>3770</v>
      </c>
      <c r="R564" s="16" t="s">
        <v>3765</v>
      </c>
      <c r="S564" s="9" t="s">
        <v>3772</v>
      </c>
      <c r="T564" s="75" t="s">
        <v>3768</v>
      </c>
      <c r="U564" s="9" t="s">
        <v>3018</v>
      </c>
      <c r="V564" s="17">
        <v>8.3700938001E10</v>
      </c>
      <c r="W564" s="9" t="s">
        <v>3773</v>
      </c>
      <c r="X564" s="9" t="s">
        <v>80</v>
      </c>
      <c r="Y564" s="14"/>
      <c r="Z564" s="14"/>
      <c r="AA564" s="14"/>
      <c r="AB564" s="14"/>
      <c r="AC564" s="14"/>
      <c r="AD564" s="14"/>
      <c r="AE564" s="14"/>
      <c r="AF564" s="14"/>
      <c r="AG564" s="14"/>
      <c r="AH564" s="14"/>
      <c r="AI564" s="20"/>
      <c r="AJ564" s="14"/>
      <c r="AK564" s="14"/>
      <c r="AL564" s="14"/>
      <c r="AM564" s="14"/>
      <c r="AN564" s="14"/>
      <c r="AO564" s="14"/>
      <c r="AP564" s="14"/>
      <c r="AQ564" s="14"/>
      <c r="AR564" s="14"/>
    </row>
    <row r="565" ht="22.5" customHeight="1">
      <c r="A565" s="74">
        <v>46097.0</v>
      </c>
      <c r="B565" s="138" t="s">
        <v>3774</v>
      </c>
      <c r="C565" s="8" t="s">
        <v>96</v>
      </c>
      <c r="D565" s="9" t="s">
        <v>258</v>
      </c>
      <c r="E565" s="199" t="s">
        <v>3775</v>
      </c>
      <c r="F565" s="9" t="s">
        <v>3776</v>
      </c>
      <c r="G565" s="10">
        <v>500038.0</v>
      </c>
      <c r="H565" s="9" t="s">
        <v>421</v>
      </c>
      <c r="I565" s="11" t="str">
        <f>VLOOKUP(H565,Mapping!D:E,2,0)</f>
        <v>Khairathabad</v>
      </c>
      <c r="J565" s="61" t="s">
        <v>50</v>
      </c>
      <c r="K565" s="12">
        <v>0.22</v>
      </c>
      <c r="L565" s="14" t="str">
        <f t="shared" si="30"/>
        <v>20%+</v>
      </c>
      <c r="M565" s="14"/>
      <c r="N565" s="14"/>
      <c r="O565" s="9" t="s">
        <v>3777</v>
      </c>
      <c r="P565" s="199" t="s">
        <v>3778</v>
      </c>
      <c r="Q565" s="9" t="s">
        <v>3779</v>
      </c>
      <c r="R565" s="16" t="s">
        <v>3780</v>
      </c>
      <c r="S565" s="9" t="s">
        <v>3781</v>
      </c>
      <c r="T565" s="9" t="s">
        <v>68</v>
      </c>
      <c r="U565" s="9" t="s">
        <v>68</v>
      </c>
      <c r="V565" s="9" t="s">
        <v>68</v>
      </c>
      <c r="W565" s="9" t="s">
        <v>68</v>
      </c>
      <c r="X565" s="9" t="s">
        <v>68</v>
      </c>
      <c r="Y565" s="14"/>
      <c r="Z565" s="14"/>
      <c r="AA565" s="14"/>
      <c r="AB565" s="14"/>
      <c r="AC565" s="14"/>
      <c r="AD565" s="14"/>
      <c r="AE565" s="14"/>
      <c r="AF565" s="14"/>
      <c r="AG565" s="14"/>
      <c r="AH565" s="14"/>
      <c r="AI565" s="20"/>
      <c r="AJ565" s="14"/>
      <c r="AK565" s="14"/>
      <c r="AL565" s="14"/>
      <c r="AM565" s="14"/>
      <c r="AN565" s="14"/>
      <c r="AO565" s="14"/>
      <c r="AP565" s="14"/>
      <c r="AQ565" s="14"/>
      <c r="AR565" s="14"/>
    </row>
    <row r="566" ht="22.5" customHeight="1">
      <c r="A566" s="74">
        <v>46097.0</v>
      </c>
      <c r="B566" s="75" t="s">
        <v>3782</v>
      </c>
      <c r="C566" s="8" t="s">
        <v>96</v>
      </c>
      <c r="D566" s="9" t="s">
        <v>258</v>
      </c>
      <c r="E566" s="16" t="s">
        <v>3783</v>
      </c>
      <c r="F566" s="9" t="s">
        <v>3784</v>
      </c>
      <c r="G566" s="10">
        <v>500038.0</v>
      </c>
      <c r="H566" s="9" t="s">
        <v>203</v>
      </c>
      <c r="I566" s="11" t="str">
        <f>VLOOKUP(H566,Mapping!D:E,2,0)</f>
        <v>panjagutta</v>
      </c>
      <c r="J566" s="136" t="s">
        <v>161</v>
      </c>
      <c r="K566" s="12">
        <v>0.22</v>
      </c>
      <c r="L566" s="14" t="str">
        <f t="shared" si="30"/>
        <v>20%+</v>
      </c>
      <c r="M566" s="14"/>
      <c r="N566" s="14"/>
      <c r="O566" s="75" t="s">
        <v>3782</v>
      </c>
      <c r="P566" s="16" t="s">
        <v>3785</v>
      </c>
      <c r="Q566" s="9" t="s">
        <v>3784</v>
      </c>
      <c r="R566" s="16" t="s">
        <v>3786</v>
      </c>
      <c r="S566" s="9" t="s">
        <v>3787</v>
      </c>
      <c r="T566" s="9" t="s">
        <v>3788</v>
      </c>
      <c r="U566" s="9" t="s">
        <v>426</v>
      </c>
      <c r="V566" s="17">
        <v>7.76295069E8</v>
      </c>
      <c r="W566" s="9" t="s">
        <v>3789</v>
      </c>
      <c r="X566" s="9" t="s">
        <v>56</v>
      </c>
      <c r="Y566" s="14"/>
      <c r="Z566" s="14"/>
      <c r="AA566" s="14"/>
      <c r="AB566" s="14"/>
      <c r="AC566" s="14"/>
      <c r="AD566" s="14"/>
      <c r="AE566" s="14"/>
      <c r="AF566" s="14"/>
      <c r="AG566" s="14"/>
      <c r="AH566" s="14"/>
      <c r="AI566" s="20"/>
      <c r="AJ566" s="14"/>
      <c r="AK566" s="14"/>
      <c r="AL566" s="14"/>
      <c r="AM566" s="14"/>
      <c r="AN566" s="14"/>
      <c r="AO566" s="14"/>
      <c r="AP566" s="14"/>
      <c r="AQ566" s="14"/>
      <c r="AR566" s="14"/>
    </row>
    <row r="567" ht="22.5" customHeight="1">
      <c r="A567" s="74">
        <v>46097.0</v>
      </c>
      <c r="B567" s="138" t="s">
        <v>3790</v>
      </c>
      <c r="C567" s="8" t="s">
        <v>1919</v>
      </c>
      <c r="D567" s="9" t="s">
        <v>258</v>
      </c>
      <c r="E567" s="16" t="s">
        <v>3791</v>
      </c>
      <c r="F567" s="9" t="s">
        <v>3792</v>
      </c>
      <c r="G567" s="10">
        <v>500049.0</v>
      </c>
      <c r="H567" s="9" t="s">
        <v>1961</v>
      </c>
      <c r="I567" s="11" t="str">
        <f>VLOOKUP(H567,Mapping!D:E,2,0)</f>
        <v>miyapur</v>
      </c>
      <c r="J567" s="61" t="s">
        <v>390</v>
      </c>
      <c r="K567" s="12">
        <v>0.2</v>
      </c>
      <c r="L567" s="14" t="str">
        <f t="shared" si="30"/>
        <v>20%+</v>
      </c>
      <c r="M567" s="14"/>
      <c r="N567" s="14"/>
      <c r="O567" s="9" t="s">
        <v>3793</v>
      </c>
      <c r="P567" s="16" t="s">
        <v>3794</v>
      </c>
      <c r="Q567" s="9" t="s">
        <v>3792</v>
      </c>
      <c r="R567" s="16" t="s">
        <v>3795</v>
      </c>
      <c r="S567" s="9" t="s">
        <v>3796</v>
      </c>
      <c r="T567" s="9" t="s">
        <v>3797</v>
      </c>
      <c r="U567" s="9" t="s">
        <v>1014</v>
      </c>
      <c r="V567" s="17">
        <v>5.020011632699E13</v>
      </c>
      <c r="W567" s="9" t="s">
        <v>2337</v>
      </c>
      <c r="X567" s="9" t="s">
        <v>80</v>
      </c>
      <c r="Y567" s="14"/>
      <c r="Z567" s="14"/>
      <c r="AA567" s="14"/>
      <c r="AB567" s="14"/>
      <c r="AC567" s="14"/>
      <c r="AD567" s="14"/>
      <c r="AE567" s="14"/>
      <c r="AF567" s="14"/>
      <c r="AG567" s="14"/>
      <c r="AH567" s="14"/>
      <c r="AI567" s="20"/>
      <c r="AJ567" s="14"/>
      <c r="AK567" s="14"/>
      <c r="AL567" s="14"/>
      <c r="AM567" s="14"/>
      <c r="AN567" s="14"/>
      <c r="AO567" s="14"/>
      <c r="AP567" s="14"/>
      <c r="AQ567" s="14"/>
      <c r="AR567" s="14"/>
    </row>
    <row r="568" ht="22.5" customHeight="1">
      <c r="A568" s="74">
        <v>46098.0</v>
      </c>
      <c r="B568" s="75" t="s">
        <v>3798</v>
      </c>
      <c r="C568" s="8" t="s">
        <v>96</v>
      </c>
      <c r="D568" s="9" t="s">
        <v>258</v>
      </c>
      <c r="E568" s="16" t="s">
        <v>3799</v>
      </c>
      <c r="F568" s="9" t="s">
        <v>3800</v>
      </c>
      <c r="G568" s="10">
        <v>500038.0</v>
      </c>
      <c r="H568" s="9" t="s">
        <v>421</v>
      </c>
      <c r="I568" s="11" t="str">
        <f>VLOOKUP(H568,Mapping!D:E,2,0)</f>
        <v>Khairathabad</v>
      </c>
      <c r="J568" s="61" t="s">
        <v>50</v>
      </c>
      <c r="K568" s="12">
        <v>0.22</v>
      </c>
      <c r="L568" s="14" t="str">
        <f t="shared" si="30"/>
        <v>20%+</v>
      </c>
      <c r="M568" s="14"/>
      <c r="N568" s="14"/>
      <c r="O568" s="9" t="s">
        <v>3801</v>
      </c>
      <c r="P568" s="16" t="s">
        <v>3802</v>
      </c>
      <c r="Q568" s="9" t="s">
        <v>3803</v>
      </c>
      <c r="R568" s="16" t="s">
        <v>3804</v>
      </c>
      <c r="S568" s="9" t="s">
        <v>3805</v>
      </c>
      <c r="T568" s="9" t="s">
        <v>3806</v>
      </c>
      <c r="U568" s="9" t="s">
        <v>919</v>
      </c>
      <c r="V568" s="17">
        <v>1.11905003129E11</v>
      </c>
      <c r="W568" s="9" t="s">
        <v>3807</v>
      </c>
      <c r="X568" s="9" t="s">
        <v>80</v>
      </c>
      <c r="Y568" s="14"/>
      <c r="Z568" s="14"/>
      <c r="AA568" s="14"/>
      <c r="AB568" s="14"/>
      <c r="AC568" s="14"/>
      <c r="AD568" s="14"/>
      <c r="AE568" s="14"/>
      <c r="AF568" s="14"/>
      <c r="AG568" s="14"/>
      <c r="AH568" s="14"/>
      <c r="AI568" s="20"/>
      <c r="AJ568" s="14"/>
      <c r="AK568" s="14"/>
      <c r="AL568" s="14"/>
      <c r="AM568" s="14"/>
      <c r="AN568" s="14"/>
      <c r="AO568" s="14"/>
      <c r="AP568" s="14"/>
      <c r="AQ568" s="14"/>
      <c r="AR568" s="14"/>
    </row>
    <row r="569" ht="22.5" customHeight="1">
      <c r="A569" s="74">
        <v>46098.0</v>
      </c>
      <c r="B569" s="138" t="s">
        <v>3808</v>
      </c>
      <c r="C569" s="8" t="s">
        <v>96</v>
      </c>
      <c r="D569" s="9" t="s">
        <v>258</v>
      </c>
      <c r="E569" s="16" t="s">
        <v>3799</v>
      </c>
      <c r="F569" s="9" t="s">
        <v>3809</v>
      </c>
      <c r="G569" s="10">
        <v>500038.0</v>
      </c>
      <c r="H569" s="9" t="s">
        <v>421</v>
      </c>
      <c r="I569" s="11" t="str">
        <f>VLOOKUP(H569,Mapping!D:E,2,0)</f>
        <v>Khairathabad</v>
      </c>
      <c r="J569" s="61" t="s">
        <v>50</v>
      </c>
      <c r="K569" s="12">
        <v>0.22</v>
      </c>
      <c r="L569" s="14" t="str">
        <f t="shared" si="30"/>
        <v>20%+</v>
      </c>
      <c r="M569" s="14"/>
      <c r="N569" s="14"/>
      <c r="O569" s="9" t="s">
        <v>3810</v>
      </c>
      <c r="P569" s="16" t="s">
        <v>3802</v>
      </c>
      <c r="Q569" s="9" t="s">
        <v>3810</v>
      </c>
      <c r="R569" s="16" t="s">
        <v>3804</v>
      </c>
      <c r="S569" s="9" t="s">
        <v>68</v>
      </c>
      <c r="T569" s="9" t="s">
        <v>3811</v>
      </c>
      <c r="U569" s="9" t="s">
        <v>1129</v>
      </c>
      <c r="V569" s="17">
        <v>4.4991583406E10</v>
      </c>
      <c r="W569" s="9" t="s">
        <v>3812</v>
      </c>
      <c r="X569" s="9" t="s">
        <v>80</v>
      </c>
      <c r="Y569" s="14"/>
      <c r="Z569" s="14"/>
      <c r="AA569" s="14"/>
      <c r="AB569" s="14"/>
      <c r="AC569" s="14"/>
      <c r="AD569" s="14"/>
      <c r="AE569" s="14"/>
      <c r="AF569" s="14"/>
      <c r="AG569" s="14"/>
      <c r="AH569" s="14"/>
      <c r="AI569" s="20"/>
      <c r="AJ569" s="14"/>
      <c r="AK569" s="14"/>
      <c r="AL569" s="14"/>
      <c r="AM569" s="14"/>
      <c r="AN569" s="14"/>
      <c r="AO569" s="14"/>
      <c r="AP569" s="14"/>
      <c r="AQ569" s="14"/>
      <c r="AR569" s="14"/>
    </row>
    <row r="570" ht="22.5" customHeight="1">
      <c r="A570" s="74">
        <v>46098.0</v>
      </c>
      <c r="B570" s="75" t="s">
        <v>3813</v>
      </c>
      <c r="C570" s="8" t="s">
        <v>96</v>
      </c>
      <c r="D570" s="9" t="s">
        <v>2112</v>
      </c>
      <c r="E570" s="199" t="s">
        <v>3814</v>
      </c>
      <c r="F570" s="9" t="s">
        <v>3815</v>
      </c>
      <c r="G570" s="10">
        <v>500038.0</v>
      </c>
      <c r="H570" s="9" t="s">
        <v>203</v>
      </c>
      <c r="I570" s="11" t="str">
        <f>VLOOKUP(H570,Mapping!D:E,2,0)</f>
        <v>panjagutta</v>
      </c>
      <c r="J570" s="136" t="s">
        <v>161</v>
      </c>
      <c r="K570" s="12">
        <v>0.14</v>
      </c>
      <c r="L570" s="14" t="str">
        <f t="shared" si="30"/>
        <v>&lt;15%</v>
      </c>
      <c r="M570" s="14"/>
      <c r="N570" s="14"/>
      <c r="O570" s="9" t="s">
        <v>3816</v>
      </c>
      <c r="P570" s="199" t="s">
        <v>3817</v>
      </c>
      <c r="Q570" s="9" t="s">
        <v>3815</v>
      </c>
      <c r="R570" s="16" t="s">
        <v>3818</v>
      </c>
      <c r="S570" s="9" t="s">
        <v>3819</v>
      </c>
      <c r="T570" s="9" t="s">
        <v>3820</v>
      </c>
      <c r="U570" s="9" t="s">
        <v>919</v>
      </c>
      <c r="V570" s="17">
        <v>2.36305001676E11</v>
      </c>
      <c r="W570" s="9" t="s">
        <v>3821</v>
      </c>
      <c r="X570" s="9" t="s">
        <v>80</v>
      </c>
      <c r="Y570" s="14"/>
      <c r="Z570" s="14"/>
      <c r="AA570" s="14"/>
      <c r="AB570" s="14"/>
      <c r="AC570" s="14"/>
      <c r="AD570" s="14"/>
      <c r="AE570" s="14"/>
      <c r="AF570" s="14"/>
      <c r="AG570" s="14"/>
      <c r="AH570" s="14"/>
      <c r="AI570" s="20"/>
      <c r="AJ570" s="14"/>
      <c r="AK570" s="14"/>
      <c r="AL570" s="14"/>
      <c r="AM570" s="14"/>
      <c r="AN570" s="14"/>
      <c r="AO570" s="14"/>
      <c r="AP570" s="14"/>
      <c r="AQ570" s="14"/>
      <c r="AR570" s="14"/>
    </row>
    <row r="571" ht="22.5" customHeight="1">
      <c r="A571" s="74">
        <v>46098.0</v>
      </c>
      <c r="B571" s="138" t="s">
        <v>3822</v>
      </c>
      <c r="C571" s="8" t="s">
        <v>96</v>
      </c>
      <c r="D571" s="9" t="s">
        <v>2112</v>
      </c>
      <c r="E571" s="199" t="s">
        <v>3823</v>
      </c>
      <c r="F571" s="9" t="s">
        <v>3815</v>
      </c>
      <c r="G571" s="10">
        <v>500038.0</v>
      </c>
      <c r="H571" s="9" t="s">
        <v>203</v>
      </c>
      <c r="I571" s="11" t="str">
        <f>VLOOKUP(H571,Mapping!D:E,2,0)</f>
        <v>panjagutta</v>
      </c>
      <c r="J571" s="136" t="s">
        <v>161</v>
      </c>
      <c r="K571" s="12">
        <v>0.14</v>
      </c>
      <c r="L571" s="14" t="str">
        <f t="shared" si="30"/>
        <v>&lt;15%</v>
      </c>
      <c r="M571" s="14"/>
      <c r="N571" s="14"/>
      <c r="O571" s="9" t="s">
        <v>3820</v>
      </c>
      <c r="P571" s="199" t="s">
        <v>3824</v>
      </c>
      <c r="Q571" s="9" t="s">
        <v>3815</v>
      </c>
      <c r="R571" s="16" t="s">
        <v>3818</v>
      </c>
      <c r="S571" s="9" t="s">
        <v>3819</v>
      </c>
      <c r="T571" s="9" t="s">
        <v>3820</v>
      </c>
      <c r="U571" s="9" t="s">
        <v>919</v>
      </c>
      <c r="V571" s="17">
        <v>2.36305001676E11</v>
      </c>
      <c r="W571" s="9" t="s">
        <v>3821</v>
      </c>
      <c r="X571" s="9" t="s">
        <v>80</v>
      </c>
      <c r="Y571" s="14"/>
      <c r="Z571" s="14"/>
      <c r="AA571" s="14"/>
      <c r="AB571" s="14"/>
      <c r="AC571" s="14"/>
      <c r="AD571" s="14"/>
      <c r="AE571" s="14"/>
      <c r="AF571" s="14"/>
      <c r="AG571" s="14"/>
      <c r="AH571" s="14"/>
      <c r="AI571" s="20"/>
      <c r="AJ571" s="14"/>
      <c r="AK571" s="14"/>
      <c r="AL571" s="14"/>
      <c r="AM571" s="14"/>
      <c r="AN571" s="14"/>
      <c r="AO571" s="14"/>
      <c r="AP571" s="14"/>
      <c r="AQ571" s="14"/>
      <c r="AR571" s="14"/>
    </row>
    <row r="572" ht="22.5" customHeight="1">
      <c r="A572" s="74">
        <v>46098.0</v>
      </c>
      <c r="B572" s="200"/>
      <c r="C572" s="20"/>
      <c r="D572" s="14"/>
      <c r="E572" s="201"/>
      <c r="F572" s="14"/>
      <c r="G572" s="154"/>
      <c r="H572" s="14"/>
      <c r="I572" s="155"/>
      <c r="J572" s="155"/>
      <c r="K572" s="202"/>
      <c r="L572" s="14" t="str">
        <f t="shared" si="30"/>
        <v>0</v>
      </c>
      <c r="M572" s="14"/>
      <c r="N572" s="14"/>
      <c r="O572" s="14"/>
      <c r="P572" s="14"/>
      <c r="Q572" s="14"/>
      <c r="R572" s="201"/>
      <c r="S572" s="14"/>
      <c r="T572" s="14"/>
      <c r="U572" s="14"/>
      <c r="V572" s="203"/>
      <c r="W572" s="14"/>
      <c r="X572" s="14"/>
      <c r="Y572" s="14"/>
      <c r="Z572" s="14"/>
      <c r="AA572" s="14"/>
      <c r="AB572" s="14"/>
      <c r="AC572" s="14"/>
      <c r="AD572" s="14"/>
      <c r="AE572" s="14"/>
      <c r="AF572" s="14"/>
      <c r="AG572" s="14"/>
      <c r="AH572" s="14"/>
      <c r="AI572" s="20"/>
      <c r="AJ572" s="14"/>
      <c r="AK572" s="14"/>
      <c r="AL572" s="14"/>
      <c r="AM572" s="14"/>
      <c r="AN572" s="14"/>
      <c r="AO572" s="14"/>
      <c r="AP572" s="14"/>
      <c r="AQ572" s="14"/>
      <c r="AR572" s="14"/>
    </row>
    <row r="573" ht="22.5" customHeight="1">
      <c r="A573" s="204"/>
      <c r="B573" s="205"/>
      <c r="C573" s="20"/>
      <c r="D573" s="14"/>
      <c r="E573" s="201"/>
      <c r="F573" s="14"/>
      <c r="G573" s="154"/>
      <c r="H573" s="14"/>
      <c r="I573" s="155"/>
      <c r="J573" s="155"/>
      <c r="K573" s="202"/>
      <c r="L573" s="14" t="str">
        <f t="shared" si="30"/>
        <v>0</v>
      </c>
      <c r="M573" s="14"/>
      <c r="N573" s="14"/>
      <c r="O573" s="14"/>
      <c r="P573" s="14"/>
      <c r="Q573" s="14"/>
      <c r="R573" s="201"/>
      <c r="S573" s="14"/>
      <c r="T573" s="14"/>
      <c r="U573" s="14"/>
      <c r="V573" s="203"/>
      <c r="W573" s="14"/>
      <c r="X573" s="14"/>
      <c r="Y573" s="14"/>
      <c r="Z573" s="14"/>
      <c r="AA573" s="14"/>
      <c r="AB573" s="14"/>
      <c r="AC573" s="14"/>
      <c r="AD573" s="14"/>
      <c r="AE573" s="14"/>
      <c r="AF573" s="14"/>
      <c r="AG573" s="14"/>
      <c r="AH573" s="14"/>
      <c r="AI573" s="20"/>
      <c r="AJ573" s="14"/>
      <c r="AK573" s="14"/>
      <c r="AL573" s="14"/>
      <c r="AM573" s="14"/>
      <c r="AN573" s="14"/>
      <c r="AO573" s="14"/>
      <c r="AP573" s="14"/>
      <c r="AQ573" s="14"/>
      <c r="AR573" s="14"/>
    </row>
    <row r="574" ht="22.5" customHeight="1">
      <c r="A574" s="204"/>
      <c r="B574" s="200"/>
      <c r="C574" s="20"/>
      <c r="D574" s="14"/>
      <c r="E574" s="201"/>
      <c r="F574" s="14"/>
      <c r="G574" s="154"/>
      <c r="H574" s="14"/>
      <c r="I574" s="155"/>
      <c r="J574" s="155"/>
      <c r="K574" s="202"/>
      <c r="L574" s="14" t="str">
        <f t="shared" si="30"/>
        <v>0</v>
      </c>
      <c r="M574" s="14"/>
      <c r="N574" s="14"/>
      <c r="O574" s="14"/>
      <c r="P574" s="14"/>
      <c r="Q574" s="14"/>
      <c r="R574" s="201"/>
      <c r="S574" s="14"/>
      <c r="T574" s="14"/>
      <c r="U574" s="14"/>
      <c r="V574" s="203"/>
      <c r="W574" s="14"/>
      <c r="X574" s="14"/>
      <c r="Y574" s="14"/>
      <c r="Z574" s="14"/>
      <c r="AA574" s="14"/>
      <c r="AB574" s="14"/>
      <c r="AC574" s="14"/>
      <c r="AD574" s="14"/>
      <c r="AE574" s="14"/>
      <c r="AF574" s="14"/>
      <c r="AG574" s="14"/>
      <c r="AH574" s="14"/>
      <c r="AI574" s="20"/>
      <c r="AJ574" s="14"/>
      <c r="AK574" s="14"/>
      <c r="AL574" s="14"/>
      <c r="AM574" s="14"/>
      <c r="AN574" s="14"/>
      <c r="AO574" s="14"/>
      <c r="AP574" s="14"/>
      <c r="AQ574" s="14"/>
      <c r="AR574" s="14"/>
    </row>
    <row r="575" ht="22.5" customHeight="1">
      <c r="A575" s="204"/>
      <c r="B575" s="205"/>
      <c r="C575" s="20"/>
      <c r="D575" s="14"/>
      <c r="E575" s="201"/>
      <c r="F575" s="14"/>
      <c r="G575" s="154"/>
      <c r="H575" s="14"/>
      <c r="I575" s="155"/>
      <c r="J575" s="155"/>
      <c r="K575" s="202"/>
      <c r="L575" s="14" t="str">
        <f t="shared" si="30"/>
        <v>0</v>
      </c>
      <c r="M575" s="14"/>
      <c r="N575" s="14"/>
      <c r="O575" s="14"/>
      <c r="P575" s="14"/>
      <c r="Q575" s="14"/>
      <c r="R575" s="201"/>
      <c r="S575" s="14"/>
      <c r="T575" s="14"/>
      <c r="U575" s="14"/>
      <c r="V575" s="203"/>
      <c r="W575" s="14"/>
      <c r="X575" s="14"/>
      <c r="Y575" s="14"/>
      <c r="Z575" s="14"/>
      <c r="AA575" s="14"/>
      <c r="AB575" s="14"/>
      <c r="AC575" s="14"/>
      <c r="AD575" s="14"/>
      <c r="AE575" s="14"/>
      <c r="AF575" s="14"/>
      <c r="AG575" s="14"/>
      <c r="AH575" s="14"/>
      <c r="AI575" s="20"/>
      <c r="AJ575" s="14"/>
      <c r="AK575" s="14"/>
      <c r="AL575" s="14"/>
      <c r="AM575" s="14"/>
      <c r="AN575" s="14"/>
      <c r="AO575" s="14"/>
      <c r="AP575" s="14"/>
      <c r="AQ575" s="14"/>
      <c r="AR575" s="14"/>
    </row>
    <row r="576" ht="22.5" customHeight="1">
      <c r="A576" s="204"/>
      <c r="B576" s="200"/>
      <c r="C576" s="20"/>
      <c r="D576" s="14"/>
      <c r="E576" s="201"/>
      <c r="F576" s="14"/>
      <c r="G576" s="154"/>
      <c r="H576" s="14"/>
      <c r="I576" s="155"/>
      <c r="J576" s="155"/>
      <c r="K576" s="202"/>
      <c r="L576" s="14" t="str">
        <f t="shared" si="30"/>
        <v>0</v>
      </c>
      <c r="M576" s="14"/>
      <c r="N576" s="14"/>
      <c r="O576" s="14"/>
      <c r="P576" s="14"/>
      <c r="Q576" s="14"/>
      <c r="R576" s="201"/>
      <c r="S576" s="14"/>
      <c r="T576" s="14"/>
      <c r="U576" s="14"/>
      <c r="V576" s="203"/>
      <c r="W576" s="14"/>
      <c r="X576" s="14"/>
      <c r="Y576" s="14"/>
      <c r="Z576" s="14"/>
      <c r="AA576" s="14"/>
      <c r="AB576" s="14"/>
      <c r="AC576" s="14"/>
      <c r="AD576" s="14"/>
      <c r="AE576" s="14"/>
      <c r="AF576" s="14"/>
      <c r="AG576" s="14"/>
      <c r="AH576" s="14"/>
      <c r="AI576" s="20"/>
      <c r="AJ576" s="14"/>
      <c r="AK576" s="14"/>
      <c r="AL576" s="14"/>
      <c r="AM576" s="14"/>
      <c r="AN576" s="14"/>
      <c r="AO576" s="14"/>
      <c r="AP576" s="14"/>
      <c r="AQ576" s="14"/>
      <c r="AR576" s="14"/>
    </row>
    <row r="577" ht="22.5" customHeight="1">
      <c r="A577" s="204"/>
      <c r="B577" s="205"/>
      <c r="C577" s="20"/>
      <c r="D577" s="14"/>
      <c r="E577" s="201"/>
      <c r="F577" s="14"/>
      <c r="G577" s="154"/>
      <c r="H577" s="14"/>
      <c r="I577" s="155"/>
      <c r="J577" s="155"/>
      <c r="K577" s="202"/>
      <c r="L577" s="14" t="str">
        <f t="shared" si="30"/>
        <v>0</v>
      </c>
      <c r="M577" s="14"/>
      <c r="N577" s="14"/>
      <c r="O577" s="14"/>
      <c r="P577" s="14"/>
      <c r="Q577" s="14"/>
      <c r="R577" s="201"/>
      <c r="S577" s="14"/>
      <c r="T577" s="14"/>
      <c r="U577" s="14"/>
      <c r="V577" s="203"/>
      <c r="W577" s="14"/>
      <c r="X577" s="14"/>
      <c r="Y577" s="14"/>
      <c r="Z577" s="14"/>
      <c r="AA577" s="14"/>
      <c r="AB577" s="14"/>
      <c r="AC577" s="14"/>
      <c r="AD577" s="14"/>
      <c r="AE577" s="14"/>
      <c r="AF577" s="14"/>
      <c r="AG577" s="14"/>
      <c r="AH577" s="14"/>
      <c r="AI577" s="20"/>
      <c r="AJ577" s="14"/>
      <c r="AK577" s="14"/>
      <c r="AL577" s="14"/>
      <c r="AM577" s="14"/>
      <c r="AN577" s="14"/>
      <c r="AO577" s="14"/>
      <c r="AP577" s="14"/>
      <c r="AQ577" s="14"/>
      <c r="AR577" s="14"/>
    </row>
    <row r="578" ht="22.5" customHeight="1">
      <c r="A578" s="204"/>
      <c r="B578" s="200"/>
      <c r="C578" s="20"/>
      <c r="D578" s="14"/>
      <c r="E578" s="201"/>
      <c r="F578" s="14"/>
      <c r="G578" s="154"/>
      <c r="H578" s="14"/>
      <c r="I578" s="155"/>
      <c r="J578" s="155"/>
      <c r="K578" s="202"/>
      <c r="L578" s="14" t="str">
        <f t="shared" si="30"/>
        <v>0</v>
      </c>
      <c r="M578" s="14"/>
      <c r="N578" s="14"/>
      <c r="O578" s="14"/>
      <c r="P578" s="14"/>
      <c r="Q578" s="14"/>
      <c r="R578" s="201"/>
      <c r="S578" s="14"/>
      <c r="T578" s="14"/>
      <c r="U578" s="14"/>
      <c r="V578" s="203"/>
      <c r="W578" s="14"/>
      <c r="X578" s="14"/>
      <c r="Y578" s="14"/>
      <c r="Z578" s="14"/>
      <c r="AA578" s="14"/>
      <c r="AB578" s="14"/>
      <c r="AC578" s="14"/>
      <c r="AD578" s="14"/>
      <c r="AE578" s="14"/>
      <c r="AF578" s="14"/>
      <c r="AG578" s="14"/>
      <c r="AH578" s="14"/>
      <c r="AI578" s="20"/>
      <c r="AJ578" s="14"/>
      <c r="AK578" s="14"/>
      <c r="AL578" s="14"/>
      <c r="AM578" s="14"/>
      <c r="AN578" s="14"/>
      <c r="AO578" s="14"/>
      <c r="AP578" s="14"/>
      <c r="AQ578" s="14"/>
      <c r="AR578" s="14"/>
    </row>
    <row r="579" ht="22.5" customHeight="1">
      <c r="A579" s="204"/>
      <c r="B579" s="205"/>
      <c r="C579" s="20"/>
      <c r="D579" s="14"/>
      <c r="E579" s="201"/>
      <c r="F579" s="14"/>
      <c r="G579" s="154"/>
      <c r="H579" s="14"/>
      <c r="I579" s="155"/>
      <c r="J579" s="155"/>
      <c r="K579" s="202"/>
      <c r="L579" s="14" t="str">
        <f t="shared" si="30"/>
        <v>0</v>
      </c>
      <c r="M579" s="14"/>
      <c r="N579" s="14"/>
      <c r="O579" s="14"/>
      <c r="P579" s="14"/>
      <c r="Q579" s="14"/>
      <c r="R579" s="201"/>
      <c r="S579" s="14"/>
      <c r="T579" s="14"/>
      <c r="U579" s="14"/>
      <c r="V579" s="203"/>
      <c r="W579" s="14"/>
      <c r="X579" s="14"/>
      <c r="Y579" s="14"/>
      <c r="Z579" s="14"/>
      <c r="AA579" s="14"/>
      <c r="AB579" s="14"/>
      <c r="AC579" s="14"/>
      <c r="AD579" s="14"/>
      <c r="AE579" s="14"/>
      <c r="AF579" s="14"/>
      <c r="AG579" s="14"/>
      <c r="AH579" s="14"/>
      <c r="AI579" s="20"/>
      <c r="AJ579" s="14"/>
      <c r="AK579" s="14"/>
      <c r="AL579" s="14"/>
      <c r="AM579" s="14"/>
      <c r="AN579" s="14"/>
      <c r="AO579" s="14"/>
      <c r="AP579" s="14"/>
      <c r="AQ579" s="14"/>
      <c r="AR579" s="14"/>
    </row>
    <row r="580" ht="22.5" customHeight="1">
      <c r="A580" s="204"/>
      <c r="B580" s="200"/>
      <c r="C580" s="20"/>
      <c r="D580" s="14"/>
      <c r="E580" s="201"/>
      <c r="F580" s="14"/>
      <c r="G580" s="154"/>
      <c r="H580" s="14"/>
      <c r="I580" s="155"/>
      <c r="J580" s="155"/>
      <c r="K580" s="202"/>
      <c r="L580" s="14" t="str">
        <f t="shared" si="30"/>
        <v>0</v>
      </c>
      <c r="M580" s="14"/>
      <c r="N580" s="14"/>
      <c r="O580" s="14"/>
      <c r="P580" s="14"/>
      <c r="Q580" s="14"/>
      <c r="R580" s="201"/>
      <c r="S580" s="14"/>
      <c r="T580" s="14"/>
      <c r="U580" s="14"/>
      <c r="V580" s="203"/>
      <c r="W580" s="14"/>
      <c r="X580" s="14"/>
      <c r="Y580" s="14"/>
      <c r="Z580" s="14"/>
      <c r="AA580" s="14"/>
      <c r="AB580" s="14"/>
      <c r="AC580" s="14"/>
      <c r="AD580" s="14"/>
      <c r="AE580" s="14"/>
      <c r="AF580" s="14"/>
      <c r="AG580" s="14"/>
      <c r="AH580" s="14"/>
      <c r="AI580" s="20"/>
      <c r="AJ580" s="14"/>
      <c r="AK580" s="14"/>
      <c r="AL580" s="14"/>
      <c r="AM580" s="14"/>
      <c r="AN580" s="14"/>
      <c r="AO580" s="14"/>
      <c r="AP580" s="14"/>
      <c r="AQ580" s="14"/>
      <c r="AR580" s="14"/>
    </row>
    <row r="581" ht="22.5" customHeight="1">
      <c r="A581" s="204"/>
      <c r="B581" s="205"/>
      <c r="C581" s="20"/>
      <c r="D581" s="14"/>
      <c r="E581" s="201"/>
      <c r="F581" s="14"/>
      <c r="G581" s="154"/>
      <c r="H581" s="14"/>
      <c r="I581" s="155"/>
      <c r="J581" s="155"/>
      <c r="K581" s="202"/>
      <c r="L581" s="14" t="str">
        <f t="shared" si="30"/>
        <v>0</v>
      </c>
      <c r="M581" s="14"/>
      <c r="N581" s="14"/>
      <c r="O581" s="14"/>
      <c r="P581" s="14"/>
      <c r="Q581" s="14"/>
      <c r="R581" s="201"/>
      <c r="S581" s="14"/>
      <c r="T581" s="14"/>
      <c r="U581" s="14"/>
      <c r="V581" s="203"/>
      <c r="W581" s="14"/>
      <c r="X581" s="14"/>
      <c r="Y581" s="14"/>
      <c r="Z581" s="14"/>
      <c r="AA581" s="14"/>
      <c r="AB581" s="14"/>
      <c r="AC581" s="14"/>
      <c r="AD581" s="14"/>
      <c r="AE581" s="14"/>
      <c r="AF581" s="14"/>
      <c r="AG581" s="14"/>
      <c r="AH581" s="14"/>
      <c r="AI581" s="20"/>
      <c r="AJ581" s="14"/>
      <c r="AK581" s="14"/>
      <c r="AL581" s="14"/>
      <c r="AM581" s="14"/>
      <c r="AN581" s="14"/>
      <c r="AO581" s="14"/>
      <c r="AP581" s="14"/>
      <c r="AQ581" s="14"/>
      <c r="AR581" s="14"/>
    </row>
    <row r="582" ht="22.5" customHeight="1">
      <c r="A582" s="204"/>
      <c r="B582" s="200"/>
      <c r="C582" s="20"/>
      <c r="D582" s="14"/>
      <c r="E582" s="201"/>
      <c r="F582" s="14"/>
      <c r="G582" s="154"/>
      <c r="H582" s="14"/>
      <c r="I582" s="155"/>
      <c r="J582" s="155"/>
      <c r="K582" s="202"/>
      <c r="L582" s="14" t="str">
        <f t="shared" si="30"/>
        <v>0</v>
      </c>
      <c r="M582" s="14"/>
      <c r="N582" s="14"/>
      <c r="O582" s="14"/>
      <c r="P582" s="14"/>
      <c r="Q582" s="14"/>
      <c r="R582" s="201"/>
      <c r="S582" s="14"/>
      <c r="T582" s="14"/>
      <c r="U582" s="14"/>
      <c r="V582" s="203"/>
      <c r="W582" s="14"/>
      <c r="X582" s="14"/>
      <c r="Y582" s="14"/>
      <c r="Z582" s="14"/>
      <c r="AA582" s="14"/>
      <c r="AB582" s="14"/>
      <c r="AC582" s="14"/>
      <c r="AD582" s="14"/>
      <c r="AE582" s="14"/>
      <c r="AF582" s="14"/>
      <c r="AG582" s="14"/>
      <c r="AH582" s="14"/>
      <c r="AI582" s="20"/>
      <c r="AJ582" s="14"/>
      <c r="AK582" s="14"/>
      <c r="AL582" s="14"/>
      <c r="AM582" s="14"/>
      <c r="AN582" s="14"/>
      <c r="AO582" s="14"/>
      <c r="AP582" s="14"/>
      <c r="AQ582" s="14"/>
      <c r="AR582" s="14"/>
    </row>
    <row r="583" ht="22.5" customHeight="1">
      <c r="A583" s="204"/>
      <c r="B583" s="205"/>
      <c r="C583" s="20"/>
      <c r="D583" s="14"/>
      <c r="E583" s="201"/>
      <c r="F583" s="14"/>
      <c r="G583" s="154"/>
      <c r="H583" s="14"/>
      <c r="I583" s="155"/>
      <c r="J583" s="155"/>
      <c r="K583" s="202"/>
      <c r="L583" s="14" t="str">
        <f t="shared" si="30"/>
        <v>0</v>
      </c>
      <c r="M583" s="14"/>
      <c r="N583" s="14"/>
      <c r="O583" s="14"/>
      <c r="P583" s="14"/>
      <c r="Q583" s="14"/>
      <c r="R583" s="201"/>
      <c r="S583" s="14"/>
      <c r="T583" s="14"/>
      <c r="U583" s="14"/>
      <c r="V583" s="203"/>
      <c r="W583" s="14"/>
      <c r="X583" s="14"/>
      <c r="Y583" s="14"/>
      <c r="Z583" s="14"/>
      <c r="AA583" s="14"/>
      <c r="AB583" s="14"/>
      <c r="AC583" s="14"/>
      <c r="AD583" s="14"/>
      <c r="AE583" s="14"/>
      <c r="AF583" s="14"/>
      <c r="AG583" s="14"/>
      <c r="AH583" s="14"/>
      <c r="AI583" s="20"/>
      <c r="AJ583" s="14"/>
      <c r="AK583" s="14"/>
      <c r="AL583" s="14"/>
      <c r="AM583" s="14"/>
      <c r="AN583" s="14"/>
      <c r="AO583" s="14"/>
      <c r="AP583" s="14"/>
      <c r="AQ583" s="14"/>
      <c r="AR583" s="14"/>
    </row>
    <row r="584" ht="22.5" customHeight="1">
      <c r="A584" s="204"/>
      <c r="B584" s="200"/>
      <c r="C584" s="20"/>
      <c r="D584" s="14"/>
      <c r="E584" s="201"/>
      <c r="F584" s="14"/>
      <c r="G584" s="154"/>
      <c r="H584" s="14"/>
      <c r="I584" s="155"/>
      <c r="J584" s="155"/>
      <c r="K584" s="202"/>
      <c r="L584" s="14" t="str">
        <f t="shared" si="30"/>
        <v>0</v>
      </c>
      <c r="M584" s="14"/>
      <c r="N584" s="14"/>
      <c r="O584" s="14"/>
      <c r="P584" s="14"/>
      <c r="Q584" s="14"/>
      <c r="R584" s="201"/>
      <c r="S584" s="14"/>
      <c r="T584" s="14"/>
      <c r="U584" s="14"/>
      <c r="V584" s="203"/>
      <c r="W584" s="14"/>
      <c r="X584" s="14"/>
      <c r="Y584" s="14"/>
      <c r="Z584" s="14"/>
      <c r="AA584" s="14"/>
      <c r="AB584" s="14"/>
      <c r="AC584" s="14"/>
      <c r="AD584" s="14"/>
      <c r="AE584" s="14"/>
      <c r="AF584" s="14"/>
      <c r="AG584" s="14"/>
      <c r="AH584" s="14"/>
      <c r="AI584" s="20"/>
      <c r="AJ584" s="14"/>
      <c r="AK584" s="14"/>
      <c r="AL584" s="14"/>
      <c r="AM584" s="14"/>
      <c r="AN584" s="14"/>
      <c r="AO584" s="14"/>
      <c r="AP584" s="14"/>
      <c r="AQ584" s="14"/>
      <c r="AR584" s="14"/>
    </row>
    <row r="585" ht="22.5" customHeight="1">
      <c r="A585" s="204"/>
      <c r="B585" s="205"/>
      <c r="C585" s="20"/>
      <c r="D585" s="14"/>
      <c r="E585" s="201"/>
      <c r="F585" s="14"/>
      <c r="G585" s="154"/>
      <c r="H585" s="14"/>
      <c r="I585" s="155"/>
      <c r="J585" s="155"/>
      <c r="K585" s="202"/>
      <c r="L585" s="14" t="str">
        <f t="shared" si="30"/>
        <v>0</v>
      </c>
      <c r="M585" s="14"/>
      <c r="N585" s="14"/>
      <c r="O585" s="14"/>
      <c r="P585" s="14"/>
      <c r="Q585" s="14"/>
      <c r="R585" s="201"/>
      <c r="S585" s="14"/>
      <c r="T585" s="14"/>
      <c r="U585" s="14"/>
      <c r="V585" s="203"/>
      <c r="W585" s="14"/>
      <c r="X585" s="14"/>
      <c r="Y585" s="14"/>
      <c r="Z585" s="14"/>
      <c r="AA585" s="14"/>
      <c r="AB585" s="14"/>
      <c r="AC585" s="14"/>
      <c r="AD585" s="14"/>
      <c r="AE585" s="14"/>
      <c r="AF585" s="14"/>
      <c r="AG585" s="14"/>
      <c r="AH585" s="14"/>
      <c r="AI585" s="20"/>
      <c r="AJ585" s="14"/>
      <c r="AK585" s="14"/>
      <c r="AL585" s="14"/>
      <c r="AM585" s="14"/>
      <c r="AN585" s="14"/>
      <c r="AO585" s="14"/>
      <c r="AP585" s="14"/>
      <c r="AQ585" s="14"/>
      <c r="AR585" s="14"/>
    </row>
    <row r="586" ht="22.5" customHeight="1">
      <c r="A586" s="204"/>
      <c r="B586" s="200"/>
      <c r="C586" s="20"/>
      <c r="D586" s="14"/>
      <c r="E586" s="201"/>
      <c r="F586" s="14"/>
      <c r="G586" s="154"/>
      <c r="H586" s="14"/>
      <c r="I586" s="155"/>
      <c r="J586" s="155"/>
      <c r="K586" s="202"/>
      <c r="L586" s="14" t="str">
        <f t="shared" si="30"/>
        <v>0</v>
      </c>
      <c r="M586" s="14"/>
      <c r="N586" s="14"/>
      <c r="O586" s="14"/>
      <c r="P586" s="14"/>
      <c r="Q586" s="14"/>
      <c r="R586" s="201"/>
      <c r="S586" s="14"/>
      <c r="T586" s="14"/>
      <c r="U586" s="14"/>
      <c r="V586" s="203"/>
      <c r="W586" s="14"/>
      <c r="X586" s="14"/>
      <c r="Y586" s="14"/>
      <c r="Z586" s="14"/>
      <c r="AA586" s="14"/>
      <c r="AB586" s="14"/>
      <c r="AC586" s="14"/>
      <c r="AD586" s="14"/>
      <c r="AE586" s="14"/>
      <c r="AF586" s="14"/>
      <c r="AG586" s="14"/>
      <c r="AH586" s="14"/>
      <c r="AI586" s="20"/>
      <c r="AJ586" s="14"/>
      <c r="AK586" s="14"/>
      <c r="AL586" s="14"/>
      <c r="AM586" s="14"/>
      <c r="AN586" s="14"/>
      <c r="AO586" s="14"/>
      <c r="AP586" s="14"/>
      <c r="AQ586" s="14"/>
      <c r="AR586" s="14"/>
    </row>
    <row r="587" ht="22.5" customHeight="1">
      <c r="A587" s="204"/>
      <c r="B587" s="205"/>
      <c r="C587" s="20"/>
      <c r="D587" s="14"/>
      <c r="E587" s="201"/>
      <c r="F587" s="14"/>
      <c r="G587" s="154"/>
      <c r="H587" s="14"/>
      <c r="I587" s="155"/>
      <c r="J587" s="155"/>
      <c r="K587" s="202"/>
      <c r="L587" s="14" t="str">
        <f t="shared" si="30"/>
        <v>0</v>
      </c>
      <c r="M587" s="14"/>
      <c r="N587" s="14"/>
      <c r="O587" s="14"/>
      <c r="P587" s="14"/>
      <c r="Q587" s="14"/>
      <c r="R587" s="201"/>
      <c r="S587" s="14"/>
      <c r="T587" s="14"/>
      <c r="U587" s="14"/>
      <c r="V587" s="203"/>
      <c r="W587" s="14"/>
      <c r="X587" s="14"/>
      <c r="Y587" s="14"/>
      <c r="Z587" s="14"/>
      <c r="AA587" s="14"/>
      <c r="AB587" s="14"/>
      <c r="AC587" s="14"/>
      <c r="AD587" s="14"/>
      <c r="AE587" s="14"/>
      <c r="AF587" s="14"/>
      <c r="AG587" s="14"/>
      <c r="AH587" s="14"/>
      <c r="AI587" s="20"/>
      <c r="AJ587" s="14"/>
      <c r="AK587" s="14"/>
      <c r="AL587" s="14"/>
      <c r="AM587" s="14"/>
      <c r="AN587" s="14"/>
      <c r="AO587" s="14"/>
      <c r="AP587" s="14"/>
      <c r="AQ587" s="14"/>
      <c r="AR587" s="14"/>
    </row>
    <row r="588" ht="22.5" customHeight="1">
      <c r="A588" s="204"/>
      <c r="B588" s="200"/>
      <c r="C588" s="20"/>
      <c r="D588" s="14"/>
      <c r="E588" s="201"/>
      <c r="F588" s="14"/>
      <c r="G588" s="154"/>
      <c r="H588" s="14"/>
      <c r="I588" s="155"/>
      <c r="J588" s="155"/>
      <c r="K588" s="202"/>
      <c r="L588" s="14" t="str">
        <f t="shared" si="30"/>
        <v>0</v>
      </c>
      <c r="M588" s="14"/>
      <c r="N588" s="14"/>
      <c r="O588" s="14"/>
      <c r="P588" s="14"/>
      <c r="Q588" s="14"/>
      <c r="R588" s="201"/>
      <c r="S588" s="14"/>
      <c r="T588" s="14"/>
      <c r="U588" s="14"/>
      <c r="V588" s="203"/>
      <c r="W588" s="14"/>
      <c r="X588" s="14"/>
      <c r="Y588" s="14"/>
      <c r="Z588" s="14"/>
      <c r="AA588" s="14"/>
      <c r="AB588" s="14"/>
      <c r="AC588" s="14"/>
      <c r="AD588" s="14"/>
      <c r="AE588" s="14"/>
      <c r="AF588" s="14"/>
      <c r="AG588" s="14"/>
      <c r="AH588" s="14"/>
      <c r="AI588" s="20"/>
      <c r="AJ588" s="14"/>
      <c r="AK588" s="14"/>
      <c r="AL588" s="14"/>
      <c r="AM588" s="14"/>
      <c r="AN588" s="14"/>
      <c r="AO588" s="14"/>
      <c r="AP588" s="14"/>
      <c r="AQ588" s="14"/>
      <c r="AR588" s="14"/>
    </row>
    <row r="589" ht="22.5" customHeight="1">
      <c r="A589" s="204"/>
      <c r="B589" s="205"/>
      <c r="C589" s="20"/>
      <c r="D589" s="14"/>
      <c r="E589" s="201"/>
      <c r="F589" s="14"/>
      <c r="G589" s="154"/>
      <c r="H589" s="14"/>
      <c r="I589" s="155"/>
      <c r="J589" s="155"/>
      <c r="K589" s="202"/>
      <c r="L589" s="14" t="str">
        <f t="shared" si="30"/>
        <v>0</v>
      </c>
      <c r="M589" s="14"/>
      <c r="N589" s="14"/>
      <c r="O589" s="14"/>
      <c r="P589" s="14"/>
      <c r="Q589" s="14"/>
      <c r="R589" s="201"/>
      <c r="S589" s="14"/>
      <c r="T589" s="14"/>
      <c r="U589" s="14"/>
      <c r="V589" s="203"/>
      <c r="W589" s="14"/>
      <c r="X589" s="14"/>
      <c r="Y589" s="14"/>
      <c r="Z589" s="14"/>
      <c r="AA589" s="14"/>
      <c r="AB589" s="14"/>
      <c r="AC589" s="14"/>
      <c r="AD589" s="14"/>
      <c r="AE589" s="14"/>
      <c r="AF589" s="14"/>
      <c r="AG589" s="14"/>
      <c r="AH589" s="14"/>
      <c r="AI589" s="20"/>
      <c r="AJ589" s="14"/>
      <c r="AK589" s="14"/>
      <c r="AL589" s="14"/>
      <c r="AM589" s="14"/>
      <c r="AN589" s="14"/>
      <c r="AO589" s="14"/>
      <c r="AP589" s="14"/>
      <c r="AQ589" s="14"/>
      <c r="AR589" s="14"/>
    </row>
    <row r="590" ht="22.5" customHeight="1">
      <c r="A590" s="204"/>
      <c r="B590" s="200"/>
      <c r="C590" s="20"/>
      <c r="D590" s="14"/>
      <c r="E590" s="201"/>
      <c r="F590" s="14"/>
      <c r="G590" s="154"/>
      <c r="H590" s="14"/>
      <c r="I590" s="155"/>
      <c r="J590" s="155"/>
      <c r="K590" s="202"/>
      <c r="L590" s="14" t="str">
        <f t="shared" si="30"/>
        <v>0</v>
      </c>
      <c r="M590" s="14"/>
      <c r="N590" s="14"/>
      <c r="O590" s="14"/>
      <c r="P590" s="14"/>
      <c r="Q590" s="14"/>
      <c r="R590" s="201"/>
      <c r="S590" s="14"/>
      <c r="T590" s="14"/>
      <c r="U590" s="14"/>
      <c r="V590" s="203"/>
      <c r="W590" s="14"/>
      <c r="X590" s="14"/>
      <c r="Y590" s="14"/>
      <c r="Z590" s="14"/>
      <c r="AA590" s="14"/>
      <c r="AB590" s="14"/>
      <c r="AC590" s="14"/>
      <c r="AD590" s="14"/>
      <c r="AE590" s="14"/>
      <c r="AF590" s="14"/>
      <c r="AG590" s="14"/>
      <c r="AH590" s="14"/>
      <c r="AI590" s="20"/>
      <c r="AJ590" s="14"/>
      <c r="AK590" s="14"/>
      <c r="AL590" s="14"/>
      <c r="AM590" s="14"/>
      <c r="AN590" s="14"/>
      <c r="AO590" s="14"/>
      <c r="AP590" s="14"/>
      <c r="AQ590" s="14"/>
      <c r="AR590" s="14"/>
    </row>
    <row r="591" ht="22.5" customHeight="1">
      <c r="A591" s="204"/>
      <c r="B591" s="205"/>
      <c r="C591" s="20"/>
      <c r="D591" s="14"/>
      <c r="E591" s="201"/>
      <c r="F591" s="14"/>
      <c r="G591" s="154"/>
      <c r="H591" s="14"/>
      <c r="I591" s="155"/>
      <c r="J591" s="155"/>
      <c r="K591" s="202"/>
      <c r="L591" s="14" t="str">
        <f t="shared" si="30"/>
        <v>0</v>
      </c>
      <c r="M591" s="14"/>
      <c r="N591" s="14"/>
      <c r="O591" s="14"/>
      <c r="P591" s="14"/>
      <c r="Q591" s="14"/>
      <c r="R591" s="201"/>
      <c r="S591" s="14"/>
      <c r="T591" s="14"/>
      <c r="U591" s="14"/>
      <c r="V591" s="203"/>
      <c r="W591" s="14"/>
      <c r="X591" s="14"/>
      <c r="Y591" s="14"/>
      <c r="Z591" s="14"/>
      <c r="AA591" s="14"/>
      <c r="AB591" s="14"/>
      <c r="AC591" s="14"/>
      <c r="AD591" s="14"/>
      <c r="AE591" s="14"/>
      <c r="AF591" s="14"/>
      <c r="AG591" s="14"/>
      <c r="AH591" s="14"/>
      <c r="AI591" s="20"/>
      <c r="AJ591" s="14"/>
      <c r="AK591" s="14"/>
      <c r="AL591" s="14"/>
      <c r="AM591" s="14"/>
      <c r="AN591" s="14"/>
      <c r="AO591" s="14"/>
      <c r="AP591" s="14"/>
      <c r="AQ591" s="14"/>
      <c r="AR591" s="14"/>
    </row>
    <row r="592" ht="22.5" customHeight="1">
      <c r="A592" s="204"/>
      <c r="B592" s="200"/>
      <c r="C592" s="20"/>
      <c r="D592" s="14"/>
      <c r="E592" s="201"/>
      <c r="F592" s="14"/>
      <c r="G592" s="154"/>
      <c r="H592" s="14"/>
      <c r="I592" s="155"/>
      <c r="J592" s="155"/>
      <c r="K592" s="202"/>
      <c r="L592" s="14" t="str">
        <f t="shared" si="30"/>
        <v>0</v>
      </c>
      <c r="M592" s="14"/>
      <c r="N592" s="14"/>
      <c r="O592" s="14"/>
      <c r="P592" s="14"/>
      <c r="Q592" s="14"/>
      <c r="R592" s="201"/>
      <c r="S592" s="14"/>
      <c r="T592" s="14"/>
      <c r="U592" s="14"/>
      <c r="V592" s="203"/>
      <c r="W592" s="14"/>
      <c r="X592" s="14"/>
      <c r="Y592" s="14"/>
      <c r="Z592" s="14"/>
      <c r="AA592" s="14"/>
      <c r="AB592" s="14"/>
      <c r="AC592" s="14"/>
      <c r="AD592" s="14"/>
      <c r="AE592" s="14"/>
      <c r="AF592" s="14"/>
      <c r="AG592" s="14"/>
      <c r="AH592" s="14"/>
      <c r="AI592" s="20"/>
      <c r="AJ592" s="14"/>
      <c r="AK592" s="14"/>
      <c r="AL592" s="14"/>
      <c r="AM592" s="14"/>
      <c r="AN592" s="14"/>
      <c r="AO592" s="14"/>
      <c r="AP592" s="14"/>
      <c r="AQ592" s="14"/>
      <c r="AR592" s="14"/>
    </row>
    <row r="593" ht="22.5" customHeight="1">
      <c r="A593" s="204"/>
      <c r="B593" s="205"/>
      <c r="C593" s="20"/>
      <c r="D593" s="14"/>
      <c r="E593" s="201"/>
      <c r="F593" s="14"/>
      <c r="G593" s="154"/>
      <c r="H593" s="14"/>
      <c r="I593" s="155"/>
      <c r="J593" s="155"/>
      <c r="K593" s="202"/>
      <c r="L593" s="14" t="str">
        <f t="shared" si="30"/>
        <v>0</v>
      </c>
      <c r="M593" s="14"/>
      <c r="N593" s="14"/>
      <c r="O593" s="14"/>
      <c r="P593" s="14"/>
      <c r="Q593" s="14"/>
      <c r="R593" s="201"/>
      <c r="S593" s="14"/>
      <c r="T593" s="14"/>
      <c r="U593" s="14"/>
      <c r="V593" s="203"/>
      <c r="W593" s="14"/>
      <c r="X593" s="14"/>
      <c r="Y593" s="14"/>
      <c r="Z593" s="14"/>
      <c r="AA593" s="14"/>
      <c r="AB593" s="14"/>
      <c r="AC593" s="14"/>
      <c r="AD593" s="14"/>
      <c r="AE593" s="14"/>
      <c r="AF593" s="14"/>
      <c r="AG593" s="14"/>
      <c r="AH593" s="14"/>
      <c r="AI593" s="20"/>
      <c r="AJ593" s="14"/>
      <c r="AK593" s="14"/>
      <c r="AL593" s="14"/>
      <c r="AM593" s="14"/>
      <c r="AN593" s="14"/>
      <c r="AO593" s="14"/>
      <c r="AP593" s="14"/>
      <c r="AQ593" s="14"/>
      <c r="AR593" s="14"/>
    </row>
    <row r="594" ht="22.5" customHeight="1">
      <c r="A594" s="204"/>
      <c r="B594" s="200"/>
      <c r="C594" s="20"/>
      <c r="D594" s="14"/>
      <c r="E594" s="201"/>
      <c r="F594" s="14"/>
      <c r="G594" s="154"/>
      <c r="H594" s="14"/>
      <c r="I594" s="155"/>
      <c r="J594" s="155"/>
      <c r="K594" s="202"/>
      <c r="L594" s="14" t="str">
        <f t="shared" si="30"/>
        <v>0</v>
      </c>
      <c r="M594" s="14"/>
      <c r="N594" s="14"/>
      <c r="O594" s="14"/>
      <c r="P594" s="14"/>
      <c r="Q594" s="14"/>
      <c r="R594" s="201"/>
      <c r="S594" s="14"/>
      <c r="T594" s="14"/>
      <c r="U594" s="14"/>
      <c r="V594" s="203"/>
      <c r="W594" s="14"/>
      <c r="X594" s="14"/>
      <c r="Y594" s="14"/>
      <c r="Z594" s="14"/>
      <c r="AA594" s="14"/>
      <c r="AB594" s="14"/>
      <c r="AC594" s="14"/>
      <c r="AD594" s="14"/>
      <c r="AE594" s="14"/>
      <c r="AF594" s="14"/>
      <c r="AG594" s="14"/>
      <c r="AH594" s="14"/>
      <c r="AI594" s="20"/>
      <c r="AJ594" s="14"/>
      <c r="AK594" s="14"/>
      <c r="AL594" s="14"/>
      <c r="AM594" s="14"/>
      <c r="AN594" s="14"/>
      <c r="AO594" s="14"/>
      <c r="AP594" s="14"/>
      <c r="AQ594" s="14"/>
      <c r="AR594" s="14"/>
    </row>
    <row r="595" ht="22.5" customHeight="1">
      <c r="A595" s="204"/>
      <c r="B595" s="205"/>
      <c r="C595" s="20"/>
      <c r="D595" s="14"/>
      <c r="E595" s="201"/>
      <c r="F595" s="14"/>
      <c r="G595" s="154"/>
      <c r="H595" s="14"/>
      <c r="I595" s="155"/>
      <c r="J595" s="155"/>
      <c r="K595" s="202"/>
      <c r="L595" s="14" t="str">
        <f t="shared" si="30"/>
        <v>0</v>
      </c>
      <c r="M595" s="14"/>
      <c r="N595" s="14"/>
      <c r="O595" s="14"/>
      <c r="P595" s="14"/>
      <c r="Q595" s="14"/>
      <c r="R595" s="201"/>
      <c r="S595" s="14"/>
      <c r="T595" s="14"/>
      <c r="U595" s="14"/>
      <c r="V595" s="203"/>
      <c r="W595" s="14"/>
      <c r="X595" s="14"/>
      <c r="Y595" s="14"/>
      <c r="Z595" s="14"/>
      <c r="AA595" s="14"/>
      <c r="AB595" s="14"/>
      <c r="AC595" s="14"/>
      <c r="AD595" s="14"/>
      <c r="AE595" s="14"/>
      <c r="AF595" s="14"/>
      <c r="AG595" s="14"/>
      <c r="AH595" s="14"/>
      <c r="AI595" s="20"/>
      <c r="AJ595" s="14"/>
      <c r="AK595" s="14"/>
      <c r="AL595" s="14"/>
      <c r="AM595" s="14"/>
      <c r="AN595" s="14"/>
      <c r="AO595" s="14"/>
      <c r="AP595" s="14"/>
      <c r="AQ595" s="14"/>
      <c r="AR595" s="14"/>
    </row>
    <row r="596" ht="22.5" customHeight="1">
      <c r="A596" s="204"/>
      <c r="B596" s="200"/>
      <c r="C596" s="20"/>
      <c r="D596" s="14"/>
      <c r="E596" s="201"/>
      <c r="F596" s="14"/>
      <c r="G596" s="154"/>
      <c r="H596" s="14"/>
      <c r="I596" s="155"/>
      <c r="J596" s="155"/>
      <c r="K596" s="202"/>
      <c r="L596" s="14" t="str">
        <f t="shared" si="30"/>
        <v>0</v>
      </c>
      <c r="M596" s="14"/>
      <c r="N596" s="14"/>
      <c r="O596" s="14"/>
      <c r="P596" s="14"/>
      <c r="Q596" s="14"/>
      <c r="R596" s="201"/>
      <c r="S596" s="14"/>
      <c r="T596" s="14"/>
      <c r="U596" s="14"/>
      <c r="V596" s="203"/>
      <c r="W596" s="14"/>
      <c r="X596" s="14"/>
      <c r="Y596" s="14"/>
      <c r="Z596" s="14"/>
      <c r="AA596" s="14"/>
      <c r="AB596" s="14"/>
      <c r="AC596" s="14"/>
      <c r="AD596" s="14"/>
      <c r="AE596" s="14"/>
      <c r="AF596" s="14"/>
      <c r="AG596" s="14"/>
      <c r="AH596" s="14"/>
      <c r="AI596" s="20"/>
      <c r="AJ596" s="14"/>
      <c r="AK596" s="14"/>
      <c r="AL596" s="14"/>
      <c r="AM596" s="14"/>
      <c r="AN596" s="14"/>
      <c r="AO596" s="14"/>
      <c r="AP596" s="14"/>
      <c r="AQ596" s="14"/>
      <c r="AR596" s="14"/>
    </row>
    <row r="597" ht="22.5" customHeight="1">
      <c r="A597" s="204"/>
      <c r="B597" s="205"/>
      <c r="C597" s="20"/>
      <c r="D597" s="14"/>
      <c r="E597" s="201"/>
      <c r="F597" s="14"/>
      <c r="G597" s="154"/>
      <c r="H597" s="14"/>
      <c r="I597" s="155"/>
      <c r="J597" s="155"/>
      <c r="K597" s="202"/>
      <c r="L597" s="14" t="str">
        <f t="shared" si="30"/>
        <v>0</v>
      </c>
      <c r="M597" s="14"/>
      <c r="N597" s="14"/>
      <c r="O597" s="14"/>
      <c r="P597" s="14"/>
      <c r="Q597" s="14"/>
      <c r="R597" s="201"/>
      <c r="S597" s="14"/>
      <c r="T597" s="14"/>
      <c r="U597" s="14"/>
      <c r="V597" s="203"/>
      <c r="W597" s="14"/>
      <c r="X597" s="14"/>
      <c r="Y597" s="14"/>
      <c r="Z597" s="14"/>
      <c r="AA597" s="14"/>
      <c r="AB597" s="14"/>
      <c r="AC597" s="14"/>
      <c r="AD597" s="14"/>
      <c r="AE597" s="14"/>
      <c r="AF597" s="14"/>
      <c r="AG597" s="14"/>
      <c r="AH597" s="14"/>
      <c r="AI597" s="20"/>
      <c r="AJ597" s="14"/>
      <c r="AK597" s="14"/>
      <c r="AL597" s="14"/>
      <c r="AM597" s="14"/>
      <c r="AN597" s="14"/>
      <c r="AO597" s="14"/>
      <c r="AP597" s="14"/>
      <c r="AQ597" s="14"/>
      <c r="AR597" s="14"/>
    </row>
    <row r="598" ht="22.5" customHeight="1">
      <c r="A598" s="204"/>
      <c r="B598" s="200"/>
      <c r="C598" s="20"/>
      <c r="D598" s="14"/>
      <c r="E598" s="201"/>
      <c r="F598" s="14"/>
      <c r="G598" s="154"/>
      <c r="H598" s="14"/>
      <c r="I598" s="155"/>
      <c r="J598" s="155"/>
      <c r="K598" s="202"/>
      <c r="L598" s="14" t="str">
        <f t="shared" si="30"/>
        <v>0</v>
      </c>
      <c r="M598" s="14"/>
      <c r="N598" s="14"/>
      <c r="O598" s="14"/>
      <c r="P598" s="14"/>
      <c r="Q598" s="14"/>
      <c r="R598" s="201"/>
      <c r="S598" s="14"/>
      <c r="T598" s="14"/>
      <c r="U598" s="14"/>
      <c r="V598" s="203"/>
      <c r="W598" s="14"/>
      <c r="X598" s="14"/>
      <c r="Y598" s="14"/>
      <c r="Z598" s="14"/>
      <c r="AA598" s="14"/>
      <c r="AB598" s="14"/>
      <c r="AC598" s="14"/>
      <c r="AD598" s="14"/>
      <c r="AE598" s="14"/>
      <c r="AF598" s="14"/>
      <c r="AG598" s="14"/>
      <c r="AH598" s="14"/>
      <c r="AI598" s="20"/>
      <c r="AJ598" s="14"/>
      <c r="AK598" s="14"/>
      <c r="AL598" s="14"/>
      <c r="AM598" s="14"/>
      <c r="AN598" s="14"/>
      <c r="AO598" s="14"/>
      <c r="AP598" s="14"/>
      <c r="AQ598" s="14"/>
      <c r="AR598" s="14"/>
    </row>
    <row r="599" ht="22.5" customHeight="1">
      <c r="A599" s="204"/>
      <c r="B599" s="205"/>
      <c r="C599" s="20"/>
      <c r="D599" s="14"/>
      <c r="E599" s="201"/>
      <c r="F599" s="14"/>
      <c r="G599" s="154"/>
      <c r="H599" s="14"/>
      <c r="I599" s="155"/>
      <c r="J599" s="155"/>
      <c r="K599" s="202"/>
      <c r="L599" s="14" t="str">
        <f t="shared" si="30"/>
        <v>0</v>
      </c>
      <c r="M599" s="14"/>
      <c r="N599" s="14"/>
      <c r="O599" s="14"/>
      <c r="P599" s="14"/>
      <c r="Q599" s="14"/>
      <c r="R599" s="201"/>
      <c r="S599" s="14"/>
      <c r="T599" s="14"/>
      <c r="U599" s="14"/>
      <c r="V599" s="203"/>
      <c r="W599" s="14"/>
      <c r="X599" s="14"/>
      <c r="Y599" s="14"/>
      <c r="Z599" s="14"/>
      <c r="AA599" s="14"/>
      <c r="AB599" s="14"/>
      <c r="AC599" s="14"/>
      <c r="AD599" s="14"/>
      <c r="AE599" s="14"/>
      <c r="AF599" s="14"/>
      <c r="AG599" s="14"/>
      <c r="AH599" s="14"/>
      <c r="AI599" s="20"/>
      <c r="AJ599" s="14"/>
      <c r="AK599" s="14"/>
      <c r="AL599" s="14"/>
      <c r="AM599" s="14"/>
      <c r="AN599" s="14"/>
      <c r="AO599" s="14"/>
      <c r="AP599" s="14"/>
      <c r="AQ599" s="14"/>
      <c r="AR599" s="14"/>
    </row>
    <row r="600" ht="22.5" customHeight="1">
      <c r="A600" s="204"/>
      <c r="B600" s="200"/>
      <c r="C600" s="20"/>
      <c r="D600" s="14"/>
      <c r="E600" s="201"/>
      <c r="F600" s="14"/>
      <c r="G600" s="154"/>
      <c r="H600" s="14"/>
      <c r="I600" s="155"/>
      <c r="J600" s="155"/>
      <c r="K600" s="202"/>
      <c r="L600" s="14" t="str">
        <f t="shared" si="30"/>
        <v>0</v>
      </c>
      <c r="M600" s="14"/>
      <c r="N600" s="14"/>
      <c r="O600" s="14"/>
      <c r="P600" s="14"/>
      <c r="Q600" s="14"/>
      <c r="R600" s="201"/>
      <c r="S600" s="14"/>
      <c r="T600" s="14"/>
      <c r="U600" s="14"/>
      <c r="V600" s="203"/>
      <c r="W600" s="14"/>
      <c r="X600" s="14"/>
      <c r="Y600" s="14"/>
      <c r="Z600" s="14"/>
      <c r="AA600" s="14"/>
      <c r="AB600" s="14"/>
      <c r="AC600" s="14"/>
      <c r="AD600" s="14"/>
      <c r="AE600" s="14"/>
      <c r="AF600" s="14"/>
      <c r="AG600" s="14"/>
      <c r="AH600" s="14"/>
      <c r="AI600" s="20"/>
      <c r="AJ600" s="14"/>
      <c r="AK600" s="14"/>
      <c r="AL600" s="14"/>
      <c r="AM600" s="14"/>
      <c r="AN600" s="14"/>
      <c r="AO600" s="14"/>
      <c r="AP600" s="14"/>
      <c r="AQ600" s="14"/>
      <c r="AR600" s="14"/>
    </row>
    <row r="601" ht="22.5" customHeight="1">
      <c r="A601" s="204"/>
      <c r="B601" s="205"/>
      <c r="C601" s="20"/>
      <c r="D601" s="14"/>
      <c r="E601" s="201"/>
      <c r="F601" s="14"/>
      <c r="G601" s="154"/>
      <c r="H601" s="14"/>
      <c r="I601" s="155"/>
      <c r="J601" s="155"/>
      <c r="K601" s="202"/>
      <c r="L601" s="14" t="str">
        <f t="shared" si="30"/>
        <v>0</v>
      </c>
      <c r="M601" s="14"/>
      <c r="N601" s="14"/>
      <c r="O601" s="14"/>
      <c r="P601" s="14"/>
      <c r="Q601" s="14"/>
      <c r="R601" s="201"/>
      <c r="S601" s="14"/>
      <c r="T601" s="14"/>
      <c r="U601" s="14"/>
      <c r="V601" s="203"/>
      <c r="W601" s="14"/>
      <c r="X601" s="14"/>
      <c r="Y601" s="14"/>
      <c r="Z601" s="14"/>
      <c r="AA601" s="14"/>
      <c r="AB601" s="14"/>
      <c r="AC601" s="14"/>
      <c r="AD601" s="14"/>
      <c r="AE601" s="14"/>
      <c r="AF601" s="14"/>
      <c r="AG601" s="14"/>
      <c r="AH601" s="14"/>
      <c r="AI601" s="20"/>
      <c r="AJ601" s="14"/>
      <c r="AK601" s="14"/>
      <c r="AL601" s="14"/>
      <c r="AM601" s="14"/>
      <c r="AN601" s="14"/>
      <c r="AO601" s="14"/>
      <c r="AP601" s="14"/>
      <c r="AQ601" s="14"/>
      <c r="AR601" s="14"/>
    </row>
    <row r="602" ht="22.5" customHeight="1">
      <c r="A602" s="204"/>
      <c r="B602" s="200"/>
      <c r="C602" s="20"/>
      <c r="D602" s="14"/>
      <c r="E602" s="201"/>
      <c r="F602" s="14"/>
      <c r="G602" s="154"/>
      <c r="H602" s="14"/>
      <c r="I602" s="155"/>
      <c r="J602" s="155"/>
      <c r="K602" s="202"/>
      <c r="L602" s="14" t="str">
        <f t="shared" si="30"/>
        <v>0</v>
      </c>
      <c r="M602" s="14"/>
      <c r="N602" s="14"/>
      <c r="O602" s="14"/>
      <c r="P602" s="14"/>
      <c r="Q602" s="14"/>
      <c r="R602" s="201"/>
      <c r="S602" s="14"/>
      <c r="T602" s="14"/>
      <c r="U602" s="14"/>
      <c r="V602" s="203"/>
      <c r="W602" s="14"/>
      <c r="X602" s="14"/>
      <c r="Y602" s="14"/>
      <c r="Z602" s="14"/>
      <c r="AA602" s="14"/>
      <c r="AB602" s="14"/>
      <c r="AC602" s="14"/>
      <c r="AD602" s="14"/>
      <c r="AE602" s="14"/>
      <c r="AF602" s="14"/>
      <c r="AG602" s="14"/>
      <c r="AH602" s="14"/>
      <c r="AI602" s="20"/>
      <c r="AJ602" s="14"/>
      <c r="AK602" s="14"/>
      <c r="AL602" s="14"/>
      <c r="AM602" s="14"/>
      <c r="AN602" s="14"/>
      <c r="AO602" s="14"/>
      <c r="AP602" s="14"/>
      <c r="AQ602" s="14"/>
      <c r="AR602" s="14"/>
    </row>
    <row r="603" ht="22.5" customHeight="1">
      <c r="A603" s="204"/>
      <c r="B603" s="205"/>
      <c r="C603" s="20"/>
      <c r="D603" s="14"/>
      <c r="E603" s="201"/>
      <c r="F603" s="14"/>
      <c r="G603" s="154"/>
      <c r="H603" s="14"/>
      <c r="I603" s="155"/>
      <c r="J603" s="155"/>
      <c r="K603" s="202"/>
      <c r="L603" s="14" t="str">
        <f t="shared" si="30"/>
        <v>0</v>
      </c>
      <c r="M603" s="14"/>
      <c r="N603" s="14"/>
      <c r="O603" s="14"/>
      <c r="P603" s="14"/>
      <c r="Q603" s="14"/>
      <c r="R603" s="201"/>
      <c r="S603" s="14"/>
      <c r="T603" s="14"/>
      <c r="U603" s="14"/>
      <c r="V603" s="203"/>
      <c r="W603" s="14"/>
      <c r="X603" s="14"/>
      <c r="Y603" s="14"/>
      <c r="Z603" s="14"/>
      <c r="AA603" s="14"/>
      <c r="AB603" s="14"/>
      <c r="AC603" s="14"/>
      <c r="AD603" s="14"/>
      <c r="AE603" s="14"/>
      <c r="AF603" s="14"/>
      <c r="AG603" s="14"/>
      <c r="AH603" s="14"/>
      <c r="AI603" s="20"/>
      <c r="AJ603" s="14"/>
      <c r="AK603" s="14"/>
      <c r="AL603" s="14"/>
      <c r="AM603" s="14"/>
      <c r="AN603" s="14"/>
      <c r="AO603" s="14"/>
      <c r="AP603" s="14"/>
      <c r="AQ603" s="14"/>
      <c r="AR603" s="14"/>
    </row>
    <row r="604" ht="22.5" customHeight="1">
      <c r="A604" s="204"/>
      <c r="B604" s="200"/>
      <c r="C604" s="20"/>
      <c r="D604" s="14"/>
      <c r="E604" s="201"/>
      <c r="F604" s="14"/>
      <c r="G604" s="154"/>
      <c r="H604" s="14"/>
      <c r="I604" s="155"/>
      <c r="J604" s="155"/>
      <c r="K604" s="202"/>
      <c r="L604" s="14" t="str">
        <f t="shared" si="30"/>
        <v>0</v>
      </c>
      <c r="M604" s="14"/>
      <c r="N604" s="14"/>
      <c r="O604" s="14"/>
      <c r="P604" s="14"/>
      <c r="Q604" s="14"/>
      <c r="R604" s="201"/>
      <c r="S604" s="14"/>
      <c r="T604" s="14"/>
      <c r="U604" s="14"/>
      <c r="V604" s="203"/>
      <c r="W604" s="14"/>
      <c r="X604" s="14"/>
      <c r="Y604" s="14"/>
      <c r="Z604" s="14"/>
      <c r="AA604" s="14"/>
      <c r="AB604" s="14"/>
      <c r="AC604" s="14"/>
      <c r="AD604" s="14"/>
      <c r="AE604" s="14"/>
      <c r="AF604" s="14"/>
      <c r="AG604" s="14"/>
      <c r="AH604" s="14"/>
      <c r="AI604" s="20"/>
      <c r="AJ604" s="14"/>
      <c r="AK604" s="14"/>
      <c r="AL604" s="14"/>
      <c r="AM604" s="14"/>
      <c r="AN604" s="14"/>
      <c r="AO604" s="14"/>
      <c r="AP604" s="14"/>
      <c r="AQ604" s="14"/>
      <c r="AR604" s="14"/>
    </row>
    <row r="605" ht="22.5" customHeight="1">
      <c r="A605" s="204"/>
      <c r="B605" s="205"/>
      <c r="C605" s="20"/>
      <c r="D605" s="14"/>
      <c r="E605" s="201"/>
      <c r="F605" s="14"/>
      <c r="G605" s="154"/>
      <c r="H605" s="14"/>
      <c r="I605" s="155"/>
      <c r="J605" s="155"/>
      <c r="K605" s="202"/>
      <c r="L605" s="14" t="str">
        <f t="shared" si="30"/>
        <v>0</v>
      </c>
      <c r="M605" s="14"/>
      <c r="N605" s="14"/>
      <c r="O605" s="14"/>
      <c r="P605" s="14"/>
      <c r="Q605" s="14"/>
      <c r="R605" s="201"/>
      <c r="S605" s="14"/>
      <c r="T605" s="14"/>
      <c r="U605" s="14"/>
      <c r="V605" s="203"/>
      <c r="W605" s="14"/>
      <c r="X605" s="14"/>
      <c r="Y605" s="14"/>
      <c r="Z605" s="14"/>
      <c r="AA605" s="14"/>
      <c r="AB605" s="14"/>
      <c r="AC605" s="14"/>
      <c r="AD605" s="14"/>
      <c r="AE605" s="14"/>
      <c r="AF605" s="14"/>
      <c r="AG605" s="14"/>
      <c r="AH605" s="14"/>
      <c r="AI605" s="20"/>
      <c r="AJ605" s="14"/>
      <c r="AK605" s="14"/>
      <c r="AL605" s="14"/>
      <c r="AM605" s="14"/>
      <c r="AN605" s="14"/>
      <c r="AO605" s="14"/>
      <c r="AP605" s="14"/>
      <c r="AQ605" s="14"/>
      <c r="AR605" s="14"/>
    </row>
    <row r="606" ht="22.5" customHeight="1">
      <c r="A606" s="204"/>
      <c r="B606" s="200"/>
      <c r="C606" s="20"/>
      <c r="D606" s="14"/>
      <c r="E606" s="201"/>
      <c r="F606" s="14"/>
      <c r="G606" s="154"/>
      <c r="H606" s="14"/>
      <c r="I606" s="155"/>
      <c r="J606" s="155"/>
      <c r="K606" s="202"/>
      <c r="L606" s="14" t="str">
        <f t="shared" si="30"/>
        <v>0</v>
      </c>
      <c r="M606" s="14"/>
      <c r="N606" s="14"/>
      <c r="O606" s="14"/>
      <c r="P606" s="14"/>
      <c r="Q606" s="14"/>
      <c r="R606" s="201"/>
      <c r="S606" s="14"/>
      <c r="T606" s="14"/>
      <c r="U606" s="14"/>
      <c r="V606" s="203"/>
      <c r="W606" s="14"/>
      <c r="X606" s="14"/>
      <c r="Y606" s="14"/>
      <c r="Z606" s="14"/>
      <c r="AA606" s="14"/>
      <c r="AB606" s="14"/>
      <c r="AC606" s="14"/>
      <c r="AD606" s="14"/>
      <c r="AE606" s="14"/>
      <c r="AF606" s="14"/>
      <c r="AG606" s="14"/>
      <c r="AH606" s="14"/>
      <c r="AI606" s="20"/>
      <c r="AJ606" s="14"/>
      <c r="AK606" s="14"/>
      <c r="AL606" s="14"/>
      <c r="AM606" s="14"/>
      <c r="AN606" s="14"/>
      <c r="AO606" s="14"/>
      <c r="AP606" s="14"/>
      <c r="AQ606" s="14"/>
      <c r="AR606" s="14"/>
    </row>
    <row r="607" ht="22.5" customHeight="1">
      <c r="A607" s="204"/>
      <c r="B607" s="205"/>
      <c r="C607" s="20"/>
      <c r="D607" s="14"/>
      <c r="E607" s="201"/>
      <c r="F607" s="14"/>
      <c r="G607" s="154"/>
      <c r="H607" s="14"/>
      <c r="I607" s="155"/>
      <c r="J607" s="155"/>
      <c r="K607" s="202"/>
      <c r="L607" s="14" t="str">
        <f t="shared" si="30"/>
        <v>0</v>
      </c>
      <c r="M607" s="14"/>
      <c r="N607" s="14"/>
      <c r="O607" s="14"/>
      <c r="P607" s="14"/>
      <c r="Q607" s="14"/>
      <c r="R607" s="201"/>
      <c r="S607" s="14"/>
      <c r="T607" s="14"/>
      <c r="U607" s="14"/>
      <c r="V607" s="203"/>
      <c r="W607" s="14"/>
      <c r="X607" s="14"/>
      <c r="Y607" s="14"/>
      <c r="Z607" s="14"/>
      <c r="AA607" s="14"/>
      <c r="AB607" s="14"/>
      <c r="AC607" s="14"/>
      <c r="AD607" s="14"/>
      <c r="AE607" s="14"/>
      <c r="AF607" s="14"/>
      <c r="AG607" s="14"/>
      <c r="AH607" s="14"/>
      <c r="AI607" s="20"/>
      <c r="AJ607" s="14"/>
      <c r="AK607" s="14"/>
      <c r="AL607" s="14"/>
      <c r="AM607" s="14"/>
      <c r="AN607" s="14"/>
      <c r="AO607" s="14"/>
      <c r="AP607" s="14"/>
      <c r="AQ607" s="14"/>
      <c r="AR607" s="14"/>
    </row>
    <row r="608" ht="22.5" customHeight="1">
      <c r="A608" s="204"/>
      <c r="B608" s="200"/>
      <c r="C608" s="20"/>
      <c r="D608" s="14"/>
      <c r="E608" s="201"/>
      <c r="F608" s="14"/>
      <c r="G608" s="154"/>
      <c r="H608" s="14"/>
      <c r="I608" s="155"/>
      <c r="J608" s="155"/>
      <c r="K608" s="202"/>
      <c r="L608" s="14" t="str">
        <f t="shared" si="30"/>
        <v>0</v>
      </c>
      <c r="M608" s="14"/>
      <c r="N608" s="14"/>
      <c r="O608" s="14"/>
      <c r="P608" s="14"/>
      <c r="Q608" s="14"/>
      <c r="R608" s="201"/>
      <c r="S608" s="14"/>
      <c r="T608" s="14"/>
      <c r="U608" s="14"/>
      <c r="V608" s="203"/>
      <c r="W608" s="14"/>
      <c r="X608" s="14"/>
      <c r="Y608" s="14"/>
      <c r="Z608" s="14"/>
      <c r="AA608" s="14"/>
      <c r="AB608" s="14"/>
      <c r="AC608" s="14"/>
      <c r="AD608" s="14"/>
      <c r="AE608" s="14"/>
      <c r="AF608" s="14"/>
      <c r="AG608" s="14"/>
      <c r="AH608" s="14"/>
      <c r="AI608" s="20"/>
      <c r="AJ608" s="14"/>
      <c r="AK608" s="14"/>
      <c r="AL608" s="14"/>
      <c r="AM608" s="14"/>
      <c r="AN608" s="14"/>
      <c r="AO608" s="14"/>
      <c r="AP608" s="14"/>
      <c r="AQ608" s="14"/>
      <c r="AR608" s="14"/>
    </row>
    <row r="609" ht="22.5" customHeight="1">
      <c r="A609" s="204"/>
      <c r="B609" s="205"/>
      <c r="C609" s="20"/>
      <c r="D609" s="14"/>
      <c r="E609" s="201"/>
      <c r="F609" s="14"/>
      <c r="G609" s="154"/>
      <c r="H609" s="14"/>
      <c r="I609" s="155"/>
      <c r="J609" s="155"/>
      <c r="K609" s="202"/>
      <c r="L609" s="14" t="str">
        <f t="shared" si="30"/>
        <v>0</v>
      </c>
      <c r="M609" s="14"/>
      <c r="N609" s="14"/>
      <c r="O609" s="14"/>
      <c r="P609" s="14"/>
      <c r="Q609" s="14"/>
      <c r="R609" s="201"/>
      <c r="S609" s="14"/>
      <c r="T609" s="14"/>
      <c r="U609" s="14"/>
      <c r="V609" s="203"/>
      <c r="W609" s="14"/>
      <c r="X609" s="14"/>
      <c r="Y609" s="14"/>
      <c r="Z609" s="14"/>
      <c r="AA609" s="14"/>
      <c r="AB609" s="14"/>
      <c r="AC609" s="14"/>
      <c r="AD609" s="14"/>
      <c r="AE609" s="14"/>
      <c r="AF609" s="14"/>
      <c r="AG609" s="14"/>
      <c r="AH609" s="14"/>
      <c r="AI609" s="20"/>
      <c r="AJ609" s="14"/>
      <c r="AK609" s="14"/>
      <c r="AL609" s="14"/>
      <c r="AM609" s="14"/>
      <c r="AN609" s="14"/>
      <c r="AO609" s="14"/>
      <c r="AP609" s="14"/>
      <c r="AQ609" s="14"/>
      <c r="AR609" s="14"/>
    </row>
    <row r="610" ht="22.5" customHeight="1">
      <c r="A610" s="204"/>
      <c r="B610" s="200"/>
      <c r="C610" s="20"/>
      <c r="D610" s="14"/>
      <c r="E610" s="201"/>
      <c r="F610" s="14"/>
      <c r="G610" s="154"/>
      <c r="H610" s="14"/>
      <c r="I610" s="155"/>
      <c r="J610" s="155"/>
      <c r="K610" s="202"/>
      <c r="L610" s="14" t="str">
        <f t="shared" si="30"/>
        <v>0</v>
      </c>
      <c r="M610" s="14"/>
      <c r="N610" s="14"/>
      <c r="O610" s="14"/>
      <c r="P610" s="14"/>
      <c r="Q610" s="14"/>
      <c r="R610" s="201"/>
      <c r="S610" s="14"/>
      <c r="T610" s="14"/>
      <c r="U610" s="14"/>
      <c r="V610" s="203"/>
      <c r="W610" s="14"/>
      <c r="X610" s="14"/>
      <c r="Y610" s="14"/>
      <c r="Z610" s="14"/>
      <c r="AA610" s="14"/>
      <c r="AB610" s="14"/>
      <c r="AC610" s="14"/>
      <c r="AD610" s="14"/>
      <c r="AE610" s="14"/>
      <c r="AF610" s="14"/>
      <c r="AG610" s="14"/>
      <c r="AH610" s="14"/>
      <c r="AI610" s="20"/>
      <c r="AJ610" s="14"/>
      <c r="AK610" s="14"/>
      <c r="AL610" s="14"/>
      <c r="AM610" s="14"/>
      <c r="AN610" s="14"/>
      <c r="AO610" s="14"/>
      <c r="AP610" s="14"/>
      <c r="AQ610" s="14"/>
      <c r="AR610" s="14"/>
    </row>
    <row r="611" ht="22.5" customHeight="1">
      <c r="A611" s="204"/>
      <c r="B611" s="205"/>
      <c r="C611" s="20"/>
      <c r="D611" s="14"/>
      <c r="E611" s="201"/>
      <c r="F611" s="14"/>
      <c r="G611" s="154"/>
      <c r="H611" s="14"/>
      <c r="I611" s="155"/>
      <c r="J611" s="155"/>
      <c r="K611" s="202"/>
      <c r="L611" s="14" t="str">
        <f t="shared" si="30"/>
        <v>0</v>
      </c>
      <c r="M611" s="14"/>
      <c r="N611" s="14"/>
      <c r="O611" s="14"/>
      <c r="P611" s="14"/>
      <c r="Q611" s="14"/>
      <c r="R611" s="201"/>
      <c r="S611" s="14"/>
      <c r="T611" s="14"/>
      <c r="U611" s="14"/>
      <c r="V611" s="203"/>
      <c r="W611" s="14"/>
      <c r="X611" s="14"/>
      <c r="Y611" s="14"/>
      <c r="Z611" s="14"/>
      <c r="AA611" s="14"/>
      <c r="AB611" s="14"/>
      <c r="AC611" s="14"/>
      <c r="AD611" s="14"/>
      <c r="AE611" s="14"/>
      <c r="AF611" s="14"/>
      <c r="AG611" s="14"/>
      <c r="AH611" s="14"/>
      <c r="AI611" s="20"/>
      <c r="AJ611" s="14"/>
      <c r="AK611" s="14"/>
      <c r="AL611" s="14"/>
      <c r="AM611" s="14"/>
      <c r="AN611" s="14"/>
      <c r="AO611" s="14"/>
      <c r="AP611" s="14"/>
      <c r="AQ611" s="14"/>
      <c r="AR611" s="14"/>
    </row>
    <row r="612" ht="22.5" customHeight="1">
      <c r="A612" s="204"/>
      <c r="B612" s="200"/>
      <c r="C612" s="20"/>
      <c r="D612" s="14"/>
      <c r="E612" s="201"/>
      <c r="F612" s="14"/>
      <c r="G612" s="154"/>
      <c r="H612" s="14"/>
      <c r="I612" s="155"/>
      <c r="J612" s="155"/>
      <c r="K612" s="202"/>
      <c r="L612" s="14" t="str">
        <f t="shared" si="30"/>
        <v>0</v>
      </c>
      <c r="M612" s="14"/>
      <c r="N612" s="14"/>
      <c r="O612" s="14"/>
      <c r="P612" s="14"/>
      <c r="Q612" s="14"/>
      <c r="R612" s="201"/>
      <c r="S612" s="14"/>
      <c r="T612" s="14"/>
      <c r="U612" s="14"/>
      <c r="V612" s="203"/>
      <c r="W612" s="14"/>
      <c r="X612" s="14"/>
      <c r="Y612" s="14"/>
      <c r="Z612" s="14"/>
      <c r="AA612" s="14"/>
      <c r="AB612" s="14"/>
      <c r="AC612" s="14"/>
      <c r="AD612" s="14"/>
      <c r="AE612" s="14"/>
      <c r="AF612" s="14"/>
      <c r="AG612" s="14"/>
      <c r="AH612" s="14"/>
      <c r="AI612" s="20"/>
      <c r="AJ612" s="14"/>
      <c r="AK612" s="14"/>
      <c r="AL612" s="14"/>
      <c r="AM612" s="14"/>
      <c r="AN612" s="14"/>
      <c r="AO612" s="14"/>
      <c r="AP612" s="14"/>
      <c r="AQ612" s="14"/>
      <c r="AR612" s="14"/>
    </row>
    <row r="613" ht="22.5" customHeight="1">
      <c r="A613" s="204"/>
      <c r="B613" s="205"/>
      <c r="C613" s="20"/>
      <c r="D613" s="14"/>
      <c r="E613" s="201"/>
      <c r="F613" s="14"/>
      <c r="G613" s="154"/>
      <c r="H613" s="14"/>
      <c r="I613" s="155"/>
      <c r="J613" s="155"/>
      <c r="K613" s="202"/>
      <c r="L613" s="14" t="str">
        <f t="shared" si="30"/>
        <v>0</v>
      </c>
      <c r="M613" s="14"/>
      <c r="N613" s="14"/>
      <c r="O613" s="14"/>
      <c r="P613" s="14"/>
      <c r="Q613" s="14"/>
      <c r="R613" s="201"/>
      <c r="S613" s="14"/>
      <c r="T613" s="14"/>
      <c r="U613" s="14"/>
      <c r="V613" s="203"/>
      <c r="W613" s="14"/>
      <c r="X613" s="14"/>
      <c r="Y613" s="14"/>
      <c r="Z613" s="14"/>
      <c r="AA613" s="14"/>
      <c r="AB613" s="14"/>
      <c r="AC613" s="14"/>
      <c r="AD613" s="14"/>
      <c r="AE613" s="14"/>
      <c r="AF613" s="14"/>
      <c r="AG613" s="14"/>
      <c r="AH613" s="14"/>
      <c r="AI613" s="20"/>
      <c r="AJ613" s="14"/>
      <c r="AK613" s="14"/>
      <c r="AL613" s="14"/>
      <c r="AM613" s="14"/>
      <c r="AN613" s="14"/>
      <c r="AO613" s="14"/>
      <c r="AP613" s="14"/>
      <c r="AQ613" s="14"/>
      <c r="AR613" s="14"/>
    </row>
    <row r="614" ht="22.5" customHeight="1">
      <c r="A614" s="204"/>
      <c r="B614" s="200"/>
      <c r="C614" s="20"/>
      <c r="D614" s="14"/>
      <c r="E614" s="201"/>
      <c r="F614" s="14"/>
      <c r="G614" s="154"/>
      <c r="H614" s="14"/>
      <c r="I614" s="155"/>
      <c r="J614" s="155"/>
      <c r="K614" s="202"/>
      <c r="L614" s="14" t="str">
        <f t="shared" si="30"/>
        <v>0</v>
      </c>
      <c r="M614" s="14"/>
      <c r="N614" s="14"/>
      <c r="O614" s="14"/>
      <c r="P614" s="14"/>
      <c r="Q614" s="14"/>
      <c r="R614" s="201"/>
      <c r="S614" s="14"/>
      <c r="T614" s="14"/>
      <c r="U614" s="14"/>
      <c r="V614" s="203"/>
      <c r="W614" s="14"/>
      <c r="X614" s="14"/>
      <c r="Y614" s="14"/>
      <c r="Z614" s="14"/>
      <c r="AA614" s="14"/>
      <c r="AB614" s="14"/>
      <c r="AC614" s="14"/>
      <c r="AD614" s="14"/>
      <c r="AE614" s="14"/>
      <c r="AF614" s="14"/>
      <c r="AG614" s="14"/>
      <c r="AH614" s="14"/>
      <c r="AI614" s="20"/>
      <c r="AJ614" s="14"/>
      <c r="AK614" s="14"/>
      <c r="AL614" s="14"/>
      <c r="AM614" s="14"/>
      <c r="AN614" s="14"/>
      <c r="AO614" s="14"/>
      <c r="AP614" s="14"/>
      <c r="AQ614" s="14"/>
      <c r="AR614" s="14"/>
    </row>
    <row r="615" ht="22.5" customHeight="1">
      <c r="A615" s="204"/>
      <c r="B615" s="205"/>
      <c r="C615" s="20"/>
      <c r="D615" s="14"/>
      <c r="E615" s="201"/>
      <c r="F615" s="14"/>
      <c r="G615" s="154"/>
      <c r="H615" s="14"/>
      <c r="I615" s="155"/>
      <c r="J615" s="155"/>
      <c r="K615" s="202"/>
      <c r="L615" s="14" t="str">
        <f t="shared" si="30"/>
        <v>0</v>
      </c>
      <c r="M615" s="14"/>
      <c r="N615" s="14"/>
      <c r="O615" s="14"/>
      <c r="P615" s="14"/>
      <c r="Q615" s="14"/>
      <c r="R615" s="201"/>
      <c r="S615" s="14"/>
      <c r="T615" s="14"/>
      <c r="U615" s="14"/>
      <c r="V615" s="203"/>
      <c r="W615" s="14"/>
      <c r="X615" s="14"/>
      <c r="Y615" s="14"/>
      <c r="Z615" s="14"/>
      <c r="AA615" s="14"/>
      <c r="AB615" s="14"/>
      <c r="AC615" s="14"/>
      <c r="AD615" s="14"/>
      <c r="AE615" s="14"/>
      <c r="AF615" s="14"/>
      <c r="AG615" s="14"/>
      <c r="AH615" s="14"/>
      <c r="AI615" s="20"/>
      <c r="AJ615" s="14"/>
      <c r="AK615" s="14"/>
      <c r="AL615" s="14"/>
      <c r="AM615" s="14"/>
      <c r="AN615" s="14"/>
      <c r="AO615" s="14"/>
      <c r="AP615" s="14"/>
      <c r="AQ615" s="14"/>
      <c r="AR615" s="14"/>
    </row>
    <row r="616" ht="22.5" customHeight="1">
      <c r="A616" s="204"/>
      <c r="B616" s="200"/>
      <c r="C616" s="20"/>
      <c r="D616" s="14"/>
      <c r="E616" s="201"/>
      <c r="F616" s="14"/>
      <c r="G616" s="154"/>
      <c r="H616" s="14"/>
      <c r="I616" s="155"/>
      <c r="J616" s="155"/>
      <c r="K616" s="202"/>
      <c r="L616" s="14" t="str">
        <f t="shared" si="30"/>
        <v>0</v>
      </c>
      <c r="M616" s="14"/>
      <c r="N616" s="14"/>
      <c r="O616" s="14"/>
      <c r="P616" s="14"/>
      <c r="Q616" s="14"/>
      <c r="R616" s="201"/>
      <c r="S616" s="14"/>
      <c r="T616" s="14"/>
      <c r="U616" s="14"/>
      <c r="V616" s="203"/>
      <c r="W616" s="14"/>
      <c r="X616" s="14"/>
      <c r="Y616" s="14"/>
      <c r="Z616" s="14"/>
      <c r="AA616" s="14"/>
      <c r="AB616" s="14"/>
      <c r="AC616" s="14"/>
      <c r="AD616" s="14"/>
      <c r="AE616" s="14"/>
      <c r="AF616" s="14"/>
      <c r="AG616" s="14"/>
      <c r="AH616" s="14"/>
      <c r="AI616" s="20"/>
      <c r="AJ616" s="14"/>
      <c r="AK616" s="14"/>
      <c r="AL616" s="14"/>
      <c r="AM616" s="14"/>
      <c r="AN616" s="14"/>
      <c r="AO616" s="14"/>
      <c r="AP616" s="14"/>
      <c r="AQ616" s="14"/>
      <c r="AR616" s="14"/>
    </row>
    <row r="617" ht="22.5" customHeight="1">
      <c r="A617" s="204"/>
      <c r="B617" s="205"/>
      <c r="C617" s="20"/>
      <c r="D617" s="14"/>
      <c r="E617" s="201"/>
      <c r="F617" s="14"/>
      <c r="G617" s="154"/>
      <c r="H617" s="14"/>
      <c r="I617" s="155"/>
      <c r="J617" s="155"/>
      <c r="K617" s="202"/>
      <c r="L617" s="14" t="str">
        <f t="shared" si="30"/>
        <v>0</v>
      </c>
      <c r="M617" s="14"/>
      <c r="N617" s="14"/>
      <c r="O617" s="14"/>
      <c r="P617" s="14"/>
      <c r="Q617" s="14"/>
      <c r="R617" s="201"/>
      <c r="S617" s="14"/>
      <c r="T617" s="14"/>
      <c r="U617" s="14"/>
      <c r="V617" s="203"/>
      <c r="W617" s="14"/>
      <c r="X617" s="14"/>
      <c r="Y617" s="14"/>
      <c r="Z617" s="14"/>
      <c r="AA617" s="14"/>
      <c r="AB617" s="14"/>
      <c r="AC617" s="14"/>
      <c r="AD617" s="14"/>
      <c r="AE617" s="14"/>
      <c r="AF617" s="14"/>
      <c r="AG617" s="14"/>
      <c r="AH617" s="14"/>
      <c r="AI617" s="20"/>
      <c r="AJ617" s="14"/>
      <c r="AK617" s="14"/>
      <c r="AL617" s="14"/>
      <c r="AM617" s="14"/>
      <c r="AN617" s="14"/>
      <c r="AO617" s="14"/>
      <c r="AP617" s="14"/>
      <c r="AQ617" s="14"/>
      <c r="AR617" s="14"/>
    </row>
    <row r="618" ht="22.5" customHeight="1">
      <c r="A618" s="204"/>
      <c r="B618" s="200"/>
      <c r="C618" s="20"/>
      <c r="D618" s="14"/>
      <c r="E618" s="201"/>
      <c r="F618" s="14"/>
      <c r="G618" s="154"/>
      <c r="H618" s="14"/>
      <c r="I618" s="155"/>
      <c r="J618" s="155"/>
      <c r="K618" s="202"/>
      <c r="L618" s="14" t="str">
        <f t="shared" si="30"/>
        <v>0</v>
      </c>
      <c r="M618" s="14"/>
      <c r="N618" s="14"/>
      <c r="O618" s="14"/>
      <c r="P618" s="14"/>
      <c r="Q618" s="14"/>
      <c r="R618" s="201"/>
      <c r="S618" s="14"/>
      <c r="T618" s="14"/>
      <c r="U618" s="14"/>
      <c r="V618" s="203"/>
      <c r="W618" s="14"/>
      <c r="X618" s="14"/>
      <c r="Y618" s="14"/>
      <c r="Z618" s="14"/>
      <c r="AA618" s="14"/>
      <c r="AB618" s="14"/>
      <c r="AC618" s="14"/>
      <c r="AD618" s="14"/>
      <c r="AE618" s="14"/>
      <c r="AF618" s="14"/>
      <c r="AG618" s="14"/>
      <c r="AH618" s="14"/>
      <c r="AI618" s="20"/>
      <c r="AJ618" s="14"/>
      <c r="AK618" s="14"/>
      <c r="AL618" s="14"/>
      <c r="AM618" s="14"/>
      <c r="AN618" s="14"/>
      <c r="AO618" s="14"/>
      <c r="AP618" s="14"/>
      <c r="AQ618" s="14"/>
      <c r="AR618" s="14"/>
    </row>
    <row r="619" ht="22.5" customHeight="1">
      <c r="A619" s="204"/>
      <c r="B619" s="205"/>
      <c r="C619" s="20"/>
      <c r="D619" s="14"/>
      <c r="E619" s="201"/>
      <c r="F619" s="14"/>
      <c r="G619" s="154"/>
      <c r="H619" s="14"/>
      <c r="I619" s="155"/>
      <c r="J619" s="155"/>
      <c r="K619" s="202"/>
      <c r="L619" s="14" t="str">
        <f t="shared" si="30"/>
        <v>0</v>
      </c>
      <c r="M619" s="14"/>
      <c r="N619" s="14"/>
      <c r="O619" s="14"/>
      <c r="P619" s="14"/>
      <c r="Q619" s="14"/>
      <c r="R619" s="201"/>
      <c r="S619" s="14"/>
      <c r="T619" s="14"/>
      <c r="U619" s="14"/>
      <c r="V619" s="203"/>
      <c r="W619" s="14"/>
      <c r="X619" s="14"/>
      <c r="Y619" s="14"/>
      <c r="Z619" s="14"/>
      <c r="AA619" s="14"/>
      <c r="AB619" s="14"/>
      <c r="AC619" s="14"/>
      <c r="AD619" s="14"/>
      <c r="AE619" s="14"/>
      <c r="AF619" s="14"/>
      <c r="AG619" s="14"/>
      <c r="AH619" s="14"/>
      <c r="AI619" s="20"/>
      <c r="AJ619" s="14"/>
      <c r="AK619" s="14"/>
      <c r="AL619" s="14"/>
      <c r="AM619" s="14"/>
      <c r="AN619" s="14"/>
      <c r="AO619" s="14"/>
      <c r="AP619" s="14"/>
      <c r="AQ619" s="14"/>
      <c r="AR619" s="14"/>
    </row>
    <row r="620" ht="22.5" customHeight="1">
      <c r="A620" s="204"/>
      <c r="B620" s="200"/>
      <c r="C620" s="20"/>
      <c r="D620" s="14"/>
      <c r="E620" s="201"/>
      <c r="F620" s="14"/>
      <c r="G620" s="154"/>
      <c r="H620" s="14"/>
      <c r="I620" s="155"/>
      <c r="J620" s="155"/>
      <c r="K620" s="202"/>
      <c r="L620" s="14" t="str">
        <f t="shared" si="30"/>
        <v>0</v>
      </c>
      <c r="M620" s="14"/>
      <c r="N620" s="14"/>
      <c r="O620" s="14"/>
      <c r="P620" s="14"/>
      <c r="Q620" s="14"/>
      <c r="R620" s="201"/>
      <c r="S620" s="14"/>
      <c r="T620" s="14"/>
      <c r="U620" s="14"/>
      <c r="V620" s="203"/>
      <c r="W620" s="14"/>
      <c r="X620" s="14"/>
      <c r="Y620" s="14"/>
      <c r="Z620" s="14"/>
      <c r="AA620" s="14"/>
      <c r="AB620" s="14"/>
      <c r="AC620" s="14"/>
      <c r="AD620" s="14"/>
      <c r="AE620" s="14"/>
      <c r="AF620" s="14"/>
      <c r="AG620" s="14"/>
      <c r="AH620" s="14"/>
      <c r="AI620" s="20"/>
      <c r="AJ620" s="14"/>
      <c r="AK620" s="14"/>
      <c r="AL620" s="14"/>
      <c r="AM620" s="14"/>
      <c r="AN620" s="14"/>
      <c r="AO620" s="14"/>
      <c r="AP620" s="14"/>
      <c r="AQ620" s="14"/>
      <c r="AR620" s="14"/>
    </row>
    <row r="621" ht="22.5" customHeight="1">
      <c r="A621" s="204"/>
      <c r="B621" s="205"/>
      <c r="C621" s="20"/>
      <c r="D621" s="14"/>
      <c r="E621" s="201"/>
      <c r="F621" s="14"/>
      <c r="G621" s="154"/>
      <c r="H621" s="14"/>
      <c r="I621" s="155"/>
      <c r="J621" s="155"/>
      <c r="K621" s="202"/>
      <c r="L621" s="14" t="str">
        <f t="shared" si="30"/>
        <v>0</v>
      </c>
      <c r="M621" s="14"/>
      <c r="N621" s="14"/>
      <c r="O621" s="14"/>
      <c r="P621" s="14"/>
      <c r="Q621" s="14"/>
      <c r="R621" s="201"/>
      <c r="S621" s="14"/>
      <c r="T621" s="14"/>
      <c r="U621" s="14"/>
      <c r="V621" s="203"/>
      <c r="W621" s="14"/>
      <c r="X621" s="14"/>
      <c r="Y621" s="14"/>
      <c r="Z621" s="14"/>
      <c r="AA621" s="14"/>
      <c r="AB621" s="14"/>
      <c r="AC621" s="14"/>
      <c r="AD621" s="14"/>
      <c r="AE621" s="14"/>
      <c r="AF621" s="14"/>
      <c r="AG621" s="14"/>
      <c r="AH621" s="14"/>
      <c r="AI621" s="20"/>
      <c r="AJ621" s="14"/>
      <c r="AK621" s="14"/>
      <c r="AL621" s="14"/>
      <c r="AM621" s="14"/>
      <c r="AN621" s="14"/>
      <c r="AO621" s="14"/>
      <c r="AP621" s="14"/>
      <c r="AQ621" s="14"/>
      <c r="AR621" s="14"/>
    </row>
    <row r="622" ht="22.5" customHeight="1">
      <c r="A622" s="204"/>
      <c r="B622" s="200"/>
      <c r="C622" s="20"/>
      <c r="D622" s="14"/>
      <c r="E622" s="201"/>
      <c r="F622" s="14"/>
      <c r="G622" s="154"/>
      <c r="H622" s="14"/>
      <c r="I622" s="155"/>
      <c r="J622" s="155"/>
      <c r="K622" s="202"/>
      <c r="L622" s="14" t="str">
        <f t="shared" si="30"/>
        <v>0</v>
      </c>
      <c r="M622" s="14"/>
      <c r="N622" s="14"/>
      <c r="O622" s="14"/>
      <c r="P622" s="14"/>
      <c r="Q622" s="14"/>
      <c r="R622" s="201"/>
      <c r="S622" s="14"/>
      <c r="T622" s="14"/>
      <c r="U622" s="14"/>
      <c r="V622" s="203"/>
      <c r="W622" s="14"/>
      <c r="X622" s="14"/>
      <c r="Y622" s="14"/>
      <c r="Z622" s="14"/>
      <c r="AA622" s="14"/>
      <c r="AB622" s="14"/>
      <c r="AC622" s="14"/>
      <c r="AD622" s="14"/>
      <c r="AE622" s="14"/>
      <c r="AF622" s="14"/>
      <c r="AG622" s="14"/>
      <c r="AH622" s="14"/>
      <c r="AI622" s="20"/>
      <c r="AJ622" s="14"/>
      <c r="AK622" s="14"/>
      <c r="AL622" s="14"/>
      <c r="AM622" s="14"/>
      <c r="AN622" s="14"/>
      <c r="AO622" s="14"/>
      <c r="AP622" s="14"/>
      <c r="AQ622" s="14"/>
      <c r="AR622" s="14"/>
    </row>
    <row r="623" ht="22.5" customHeight="1">
      <c r="A623" s="204"/>
      <c r="B623" s="205"/>
      <c r="C623" s="20"/>
      <c r="D623" s="14"/>
      <c r="E623" s="201"/>
      <c r="F623" s="14"/>
      <c r="G623" s="154"/>
      <c r="H623" s="14"/>
      <c r="I623" s="155"/>
      <c r="J623" s="155"/>
      <c r="K623" s="202"/>
      <c r="L623" s="14" t="str">
        <f t="shared" si="30"/>
        <v>0</v>
      </c>
      <c r="M623" s="14"/>
      <c r="N623" s="14"/>
      <c r="O623" s="14"/>
      <c r="P623" s="14"/>
      <c r="Q623" s="14"/>
      <c r="R623" s="201"/>
      <c r="S623" s="14"/>
      <c r="T623" s="14"/>
      <c r="U623" s="14"/>
      <c r="V623" s="203"/>
      <c r="W623" s="14"/>
      <c r="X623" s="14"/>
      <c r="Y623" s="14"/>
      <c r="Z623" s="14"/>
      <c r="AA623" s="14"/>
      <c r="AB623" s="14"/>
      <c r="AC623" s="14"/>
      <c r="AD623" s="14"/>
      <c r="AE623" s="14"/>
      <c r="AF623" s="14"/>
      <c r="AG623" s="14"/>
      <c r="AH623" s="14"/>
      <c r="AI623" s="20"/>
      <c r="AJ623" s="14"/>
      <c r="AK623" s="14"/>
      <c r="AL623" s="14"/>
      <c r="AM623" s="14"/>
      <c r="AN623" s="14"/>
      <c r="AO623" s="14"/>
      <c r="AP623" s="14"/>
      <c r="AQ623" s="14"/>
      <c r="AR623" s="14"/>
    </row>
    <row r="624" ht="22.5" customHeight="1">
      <c r="A624" s="204"/>
      <c r="B624" s="200"/>
      <c r="C624" s="20"/>
      <c r="D624" s="14"/>
      <c r="E624" s="201"/>
      <c r="F624" s="14"/>
      <c r="G624" s="154"/>
      <c r="H624" s="14"/>
      <c r="I624" s="155"/>
      <c r="J624" s="155"/>
      <c r="K624" s="202"/>
      <c r="L624" s="14" t="str">
        <f t="shared" si="30"/>
        <v>0</v>
      </c>
      <c r="M624" s="14"/>
      <c r="N624" s="14"/>
      <c r="O624" s="14"/>
      <c r="P624" s="14"/>
      <c r="Q624" s="14"/>
      <c r="R624" s="201"/>
      <c r="S624" s="14"/>
      <c r="T624" s="14"/>
      <c r="U624" s="14"/>
      <c r="V624" s="203"/>
      <c r="W624" s="14"/>
      <c r="X624" s="14"/>
      <c r="Y624" s="14"/>
      <c r="Z624" s="14"/>
      <c r="AA624" s="14"/>
      <c r="AB624" s="14"/>
      <c r="AC624" s="14"/>
      <c r="AD624" s="14"/>
      <c r="AE624" s="14"/>
      <c r="AF624" s="14"/>
      <c r="AG624" s="14"/>
      <c r="AH624" s="14"/>
      <c r="AI624" s="20"/>
      <c r="AJ624" s="14"/>
      <c r="AK624" s="14"/>
      <c r="AL624" s="14"/>
      <c r="AM624" s="14"/>
      <c r="AN624" s="14"/>
      <c r="AO624" s="14"/>
      <c r="AP624" s="14"/>
      <c r="AQ624" s="14"/>
      <c r="AR624" s="14"/>
    </row>
    <row r="625" ht="22.5" customHeight="1">
      <c r="A625" s="204"/>
      <c r="B625" s="205"/>
      <c r="C625" s="20"/>
      <c r="D625" s="14"/>
      <c r="E625" s="201"/>
      <c r="F625" s="14"/>
      <c r="G625" s="154"/>
      <c r="H625" s="14"/>
      <c r="I625" s="155"/>
      <c r="J625" s="155"/>
      <c r="K625" s="202"/>
      <c r="L625" s="14" t="str">
        <f t="shared" si="30"/>
        <v>0</v>
      </c>
      <c r="M625" s="14"/>
      <c r="N625" s="14"/>
      <c r="O625" s="14"/>
      <c r="P625" s="14"/>
      <c r="Q625" s="14"/>
      <c r="R625" s="201"/>
      <c r="S625" s="14"/>
      <c r="T625" s="14"/>
      <c r="U625" s="14"/>
      <c r="V625" s="203"/>
      <c r="W625" s="14"/>
      <c r="X625" s="14"/>
      <c r="Y625" s="14"/>
      <c r="Z625" s="14"/>
      <c r="AA625" s="14"/>
      <c r="AB625" s="14"/>
      <c r="AC625" s="14"/>
      <c r="AD625" s="14"/>
      <c r="AE625" s="14"/>
      <c r="AF625" s="14"/>
      <c r="AG625" s="14"/>
      <c r="AH625" s="14"/>
      <c r="AI625" s="20"/>
      <c r="AJ625" s="14"/>
      <c r="AK625" s="14"/>
      <c r="AL625" s="14"/>
      <c r="AM625" s="14"/>
      <c r="AN625" s="14"/>
      <c r="AO625" s="14"/>
      <c r="AP625" s="14"/>
      <c r="AQ625" s="14"/>
      <c r="AR625" s="14"/>
    </row>
    <row r="626" ht="22.5" customHeight="1">
      <c r="A626" s="204"/>
      <c r="B626" s="200"/>
      <c r="C626" s="20"/>
      <c r="D626" s="14"/>
      <c r="E626" s="201"/>
      <c r="F626" s="14"/>
      <c r="G626" s="154"/>
      <c r="H626" s="14"/>
      <c r="I626" s="155"/>
      <c r="J626" s="155"/>
      <c r="K626" s="202"/>
      <c r="L626" s="14" t="str">
        <f t="shared" si="30"/>
        <v>0</v>
      </c>
      <c r="M626" s="14"/>
      <c r="N626" s="14"/>
      <c r="O626" s="14"/>
      <c r="P626" s="14"/>
      <c r="Q626" s="14"/>
      <c r="R626" s="201"/>
      <c r="S626" s="14"/>
      <c r="T626" s="14"/>
      <c r="U626" s="14"/>
      <c r="V626" s="203"/>
      <c r="W626" s="14"/>
      <c r="X626" s="14"/>
      <c r="Y626" s="14"/>
      <c r="Z626" s="14"/>
      <c r="AA626" s="14"/>
      <c r="AB626" s="14"/>
      <c r="AC626" s="14"/>
      <c r="AD626" s="14"/>
      <c r="AE626" s="14"/>
      <c r="AF626" s="14"/>
      <c r="AG626" s="14"/>
      <c r="AH626" s="14"/>
      <c r="AI626" s="20"/>
      <c r="AJ626" s="14"/>
      <c r="AK626" s="14"/>
      <c r="AL626" s="14"/>
      <c r="AM626" s="14"/>
      <c r="AN626" s="14"/>
      <c r="AO626" s="14"/>
      <c r="AP626" s="14"/>
      <c r="AQ626" s="14"/>
      <c r="AR626" s="14"/>
    </row>
    <row r="627" ht="22.5" customHeight="1">
      <c r="A627" s="204"/>
      <c r="B627" s="205"/>
      <c r="C627" s="20"/>
      <c r="D627" s="14"/>
      <c r="E627" s="201"/>
      <c r="F627" s="14"/>
      <c r="G627" s="154"/>
      <c r="H627" s="14"/>
      <c r="I627" s="155"/>
      <c r="J627" s="155"/>
      <c r="K627" s="202"/>
      <c r="L627" s="14" t="str">
        <f t="shared" si="30"/>
        <v>0</v>
      </c>
      <c r="M627" s="14"/>
      <c r="N627" s="14"/>
      <c r="O627" s="14"/>
      <c r="P627" s="14"/>
      <c r="Q627" s="14"/>
      <c r="R627" s="201"/>
      <c r="S627" s="14"/>
      <c r="T627" s="14"/>
      <c r="U627" s="14"/>
      <c r="V627" s="203"/>
      <c r="W627" s="14"/>
      <c r="X627" s="14"/>
      <c r="Y627" s="14"/>
      <c r="Z627" s="14"/>
      <c r="AA627" s="14"/>
      <c r="AB627" s="14"/>
      <c r="AC627" s="14"/>
      <c r="AD627" s="14"/>
      <c r="AE627" s="14"/>
      <c r="AF627" s="14"/>
      <c r="AG627" s="14"/>
      <c r="AH627" s="14"/>
      <c r="AI627" s="20"/>
      <c r="AJ627" s="14"/>
      <c r="AK627" s="14"/>
      <c r="AL627" s="14"/>
      <c r="AM627" s="14"/>
      <c r="AN627" s="14"/>
      <c r="AO627" s="14"/>
      <c r="AP627" s="14"/>
      <c r="AQ627" s="14"/>
      <c r="AR627" s="14"/>
    </row>
    <row r="628" ht="22.5" customHeight="1">
      <c r="A628" s="204"/>
      <c r="B628" s="200"/>
      <c r="C628" s="20"/>
      <c r="D628" s="14"/>
      <c r="E628" s="201"/>
      <c r="F628" s="14"/>
      <c r="G628" s="154"/>
      <c r="H628" s="14"/>
      <c r="I628" s="155"/>
      <c r="J628" s="155"/>
      <c r="K628" s="202"/>
      <c r="L628" s="14" t="str">
        <f t="shared" si="30"/>
        <v>0</v>
      </c>
      <c r="M628" s="14"/>
      <c r="N628" s="14"/>
      <c r="O628" s="14"/>
      <c r="P628" s="14"/>
      <c r="Q628" s="14"/>
      <c r="R628" s="201"/>
      <c r="S628" s="14"/>
      <c r="T628" s="14"/>
      <c r="U628" s="14"/>
      <c r="V628" s="203"/>
      <c r="W628" s="14"/>
      <c r="X628" s="14"/>
      <c r="Y628" s="14"/>
      <c r="Z628" s="14"/>
      <c r="AA628" s="14"/>
      <c r="AB628" s="14"/>
      <c r="AC628" s="14"/>
      <c r="AD628" s="14"/>
      <c r="AE628" s="14"/>
      <c r="AF628" s="14"/>
      <c r="AG628" s="14"/>
      <c r="AH628" s="14"/>
      <c r="AI628" s="20"/>
      <c r="AJ628" s="14"/>
      <c r="AK628" s="14"/>
      <c r="AL628" s="14"/>
      <c r="AM628" s="14"/>
      <c r="AN628" s="14"/>
      <c r="AO628" s="14"/>
      <c r="AP628" s="14"/>
      <c r="AQ628" s="14"/>
      <c r="AR628" s="14"/>
    </row>
    <row r="629" ht="22.5" customHeight="1">
      <c r="A629" s="204"/>
      <c r="B629" s="205"/>
      <c r="C629" s="20"/>
      <c r="D629" s="14"/>
      <c r="E629" s="201"/>
      <c r="F629" s="14"/>
      <c r="G629" s="154"/>
      <c r="H629" s="14"/>
      <c r="I629" s="155"/>
      <c r="J629" s="155"/>
      <c r="K629" s="202"/>
      <c r="L629" s="14" t="str">
        <f t="shared" si="30"/>
        <v>0</v>
      </c>
      <c r="M629" s="14"/>
      <c r="N629" s="14"/>
      <c r="O629" s="14"/>
      <c r="P629" s="14"/>
      <c r="Q629" s="14"/>
      <c r="R629" s="201"/>
      <c r="S629" s="14"/>
      <c r="T629" s="14"/>
      <c r="U629" s="14"/>
      <c r="V629" s="203"/>
      <c r="W629" s="14"/>
      <c r="X629" s="14"/>
      <c r="Y629" s="14"/>
      <c r="Z629" s="14"/>
      <c r="AA629" s="14"/>
      <c r="AB629" s="14"/>
      <c r="AC629" s="14"/>
      <c r="AD629" s="14"/>
      <c r="AE629" s="14"/>
      <c r="AF629" s="14"/>
      <c r="AG629" s="14"/>
      <c r="AH629" s="14"/>
      <c r="AI629" s="20"/>
      <c r="AJ629" s="14"/>
      <c r="AK629" s="14"/>
      <c r="AL629" s="14"/>
      <c r="AM629" s="14"/>
      <c r="AN629" s="14"/>
      <c r="AO629" s="14"/>
      <c r="AP629" s="14"/>
      <c r="AQ629" s="14"/>
      <c r="AR629" s="14"/>
    </row>
    <row r="630" ht="22.5" customHeight="1">
      <c r="A630" s="204"/>
      <c r="B630" s="200"/>
      <c r="C630" s="20"/>
      <c r="D630" s="14"/>
      <c r="E630" s="201"/>
      <c r="F630" s="14"/>
      <c r="G630" s="154"/>
      <c r="H630" s="14"/>
      <c r="I630" s="155"/>
      <c r="J630" s="155"/>
      <c r="K630" s="202"/>
      <c r="L630" s="14" t="str">
        <f t="shared" si="30"/>
        <v>0</v>
      </c>
      <c r="M630" s="14"/>
      <c r="N630" s="14"/>
      <c r="O630" s="14"/>
      <c r="P630" s="14"/>
      <c r="Q630" s="14"/>
      <c r="R630" s="201"/>
      <c r="S630" s="14"/>
      <c r="T630" s="14"/>
      <c r="U630" s="14"/>
      <c r="V630" s="203"/>
      <c r="W630" s="14"/>
      <c r="X630" s="14"/>
      <c r="Y630" s="14"/>
      <c r="Z630" s="14"/>
      <c r="AA630" s="14"/>
      <c r="AB630" s="14"/>
      <c r="AC630" s="14"/>
      <c r="AD630" s="14"/>
      <c r="AE630" s="14"/>
      <c r="AF630" s="14"/>
      <c r="AG630" s="14"/>
      <c r="AH630" s="14"/>
      <c r="AI630" s="20"/>
      <c r="AJ630" s="14"/>
      <c r="AK630" s="14"/>
      <c r="AL630" s="14"/>
      <c r="AM630" s="14"/>
      <c r="AN630" s="14"/>
      <c r="AO630" s="14"/>
      <c r="AP630" s="14"/>
      <c r="AQ630" s="14"/>
      <c r="AR630" s="14"/>
    </row>
    <row r="631" ht="22.5" customHeight="1">
      <c r="A631" s="204"/>
      <c r="B631" s="205"/>
      <c r="C631" s="20"/>
      <c r="D631" s="14"/>
      <c r="E631" s="201"/>
      <c r="F631" s="14"/>
      <c r="G631" s="154"/>
      <c r="H631" s="14"/>
      <c r="I631" s="155"/>
      <c r="J631" s="155"/>
      <c r="K631" s="202"/>
      <c r="L631" s="14" t="str">
        <f t="shared" si="30"/>
        <v>0</v>
      </c>
      <c r="M631" s="14"/>
      <c r="N631" s="14"/>
      <c r="O631" s="14"/>
      <c r="P631" s="14"/>
      <c r="Q631" s="14"/>
      <c r="R631" s="201"/>
      <c r="S631" s="14"/>
      <c r="T631" s="14"/>
      <c r="U631" s="14"/>
      <c r="V631" s="203"/>
      <c r="W631" s="14"/>
      <c r="X631" s="14"/>
      <c r="Y631" s="14"/>
      <c r="Z631" s="14"/>
      <c r="AA631" s="14"/>
      <c r="AB631" s="14"/>
      <c r="AC631" s="14"/>
      <c r="AD631" s="14"/>
      <c r="AE631" s="14"/>
      <c r="AF631" s="14"/>
      <c r="AG631" s="14"/>
      <c r="AH631" s="14"/>
      <c r="AI631" s="20"/>
      <c r="AJ631" s="14"/>
      <c r="AK631" s="14"/>
      <c r="AL631" s="14"/>
      <c r="AM631" s="14"/>
      <c r="AN631" s="14"/>
      <c r="AO631" s="14"/>
      <c r="AP631" s="14"/>
      <c r="AQ631" s="14"/>
      <c r="AR631" s="14"/>
    </row>
    <row r="632" ht="22.5" customHeight="1">
      <c r="A632" s="204"/>
      <c r="B632" s="200"/>
      <c r="C632" s="20"/>
      <c r="D632" s="14"/>
      <c r="E632" s="201"/>
      <c r="F632" s="14"/>
      <c r="G632" s="154"/>
      <c r="H632" s="14"/>
      <c r="I632" s="155"/>
      <c r="J632" s="155"/>
      <c r="K632" s="202"/>
      <c r="L632" s="14" t="str">
        <f t="shared" si="30"/>
        <v>0</v>
      </c>
      <c r="M632" s="14"/>
      <c r="N632" s="14"/>
      <c r="O632" s="14"/>
      <c r="P632" s="14"/>
      <c r="Q632" s="14"/>
      <c r="R632" s="201"/>
      <c r="S632" s="14"/>
      <c r="T632" s="14"/>
      <c r="U632" s="14"/>
      <c r="V632" s="203"/>
      <c r="W632" s="14"/>
      <c r="X632" s="14"/>
      <c r="Y632" s="14"/>
      <c r="Z632" s="14"/>
      <c r="AA632" s="14"/>
      <c r="AB632" s="14"/>
      <c r="AC632" s="14"/>
      <c r="AD632" s="14"/>
      <c r="AE632" s="14"/>
      <c r="AF632" s="14"/>
      <c r="AG632" s="14"/>
      <c r="AH632" s="14"/>
      <c r="AI632" s="20"/>
      <c r="AJ632" s="14"/>
      <c r="AK632" s="14"/>
      <c r="AL632" s="14"/>
      <c r="AM632" s="14"/>
      <c r="AN632" s="14"/>
      <c r="AO632" s="14"/>
      <c r="AP632" s="14"/>
      <c r="AQ632" s="14"/>
      <c r="AR632" s="14"/>
    </row>
    <row r="633" ht="22.5" customHeight="1">
      <c r="A633" s="204"/>
      <c r="B633" s="205"/>
      <c r="C633" s="20"/>
      <c r="D633" s="14"/>
      <c r="E633" s="201"/>
      <c r="F633" s="14"/>
      <c r="G633" s="154"/>
      <c r="H633" s="14"/>
      <c r="I633" s="155"/>
      <c r="J633" s="155"/>
      <c r="K633" s="202"/>
      <c r="L633" s="14" t="str">
        <f t="shared" si="30"/>
        <v>0</v>
      </c>
      <c r="M633" s="14"/>
      <c r="N633" s="14"/>
      <c r="O633" s="14"/>
      <c r="P633" s="14"/>
      <c r="Q633" s="14"/>
      <c r="R633" s="201"/>
      <c r="S633" s="14"/>
      <c r="T633" s="14"/>
      <c r="U633" s="14"/>
      <c r="V633" s="203"/>
      <c r="W633" s="14"/>
      <c r="X633" s="14"/>
      <c r="Y633" s="14"/>
      <c r="Z633" s="14"/>
      <c r="AA633" s="14"/>
      <c r="AB633" s="14"/>
      <c r="AC633" s="14"/>
      <c r="AD633" s="14"/>
      <c r="AE633" s="14"/>
      <c r="AF633" s="14"/>
      <c r="AG633" s="14"/>
      <c r="AH633" s="14"/>
      <c r="AI633" s="20"/>
      <c r="AJ633" s="14"/>
      <c r="AK633" s="14"/>
      <c r="AL633" s="14"/>
      <c r="AM633" s="14"/>
      <c r="AN633" s="14"/>
      <c r="AO633" s="14"/>
      <c r="AP633" s="14"/>
      <c r="AQ633" s="14"/>
      <c r="AR633" s="14"/>
    </row>
    <row r="634" ht="22.5" customHeight="1">
      <c r="A634" s="204"/>
      <c r="B634" s="200"/>
      <c r="C634" s="20"/>
      <c r="D634" s="14"/>
      <c r="E634" s="201"/>
      <c r="F634" s="14"/>
      <c r="G634" s="154"/>
      <c r="H634" s="14"/>
      <c r="I634" s="155"/>
      <c r="J634" s="155"/>
      <c r="K634" s="202"/>
      <c r="L634" s="14" t="str">
        <f t="shared" si="30"/>
        <v>0</v>
      </c>
      <c r="M634" s="14"/>
      <c r="N634" s="14"/>
      <c r="O634" s="14"/>
      <c r="P634" s="14"/>
      <c r="Q634" s="14"/>
      <c r="R634" s="201"/>
      <c r="S634" s="14"/>
      <c r="T634" s="14"/>
      <c r="U634" s="14"/>
      <c r="V634" s="203"/>
      <c r="W634" s="14"/>
      <c r="X634" s="14"/>
      <c r="Y634" s="14"/>
      <c r="Z634" s="14"/>
      <c r="AA634" s="14"/>
      <c r="AB634" s="14"/>
      <c r="AC634" s="14"/>
      <c r="AD634" s="14"/>
      <c r="AE634" s="14"/>
      <c r="AF634" s="14"/>
      <c r="AG634" s="14"/>
      <c r="AH634" s="14"/>
      <c r="AI634" s="20"/>
      <c r="AJ634" s="14"/>
      <c r="AK634" s="14"/>
      <c r="AL634" s="14"/>
      <c r="AM634" s="14"/>
      <c r="AN634" s="14"/>
      <c r="AO634" s="14"/>
      <c r="AP634" s="14"/>
      <c r="AQ634" s="14"/>
      <c r="AR634" s="14"/>
    </row>
    <row r="635" ht="22.5" customHeight="1">
      <c r="A635" s="204"/>
      <c r="B635" s="205"/>
      <c r="C635" s="20"/>
      <c r="D635" s="14"/>
      <c r="E635" s="201"/>
      <c r="F635" s="14"/>
      <c r="G635" s="154"/>
      <c r="H635" s="14"/>
      <c r="I635" s="155"/>
      <c r="J635" s="155"/>
      <c r="K635" s="202"/>
      <c r="L635" s="14" t="str">
        <f t="shared" si="30"/>
        <v>0</v>
      </c>
      <c r="M635" s="14"/>
      <c r="N635" s="14"/>
      <c r="O635" s="14"/>
      <c r="P635" s="14"/>
      <c r="Q635" s="14"/>
      <c r="R635" s="201"/>
      <c r="S635" s="14"/>
      <c r="T635" s="14"/>
      <c r="U635" s="14"/>
      <c r="V635" s="203"/>
      <c r="W635" s="14"/>
      <c r="X635" s="14"/>
      <c r="Y635" s="14"/>
      <c r="Z635" s="14"/>
      <c r="AA635" s="14"/>
      <c r="AB635" s="14"/>
      <c r="AC635" s="14"/>
      <c r="AD635" s="14"/>
      <c r="AE635" s="14"/>
      <c r="AF635" s="14"/>
      <c r="AG635" s="14"/>
      <c r="AH635" s="14"/>
      <c r="AI635" s="20"/>
      <c r="AJ635" s="14"/>
      <c r="AK635" s="14"/>
      <c r="AL635" s="14"/>
      <c r="AM635" s="14"/>
      <c r="AN635" s="14"/>
      <c r="AO635" s="14"/>
      <c r="AP635" s="14"/>
      <c r="AQ635" s="14"/>
      <c r="AR635" s="14"/>
    </row>
    <row r="636" ht="22.5" customHeight="1">
      <c r="A636" s="204"/>
      <c r="B636" s="200"/>
      <c r="C636" s="20"/>
      <c r="D636" s="14"/>
      <c r="E636" s="201"/>
      <c r="F636" s="14"/>
      <c r="G636" s="154"/>
      <c r="H636" s="14"/>
      <c r="I636" s="155"/>
      <c r="J636" s="155"/>
      <c r="K636" s="202"/>
      <c r="L636" s="14" t="str">
        <f t="shared" si="30"/>
        <v>0</v>
      </c>
      <c r="M636" s="14"/>
      <c r="N636" s="14"/>
      <c r="O636" s="14"/>
      <c r="P636" s="14"/>
      <c r="Q636" s="14"/>
      <c r="R636" s="201"/>
      <c r="S636" s="14"/>
      <c r="T636" s="14"/>
      <c r="U636" s="14"/>
      <c r="V636" s="203"/>
      <c r="W636" s="14"/>
      <c r="X636" s="14"/>
      <c r="Y636" s="14"/>
      <c r="Z636" s="14"/>
      <c r="AA636" s="14"/>
      <c r="AB636" s="14"/>
      <c r="AC636" s="14"/>
      <c r="AD636" s="14"/>
      <c r="AE636" s="14"/>
      <c r="AF636" s="14"/>
      <c r="AG636" s="14"/>
      <c r="AH636" s="14"/>
      <c r="AI636" s="20"/>
      <c r="AJ636" s="14"/>
      <c r="AK636" s="14"/>
      <c r="AL636" s="14"/>
      <c r="AM636" s="14"/>
      <c r="AN636" s="14"/>
      <c r="AO636" s="14"/>
      <c r="AP636" s="14"/>
      <c r="AQ636" s="14"/>
      <c r="AR636" s="14"/>
    </row>
    <row r="637" ht="22.5" customHeight="1">
      <c r="A637" s="204"/>
      <c r="B637" s="205"/>
      <c r="C637" s="20"/>
      <c r="D637" s="14"/>
      <c r="E637" s="201"/>
      <c r="F637" s="14"/>
      <c r="G637" s="154"/>
      <c r="H637" s="14"/>
      <c r="I637" s="155"/>
      <c r="J637" s="155"/>
      <c r="K637" s="202"/>
      <c r="L637" s="14" t="str">
        <f t="shared" si="30"/>
        <v>0</v>
      </c>
      <c r="M637" s="14"/>
      <c r="N637" s="14"/>
      <c r="O637" s="14"/>
      <c r="P637" s="14"/>
      <c r="Q637" s="14"/>
      <c r="R637" s="201"/>
      <c r="S637" s="14"/>
      <c r="T637" s="14"/>
      <c r="U637" s="14"/>
      <c r="V637" s="203"/>
      <c r="W637" s="14"/>
      <c r="X637" s="14"/>
      <c r="Y637" s="14"/>
      <c r="Z637" s="14"/>
      <c r="AA637" s="14"/>
      <c r="AB637" s="14"/>
      <c r="AC637" s="14"/>
      <c r="AD637" s="14"/>
      <c r="AE637" s="14"/>
      <c r="AF637" s="14"/>
      <c r="AG637" s="14"/>
      <c r="AH637" s="14"/>
      <c r="AI637" s="20"/>
      <c r="AJ637" s="14"/>
      <c r="AK637" s="14"/>
      <c r="AL637" s="14"/>
      <c r="AM637" s="14"/>
      <c r="AN637" s="14"/>
      <c r="AO637" s="14"/>
      <c r="AP637" s="14"/>
      <c r="AQ637" s="14"/>
      <c r="AR637" s="14"/>
    </row>
    <row r="638" ht="22.5" customHeight="1">
      <c r="A638" s="204"/>
      <c r="B638" s="200"/>
      <c r="C638" s="20"/>
      <c r="D638" s="14"/>
      <c r="E638" s="201"/>
      <c r="F638" s="14"/>
      <c r="G638" s="154"/>
      <c r="H638" s="14"/>
      <c r="I638" s="155"/>
      <c r="J638" s="155"/>
      <c r="K638" s="202"/>
      <c r="L638" s="14" t="str">
        <f t="shared" si="30"/>
        <v>0</v>
      </c>
      <c r="M638" s="14"/>
      <c r="N638" s="14"/>
      <c r="O638" s="14"/>
      <c r="P638" s="14"/>
      <c r="Q638" s="14"/>
      <c r="R638" s="201"/>
      <c r="S638" s="14"/>
      <c r="T638" s="14"/>
      <c r="U638" s="14"/>
      <c r="V638" s="203"/>
      <c r="W638" s="14"/>
      <c r="X638" s="14"/>
      <c r="Y638" s="14"/>
      <c r="Z638" s="14"/>
      <c r="AA638" s="14"/>
      <c r="AB638" s="14"/>
      <c r="AC638" s="14"/>
      <c r="AD638" s="14"/>
      <c r="AE638" s="14"/>
      <c r="AF638" s="14"/>
      <c r="AG638" s="14"/>
      <c r="AH638" s="14"/>
      <c r="AI638" s="20"/>
      <c r="AJ638" s="14"/>
      <c r="AK638" s="14"/>
      <c r="AL638" s="14"/>
      <c r="AM638" s="14"/>
      <c r="AN638" s="14"/>
      <c r="AO638" s="14"/>
      <c r="AP638" s="14"/>
      <c r="AQ638" s="14"/>
      <c r="AR638" s="14"/>
    </row>
    <row r="639" ht="22.5" customHeight="1">
      <c r="A639" s="204"/>
      <c r="B639" s="205"/>
      <c r="C639" s="20"/>
      <c r="D639" s="14"/>
      <c r="E639" s="201"/>
      <c r="F639" s="14"/>
      <c r="G639" s="154"/>
      <c r="H639" s="14"/>
      <c r="I639" s="155"/>
      <c r="J639" s="155"/>
      <c r="K639" s="202"/>
      <c r="L639" s="14" t="str">
        <f t="shared" si="30"/>
        <v>0</v>
      </c>
      <c r="M639" s="14"/>
      <c r="N639" s="14"/>
      <c r="O639" s="14"/>
      <c r="P639" s="14"/>
      <c r="Q639" s="14"/>
      <c r="R639" s="201"/>
      <c r="S639" s="14"/>
      <c r="T639" s="14"/>
      <c r="U639" s="14"/>
      <c r="V639" s="203"/>
      <c r="W639" s="14"/>
      <c r="X639" s="14"/>
      <c r="Y639" s="14"/>
      <c r="Z639" s="14"/>
      <c r="AA639" s="14"/>
      <c r="AB639" s="14"/>
      <c r="AC639" s="14"/>
      <c r="AD639" s="14"/>
      <c r="AE639" s="14"/>
      <c r="AF639" s="14"/>
      <c r="AG639" s="14"/>
      <c r="AH639" s="14"/>
      <c r="AI639" s="20"/>
      <c r="AJ639" s="14"/>
      <c r="AK639" s="14"/>
      <c r="AL639" s="14"/>
      <c r="AM639" s="14"/>
      <c r="AN639" s="14"/>
      <c r="AO639" s="14"/>
      <c r="AP639" s="14"/>
      <c r="AQ639" s="14"/>
      <c r="AR639" s="14"/>
    </row>
    <row r="640" ht="22.5" customHeight="1">
      <c r="A640" s="204"/>
      <c r="B640" s="200"/>
      <c r="C640" s="20"/>
      <c r="D640" s="14"/>
      <c r="E640" s="201"/>
      <c r="F640" s="14"/>
      <c r="G640" s="154"/>
      <c r="H640" s="14"/>
      <c r="I640" s="155"/>
      <c r="J640" s="155"/>
      <c r="K640" s="202"/>
      <c r="L640" s="14" t="str">
        <f t="shared" si="30"/>
        <v>0</v>
      </c>
      <c r="M640" s="14"/>
      <c r="N640" s="14"/>
      <c r="O640" s="14"/>
      <c r="P640" s="14"/>
      <c r="Q640" s="14"/>
      <c r="R640" s="201"/>
      <c r="S640" s="14"/>
      <c r="T640" s="14"/>
      <c r="U640" s="14"/>
      <c r="V640" s="203"/>
      <c r="W640" s="14"/>
      <c r="X640" s="14"/>
      <c r="Y640" s="14"/>
      <c r="Z640" s="14"/>
      <c r="AA640" s="14"/>
      <c r="AB640" s="14"/>
      <c r="AC640" s="14"/>
      <c r="AD640" s="14"/>
      <c r="AE640" s="14"/>
      <c r="AF640" s="14"/>
      <c r="AG640" s="14"/>
      <c r="AH640" s="14"/>
      <c r="AI640" s="20"/>
      <c r="AJ640" s="14"/>
      <c r="AK640" s="14"/>
      <c r="AL640" s="14"/>
      <c r="AM640" s="14"/>
      <c r="AN640" s="14"/>
      <c r="AO640" s="14"/>
      <c r="AP640" s="14"/>
      <c r="AQ640" s="14"/>
      <c r="AR640" s="14"/>
    </row>
    <row r="641" ht="22.5" customHeight="1">
      <c r="A641" s="204"/>
      <c r="B641" s="205"/>
      <c r="C641" s="20"/>
      <c r="D641" s="14"/>
      <c r="E641" s="201"/>
      <c r="F641" s="14"/>
      <c r="G641" s="154"/>
      <c r="H641" s="14"/>
      <c r="I641" s="155"/>
      <c r="J641" s="155"/>
      <c r="K641" s="202"/>
      <c r="L641" s="14" t="str">
        <f t="shared" si="30"/>
        <v>0</v>
      </c>
      <c r="M641" s="14"/>
      <c r="N641" s="14"/>
      <c r="O641" s="14"/>
      <c r="P641" s="14"/>
      <c r="Q641" s="14"/>
      <c r="R641" s="201"/>
      <c r="S641" s="14"/>
      <c r="T641" s="14"/>
      <c r="U641" s="14"/>
      <c r="V641" s="203"/>
      <c r="W641" s="14"/>
      <c r="X641" s="14"/>
      <c r="Y641" s="14"/>
      <c r="Z641" s="14"/>
      <c r="AA641" s="14"/>
      <c r="AB641" s="14"/>
      <c r="AC641" s="14"/>
      <c r="AD641" s="14"/>
      <c r="AE641" s="14"/>
      <c r="AF641" s="14"/>
      <c r="AG641" s="14"/>
      <c r="AH641" s="14"/>
      <c r="AI641" s="20"/>
      <c r="AJ641" s="14"/>
      <c r="AK641" s="14"/>
      <c r="AL641" s="14"/>
      <c r="AM641" s="14"/>
      <c r="AN641" s="14"/>
      <c r="AO641" s="14"/>
      <c r="AP641" s="14"/>
      <c r="AQ641" s="14"/>
      <c r="AR641" s="14"/>
    </row>
    <row r="642" ht="22.5" customHeight="1">
      <c r="A642" s="204"/>
      <c r="B642" s="200"/>
      <c r="C642" s="20"/>
      <c r="D642" s="14"/>
      <c r="E642" s="201"/>
      <c r="F642" s="14"/>
      <c r="G642" s="154"/>
      <c r="H642" s="14"/>
      <c r="I642" s="155"/>
      <c r="J642" s="155"/>
      <c r="K642" s="202"/>
      <c r="L642" s="14" t="str">
        <f t="shared" si="30"/>
        <v>0</v>
      </c>
      <c r="M642" s="14"/>
      <c r="N642" s="14"/>
      <c r="O642" s="14"/>
      <c r="P642" s="14"/>
      <c r="Q642" s="14"/>
      <c r="R642" s="201"/>
      <c r="S642" s="14"/>
      <c r="T642" s="14"/>
      <c r="U642" s="14"/>
      <c r="V642" s="203"/>
      <c r="W642" s="14"/>
      <c r="X642" s="14"/>
      <c r="Y642" s="14"/>
      <c r="Z642" s="14"/>
      <c r="AA642" s="14"/>
      <c r="AB642" s="14"/>
      <c r="AC642" s="14"/>
      <c r="AD642" s="14"/>
      <c r="AE642" s="14"/>
      <c r="AF642" s="14"/>
      <c r="AG642" s="14"/>
      <c r="AH642" s="14"/>
      <c r="AI642" s="20"/>
      <c r="AJ642" s="14"/>
      <c r="AK642" s="14"/>
      <c r="AL642" s="14"/>
      <c r="AM642" s="14"/>
      <c r="AN642" s="14"/>
      <c r="AO642" s="14"/>
      <c r="AP642" s="14"/>
      <c r="AQ642" s="14"/>
      <c r="AR642" s="14"/>
    </row>
    <row r="643" ht="22.5" customHeight="1">
      <c r="A643" s="204"/>
      <c r="B643" s="205"/>
      <c r="C643" s="20"/>
      <c r="D643" s="14"/>
      <c r="E643" s="201"/>
      <c r="F643" s="14"/>
      <c r="G643" s="154"/>
      <c r="H643" s="14"/>
      <c r="I643" s="155"/>
      <c r="J643" s="155"/>
      <c r="K643" s="202"/>
      <c r="L643" s="14" t="str">
        <f t="shared" si="30"/>
        <v>0</v>
      </c>
      <c r="M643" s="14"/>
      <c r="N643" s="14"/>
      <c r="O643" s="14"/>
      <c r="P643" s="14"/>
      <c r="Q643" s="14"/>
      <c r="R643" s="201"/>
      <c r="S643" s="14"/>
      <c r="T643" s="14"/>
      <c r="U643" s="14"/>
      <c r="V643" s="203"/>
      <c r="W643" s="14"/>
      <c r="X643" s="14"/>
      <c r="Y643" s="14"/>
      <c r="Z643" s="14"/>
      <c r="AA643" s="14"/>
      <c r="AB643" s="14"/>
      <c r="AC643" s="14"/>
      <c r="AD643" s="14"/>
      <c r="AE643" s="14"/>
      <c r="AF643" s="14"/>
      <c r="AG643" s="14"/>
      <c r="AH643" s="14"/>
      <c r="AI643" s="20"/>
      <c r="AJ643" s="14"/>
      <c r="AK643" s="14"/>
      <c r="AL643" s="14"/>
      <c r="AM643" s="14"/>
      <c r="AN643" s="14"/>
      <c r="AO643" s="14"/>
      <c r="AP643" s="14"/>
      <c r="AQ643" s="14"/>
      <c r="AR643" s="14"/>
    </row>
    <row r="644" ht="22.5" customHeight="1">
      <c r="A644" s="204"/>
      <c r="B644" s="200"/>
      <c r="C644" s="20"/>
      <c r="D644" s="14"/>
      <c r="E644" s="201"/>
      <c r="F644" s="14"/>
      <c r="G644" s="154"/>
      <c r="H644" s="14"/>
      <c r="I644" s="155"/>
      <c r="J644" s="155"/>
      <c r="K644" s="202"/>
      <c r="L644" s="14" t="str">
        <f t="shared" si="30"/>
        <v>0</v>
      </c>
      <c r="M644" s="14"/>
      <c r="N644" s="14"/>
      <c r="O644" s="14"/>
      <c r="P644" s="14"/>
      <c r="Q644" s="14"/>
      <c r="R644" s="201"/>
      <c r="S644" s="14"/>
      <c r="T644" s="14"/>
      <c r="U644" s="14"/>
      <c r="V644" s="203"/>
      <c r="W644" s="14"/>
      <c r="X644" s="14"/>
      <c r="Y644" s="14"/>
      <c r="Z644" s="14"/>
      <c r="AA644" s="14"/>
      <c r="AB644" s="14"/>
      <c r="AC644" s="14"/>
      <c r="AD644" s="14"/>
      <c r="AE644" s="14"/>
      <c r="AF644" s="14"/>
      <c r="AG644" s="14"/>
      <c r="AH644" s="14"/>
      <c r="AI644" s="20"/>
      <c r="AJ644" s="14"/>
      <c r="AK644" s="14"/>
      <c r="AL644" s="14"/>
      <c r="AM644" s="14"/>
      <c r="AN644" s="14"/>
      <c r="AO644" s="14"/>
      <c r="AP644" s="14"/>
      <c r="AQ644" s="14"/>
      <c r="AR644" s="14"/>
    </row>
    <row r="645" ht="22.5" customHeight="1">
      <c r="A645" s="204"/>
      <c r="B645" s="205"/>
      <c r="C645" s="20"/>
      <c r="D645" s="14"/>
      <c r="E645" s="201"/>
      <c r="F645" s="14"/>
      <c r="G645" s="154"/>
      <c r="H645" s="14"/>
      <c r="I645" s="155"/>
      <c r="J645" s="155"/>
      <c r="K645" s="202"/>
      <c r="L645" s="14" t="str">
        <f t="shared" si="30"/>
        <v>0</v>
      </c>
      <c r="M645" s="14"/>
      <c r="N645" s="14"/>
      <c r="O645" s="14"/>
      <c r="P645" s="14"/>
      <c r="Q645" s="14"/>
      <c r="R645" s="201"/>
      <c r="S645" s="14"/>
      <c r="T645" s="14"/>
      <c r="U645" s="14"/>
      <c r="V645" s="203"/>
      <c r="W645" s="14"/>
      <c r="X645" s="14"/>
      <c r="Y645" s="14"/>
      <c r="Z645" s="14"/>
      <c r="AA645" s="14"/>
      <c r="AB645" s="14"/>
      <c r="AC645" s="14"/>
      <c r="AD645" s="14"/>
      <c r="AE645" s="14"/>
      <c r="AF645" s="14"/>
      <c r="AG645" s="14"/>
      <c r="AH645" s="14"/>
      <c r="AI645" s="20"/>
      <c r="AJ645" s="14"/>
      <c r="AK645" s="14"/>
      <c r="AL645" s="14"/>
      <c r="AM645" s="14"/>
      <c r="AN645" s="14"/>
      <c r="AO645" s="14"/>
      <c r="AP645" s="14"/>
      <c r="AQ645" s="14"/>
      <c r="AR645" s="14"/>
    </row>
    <row r="646" ht="22.5" customHeight="1">
      <c r="A646" s="204"/>
      <c r="B646" s="200"/>
      <c r="C646" s="20"/>
      <c r="D646" s="14"/>
      <c r="E646" s="201"/>
      <c r="F646" s="14"/>
      <c r="G646" s="154"/>
      <c r="H646" s="14"/>
      <c r="I646" s="155"/>
      <c r="J646" s="155"/>
      <c r="K646" s="202"/>
      <c r="L646" s="14" t="str">
        <f t="shared" si="30"/>
        <v>0</v>
      </c>
      <c r="M646" s="14"/>
      <c r="N646" s="14"/>
      <c r="O646" s="14"/>
      <c r="P646" s="14"/>
      <c r="Q646" s="14"/>
      <c r="R646" s="201"/>
      <c r="S646" s="14"/>
      <c r="T646" s="14"/>
      <c r="U646" s="14"/>
      <c r="V646" s="203"/>
      <c r="W646" s="14"/>
      <c r="X646" s="14"/>
      <c r="Y646" s="14"/>
      <c r="Z646" s="14"/>
      <c r="AA646" s="14"/>
      <c r="AB646" s="14"/>
      <c r="AC646" s="14"/>
      <c r="AD646" s="14"/>
      <c r="AE646" s="14"/>
      <c r="AF646" s="14"/>
      <c r="AG646" s="14"/>
      <c r="AH646" s="14"/>
      <c r="AI646" s="20"/>
      <c r="AJ646" s="14"/>
      <c r="AK646" s="14"/>
      <c r="AL646" s="14"/>
      <c r="AM646" s="14"/>
      <c r="AN646" s="14"/>
      <c r="AO646" s="14"/>
      <c r="AP646" s="14"/>
      <c r="AQ646" s="14"/>
      <c r="AR646" s="14"/>
    </row>
    <row r="647" ht="22.5" customHeight="1">
      <c r="A647" s="204"/>
      <c r="B647" s="205"/>
      <c r="C647" s="20"/>
      <c r="D647" s="14"/>
      <c r="E647" s="201"/>
      <c r="F647" s="14"/>
      <c r="G647" s="154"/>
      <c r="H647" s="14"/>
      <c r="I647" s="155"/>
      <c r="J647" s="155"/>
      <c r="K647" s="202"/>
      <c r="L647" s="14" t="str">
        <f t="shared" si="30"/>
        <v>0</v>
      </c>
      <c r="M647" s="14"/>
      <c r="N647" s="14"/>
      <c r="O647" s="14"/>
      <c r="P647" s="14"/>
      <c r="Q647" s="14"/>
      <c r="R647" s="201"/>
      <c r="S647" s="14"/>
      <c r="T647" s="14"/>
      <c r="U647" s="14"/>
      <c r="V647" s="203"/>
      <c r="W647" s="14"/>
      <c r="X647" s="14"/>
      <c r="Y647" s="14"/>
      <c r="Z647" s="14"/>
      <c r="AA647" s="14"/>
      <c r="AB647" s="14"/>
      <c r="AC647" s="14"/>
      <c r="AD647" s="14"/>
      <c r="AE647" s="14"/>
      <c r="AF647" s="14"/>
      <c r="AG647" s="14"/>
      <c r="AH647" s="14"/>
      <c r="AI647" s="20"/>
      <c r="AJ647" s="14"/>
      <c r="AK647" s="14"/>
      <c r="AL647" s="14"/>
      <c r="AM647" s="14"/>
      <c r="AN647" s="14"/>
      <c r="AO647" s="14"/>
      <c r="AP647" s="14"/>
      <c r="AQ647" s="14"/>
      <c r="AR647" s="14"/>
    </row>
    <row r="648" ht="22.5" customHeight="1">
      <c r="A648" s="204"/>
      <c r="B648" s="200"/>
      <c r="C648" s="20"/>
      <c r="D648" s="14"/>
      <c r="E648" s="201"/>
      <c r="F648" s="14"/>
      <c r="G648" s="154"/>
      <c r="H648" s="14"/>
      <c r="I648" s="155"/>
      <c r="J648" s="155"/>
      <c r="K648" s="202"/>
      <c r="L648" s="14" t="str">
        <f t="shared" si="30"/>
        <v>0</v>
      </c>
      <c r="M648" s="14"/>
      <c r="N648" s="14"/>
      <c r="O648" s="14"/>
      <c r="P648" s="14"/>
      <c r="Q648" s="14"/>
      <c r="R648" s="201"/>
      <c r="S648" s="14"/>
      <c r="T648" s="14"/>
      <c r="U648" s="14"/>
      <c r="V648" s="203"/>
      <c r="W648" s="14"/>
      <c r="X648" s="14"/>
      <c r="Y648" s="14"/>
      <c r="Z648" s="14"/>
      <c r="AA648" s="14"/>
      <c r="AB648" s="14"/>
      <c r="AC648" s="14"/>
      <c r="AD648" s="14"/>
      <c r="AE648" s="14"/>
      <c r="AF648" s="14"/>
      <c r="AG648" s="14"/>
      <c r="AH648" s="14"/>
      <c r="AI648" s="20"/>
      <c r="AJ648" s="14"/>
      <c r="AK648" s="14"/>
      <c r="AL648" s="14"/>
      <c r="AM648" s="14"/>
      <c r="AN648" s="14"/>
      <c r="AO648" s="14"/>
      <c r="AP648" s="14"/>
      <c r="AQ648" s="14"/>
      <c r="AR648" s="14"/>
    </row>
    <row r="649" ht="22.5" customHeight="1">
      <c r="A649" s="204"/>
      <c r="B649" s="205"/>
      <c r="C649" s="20"/>
      <c r="D649" s="14"/>
      <c r="E649" s="201"/>
      <c r="F649" s="14"/>
      <c r="G649" s="154"/>
      <c r="H649" s="14"/>
      <c r="I649" s="155"/>
      <c r="J649" s="155"/>
      <c r="K649" s="202"/>
      <c r="L649" s="14" t="str">
        <f t="shared" si="30"/>
        <v>0</v>
      </c>
      <c r="M649" s="14"/>
      <c r="N649" s="14"/>
      <c r="O649" s="14"/>
      <c r="P649" s="14"/>
      <c r="Q649" s="14"/>
      <c r="R649" s="201"/>
      <c r="S649" s="14"/>
      <c r="T649" s="14"/>
      <c r="U649" s="14"/>
      <c r="V649" s="203"/>
      <c r="W649" s="14"/>
      <c r="X649" s="14"/>
      <c r="Y649" s="14"/>
      <c r="Z649" s="14"/>
      <c r="AA649" s="14"/>
      <c r="AB649" s="14"/>
      <c r="AC649" s="14"/>
      <c r="AD649" s="14"/>
      <c r="AE649" s="14"/>
      <c r="AF649" s="14"/>
      <c r="AG649" s="14"/>
      <c r="AH649" s="14"/>
      <c r="AI649" s="20"/>
      <c r="AJ649" s="14"/>
      <c r="AK649" s="14"/>
      <c r="AL649" s="14"/>
      <c r="AM649" s="14"/>
      <c r="AN649" s="14"/>
      <c r="AO649" s="14"/>
      <c r="AP649" s="14"/>
      <c r="AQ649" s="14"/>
      <c r="AR649" s="14"/>
    </row>
    <row r="650" ht="22.5" customHeight="1">
      <c r="A650" s="204"/>
      <c r="B650" s="200"/>
      <c r="C650" s="20"/>
      <c r="D650" s="14"/>
      <c r="E650" s="201"/>
      <c r="F650" s="14"/>
      <c r="G650" s="154"/>
      <c r="H650" s="14"/>
      <c r="I650" s="155"/>
      <c r="J650" s="155"/>
      <c r="K650" s="202"/>
      <c r="L650" s="14" t="str">
        <f t="shared" si="30"/>
        <v>0</v>
      </c>
      <c r="M650" s="14"/>
      <c r="N650" s="14"/>
      <c r="O650" s="14"/>
      <c r="P650" s="14"/>
      <c r="Q650" s="14"/>
      <c r="R650" s="201"/>
      <c r="S650" s="14"/>
      <c r="T650" s="14"/>
      <c r="U650" s="14"/>
      <c r="V650" s="203"/>
      <c r="W650" s="14"/>
      <c r="X650" s="14"/>
      <c r="Y650" s="14"/>
      <c r="Z650" s="14"/>
      <c r="AA650" s="14"/>
      <c r="AB650" s="14"/>
      <c r="AC650" s="14"/>
      <c r="AD650" s="14"/>
      <c r="AE650" s="14"/>
      <c r="AF650" s="14"/>
      <c r="AG650" s="14"/>
      <c r="AH650" s="14"/>
      <c r="AI650" s="20"/>
      <c r="AJ650" s="14"/>
      <c r="AK650" s="14"/>
      <c r="AL650" s="14"/>
      <c r="AM650" s="14"/>
      <c r="AN650" s="14"/>
      <c r="AO650" s="14"/>
      <c r="AP650" s="14"/>
      <c r="AQ650" s="14"/>
      <c r="AR650" s="14"/>
    </row>
    <row r="651" ht="22.5" customHeight="1">
      <c r="A651" s="204"/>
      <c r="B651" s="205"/>
      <c r="C651" s="20"/>
      <c r="D651" s="14"/>
      <c r="E651" s="201"/>
      <c r="F651" s="14"/>
      <c r="G651" s="154"/>
      <c r="H651" s="14"/>
      <c r="I651" s="155"/>
      <c r="J651" s="155"/>
      <c r="K651" s="202"/>
      <c r="L651" s="14" t="str">
        <f t="shared" si="30"/>
        <v>0</v>
      </c>
      <c r="M651" s="14"/>
      <c r="N651" s="14"/>
      <c r="O651" s="14"/>
      <c r="P651" s="14"/>
      <c r="Q651" s="14"/>
      <c r="R651" s="201"/>
      <c r="S651" s="14"/>
      <c r="T651" s="14"/>
      <c r="U651" s="14"/>
      <c r="V651" s="203"/>
      <c r="W651" s="14"/>
      <c r="X651" s="14"/>
      <c r="Y651" s="14"/>
      <c r="Z651" s="14"/>
      <c r="AA651" s="14"/>
      <c r="AB651" s="14"/>
      <c r="AC651" s="14"/>
      <c r="AD651" s="14"/>
      <c r="AE651" s="14"/>
      <c r="AF651" s="14"/>
      <c r="AG651" s="14"/>
      <c r="AH651" s="14"/>
      <c r="AI651" s="20"/>
      <c r="AJ651" s="14"/>
      <c r="AK651" s="14"/>
      <c r="AL651" s="14"/>
      <c r="AM651" s="14"/>
      <c r="AN651" s="14"/>
      <c r="AO651" s="14"/>
      <c r="AP651" s="14"/>
      <c r="AQ651" s="14"/>
      <c r="AR651" s="14"/>
    </row>
    <row r="652" ht="22.5" customHeight="1">
      <c r="A652" s="204"/>
      <c r="B652" s="200"/>
      <c r="C652" s="20"/>
      <c r="D652" s="14"/>
      <c r="E652" s="201"/>
      <c r="F652" s="14"/>
      <c r="G652" s="154"/>
      <c r="H652" s="14"/>
      <c r="I652" s="155"/>
      <c r="J652" s="155"/>
      <c r="K652" s="202"/>
      <c r="L652" s="14" t="str">
        <f t="shared" si="30"/>
        <v>0</v>
      </c>
      <c r="M652" s="14"/>
      <c r="N652" s="14"/>
      <c r="O652" s="14"/>
      <c r="P652" s="14"/>
      <c r="Q652" s="14"/>
      <c r="R652" s="201"/>
      <c r="S652" s="14"/>
      <c r="T652" s="14"/>
      <c r="U652" s="14"/>
      <c r="V652" s="203"/>
      <c r="W652" s="14"/>
      <c r="X652" s="14"/>
      <c r="Y652" s="14"/>
      <c r="Z652" s="14"/>
      <c r="AA652" s="14"/>
      <c r="AB652" s="14"/>
      <c r="AC652" s="14"/>
      <c r="AD652" s="14"/>
      <c r="AE652" s="14"/>
      <c r="AF652" s="14"/>
      <c r="AG652" s="14"/>
      <c r="AH652" s="14"/>
      <c r="AI652" s="20"/>
      <c r="AJ652" s="14"/>
      <c r="AK652" s="14"/>
      <c r="AL652" s="14"/>
      <c r="AM652" s="14"/>
      <c r="AN652" s="14"/>
      <c r="AO652" s="14"/>
      <c r="AP652" s="14"/>
      <c r="AQ652" s="14"/>
      <c r="AR652" s="14"/>
    </row>
    <row r="653" ht="22.5" customHeight="1">
      <c r="A653" s="204"/>
      <c r="B653" s="205"/>
      <c r="C653" s="20"/>
      <c r="D653" s="14"/>
      <c r="E653" s="201"/>
      <c r="F653" s="14"/>
      <c r="G653" s="154"/>
      <c r="H653" s="14"/>
      <c r="I653" s="155"/>
      <c r="J653" s="155"/>
      <c r="K653" s="202"/>
      <c r="L653" s="14" t="str">
        <f t="shared" si="30"/>
        <v>0</v>
      </c>
      <c r="M653" s="14"/>
      <c r="N653" s="14"/>
      <c r="O653" s="14"/>
      <c r="P653" s="14"/>
      <c r="Q653" s="14"/>
      <c r="R653" s="201"/>
      <c r="S653" s="14"/>
      <c r="T653" s="14"/>
      <c r="U653" s="14"/>
      <c r="V653" s="203"/>
      <c r="W653" s="14"/>
      <c r="X653" s="14"/>
      <c r="Y653" s="14"/>
      <c r="Z653" s="14"/>
      <c r="AA653" s="14"/>
      <c r="AB653" s="14"/>
      <c r="AC653" s="14"/>
      <c r="AD653" s="14"/>
      <c r="AE653" s="14"/>
      <c r="AF653" s="14"/>
      <c r="AG653" s="14"/>
      <c r="AH653" s="14"/>
      <c r="AI653" s="20"/>
      <c r="AJ653" s="14"/>
      <c r="AK653" s="14"/>
      <c r="AL653" s="14"/>
      <c r="AM653" s="14"/>
      <c r="AN653" s="14"/>
      <c r="AO653" s="14"/>
      <c r="AP653" s="14"/>
      <c r="AQ653" s="14"/>
      <c r="AR653" s="14"/>
    </row>
    <row r="654" ht="22.5" customHeight="1">
      <c r="A654" s="204"/>
      <c r="B654" s="200"/>
      <c r="C654" s="20"/>
      <c r="D654" s="14"/>
      <c r="E654" s="201"/>
      <c r="F654" s="14"/>
      <c r="G654" s="154"/>
      <c r="H654" s="14"/>
      <c r="I654" s="155"/>
      <c r="J654" s="155"/>
      <c r="K654" s="202"/>
      <c r="L654" s="14" t="str">
        <f t="shared" si="30"/>
        <v>0</v>
      </c>
      <c r="M654" s="14"/>
      <c r="N654" s="14"/>
      <c r="O654" s="14"/>
      <c r="P654" s="14"/>
      <c r="Q654" s="14"/>
      <c r="R654" s="201"/>
      <c r="S654" s="14"/>
      <c r="T654" s="14"/>
      <c r="U654" s="14"/>
      <c r="V654" s="203"/>
      <c r="W654" s="14"/>
      <c r="X654" s="14"/>
      <c r="Y654" s="14"/>
      <c r="Z654" s="14"/>
      <c r="AA654" s="14"/>
      <c r="AB654" s="14"/>
      <c r="AC654" s="14"/>
      <c r="AD654" s="14"/>
      <c r="AE654" s="14"/>
      <c r="AF654" s="14"/>
      <c r="AG654" s="14"/>
      <c r="AH654" s="14"/>
      <c r="AI654" s="20"/>
      <c r="AJ654" s="14"/>
      <c r="AK654" s="14"/>
      <c r="AL654" s="14"/>
      <c r="AM654" s="14"/>
      <c r="AN654" s="14"/>
      <c r="AO654" s="14"/>
      <c r="AP654" s="14"/>
      <c r="AQ654" s="14"/>
      <c r="AR654" s="14"/>
    </row>
    <row r="655" ht="22.5" customHeight="1">
      <c r="A655" s="204"/>
      <c r="B655" s="205"/>
      <c r="C655" s="20"/>
      <c r="D655" s="14"/>
      <c r="E655" s="201"/>
      <c r="F655" s="14"/>
      <c r="G655" s="154"/>
      <c r="H655" s="14"/>
      <c r="I655" s="155"/>
      <c r="J655" s="155"/>
      <c r="K655" s="202"/>
      <c r="L655" s="14" t="str">
        <f t="shared" si="30"/>
        <v>0</v>
      </c>
      <c r="M655" s="14"/>
      <c r="N655" s="14"/>
      <c r="O655" s="14"/>
      <c r="P655" s="14"/>
      <c r="Q655" s="14"/>
      <c r="R655" s="201"/>
      <c r="S655" s="14"/>
      <c r="T655" s="14"/>
      <c r="U655" s="14"/>
      <c r="V655" s="203"/>
      <c r="W655" s="14"/>
      <c r="X655" s="14"/>
      <c r="Y655" s="14"/>
      <c r="Z655" s="14"/>
      <c r="AA655" s="14"/>
      <c r="AB655" s="14"/>
      <c r="AC655" s="14"/>
      <c r="AD655" s="14"/>
      <c r="AE655" s="14"/>
      <c r="AF655" s="14"/>
      <c r="AG655" s="14"/>
      <c r="AH655" s="14"/>
      <c r="AI655" s="20"/>
      <c r="AJ655" s="14"/>
      <c r="AK655" s="14"/>
      <c r="AL655" s="14"/>
      <c r="AM655" s="14"/>
      <c r="AN655" s="14"/>
      <c r="AO655" s="14"/>
      <c r="AP655" s="14"/>
      <c r="AQ655" s="14"/>
      <c r="AR655" s="14"/>
    </row>
    <row r="656" ht="22.5" customHeight="1">
      <c r="A656" s="204"/>
      <c r="B656" s="200"/>
      <c r="C656" s="20"/>
      <c r="D656" s="14"/>
      <c r="E656" s="201"/>
      <c r="F656" s="14"/>
      <c r="G656" s="154"/>
      <c r="H656" s="14"/>
      <c r="I656" s="155"/>
      <c r="J656" s="155"/>
      <c r="K656" s="202"/>
      <c r="L656" s="14" t="str">
        <f t="shared" si="30"/>
        <v>0</v>
      </c>
      <c r="M656" s="14"/>
      <c r="N656" s="14"/>
      <c r="O656" s="14"/>
      <c r="P656" s="14"/>
      <c r="Q656" s="14"/>
      <c r="R656" s="201"/>
      <c r="S656" s="14"/>
      <c r="T656" s="14"/>
      <c r="U656" s="14"/>
      <c r="V656" s="203"/>
      <c r="W656" s="14"/>
      <c r="X656" s="14"/>
      <c r="Y656" s="14"/>
      <c r="Z656" s="14"/>
      <c r="AA656" s="14"/>
      <c r="AB656" s="14"/>
      <c r="AC656" s="14"/>
      <c r="AD656" s="14"/>
      <c r="AE656" s="14"/>
      <c r="AF656" s="14"/>
      <c r="AG656" s="14"/>
      <c r="AH656" s="14"/>
      <c r="AI656" s="20"/>
      <c r="AJ656" s="14"/>
      <c r="AK656" s="14"/>
      <c r="AL656" s="14"/>
      <c r="AM656" s="14"/>
      <c r="AN656" s="14"/>
      <c r="AO656" s="14"/>
      <c r="AP656" s="14"/>
      <c r="AQ656" s="14"/>
      <c r="AR656" s="14"/>
    </row>
    <row r="657" ht="22.5" customHeight="1">
      <c r="A657" s="204"/>
      <c r="B657" s="205"/>
      <c r="C657" s="20"/>
      <c r="D657" s="14"/>
      <c r="E657" s="201"/>
      <c r="F657" s="14"/>
      <c r="G657" s="154"/>
      <c r="H657" s="14"/>
      <c r="I657" s="155"/>
      <c r="J657" s="155"/>
      <c r="K657" s="202"/>
      <c r="L657" s="14" t="str">
        <f t="shared" si="30"/>
        <v>0</v>
      </c>
      <c r="M657" s="14"/>
      <c r="N657" s="14"/>
      <c r="O657" s="14"/>
      <c r="P657" s="14"/>
      <c r="Q657" s="14"/>
      <c r="R657" s="201"/>
      <c r="S657" s="14"/>
      <c r="T657" s="14"/>
      <c r="U657" s="14"/>
      <c r="V657" s="203"/>
      <c r="W657" s="14"/>
      <c r="X657" s="14"/>
      <c r="Y657" s="14"/>
      <c r="Z657" s="14"/>
      <c r="AA657" s="14"/>
      <c r="AB657" s="14"/>
      <c r="AC657" s="14"/>
      <c r="AD657" s="14"/>
      <c r="AE657" s="14"/>
      <c r="AF657" s="14"/>
      <c r="AG657" s="14"/>
      <c r="AH657" s="14"/>
      <c r="AI657" s="20"/>
      <c r="AJ657" s="14"/>
      <c r="AK657" s="14"/>
      <c r="AL657" s="14"/>
      <c r="AM657" s="14"/>
      <c r="AN657" s="14"/>
      <c r="AO657" s="14"/>
      <c r="AP657" s="14"/>
      <c r="AQ657" s="14"/>
      <c r="AR657" s="14"/>
    </row>
    <row r="658" ht="22.5" customHeight="1">
      <c r="A658" s="204"/>
      <c r="B658" s="200"/>
      <c r="C658" s="20"/>
      <c r="D658" s="14"/>
      <c r="E658" s="201"/>
      <c r="F658" s="14"/>
      <c r="G658" s="154"/>
      <c r="H658" s="14"/>
      <c r="I658" s="155"/>
      <c r="J658" s="155"/>
      <c r="K658" s="202"/>
      <c r="L658" s="14" t="str">
        <f t="shared" si="30"/>
        <v>0</v>
      </c>
      <c r="M658" s="14"/>
      <c r="N658" s="14"/>
      <c r="O658" s="14"/>
      <c r="P658" s="14"/>
      <c r="Q658" s="14"/>
      <c r="R658" s="201"/>
      <c r="S658" s="14"/>
      <c r="T658" s="14"/>
      <c r="U658" s="14"/>
      <c r="V658" s="203"/>
      <c r="W658" s="14"/>
      <c r="X658" s="14"/>
      <c r="Y658" s="14"/>
      <c r="Z658" s="14"/>
      <c r="AA658" s="14"/>
      <c r="AB658" s="14"/>
      <c r="AC658" s="14"/>
      <c r="AD658" s="14"/>
      <c r="AE658" s="14"/>
      <c r="AF658" s="14"/>
      <c r="AG658" s="14"/>
      <c r="AH658" s="14"/>
      <c r="AI658" s="20"/>
      <c r="AJ658" s="14"/>
      <c r="AK658" s="14"/>
      <c r="AL658" s="14"/>
      <c r="AM658" s="14"/>
      <c r="AN658" s="14"/>
      <c r="AO658" s="14"/>
      <c r="AP658" s="14"/>
      <c r="AQ658" s="14"/>
      <c r="AR658" s="14"/>
    </row>
    <row r="659" ht="22.5" customHeight="1">
      <c r="A659" s="204"/>
      <c r="B659" s="205"/>
      <c r="C659" s="20"/>
      <c r="D659" s="14"/>
      <c r="E659" s="201"/>
      <c r="F659" s="14"/>
      <c r="G659" s="154"/>
      <c r="H659" s="14"/>
      <c r="I659" s="155"/>
      <c r="J659" s="155"/>
      <c r="K659" s="202"/>
      <c r="L659" s="14" t="str">
        <f t="shared" si="30"/>
        <v>0</v>
      </c>
      <c r="M659" s="14"/>
      <c r="N659" s="14"/>
      <c r="O659" s="14"/>
      <c r="P659" s="14"/>
      <c r="Q659" s="14"/>
      <c r="R659" s="201"/>
      <c r="S659" s="14"/>
      <c r="T659" s="14"/>
      <c r="U659" s="14"/>
      <c r="V659" s="203"/>
      <c r="W659" s="14"/>
      <c r="X659" s="14"/>
      <c r="Y659" s="14"/>
      <c r="Z659" s="14"/>
      <c r="AA659" s="14"/>
      <c r="AB659" s="14"/>
      <c r="AC659" s="14"/>
      <c r="AD659" s="14"/>
      <c r="AE659" s="14"/>
      <c r="AF659" s="14"/>
      <c r="AG659" s="14"/>
      <c r="AH659" s="14"/>
      <c r="AI659" s="20"/>
      <c r="AJ659" s="14"/>
      <c r="AK659" s="14"/>
      <c r="AL659" s="14"/>
      <c r="AM659" s="14"/>
      <c r="AN659" s="14"/>
      <c r="AO659" s="14"/>
      <c r="AP659" s="14"/>
      <c r="AQ659" s="14"/>
      <c r="AR659" s="14"/>
    </row>
    <row r="660" ht="22.5" customHeight="1">
      <c r="A660" s="204"/>
      <c r="B660" s="200"/>
      <c r="C660" s="20"/>
      <c r="D660" s="14"/>
      <c r="E660" s="201"/>
      <c r="F660" s="14"/>
      <c r="G660" s="154"/>
      <c r="H660" s="14"/>
      <c r="I660" s="155"/>
      <c r="J660" s="155"/>
      <c r="K660" s="202"/>
      <c r="L660" s="14" t="str">
        <f t="shared" si="30"/>
        <v>0</v>
      </c>
      <c r="M660" s="14"/>
      <c r="N660" s="14"/>
      <c r="O660" s="14"/>
      <c r="P660" s="14"/>
      <c r="Q660" s="14"/>
      <c r="R660" s="201"/>
      <c r="S660" s="14"/>
      <c r="T660" s="14"/>
      <c r="U660" s="14"/>
      <c r="V660" s="203"/>
      <c r="W660" s="14"/>
      <c r="X660" s="14"/>
      <c r="Y660" s="14"/>
      <c r="Z660" s="14"/>
      <c r="AA660" s="14"/>
      <c r="AB660" s="14"/>
      <c r="AC660" s="14"/>
      <c r="AD660" s="14"/>
      <c r="AE660" s="14"/>
      <c r="AF660" s="14"/>
      <c r="AG660" s="14"/>
      <c r="AH660" s="14"/>
      <c r="AI660" s="20"/>
      <c r="AJ660" s="14"/>
      <c r="AK660" s="14"/>
      <c r="AL660" s="14"/>
      <c r="AM660" s="14"/>
      <c r="AN660" s="14"/>
      <c r="AO660" s="14"/>
      <c r="AP660" s="14"/>
      <c r="AQ660" s="14"/>
      <c r="AR660" s="14"/>
    </row>
    <row r="661" ht="22.5" customHeight="1">
      <c r="A661" s="204"/>
      <c r="B661" s="205"/>
      <c r="C661" s="20"/>
      <c r="D661" s="14"/>
      <c r="E661" s="201"/>
      <c r="F661" s="14"/>
      <c r="G661" s="154"/>
      <c r="H661" s="14"/>
      <c r="I661" s="11"/>
      <c r="J661" s="9"/>
      <c r="K661" s="202"/>
      <c r="L661" s="14" t="str">
        <f t="shared" si="30"/>
        <v>0</v>
      </c>
      <c r="M661" s="14"/>
      <c r="N661" s="14"/>
      <c r="O661" s="14"/>
      <c r="P661" s="14"/>
      <c r="Q661" s="14"/>
      <c r="R661" s="201"/>
      <c r="S661" s="14"/>
      <c r="T661" s="14"/>
      <c r="U661" s="14"/>
      <c r="V661" s="203"/>
      <c r="W661" s="14"/>
      <c r="X661" s="14"/>
      <c r="Y661" s="14"/>
      <c r="Z661" s="14"/>
      <c r="AA661" s="14"/>
      <c r="AB661" s="14"/>
      <c r="AC661" s="14"/>
      <c r="AD661" s="14"/>
      <c r="AE661" s="14"/>
      <c r="AF661" s="14"/>
      <c r="AG661" s="14"/>
      <c r="AH661" s="14"/>
      <c r="AI661" s="20"/>
      <c r="AJ661" s="14"/>
      <c r="AK661" s="14"/>
      <c r="AL661" s="14"/>
      <c r="AM661" s="14"/>
      <c r="AN661" s="14"/>
      <c r="AO661" s="14"/>
      <c r="AP661" s="14"/>
      <c r="AQ661" s="14"/>
      <c r="AR661" s="14"/>
    </row>
    <row r="662" ht="22.5" customHeight="1">
      <c r="A662" s="204"/>
      <c r="B662" s="200"/>
      <c r="C662" s="20"/>
      <c r="D662" s="14"/>
      <c r="E662" s="201"/>
      <c r="F662" s="14"/>
      <c r="G662" s="154"/>
      <c r="H662" s="14"/>
      <c r="I662" s="155"/>
      <c r="J662" s="155"/>
      <c r="K662" s="202"/>
      <c r="L662" s="14" t="str">
        <f t="shared" si="30"/>
        <v>0</v>
      </c>
      <c r="M662" s="14"/>
      <c r="N662" s="14"/>
      <c r="O662" s="14"/>
      <c r="P662" s="14"/>
      <c r="Q662" s="14"/>
      <c r="R662" s="201"/>
      <c r="S662" s="14"/>
      <c r="T662" s="14"/>
      <c r="U662" s="14"/>
      <c r="V662" s="203"/>
      <c r="W662" s="14"/>
      <c r="X662" s="14"/>
      <c r="Y662" s="14"/>
      <c r="Z662" s="14"/>
      <c r="AA662" s="14"/>
      <c r="AB662" s="14"/>
      <c r="AC662" s="14"/>
      <c r="AD662" s="14"/>
      <c r="AE662" s="14"/>
      <c r="AF662" s="14"/>
      <c r="AG662" s="14"/>
      <c r="AH662" s="14"/>
      <c r="AI662" s="20"/>
      <c r="AJ662" s="14"/>
      <c r="AK662" s="14"/>
      <c r="AL662" s="14"/>
      <c r="AM662" s="14"/>
      <c r="AN662" s="14"/>
      <c r="AO662" s="14"/>
      <c r="AP662" s="14"/>
      <c r="AQ662" s="14"/>
      <c r="AR662" s="14"/>
    </row>
    <row r="663" ht="22.5" customHeight="1">
      <c r="A663" s="204"/>
      <c r="B663" s="205"/>
      <c r="C663" s="20"/>
      <c r="D663" s="14"/>
      <c r="E663" s="201"/>
      <c r="F663" s="14"/>
      <c r="G663" s="154"/>
      <c r="H663" s="14"/>
      <c r="I663" s="155"/>
      <c r="J663" s="155"/>
      <c r="K663" s="202"/>
      <c r="L663" s="14" t="str">
        <f t="shared" si="30"/>
        <v>0</v>
      </c>
      <c r="M663" s="14"/>
      <c r="N663" s="14"/>
      <c r="O663" s="14"/>
      <c r="P663" s="14"/>
      <c r="Q663" s="14"/>
      <c r="R663" s="201"/>
      <c r="S663" s="14"/>
      <c r="T663" s="14"/>
      <c r="U663" s="14"/>
      <c r="V663" s="203"/>
      <c r="W663" s="14"/>
      <c r="X663" s="14"/>
      <c r="Y663" s="14"/>
      <c r="Z663" s="14"/>
      <c r="AA663" s="14"/>
      <c r="AB663" s="14"/>
      <c r="AC663" s="14"/>
      <c r="AD663" s="14"/>
      <c r="AE663" s="14"/>
      <c r="AF663" s="14"/>
      <c r="AG663" s="14"/>
      <c r="AH663" s="14"/>
      <c r="AI663" s="20"/>
      <c r="AJ663" s="14"/>
      <c r="AK663" s="14"/>
      <c r="AL663" s="14"/>
      <c r="AM663" s="14"/>
      <c r="AN663" s="14"/>
      <c r="AO663" s="14"/>
      <c r="AP663" s="14"/>
      <c r="AQ663" s="14"/>
      <c r="AR663" s="14"/>
    </row>
    <row r="664" ht="22.5" customHeight="1">
      <c r="A664" s="204"/>
      <c r="B664" s="200"/>
      <c r="C664" s="20"/>
      <c r="D664" s="14"/>
      <c r="E664" s="201"/>
      <c r="F664" s="14"/>
      <c r="G664" s="154"/>
      <c r="H664" s="14"/>
      <c r="I664" s="155"/>
      <c r="J664" s="155"/>
      <c r="K664" s="202"/>
      <c r="L664" s="14" t="str">
        <f t="shared" si="30"/>
        <v>0</v>
      </c>
      <c r="M664" s="14"/>
      <c r="N664" s="14"/>
      <c r="O664" s="14"/>
      <c r="P664" s="14"/>
      <c r="Q664" s="14"/>
      <c r="R664" s="201"/>
      <c r="S664" s="14"/>
      <c r="T664" s="14"/>
      <c r="U664" s="14"/>
      <c r="V664" s="203"/>
      <c r="W664" s="14"/>
      <c r="X664" s="14"/>
      <c r="Y664" s="14"/>
      <c r="Z664" s="14"/>
      <c r="AA664" s="14"/>
      <c r="AB664" s="14"/>
      <c r="AC664" s="14"/>
      <c r="AD664" s="14"/>
      <c r="AE664" s="14"/>
      <c r="AF664" s="14"/>
      <c r="AG664" s="14"/>
      <c r="AH664" s="14"/>
      <c r="AI664" s="20"/>
      <c r="AJ664" s="14"/>
      <c r="AK664" s="14"/>
      <c r="AL664" s="14"/>
      <c r="AM664" s="14"/>
      <c r="AN664" s="14"/>
      <c r="AO664" s="14"/>
      <c r="AP664" s="14"/>
      <c r="AQ664" s="14"/>
      <c r="AR664" s="14"/>
    </row>
    <row r="665" ht="22.5" customHeight="1">
      <c r="A665" s="204"/>
      <c r="B665" s="205"/>
      <c r="C665" s="20"/>
      <c r="D665" s="14"/>
      <c r="E665" s="201"/>
      <c r="F665" s="14"/>
      <c r="G665" s="154"/>
      <c r="H665" s="14"/>
      <c r="I665" s="155"/>
      <c r="J665" s="155"/>
      <c r="K665" s="202"/>
      <c r="L665" s="14" t="str">
        <f t="shared" si="30"/>
        <v>0</v>
      </c>
      <c r="M665" s="14"/>
      <c r="N665" s="14"/>
      <c r="O665" s="14"/>
      <c r="P665" s="14"/>
      <c r="Q665" s="14"/>
      <c r="R665" s="201"/>
      <c r="S665" s="14"/>
      <c r="T665" s="14"/>
      <c r="U665" s="14"/>
      <c r="V665" s="203"/>
      <c r="W665" s="14"/>
      <c r="X665" s="14"/>
      <c r="Y665" s="14"/>
      <c r="Z665" s="14"/>
      <c r="AA665" s="14"/>
      <c r="AB665" s="14"/>
      <c r="AC665" s="14"/>
      <c r="AD665" s="14"/>
      <c r="AE665" s="14"/>
      <c r="AF665" s="14"/>
      <c r="AG665" s="14"/>
      <c r="AH665" s="14"/>
      <c r="AI665" s="20"/>
      <c r="AJ665" s="14"/>
      <c r="AK665" s="14"/>
      <c r="AL665" s="14"/>
      <c r="AM665" s="14"/>
      <c r="AN665" s="14"/>
      <c r="AO665" s="14"/>
      <c r="AP665" s="14"/>
      <c r="AQ665" s="14"/>
      <c r="AR665" s="14"/>
    </row>
    <row r="666" ht="22.5" customHeight="1">
      <c r="A666" s="204"/>
      <c r="B666" s="200"/>
      <c r="C666" s="20"/>
      <c r="D666" s="14"/>
      <c r="E666" s="201"/>
      <c r="F666" s="14"/>
      <c r="G666" s="154"/>
      <c r="H666" s="14"/>
      <c r="I666" s="155"/>
      <c r="J666" s="155"/>
      <c r="K666" s="202"/>
      <c r="L666" s="14" t="str">
        <f t="shared" si="30"/>
        <v>0</v>
      </c>
      <c r="M666" s="14"/>
      <c r="N666" s="14"/>
      <c r="O666" s="14"/>
      <c r="P666" s="14"/>
      <c r="Q666" s="14"/>
      <c r="R666" s="201"/>
      <c r="S666" s="14"/>
      <c r="T666" s="14"/>
      <c r="U666" s="14"/>
      <c r="V666" s="203"/>
      <c r="W666" s="14"/>
      <c r="X666" s="14"/>
      <c r="Y666" s="14"/>
      <c r="Z666" s="14"/>
      <c r="AA666" s="14"/>
      <c r="AB666" s="14"/>
      <c r="AC666" s="14"/>
      <c r="AD666" s="14"/>
      <c r="AE666" s="14"/>
      <c r="AF666" s="14"/>
      <c r="AG666" s="14"/>
      <c r="AH666" s="14"/>
      <c r="AI666" s="20"/>
      <c r="AJ666" s="14"/>
      <c r="AK666" s="14"/>
      <c r="AL666" s="14"/>
      <c r="AM666" s="14"/>
      <c r="AN666" s="14"/>
      <c r="AO666" s="14"/>
      <c r="AP666" s="14"/>
      <c r="AQ666" s="14"/>
      <c r="AR666" s="14"/>
    </row>
    <row r="667" ht="22.5" customHeight="1">
      <c r="A667" s="204"/>
      <c r="B667" s="205"/>
      <c r="C667" s="20"/>
      <c r="D667" s="14"/>
      <c r="E667" s="201"/>
      <c r="F667" s="14"/>
      <c r="G667" s="154"/>
      <c r="H667" s="14"/>
      <c r="I667" s="155"/>
      <c r="J667" s="155"/>
      <c r="K667" s="202"/>
      <c r="L667" s="14" t="str">
        <f t="shared" si="30"/>
        <v>0</v>
      </c>
      <c r="M667" s="14"/>
      <c r="N667" s="14"/>
      <c r="O667" s="14"/>
      <c r="P667" s="14"/>
      <c r="Q667" s="14"/>
      <c r="R667" s="201"/>
      <c r="S667" s="14"/>
      <c r="T667" s="14"/>
      <c r="U667" s="14"/>
      <c r="V667" s="203"/>
      <c r="W667" s="14"/>
      <c r="X667" s="14"/>
      <c r="Y667" s="14"/>
      <c r="Z667" s="14"/>
      <c r="AA667" s="14"/>
      <c r="AB667" s="14"/>
      <c r="AC667" s="14"/>
      <c r="AD667" s="14"/>
      <c r="AE667" s="14"/>
      <c r="AF667" s="14"/>
      <c r="AG667" s="14"/>
      <c r="AH667" s="14"/>
      <c r="AI667" s="20"/>
      <c r="AJ667" s="14"/>
      <c r="AK667" s="14"/>
      <c r="AL667" s="14"/>
      <c r="AM667" s="14"/>
      <c r="AN667" s="14"/>
      <c r="AO667" s="14"/>
      <c r="AP667" s="14"/>
      <c r="AQ667" s="14"/>
      <c r="AR667" s="14"/>
    </row>
    <row r="668" ht="22.5" customHeight="1">
      <c r="A668" s="204"/>
      <c r="B668" s="200"/>
      <c r="C668" s="20"/>
      <c r="D668" s="14"/>
      <c r="E668" s="201"/>
      <c r="F668" s="14"/>
      <c r="G668" s="154"/>
      <c r="H668" s="14"/>
      <c r="I668" s="155"/>
      <c r="J668" s="155"/>
      <c r="K668" s="202"/>
      <c r="L668" s="14" t="str">
        <f t="shared" si="30"/>
        <v>0</v>
      </c>
      <c r="M668" s="14"/>
      <c r="N668" s="14"/>
      <c r="O668" s="14"/>
      <c r="P668" s="14"/>
      <c r="Q668" s="14"/>
      <c r="R668" s="201"/>
      <c r="S668" s="14"/>
      <c r="T668" s="14"/>
      <c r="U668" s="14"/>
      <c r="V668" s="203"/>
      <c r="W668" s="14"/>
      <c r="X668" s="14"/>
      <c r="Y668" s="14"/>
      <c r="Z668" s="14"/>
      <c r="AA668" s="14"/>
      <c r="AB668" s="14"/>
      <c r="AC668" s="14"/>
      <c r="AD668" s="14"/>
      <c r="AE668" s="14"/>
      <c r="AF668" s="14"/>
      <c r="AG668" s="14"/>
      <c r="AH668" s="14"/>
      <c r="AI668" s="20"/>
      <c r="AJ668" s="14"/>
      <c r="AK668" s="14"/>
      <c r="AL668" s="14"/>
      <c r="AM668" s="14"/>
      <c r="AN668" s="14"/>
      <c r="AO668" s="14"/>
      <c r="AP668" s="14"/>
      <c r="AQ668" s="14"/>
      <c r="AR668" s="14"/>
    </row>
    <row r="669" ht="22.5" customHeight="1">
      <c r="A669" s="204"/>
      <c r="B669" s="205"/>
      <c r="C669" s="20"/>
      <c r="D669" s="14"/>
      <c r="E669" s="201"/>
      <c r="F669" s="14"/>
      <c r="G669" s="154"/>
      <c r="H669" s="14"/>
      <c r="I669" s="155"/>
      <c r="J669" s="155"/>
      <c r="K669" s="202"/>
      <c r="L669" s="14" t="str">
        <f t="shared" si="30"/>
        <v>0</v>
      </c>
      <c r="M669" s="14"/>
      <c r="N669" s="14"/>
      <c r="O669" s="14"/>
      <c r="P669" s="14"/>
      <c r="Q669" s="14"/>
      <c r="R669" s="201"/>
      <c r="S669" s="14"/>
      <c r="T669" s="14"/>
      <c r="U669" s="14"/>
      <c r="V669" s="203"/>
      <c r="W669" s="14"/>
      <c r="X669" s="14"/>
      <c r="Y669" s="14"/>
      <c r="Z669" s="14"/>
      <c r="AA669" s="14"/>
      <c r="AB669" s="14"/>
      <c r="AC669" s="14"/>
      <c r="AD669" s="14"/>
      <c r="AE669" s="14"/>
      <c r="AF669" s="14"/>
      <c r="AG669" s="14"/>
      <c r="AH669" s="14"/>
      <c r="AI669" s="20"/>
      <c r="AJ669" s="14"/>
      <c r="AK669" s="14"/>
      <c r="AL669" s="14"/>
      <c r="AM669" s="14"/>
      <c r="AN669" s="14"/>
      <c r="AO669" s="14"/>
      <c r="AP669" s="14"/>
      <c r="AQ669" s="14"/>
      <c r="AR669" s="14"/>
    </row>
    <row r="670" ht="22.5" customHeight="1">
      <c r="A670" s="204"/>
      <c r="B670" s="200"/>
      <c r="C670" s="20"/>
      <c r="D670" s="14"/>
      <c r="E670" s="201"/>
      <c r="F670" s="14"/>
      <c r="G670" s="154"/>
      <c r="H670" s="14"/>
      <c r="I670" s="155"/>
      <c r="J670" s="155"/>
      <c r="K670" s="202"/>
      <c r="L670" s="14" t="str">
        <f t="shared" si="30"/>
        <v>0</v>
      </c>
      <c r="M670" s="14"/>
      <c r="N670" s="14"/>
      <c r="O670" s="14"/>
      <c r="P670" s="14"/>
      <c r="Q670" s="14"/>
      <c r="R670" s="201"/>
      <c r="S670" s="14"/>
      <c r="T670" s="14"/>
      <c r="U670" s="14"/>
      <c r="V670" s="203"/>
      <c r="W670" s="14"/>
      <c r="X670" s="14"/>
      <c r="Y670" s="14"/>
      <c r="Z670" s="14"/>
      <c r="AA670" s="14"/>
      <c r="AB670" s="14"/>
      <c r="AC670" s="14"/>
      <c r="AD670" s="14"/>
      <c r="AE670" s="14"/>
      <c r="AF670" s="14"/>
      <c r="AG670" s="14"/>
      <c r="AH670" s="14"/>
      <c r="AI670" s="20"/>
      <c r="AJ670" s="14"/>
      <c r="AK670" s="14"/>
      <c r="AL670" s="14"/>
      <c r="AM670" s="14"/>
      <c r="AN670" s="14"/>
      <c r="AO670" s="14"/>
      <c r="AP670" s="14"/>
      <c r="AQ670" s="14"/>
      <c r="AR670" s="14"/>
    </row>
    <row r="671" ht="22.5" customHeight="1">
      <c r="A671" s="204"/>
      <c r="B671" s="205"/>
      <c r="C671" s="20"/>
      <c r="D671" s="14"/>
      <c r="E671" s="201"/>
      <c r="F671" s="14"/>
      <c r="G671" s="154"/>
      <c r="H671" s="14"/>
      <c r="I671" s="155"/>
      <c r="J671" s="155"/>
      <c r="K671" s="202"/>
      <c r="L671" s="14" t="str">
        <f t="shared" si="30"/>
        <v>0</v>
      </c>
      <c r="M671" s="14"/>
      <c r="N671" s="14"/>
      <c r="O671" s="14"/>
      <c r="P671" s="14"/>
      <c r="Q671" s="14"/>
      <c r="R671" s="201"/>
      <c r="S671" s="14"/>
      <c r="T671" s="14"/>
      <c r="U671" s="14"/>
      <c r="V671" s="203"/>
      <c r="W671" s="14"/>
      <c r="X671" s="14"/>
      <c r="Y671" s="14"/>
      <c r="Z671" s="14"/>
      <c r="AA671" s="14"/>
      <c r="AB671" s="14"/>
      <c r="AC671" s="14"/>
      <c r="AD671" s="14"/>
      <c r="AE671" s="14"/>
      <c r="AF671" s="14"/>
      <c r="AG671" s="14"/>
      <c r="AH671" s="14"/>
      <c r="AI671" s="20"/>
      <c r="AJ671" s="14"/>
      <c r="AK671" s="14"/>
      <c r="AL671" s="14"/>
      <c r="AM671" s="14"/>
      <c r="AN671" s="14"/>
      <c r="AO671" s="14"/>
      <c r="AP671" s="14"/>
      <c r="AQ671" s="14"/>
      <c r="AR671" s="14"/>
    </row>
    <row r="672" ht="22.5" customHeight="1">
      <c r="A672" s="204"/>
      <c r="B672" s="200"/>
      <c r="C672" s="20"/>
      <c r="D672" s="14"/>
      <c r="E672" s="201"/>
      <c r="F672" s="14"/>
      <c r="G672" s="154"/>
      <c r="H672" s="14"/>
      <c r="I672" s="155"/>
      <c r="J672" s="155"/>
      <c r="K672" s="202"/>
      <c r="L672" s="14" t="str">
        <f t="shared" si="30"/>
        <v>0</v>
      </c>
      <c r="M672" s="14"/>
      <c r="N672" s="14"/>
      <c r="O672" s="14"/>
      <c r="P672" s="14"/>
      <c r="Q672" s="14"/>
      <c r="R672" s="201"/>
      <c r="S672" s="14"/>
      <c r="T672" s="14"/>
      <c r="U672" s="14"/>
      <c r="V672" s="203"/>
      <c r="W672" s="14"/>
      <c r="X672" s="14"/>
      <c r="Y672" s="14"/>
      <c r="Z672" s="14"/>
      <c r="AA672" s="14"/>
      <c r="AB672" s="14"/>
      <c r="AC672" s="14"/>
      <c r="AD672" s="14"/>
      <c r="AE672" s="14"/>
      <c r="AF672" s="14"/>
      <c r="AG672" s="14"/>
      <c r="AH672" s="14"/>
      <c r="AI672" s="20"/>
      <c r="AJ672" s="14"/>
      <c r="AK672" s="14"/>
      <c r="AL672" s="14"/>
      <c r="AM672" s="14"/>
      <c r="AN672" s="14"/>
      <c r="AO672" s="14"/>
      <c r="AP672" s="14"/>
      <c r="AQ672" s="14"/>
      <c r="AR672" s="14"/>
    </row>
    <row r="673" ht="22.5" customHeight="1">
      <c r="A673" s="204"/>
      <c r="B673" s="205"/>
      <c r="C673" s="20"/>
      <c r="D673" s="14"/>
      <c r="E673" s="201"/>
      <c r="F673" s="14"/>
      <c r="G673" s="154"/>
      <c r="H673" s="14"/>
      <c r="I673" s="155"/>
      <c r="J673" s="155"/>
      <c r="K673" s="202"/>
      <c r="L673" s="14" t="str">
        <f t="shared" si="30"/>
        <v>0</v>
      </c>
      <c r="M673" s="14"/>
      <c r="N673" s="14"/>
      <c r="O673" s="14"/>
      <c r="P673" s="14"/>
      <c r="Q673" s="14"/>
      <c r="R673" s="201"/>
      <c r="S673" s="14"/>
      <c r="T673" s="14"/>
      <c r="U673" s="14"/>
      <c r="V673" s="203"/>
      <c r="W673" s="14"/>
      <c r="X673" s="14"/>
      <c r="Y673" s="14"/>
      <c r="Z673" s="14"/>
      <c r="AA673" s="14"/>
      <c r="AB673" s="14"/>
      <c r="AC673" s="14"/>
      <c r="AD673" s="14"/>
      <c r="AE673" s="14"/>
      <c r="AF673" s="14"/>
      <c r="AG673" s="14"/>
      <c r="AH673" s="14"/>
      <c r="AI673" s="20"/>
      <c r="AJ673" s="14"/>
      <c r="AK673" s="14"/>
      <c r="AL673" s="14"/>
      <c r="AM673" s="14"/>
      <c r="AN673" s="14"/>
      <c r="AO673" s="14"/>
      <c r="AP673" s="14"/>
      <c r="AQ673" s="14"/>
      <c r="AR673" s="14"/>
    </row>
    <row r="674" ht="22.5" customHeight="1">
      <c r="A674" s="204"/>
      <c r="B674" s="200"/>
      <c r="C674" s="20"/>
      <c r="D674" s="14"/>
      <c r="E674" s="201"/>
      <c r="F674" s="14"/>
      <c r="G674" s="154"/>
      <c r="H674" s="14"/>
      <c r="I674" s="155"/>
      <c r="J674" s="155"/>
      <c r="K674" s="202"/>
      <c r="L674" s="14" t="str">
        <f t="shared" si="30"/>
        <v>0</v>
      </c>
      <c r="M674" s="14"/>
      <c r="N674" s="14"/>
      <c r="O674" s="14"/>
      <c r="P674" s="14"/>
      <c r="Q674" s="14"/>
      <c r="R674" s="201"/>
      <c r="S674" s="14"/>
      <c r="T674" s="14"/>
      <c r="U674" s="14"/>
      <c r="V674" s="203"/>
      <c r="W674" s="14"/>
      <c r="X674" s="14"/>
      <c r="Y674" s="14"/>
      <c r="Z674" s="14"/>
      <c r="AA674" s="14"/>
      <c r="AB674" s="14"/>
      <c r="AC674" s="14"/>
      <c r="AD674" s="14"/>
      <c r="AE674" s="14"/>
      <c r="AF674" s="14"/>
      <c r="AG674" s="14"/>
      <c r="AH674" s="14"/>
      <c r="AI674" s="20"/>
      <c r="AJ674" s="14"/>
      <c r="AK674" s="14"/>
      <c r="AL674" s="14"/>
      <c r="AM674" s="14"/>
      <c r="AN674" s="14"/>
      <c r="AO674" s="14"/>
      <c r="AP674" s="14"/>
      <c r="AQ674" s="14"/>
      <c r="AR674" s="14"/>
    </row>
    <row r="675" ht="22.5" customHeight="1">
      <c r="A675" s="204"/>
      <c r="B675" s="205"/>
      <c r="C675" s="20"/>
      <c r="D675" s="14"/>
      <c r="E675" s="201"/>
      <c r="F675" s="14"/>
      <c r="G675" s="154"/>
      <c r="H675" s="14"/>
      <c r="I675" s="155"/>
      <c r="J675" s="155"/>
      <c r="K675" s="202"/>
      <c r="L675" s="14" t="str">
        <f t="shared" si="30"/>
        <v>0</v>
      </c>
      <c r="M675" s="14"/>
      <c r="N675" s="14"/>
      <c r="O675" s="14"/>
      <c r="P675" s="14"/>
      <c r="Q675" s="14"/>
      <c r="R675" s="201"/>
      <c r="S675" s="14"/>
      <c r="T675" s="14"/>
      <c r="U675" s="14"/>
      <c r="V675" s="203"/>
      <c r="W675" s="14"/>
      <c r="X675" s="14"/>
      <c r="Y675" s="14"/>
      <c r="Z675" s="14"/>
      <c r="AA675" s="14"/>
      <c r="AB675" s="14"/>
      <c r="AC675" s="14"/>
      <c r="AD675" s="14"/>
      <c r="AE675" s="14"/>
      <c r="AF675" s="14"/>
      <c r="AG675" s="14"/>
      <c r="AH675" s="14"/>
      <c r="AI675" s="20"/>
      <c r="AJ675" s="14"/>
      <c r="AK675" s="14"/>
      <c r="AL675" s="14"/>
      <c r="AM675" s="14"/>
      <c r="AN675" s="14"/>
      <c r="AO675" s="14"/>
      <c r="AP675" s="14"/>
      <c r="AQ675" s="14"/>
      <c r="AR675" s="14"/>
    </row>
    <row r="676" ht="22.5" customHeight="1">
      <c r="A676" s="204"/>
      <c r="B676" s="200"/>
      <c r="C676" s="20"/>
      <c r="D676" s="14"/>
      <c r="E676" s="201"/>
      <c r="F676" s="14"/>
      <c r="G676" s="154"/>
      <c r="H676" s="14"/>
      <c r="I676" s="155"/>
      <c r="J676" s="155"/>
      <c r="K676" s="202"/>
      <c r="L676" s="14" t="str">
        <f t="shared" si="30"/>
        <v>0</v>
      </c>
      <c r="M676" s="14"/>
      <c r="N676" s="14"/>
      <c r="O676" s="14"/>
      <c r="P676" s="14"/>
      <c r="Q676" s="14"/>
      <c r="R676" s="201"/>
      <c r="S676" s="14"/>
      <c r="T676" s="14"/>
      <c r="U676" s="14"/>
      <c r="V676" s="203"/>
      <c r="W676" s="14"/>
      <c r="X676" s="14"/>
      <c r="Y676" s="14"/>
      <c r="Z676" s="14"/>
      <c r="AA676" s="14"/>
      <c r="AB676" s="14"/>
      <c r="AC676" s="14"/>
      <c r="AD676" s="14"/>
      <c r="AE676" s="14"/>
      <c r="AF676" s="14"/>
      <c r="AG676" s="14"/>
      <c r="AH676" s="14"/>
      <c r="AI676" s="20"/>
      <c r="AJ676" s="14"/>
      <c r="AK676" s="14"/>
      <c r="AL676" s="14"/>
      <c r="AM676" s="14"/>
      <c r="AN676" s="14"/>
      <c r="AO676" s="14"/>
      <c r="AP676" s="14"/>
      <c r="AQ676" s="14"/>
      <c r="AR676" s="14"/>
    </row>
    <row r="677" ht="22.5" customHeight="1">
      <c r="A677" s="204"/>
      <c r="B677" s="205"/>
      <c r="C677" s="20"/>
      <c r="D677" s="14"/>
      <c r="E677" s="201"/>
      <c r="F677" s="14"/>
      <c r="G677" s="154"/>
      <c r="H677" s="14"/>
      <c r="I677" s="155"/>
      <c r="J677" s="155"/>
      <c r="K677" s="202"/>
      <c r="L677" s="14" t="str">
        <f t="shared" si="30"/>
        <v>0</v>
      </c>
      <c r="M677" s="14"/>
      <c r="N677" s="14"/>
      <c r="O677" s="14"/>
      <c r="P677" s="14"/>
      <c r="Q677" s="14"/>
      <c r="R677" s="201"/>
      <c r="S677" s="14"/>
      <c r="T677" s="14"/>
      <c r="U677" s="14"/>
      <c r="V677" s="203"/>
      <c r="W677" s="14"/>
      <c r="X677" s="14"/>
      <c r="Y677" s="14"/>
      <c r="Z677" s="14"/>
      <c r="AA677" s="14"/>
      <c r="AB677" s="14"/>
      <c r="AC677" s="14"/>
      <c r="AD677" s="14"/>
      <c r="AE677" s="14"/>
      <c r="AF677" s="14"/>
      <c r="AG677" s="14"/>
      <c r="AH677" s="14"/>
      <c r="AI677" s="20"/>
      <c r="AJ677" s="14"/>
      <c r="AK677" s="14"/>
      <c r="AL677" s="14"/>
      <c r="AM677" s="14"/>
      <c r="AN677" s="14"/>
      <c r="AO677" s="14"/>
      <c r="AP677" s="14"/>
      <c r="AQ677" s="14"/>
      <c r="AR677" s="14"/>
    </row>
    <row r="678" ht="22.5" customHeight="1">
      <c r="A678" s="204"/>
      <c r="B678" s="200"/>
      <c r="C678" s="20"/>
      <c r="D678" s="14"/>
      <c r="E678" s="201"/>
      <c r="F678" s="14"/>
      <c r="G678" s="154"/>
      <c r="H678" s="14"/>
      <c r="I678" s="155"/>
      <c r="J678" s="155"/>
      <c r="K678" s="202"/>
      <c r="L678" s="14" t="str">
        <f t="shared" si="30"/>
        <v>0</v>
      </c>
      <c r="M678" s="14"/>
      <c r="N678" s="14"/>
      <c r="O678" s="14"/>
      <c r="P678" s="14"/>
      <c r="Q678" s="14"/>
      <c r="R678" s="201"/>
      <c r="S678" s="14"/>
      <c r="T678" s="14"/>
      <c r="U678" s="14"/>
      <c r="V678" s="203"/>
      <c r="W678" s="14"/>
      <c r="X678" s="14"/>
      <c r="Y678" s="14"/>
      <c r="Z678" s="14"/>
      <c r="AA678" s="14"/>
      <c r="AB678" s="14"/>
      <c r="AC678" s="14"/>
      <c r="AD678" s="14"/>
      <c r="AE678" s="14"/>
      <c r="AF678" s="14"/>
      <c r="AG678" s="14"/>
      <c r="AH678" s="14"/>
      <c r="AI678" s="20"/>
      <c r="AJ678" s="14"/>
      <c r="AK678" s="14"/>
      <c r="AL678" s="14"/>
      <c r="AM678" s="14"/>
      <c r="AN678" s="14"/>
      <c r="AO678" s="14"/>
      <c r="AP678" s="14"/>
      <c r="AQ678" s="14"/>
      <c r="AR678" s="14"/>
    </row>
    <row r="679" ht="22.5" customHeight="1">
      <c r="A679" s="204"/>
      <c r="B679" s="205"/>
      <c r="C679" s="20"/>
      <c r="D679" s="14"/>
      <c r="E679" s="201"/>
      <c r="F679" s="14"/>
      <c r="G679" s="154"/>
      <c r="H679" s="14"/>
      <c r="I679" s="155"/>
      <c r="J679" s="155"/>
      <c r="K679" s="202"/>
      <c r="L679" s="14" t="str">
        <f t="shared" si="30"/>
        <v>0</v>
      </c>
      <c r="M679" s="14"/>
      <c r="N679" s="14"/>
      <c r="O679" s="14"/>
      <c r="P679" s="14"/>
      <c r="Q679" s="14"/>
      <c r="R679" s="201"/>
      <c r="S679" s="14"/>
      <c r="T679" s="14"/>
      <c r="U679" s="14"/>
      <c r="V679" s="203"/>
      <c r="W679" s="14"/>
      <c r="X679" s="14"/>
      <c r="Y679" s="14"/>
      <c r="Z679" s="14"/>
      <c r="AA679" s="14"/>
      <c r="AB679" s="14"/>
      <c r="AC679" s="14"/>
      <c r="AD679" s="14"/>
      <c r="AE679" s="14"/>
      <c r="AF679" s="14"/>
      <c r="AG679" s="14"/>
      <c r="AH679" s="14"/>
      <c r="AI679" s="20"/>
      <c r="AJ679" s="14"/>
      <c r="AK679" s="14"/>
      <c r="AL679" s="14"/>
      <c r="AM679" s="14"/>
      <c r="AN679" s="14"/>
      <c r="AO679" s="14"/>
      <c r="AP679" s="14"/>
      <c r="AQ679" s="14"/>
      <c r="AR679" s="14"/>
    </row>
    <row r="680" ht="22.5" customHeight="1">
      <c r="A680" s="204"/>
      <c r="B680" s="200"/>
      <c r="C680" s="20"/>
      <c r="D680" s="14"/>
      <c r="E680" s="201"/>
      <c r="F680" s="14"/>
      <c r="G680" s="154"/>
      <c r="H680" s="14"/>
      <c r="I680" s="155"/>
      <c r="J680" s="155"/>
      <c r="K680" s="202"/>
      <c r="L680" s="14" t="str">
        <f t="shared" si="30"/>
        <v>0</v>
      </c>
      <c r="M680" s="14"/>
      <c r="N680" s="14"/>
      <c r="O680" s="14"/>
      <c r="P680" s="14"/>
      <c r="Q680" s="14"/>
      <c r="R680" s="201"/>
      <c r="S680" s="14"/>
      <c r="T680" s="14"/>
      <c r="U680" s="14"/>
      <c r="V680" s="203"/>
      <c r="W680" s="14"/>
      <c r="X680" s="14"/>
      <c r="Y680" s="14"/>
      <c r="Z680" s="14"/>
      <c r="AA680" s="14"/>
      <c r="AB680" s="14"/>
      <c r="AC680" s="14"/>
      <c r="AD680" s="14"/>
      <c r="AE680" s="14"/>
      <c r="AF680" s="14"/>
      <c r="AG680" s="14"/>
      <c r="AH680" s="14"/>
      <c r="AI680" s="20"/>
      <c r="AJ680" s="14"/>
      <c r="AK680" s="14"/>
      <c r="AL680" s="14"/>
      <c r="AM680" s="14"/>
      <c r="AN680" s="14"/>
      <c r="AO680" s="14"/>
      <c r="AP680" s="14"/>
      <c r="AQ680" s="14"/>
      <c r="AR680" s="14"/>
    </row>
    <row r="681" ht="22.5" customHeight="1">
      <c r="A681" s="204"/>
      <c r="B681" s="205"/>
      <c r="C681" s="20"/>
      <c r="D681" s="14"/>
      <c r="E681" s="201"/>
      <c r="F681" s="14"/>
      <c r="G681" s="154"/>
      <c r="H681" s="14"/>
      <c r="I681" s="155"/>
      <c r="J681" s="155"/>
      <c r="K681" s="202"/>
      <c r="L681" s="14" t="str">
        <f t="shared" si="30"/>
        <v>0</v>
      </c>
      <c r="M681" s="14"/>
      <c r="N681" s="14"/>
      <c r="O681" s="14"/>
      <c r="P681" s="14"/>
      <c r="Q681" s="14"/>
      <c r="R681" s="201"/>
      <c r="S681" s="14"/>
      <c r="T681" s="14"/>
      <c r="U681" s="14"/>
      <c r="V681" s="203"/>
      <c r="W681" s="14"/>
      <c r="X681" s="14"/>
      <c r="Y681" s="14"/>
      <c r="Z681" s="14"/>
      <c r="AA681" s="14"/>
      <c r="AB681" s="14"/>
      <c r="AC681" s="14"/>
      <c r="AD681" s="14"/>
      <c r="AE681" s="14"/>
      <c r="AF681" s="14"/>
      <c r="AG681" s="14"/>
      <c r="AH681" s="14"/>
      <c r="AI681" s="20"/>
      <c r="AJ681" s="14"/>
      <c r="AK681" s="14"/>
      <c r="AL681" s="14"/>
      <c r="AM681" s="14"/>
      <c r="AN681" s="14"/>
      <c r="AO681" s="14"/>
      <c r="AP681" s="14"/>
      <c r="AQ681" s="14"/>
      <c r="AR681" s="14"/>
    </row>
    <row r="682" ht="22.5" customHeight="1">
      <c r="A682" s="204"/>
      <c r="B682" s="200"/>
      <c r="C682" s="20"/>
      <c r="D682" s="14"/>
      <c r="E682" s="201"/>
      <c r="F682" s="14"/>
      <c r="G682" s="154"/>
      <c r="H682" s="14"/>
      <c r="I682" s="155"/>
      <c r="J682" s="155"/>
      <c r="K682" s="202"/>
      <c r="L682" s="14" t="str">
        <f t="shared" si="30"/>
        <v>0</v>
      </c>
      <c r="M682" s="14"/>
      <c r="N682" s="14"/>
      <c r="O682" s="14"/>
      <c r="P682" s="14"/>
      <c r="Q682" s="14"/>
      <c r="R682" s="201"/>
      <c r="S682" s="14"/>
      <c r="T682" s="14"/>
      <c r="U682" s="14"/>
      <c r="V682" s="203"/>
      <c r="W682" s="14"/>
      <c r="X682" s="14"/>
      <c r="Y682" s="14"/>
      <c r="Z682" s="14"/>
      <c r="AA682" s="14"/>
      <c r="AB682" s="14"/>
      <c r="AC682" s="14"/>
      <c r="AD682" s="14"/>
      <c r="AE682" s="14"/>
      <c r="AF682" s="14"/>
      <c r="AG682" s="14"/>
      <c r="AH682" s="14"/>
      <c r="AI682" s="20"/>
      <c r="AJ682" s="14"/>
      <c r="AK682" s="14"/>
      <c r="AL682" s="14"/>
      <c r="AM682" s="14"/>
      <c r="AN682" s="14"/>
      <c r="AO682" s="14"/>
      <c r="AP682" s="14"/>
      <c r="AQ682" s="14"/>
      <c r="AR682" s="14"/>
    </row>
    <row r="683" ht="22.5" customHeight="1">
      <c r="A683" s="204"/>
      <c r="B683" s="205"/>
      <c r="C683" s="20"/>
      <c r="D683" s="14"/>
      <c r="E683" s="201"/>
      <c r="F683" s="14"/>
      <c r="G683" s="154"/>
      <c r="H683" s="14"/>
      <c r="I683" s="155"/>
      <c r="J683" s="155"/>
      <c r="K683" s="202"/>
      <c r="L683" s="14" t="str">
        <f t="shared" si="30"/>
        <v>0</v>
      </c>
      <c r="M683" s="14"/>
      <c r="N683" s="14"/>
      <c r="O683" s="14"/>
      <c r="P683" s="14"/>
      <c r="Q683" s="14"/>
      <c r="R683" s="201"/>
      <c r="S683" s="14"/>
      <c r="T683" s="14"/>
      <c r="U683" s="14"/>
      <c r="V683" s="203"/>
      <c r="W683" s="14"/>
      <c r="X683" s="14"/>
      <c r="Y683" s="14"/>
      <c r="Z683" s="14"/>
      <c r="AA683" s="14"/>
      <c r="AB683" s="14"/>
      <c r="AC683" s="14"/>
      <c r="AD683" s="14"/>
      <c r="AE683" s="14"/>
      <c r="AF683" s="14"/>
      <c r="AG683" s="14"/>
      <c r="AH683" s="14"/>
      <c r="AI683" s="20"/>
      <c r="AJ683" s="14"/>
      <c r="AK683" s="14"/>
      <c r="AL683" s="14"/>
      <c r="AM683" s="14"/>
      <c r="AN683" s="14"/>
      <c r="AO683" s="14"/>
      <c r="AP683" s="14"/>
      <c r="AQ683" s="14"/>
      <c r="AR683" s="14"/>
    </row>
    <row r="684" ht="22.5" customHeight="1">
      <c r="A684" s="204"/>
      <c r="B684" s="200"/>
      <c r="C684" s="20"/>
      <c r="D684" s="14"/>
      <c r="E684" s="201"/>
      <c r="F684" s="14"/>
      <c r="G684" s="154"/>
      <c r="H684" s="14"/>
      <c r="I684" s="155"/>
      <c r="J684" s="155"/>
      <c r="K684" s="202"/>
      <c r="L684" s="14" t="str">
        <f t="shared" si="30"/>
        <v>0</v>
      </c>
      <c r="M684" s="14"/>
      <c r="N684" s="14"/>
      <c r="O684" s="14"/>
      <c r="P684" s="14"/>
      <c r="Q684" s="14"/>
      <c r="R684" s="201"/>
      <c r="S684" s="14"/>
      <c r="T684" s="14"/>
      <c r="U684" s="14"/>
      <c r="V684" s="203"/>
      <c r="W684" s="14"/>
      <c r="X684" s="14"/>
      <c r="Y684" s="14"/>
      <c r="Z684" s="14"/>
      <c r="AA684" s="14"/>
      <c r="AB684" s="14"/>
      <c r="AC684" s="14"/>
      <c r="AD684" s="14"/>
      <c r="AE684" s="14"/>
      <c r="AF684" s="14"/>
      <c r="AG684" s="14"/>
      <c r="AH684" s="14"/>
      <c r="AI684" s="20"/>
      <c r="AJ684" s="14"/>
      <c r="AK684" s="14"/>
      <c r="AL684" s="14"/>
      <c r="AM684" s="14"/>
      <c r="AN684" s="14"/>
      <c r="AO684" s="14"/>
      <c r="AP684" s="14"/>
      <c r="AQ684" s="14"/>
      <c r="AR684" s="14"/>
    </row>
    <row r="685" ht="22.5" customHeight="1">
      <c r="A685" s="204"/>
      <c r="B685" s="205"/>
      <c r="C685" s="20"/>
      <c r="D685" s="14"/>
      <c r="E685" s="201"/>
      <c r="F685" s="14"/>
      <c r="G685" s="154"/>
      <c r="H685" s="14"/>
      <c r="I685" s="155"/>
      <c r="J685" s="155"/>
      <c r="K685" s="202"/>
      <c r="L685" s="14" t="str">
        <f t="shared" si="30"/>
        <v>0</v>
      </c>
      <c r="M685" s="14"/>
      <c r="N685" s="14"/>
      <c r="O685" s="14"/>
      <c r="P685" s="14"/>
      <c r="Q685" s="14"/>
      <c r="R685" s="201"/>
      <c r="S685" s="14"/>
      <c r="T685" s="14"/>
      <c r="U685" s="14"/>
      <c r="V685" s="203"/>
      <c r="W685" s="14"/>
      <c r="X685" s="14"/>
      <c r="Y685" s="14"/>
      <c r="Z685" s="14"/>
      <c r="AA685" s="14"/>
      <c r="AB685" s="14"/>
      <c r="AC685" s="14"/>
      <c r="AD685" s="14"/>
      <c r="AE685" s="14"/>
      <c r="AF685" s="14"/>
      <c r="AG685" s="14"/>
      <c r="AH685" s="14"/>
      <c r="AI685" s="20"/>
      <c r="AJ685" s="14"/>
      <c r="AK685" s="14"/>
      <c r="AL685" s="14"/>
      <c r="AM685" s="14"/>
      <c r="AN685" s="14"/>
      <c r="AO685" s="14"/>
      <c r="AP685" s="14"/>
      <c r="AQ685" s="14"/>
      <c r="AR685" s="14"/>
    </row>
    <row r="686" ht="22.5" customHeight="1">
      <c r="A686" s="204"/>
      <c r="B686" s="200"/>
      <c r="C686" s="20"/>
      <c r="D686" s="14"/>
      <c r="E686" s="201"/>
      <c r="F686" s="14"/>
      <c r="G686" s="154"/>
      <c r="H686" s="14"/>
      <c r="I686" s="155"/>
      <c r="J686" s="155"/>
      <c r="K686" s="202"/>
      <c r="L686" s="14" t="str">
        <f t="shared" si="30"/>
        <v>0</v>
      </c>
      <c r="M686" s="14"/>
      <c r="N686" s="14"/>
      <c r="O686" s="14"/>
      <c r="P686" s="14"/>
      <c r="Q686" s="14"/>
      <c r="R686" s="201"/>
      <c r="S686" s="14"/>
      <c r="T686" s="14"/>
      <c r="U686" s="14"/>
      <c r="V686" s="203"/>
      <c r="W686" s="14"/>
      <c r="X686" s="14"/>
      <c r="Y686" s="14"/>
      <c r="Z686" s="14"/>
      <c r="AA686" s="14"/>
      <c r="AB686" s="14"/>
      <c r="AC686" s="14"/>
      <c r="AD686" s="14"/>
      <c r="AE686" s="14"/>
      <c r="AF686" s="14"/>
      <c r="AG686" s="14"/>
      <c r="AH686" s="14"/>
      <c r="AI686" s="20"/>
      <c r="AJ686" s="14"/>
      <c r="AK686" s="14"/>
      <c r="AL686" s="14"/>
      <c r="AM686" s="14"/>
      <c r="AN686" s="14"/>
      <c r="AO686" s="14"/>
      <c r="AP686" s="14"/>
      <c r="AQ686" s="14"/>
      <c r="AR686" s="14"/>
    </row>
    <row r="687" ht="22.5" customHeight="1">
      <c r="A687" s="204"/>
      <c r="B687" s="205"/>
      <c r="C687" s="20"/>
      <c r="D687" s="14"/>
      <c r="E687" s="201"/>
      <c r="F687" s="14"/>
      <c r="G687" s="154"/>
      <c r="H687" s="14"/>
      <c r="I687" s="155"/>
      <c r="J687" s="155"/>
      <c r="K687" s="202"/>
      <c r="L687" s="14" t="str">
        <f t="shared" si="30"/>
        <v>0</v>
      </c>
      <c r="M687" s="14"/>
      <c r="N687" s="14"/>
      <c r="O687" s="14"/>
      <c r="P687" s="14"/>
      <c r="Q687" s="14"/>
      <c r="R687" s="201"/>
      <c r="S687" s="14"/>
      <c r="T687" s="14"/>
      <c r="U687" s="14"/>
      <c r="V687" s="203"/>
      <c r="W687" s="14"/>
      <c r="X687" s="14"/>
      <c r="Y687" s="14"/>
      <c r="Z687" s="14"/>
      <c r="AA687" s="14"/>
      <c r="AB687" s="14"/>
      <c r="AC687" s="14"/>
      <c r="AD687" s="14"/>
      <c r="AE687" s="14"/>
      <c r="AF687" s="14"/>
      <c r="AG687" s="14"/>
      <c r="AH687" s="14"/>
      <c r="AI687" s="20"/>
      <c r="AJ687" s="14"/>
      <c r="AK687" s="14"/>
      <c r="AL687" s="14"/>
      <c r="AM687" s="14"/>
      <c r="AN687" s="14"/>
      <c r="AO687" s="14"/>
      <c r="AP687" s="14"/>
      <c r="AQ687" s="14"/>
      <c r="AR687" s="14"/>
    </row>
    <row r="688" ht="22.5" customHeight="1">
      <c r="A688" s="204"/>
      <c r="B688" s="200"/>
      <c r="C688" s="20"/>
      <c r="D688" s="14"/>
      <c r="E688" s="201"/>
      <c r="F688" s="14"/>
      <c r="G688" s="154"/>
      <c r="H688" s="14"/>
      <c r="I688" s="155"/>
      <c r="J688" s="155"/>
      <c r="K688" s="202"/>
      <c r="L688" s="14" t="str">
        <f t="shared" si="30"/>
        <v>0</v>
      </c>
      <c r="M688" s="14"/>
      <c r="N688" s="14"/>
      <c r="O688" s="14"/>
      <c r="P688" s="14"/>
      <c r="Q688" s="14"/>
      <c r="R688" s="201"/>
      <c r="S688" s="14"/>
      <c r="T688" s="14"/>
      <c r="U688" s="14"/>
      <c r="V688" s="203"/>
      <c r="W688" s="14"/>
      <c r="X688" s="14"/>
      <c r="Y688" s="14"/>
      <c r="Z688" s="14"/>
      <c r="AA688" s="14"/>
      <c r="AB688" s="14"/>
      <c r="AC688" s="14"/>
      <c r="AD688" s="14"/>
      <c r="AE688" s="14"/>
      <c r="AF688" s="14"/>
      <c r="AG688" s="14"/>
      <c r="AH688" s="14"/>
      <c r="AI688" s="20"/>
      <c r="AJ688" s="14"/>
      <c r="AK688" s="14"/>
      <c r="AL688" s="14"/>
      <c r="AM688" s="14"/>
      <c r="AN688" s="14"/>
      <c r="AO688" s="14"/>
      <c r="AP688" s="14"/>
      <c r="AQ688" s="14"/>
      <c r="AR688" s="14"/>
    </row>
    <row r="689" ht="22.5" customHeight="1">
      <c r="A689" s="204"/>
      <c r="B689" s="205"/>
      <c r="C689" s="20"/>
      <c r="D689" s="14"/>
      <c r="E689" s="201"/>
      <c r="F689" s="14"/>
      <c r="G689" s="154"/>
      <c r="H689" s="14"/>
      <c r="I689" s="155"/>
      <c r="J689" s="155"/>
      <c r="K689" s="202"/>
      <c r="L689" s="14" t="str">
        <f t="shared" si="30"/>
        <v>0</v>
      </c>
      <c r="M689" s="14"/>
      <c r="N689" s="14"/>
      <c r="O689" s="14"/>
      <c r="P689" s="14"/>
      <c r="Q689" s="14"/>
      <c r="R689" s="201"/>
      <c r="S689" s="14"/>
      <c r="T689" s="14"/>
      <c r="U689" s="14"/>
      <c r="V689" s="203"/>
      <c r="W689" s="14"/>
      <c r="X689" s="14"/>
      <c r="Y689" s="14"/>
      <c r="Z689" s="14"/>
      <c r="AA689" s="14"/>
      <c r="AB689" s="14"/>
      <c r="AC689" s="14"/>
      <c r="AD689" s="14"/>
      <c r="AE689" s="14"/>
      <c r="AF689" s="14"/>
      <c r="AG689" s="14"/>
      <c r="AH689" s="14"/>
      <c r="AI689" s="20"/>
      <c r="AJ689" s="14"/>
      <c r="AK689" s="14"/>
      <c r="AL689" s="14"/>
      <c r="AM689" s="14"/>
      <c r="AN689" s="14"/>
      <c r="AO689" s="14"/>
      <c r="AP689" s="14"/>
      <c r="AQ689" s="14"/>
      <c r="AR689" s="14"/>
    </row>
    <row r="690" ht="22.5" customHeight="1">
      <c r="A690" s="204"/>
      <c r="B690" s="200"/>
      <c r="C690" s="20"/>
      <c r="D690" s="14"/>
      <c r="E690" s="201"/>
      <c r="F690" s="14"/>
      <c r="G690" s="154"/>
      <c r="H690" s="14"/>
      <c r="I690" s="155"/>
      <c r="J690" s="155"/>
      <c r="K690" s="202"/>
      <c r="L690" s="14" t="str">
        <f t="shared" si="30"/>
        <v>0</v>
      </c>
      <c r="M690" s="14"/>
      <c r="N690" s="14"/>
      <c r="O690" s="14"/>
      <c r="P690" s="14"/>
      <c r="Q690" s="14"/>
      <c r="R690" s="201"/>
      <c r="S690" s="14"/>
      <c r="T690" s="14"/>
      <c r="U690" s="14"/>
      <c r="V690" s="203"/>
      <c r="W690" s="14"/>
      <c r="X690" s="14"/>
      <c r="Y690" s="14"/>
      <c r="Z690" s="14"/>
      <c r="AA690" s="14"/>
      <c r="AB690" s="14"/>
      <c r="AC690" s="14"/>
      <c r="AD690" s="14"/>
      <c r="AE690" s="14"/>
      <c r="AF690" s="14"/>
      <c r="AG690" s="14"/>
      <c r="AH690" s="14"/>
      <c r="AI690" s="20"/>
      <c r="AJ690" s="14"/>
      <c r="AK690" s="14"/>
      <c r="AL690" s="14"/>
      <c r="AM690" s="14"/>
      <c r="AN690" s="14"/>
      <c r="AO690" s="14"/>
      <c r="AP690" s="14"/>
      <c r="AQ690" s="14"/>
      <c r="AR690" s="14"/>
    </row>
    <row r="691" ht="22.5" customHeight="1">
      <c r="A691" s="204"/>
      <c r="B691" s="205"/>
      <c r="C691" s="20"/>
      <c r="D691" s="14"/>
      <c r="E691" s="201"/>
      <c r="F691" s="14"/>
      <c r="G691" s="154"/>
      <c r="H691" s="14"/>
      <c r="I691" s="155"/>
      <c r="J691" s="155"/>
      <c r="K691" s="202"/>
      <c r="L691" s="14" t="str">
        <f t="shared" si="30"/>
        <v>0</v>
      </c>
      <c r="M691" s="14"/>
      <c r="N691" s="14"/>
      <c r="O691" s="14"/>
      <c r="P691" s="14"/>
      <c r="Q691" s="14"/>
      <c r="R691" s="201"/>
      <c r="S691" s="14"/>
      <c r="T691" s="14"/>
      <c r="U691" s="14"/>
      <c r="V691" s="203"/>
      <c r="W691" s="14"/>
      <c r="X691" s="14"/>
      <c r="Y691" s="14"/>
      <c r="Z691" s="14"/>
      <c r="AA691" s="14"/>
      <c r="AB691" s="14"/>
      <c r="AC691" s="14"/>
      <c r="AD691" s="14"/>
      <c r="AE691" s="14"/>
      <c r="AF691" s="14"/>
      <c r="AG691" s="14"/>
      <c r="AH691" s="14"/>
      <c r="AI691" s="20"/>
      <c r="AJ691" s="14"/>
      <c r="AK691" s="14"/>
      <c r="AL691" s="14"/>
      <c r="AM691" s="14"/>
      <c r="AN691" s="14"/>
      <c r="AO691" s="14"/>
      <c r="AP691" s="14"/>
      <c r="AQ691" s="14"/>
      <c r="AR691" s="14"/>
    </row>
    <row r="692" ht="22.5" customHeight="1">
      <c r="A692" s="204"/>
      <c r="B692" s="200"/>
      <c r="C692" s="20"/>
      <c r="D692" s="14"/>
      <c r="E692" s="201"/>
      <c r="F692" s="14"/>
      <c r="G692" s="154"/>
      <c r="H692" s="14"/>
      <c r="I692" s="155"/>
      <c r="J692" s="155"/>
      <c r="K692" s="202"/>
      <c r="L692" s="14" t="str">
        <f t="shared" si="30"/>
        <v>0</v>
      </c>
      <c r="M692" s="14"/>
      <c r="N692" s="14"/>
      <c r="O692" s="14"/>
      <c r="P692" s="14"/>
      <c r="Q692" s="14"/>
      <c r="R692" s="201"/>
      <c r="S692" s="14"/>
      <c r="T692" s="14"/>
      <c r="U692" s="14"/>
      <c r="V692" s="203"/>
      <c r="W692" s="14"/>
      <c r="X692" s="14"/>
      <c r="Y692" s="14"/>
      <c r="Z692" s="14"/>
      <c r="AA692" s="14"/>
      <c r="AB692" s="14"/>
      <c r="AC692" s="14"/>
      <c r="AD692" s="14"/>
      <c r="AE692" s="14"/>
      <c r="AF692" s="14"/>
      <c r="AG692" s="14"/>
      <c r="AH692" s="14"/>
      <c r="AI692" s="20"/>
      <c r="AJ692" s="14"/>
      <c r="AK692" s="14"/>
      <c r="AL692" s="14"/>
      <c r="AM692" s="14"/>
      <c r="AN692" s="14"/>
      <c r="AO692" s="14"/>
      <c r="AP692" s="14"/>
      <c r="AQ692" s="14"/>
      <c r="AR692" s="14"/>
    </row>
    <row r="693" ht="22.5" customHeight="1">
      <c r="A693" s="204"/>
      <c r="B693" s="205"/>
      <c r="C693" s="20"/>
      <c r="D693" s="14"/>
      <c r="E693" s="201"/>
      <c r="F693" s="14"/>
      <c r="G693" s="154"/>
      <c r="H693" s="14"/>
      <c r="I693" s="155"/>
      <c r="J693" s="155"/>
      <c r="K693" s="202"/>
      <c r="L693" s="14" t="str">
        <f t="shared" si="30"/>
        <v>0</v>
      </c>
      <c r="M693" s="14"/>
      <c r="N693" s="14"/>
      <c r="O693" s="14"/>
      <c r="P693" s="14"/>
      <c r="Q693" s="14"/>
      <c r="R693" s="201"/>
      <c r="S693" s="14"/>
      <c r="T693" s="14"/>
      <c r="U693" s="14"/>
      <c r="V693" s="203"/>
      <c r="W693" s="14"/>
      <c r="X693" s="14"/>
      <c r="Y693" s="14"/>
      <c r="Z693" s="14"/>
      <c r="AA693" s="14"/>
      <c r="AB693" s="14"/>
      <c r="AC693" s="14"/>
      <c r="AD693" s="14"/>
      <c r="AE693" s="14"/>
      <c r="AF693" s="14"/>
      <c r="AG693" s="14"/>
      <c r="AH693" s="14"/>
      <c r="AI693" s="20"/>
      <c r="AJ693" s="14"/>
      <c r="AK693" s="14"/>
      <c r="AL693" s="14"/>
      <c r="AM693" s="14"/>
      <c r="AN693" s="14"/>
      <c r="AO693" s="14"/>
      <c r="AP693" s="14"/>
      <c r="AQ693" s="14"/>
      <c r="AR693" s="14"/>
    </row>
    <row r="694" ht="22.5" customHeight="1">
      <c r="A694" s="204"/>
      <c r="B694" s="200"/>
      <c r="C694" s="20"/>
      <c r="D694" s="14"/>
      <c r="E694" s="201"/>
      <c r="F694" s="14"/>
      <c r="G694" s="154"/>
      <c r="H694" s="14"/>
      <c r="I694" s="155"/>
      <c r="J694" s="155"/>
      <c r="K694" s="202"/>
      <c r="L694" s="14" t="str">
        <f t="shared" si="30"/>
        <v>0</v>
      </c>
      <c r="M694" s="14"/>
      <c r="N694" s="14"/>
      <c r="O694" s="14"/>
      <c r="P694" s="14"/>
      <c r="Q694" s="14"/>
      <c r="R694" s="201"/>
      <c r="S694" s="14"/>
      <c r="T694" s="14"/>
      <c r="U694" s="14"/>
      <c r="V694" s="203"/>
      <c r="W694" s="14"/>
      <c r="X694" s="14"/>
      <c r="Y694" s="14"/>
      <c r="Z694" s="14"/>
      <c r="AA694" s="14"/>
      <c r="AB694" s="14"/>
      <c r="AC694" s="14"/>
      <c r="AD694" s="14"/>
      <c r="AE694" s="14"/>
      <c r="AF694" s="14"/>
      <c r="AG694" s="14"/>
      <c r="AH694" s="14"/>
      <c r="AI694" s="20"/>
      <c r="AJ694" s="14"/>
      <c r="AK694" s="14"/>
      <c r="AL694" s="14"/>
      <c r="AM694" s="14"/>
      <c r="AN694" s="14"/>
      <c r="AO694" s="14"/>
      <c r="AP694" s="14"/>
      <c r="AQ694" s="14"/>
      <c r="AR694" s="14"/>
    </row>
    <row r="695" ht="22.5" customHeight="1">
      <c r="A695" s="204"/>
      <c r="B695" s="205"/>
      <c r="C695" s="20"/>
      <c r="D695" s="14"/>
      <c r="E695" s="201"/>
      <c r="F695" s="14"/>
      <c r="G695" s="154"/>
      <c r="H695" s="14"/>
      <c r="I695" s="155"/>
      <c r="J695" s="155"/>
      <c r="K695" s="202"/>
      <c r="L695" s="14" t="str">
        <f t="shared" si="30"/>
        <v>0</v>
      </c>
      <c r="M695" s="14"/>
      <c r="N695" s="14"/>
      <c r="O695" s="14"/>
      <c r="P695" s="14"/>
      <c r="Q695" s="14"/>
      <c r="R695" s="201"/>
      <c r="S695" s="14"/>
      <c r="T695" s="14"/>
      <c r="U695" s="14"/>
      <c r="V695" s="203"/>
      <c r="W695" s="14"/>
      <c r="X695" s="14"/>
      <c r="Y695" s="14"/>
      <c r="Z695" s="14"/>
      <c r="AA695" s="14"/>
      <c r="AB695" s="14"/>
      <c r="AC695" s="14"/>
      <c r="AD695" s="14"/>
      <c r="AE695" s="14"/>
      <c r="AF695" s="14"/>
      <c r="AG695" s="14"/>
      <c r="AH695" s="14"/>
      <c r="AI695" s="20"/>
      <c r="AJ695" s="14"/>
      <c r="AK695" s="14"/>
      <c r="AL695" s="14"/>
      <c r="AM695" s="14"/>
      <c r="AN695" s="14"/>
      <c r="AO695" s="14"/>
      <c r="AP695" s="14"/>
      <c r="AQ695" s="14"/>
      <c r="AR695" s="14"/>
    </row>
    <row r="696" ht="22.5" customHeight="1">
      <c r="A696" s="204"/>
      <c r="B696" s="200"/>
      <c r="C696" s="20"/>
      <c r="D696" s="14"/>
      <c r="E696" s="201"/>
      <c r="F696" s="14"/>
      <c r="G696" s="154"/>
      <c r="H696" s="14"/>
      <c r="I696" s="155"/>
      <c r="J696" s="155"/>
      <c r="K696" s="202"/>
      <c r="L696" s="14" t="str">
        <f t="shared" si="30"/>
        <v>0</v>
      </c>
      <c r="M696" s="14"/>
      <c r="N696" s="14"/>
      <c r="O696" s="14"/>
      <c r="P696" s="14"/>
      <c r="Q696" s="14"/>
      <c r="R696" s="201"/>
      <c r="S696" s="14"/>
      <c r="T696" s="14"/>
      <c r="U696" s="14"/>
      <c r="V696" s="203"/>
      <c r="W696" s="14"/>
      <c r="X696" s="14"/>
      <c r="Y696" s="14"/>
      <c r="Z696" s="14"/>
      <c r="AA696" s="14"/>
      <c r="AB696" s="14"/>
      <c r="AC696" s="14"/>
      <c r="AD696" s="14"/>
      <c r="AE696" s="14"/>
      <c r="AF696" s="14"/>
      <c r="AG696" s="14"/>
      <c r="AH696" s="14"/>
      <c r="AI696" s="20"/>
      <c r="AJ696" s="14"/>
      <c r="AK696" s="14"/>
      <c r="AL696" s="14"/>
      <c r="AM696" s="14"/>
      <c r="AN696" s="14"/>
      <c r="AO696" s="14"/>
      <c r="AP696" s="14"/>
      <c r="AQ696" s="14"/>
      <c r="AR696" s="14"/>
    </row>
    <row r="697" ht="22.5" customHeight="1">
      <c r="A697" s="204"/>
      <c r="B697" s="205"/>
      <c r="C697" s="20"/>
      <c r="D697" s="14"/>
      <c r="E697" s="201"/>
      <c r="F697" s="14"/>
      <c r="G697" s="154"/>
      <c r="H697" s="14"/>
      <c r="I697" s="155"/>
      <c r="J697" s="155"/>
      <c r="K697" s="202"/>
      <c r="L697" s="14" t="str">
        <f t="shared" si="30"/>
        <v>0</v>
      </c>
      <c r="M697" s="14"/>
      <c r="N697" s="14"/>
      <c r="O697" s="14"/>
      <c r="P697" s="14"/>
      <c r="Q697" s="14"/>
      <c r="R697" s="201"/>
      <c r="S697" s="14"/>
      <c r="T697" s="14"/>
      <c r="U697" s="14"/>
      <c r="V697" s="203"/>
      <c r="W697" s="14"/>
      <c r="X697" s="14"/>
      <c r="Y697" s="14"/>
      <c r="Z697" s="14"/>
      <c r="AA697" s="14"/>
      <c r="AB697" s="14"/>
      <c r="AC697" s="14"/>
      <c r="AD697" s="14"/>
      <c r="AE697" s="14"/>
      <c r="AF697" s="14"/>
      <c r="AG697" s="14"/>
      <c r="AH697" s="14"/>
      <c r="AI697" s="20"/>
      <c r="AJ697" s="14"/>
      <c r="AK697" s="14"/>
      <c r="AL697" s="14"/>
      <c r="AM697" s="14"/>
      <c r="AN697" s="14"/>
      <c r="AO697" s="14"/>
      <c r="AP697" s="14"/>
      <c r="AQ697" s="14"/>
      <c r="AR697" s="14"/>
    </row>
    <row r="698" ht="22.5" customHeight="1">
      <c r="A698" s="204"/>
      <c r="B698" s="200"/>
      <c r="C698" s="20"/>
      <c r="D698" s="14"/>
      <c r="E698" s="201"/>
      <c r="F698" s="14"/>
      <c r="G698" s="154"/>
      <c r="H698" s="14"/>
      <c r="I698" s="155"/>
      <c r="J698" s="155"/>
      <c r="K698" s="202"/>
      <c r="L698" s="14" t="str">
        <f t="shared" si="30"/>
        <v>0</v>
      </c>
      <c r="M698" s="14"/>
      <c r="N698" s="14"/>
      <c r="O698" s="14"/>
      <c r="P698" s="14"/>
      <c r="Q698" s="14"/>
      <c r="R698" s="201"/>
      <c r="S698" s="14"/>
      <c r="T698" s="14"/>
      <c r="U698" s="14"/>
      <c r="V698" s="203"/>
      <c r="W698" s="14"/>
      <c r="X698" s="14"/>
      <c r="Y698" s="14"/>
      <c r="Z698" s="14"/>
      <c r="AA698" s="14"/>
      <c r="AB698" s="14"/>
      <c r="AC698" s="14"/>
      <c r="AD698" s="14"/>
      <c r="AE698" s="14"/>
      <c r="AF698" s="14"/>
      <c r="AG698" s="14"/>
      <c r="AH698" s="14"/>
      <c r="AI698" s="20"/>
      <c r="AJ698" s="14"/>
      <c r="AK698" s="14"/>
      <c r="AL698" s="14"/>
      <c r="AM698" s="14"/>
      <c r="AN698" s="14"/>
      <c r="AO698" s="14"/>
      <c r="AP698" s="14"/>
      <c r="AQ698" s="14"/>
      <c r="AR698" s="14"/>
    </row>
    <row r="699" ht="22.5" customHeight="1">
      <c r="A699" s="204"/>
      <c r="B699" s="205"/>
      <c r="C699" s="20"/>
      <c r="D699" s="14"/>
      <c r="E699" s="201"/>
      <c r="F699" s="14"/>
      <c r="G699" s="154"/>
      <c r="H699" s="14"/>
      <c r="I699" s="155"/>
      <c r="J699" s="155"/>
      <c r="K699" s="202"/>
      <c r="L699" s="14" t="str">
        <f t="shared" si="30"/>
        <v>0</v>
      </c>
      <c r="M699" s="14"/>
      <c r="N699" s="14"/>
      <c r="O699" s="14"/>
      <c r="P699" s="14"/>
      <c r="Q699" s="14"/>
      <c r="R699" s="201"/>
      <c r="S699" s="14"/>
      <c r="T699" s="14"/>
      <c r="U699" s="14"/>
      <c r="V699" s="203"/>
      <c r="W699" s="14"/>
      <c r="X699" s="14"/>
      <c r="Y699" s="14"/>
      <c r="Z699" s="14"/>
      <c r="AA699" s="14"/>
      <c r="AB699" s="14"/>
      <c r="AC699" s="14"/>
      <c r="AD699" s="14"/>
      <c r="AE699" s="14"/>
      <c r="AF699" s="14"/>
      <c r="AG699" s="14"/>
      <c r="AH699" s="14"/>
      <c r="AI699" s="20"/>
      <c r="AJ699" s="14"/>
      <c r="AK699" s="14"/>
      <c r="AL699" s="14"/>
      <c r="AM699" s="14"/>
      <c r="AN699" s="14"/>
      <c r="AO699" s="14"/>
      <c r="AP699" s="14"/>
      <c r="AQ699" s="14"/>
      <c r="AR699" s="14"/>
    </row>
    <row r="700" ht="22.5" customHeight="1">
      <c r="A700" s="204"/>
      <c r="B700" s="200"/>
      <c r="C700" s="20"/>
      <c r="D700" s="14"/>
      <c r="E700" s="201"/>
      <c r="F700" s="14"/>
      <c r="G700" s="154"/>
      <c r="H700" s="14"/>
      <c r="I700" s="155"/>
      <c r="J700" s="155"/>
      <c r="K700" s="202"/>
      <c r="L700" s="14" t="str">
        <f t="shared" si="30"/>
        <v>0</v>
      </c>
      <c r="M700" s="14"/>
      <c r="N700" s="14"/>
      <c r="O700" s="14"/>
      <c r="P700" s="14"/>
      <c r="Q700" s="14"/>
      <c r="R700" s="201"/>
      <c r="S700" s="14"/>
      <c r="T700" s="14"/>
      <c r="U700" s="14"/>
      <c r="V700" s="203"/>
      <c r="W700" s="14"/>
      <c r="X700" s="14"/>
      <c r="Y700" s="14"/>
      <c r="Z700" s="14"/>
      <c r="AA700" s="14"/>
      <c r="AB700" s="14"/>
      <c r="AC700" s="14"/>
      <c r="AD700" s="14"/>
      <c r="AE700" s="14"/>
      <c r="AF700" s="14"/>
      <c r="AG700" s="14"/>
      <c r="AH700" s="14"/>
      <c r="AI700" s="20"/>
      <c r="AJ700" s="14"/>
      <c r="AK700" s="14"/>
      <c r="AL700" s="14"/>
      <c r="AM700" s="14"/>
      <c r="AN700" s="14"/>
      <c r="AO700" s="14"/>
      <c r="AP700" s="14"/>
      <c r="AQ700" s="14"/>
      <c r="AR700" s="14"/>
    </row>
    <row r="701" ht="22.5" customHeight="1">
      <c r="A701" s="204"/>
      <c r="B701" s="205"/>
      <c r="C701" s="20"/>
      <c r="D701" s="14"/>
      <c r="E701" s="201"/>
      <c r="F701" s="14"/>
      <c r="G701" s="154"/>
      <c r="H701" s="14"/>
      <c r="I701" s="155"/>
      <c r="J701" s="155"/>
      <c r="K701" s="202"/>
      <c r="L701" s="14" t="str">
        <f t="shared" si="30"/>
        <v>0</v>
      </c>
      <c r="M701" s="14"/>
      <c r="N701" s="14"/>
      <c r="O701" s="14"/>
      <c r="P701" s="14"/>
      <c r="Q701" s="14"/>
      <c r="R701" s="201"/>
      <c r="S701" s="14"/>
      <c r="T701" s="14"/>
      <c r="U701" s="14"/>
      <c r="V701" s="203"/>
      <c r="W701" s="14"/>
      <c r="X701" s="14"/>
      <c r="Y701" s="14"/>
      <c r="Z701" s="14"/>
      <c r="AA701" s="14"/>
      <c r="AB701" s="14"/>
      <c r="AC701" s="14"/>
      <c r="AD701" s="14"/>
      <c r="AE701" s="14"/>
      <c r="AF701" s="14"/>
      <c r="AG701" s="14"/>
      <c r="AH701" s="14"/>
      <c r="AI701" s="20"/>
      <c r="AJ701" s="14"/>
      <c r="AK701" s="14"/>
      <c r="AL701" s="14"/>
      <c r="AM701" s="14"/>
      <c r="AN701" s="14"/>
      <c r="AO701" s="14"/>
      <c r="AP701" s="14"/>
      <c r="AQ701" s="14"/>
      <c r="AR701" s="14"/>
    </row>
    <row r="702" ht="22.5" customHeight="1">
      <c r="A702" s="204"/>
      <c r="B702" s="200"/>
      <c r="C702" s="20"/>
      <c r="D702" s="14"/>
      <c r="E702" s="201"/>
      <c r="F702" s="14"/>
      <c r="G702" s="154"/>
      <c r="H702" s="14"/>
      <c r="I702" s="155"/>
      <c r="J702" s="155"/>
      <c r="K702" s="202"/>
      <c r="L702" s="14" t="str">
        <f t="shared" si="30"/>
        <v>0</v>
      </c>
      <c r="M702" s="14"/>
      <c r="N702" s="14"/>
      <c r="O702" s="14"/>
      <c r="P702" s="14"/>
      <c r="Q702" s="14"/>
      <c r="R702" s="201"/>
      <c r="S702" s="14"/>
      <c r="T702" s="14"/>
      <c r="U702" s="14"/>
      <c r="V702" s="203"/>
      <c r="W702" s="14"/>
      <c r="X702" s="14"/>
      <c r="Y702" s="14"/>
      <c r="Z702" s="14"/>
      <c r="AA702" s="14"/>
      <c r="AB702" s="14"/>
      <c r="AC702" s="14"/>
      <c r="AD702" s="14"/>
      <c r="AE702" s="14"/>
      <c r="AF702" s="14"/>
      <c r="AG702" s="14"/>
      <c r="AH702" s="14"/>
      <c r="AI702" s="20"/>
      <c r="AJ702" s="14"/>
      <c r="AK702" s="14"/>
      <c r="AL702" s="14"/>
      <c r="AM702" s="14"/>
      <c r="AN702" s="14"/>
      <c r="AO702" s="14"/>
      <c r="AP702" s="14"/>
      <c r="AQ702" s="14"/>
      <c r="AR702" s="14"/>
    </row>
    <row r="703" ht="22.5" customHeight="1">
      <c r="A703" s="204"/>
      <c r="B703" s="205"/>
      <c r="C703" s="20"/>
      <c r="D703" s="14"/>
      <c r="E703" s="201"/>
      <c r="F703" s="14"/>
      <c r="G703" s="154"/>
      <c r="H703" s="14"/>
      <c r="I703" s="155"/>
      <c r="J703" s="155"/>
      <c r="K703" s="202"/>
      <c r="L703" s="14" t="str">
        <f t="shared" si="30"/>
        <v>0</v>
      </c>
      <c r="M703" s="14"/>
      <c r="N703" s="14"/>
      <c r="O703" s="14"/>
      <c r="P703" s="14"/>
      <c r="Q703" s="14"/>
      <c r="R703" s="201"/>
      <c r="S703" s="14"/>
      <c r="T703" s="14"/>
      <c r="U703" s="14"/>
      <c r="V703" s="203"/>
      <c r="W703" s="14"/>
      <c r="X703" s="14"/>
      <c r="Y703" s="14"/>
      <c r="Z703" s="14"/>
      <c r="AA703" s="14"/>
      <c r="AB703" s="14"/>
      <c r="AC703" s="14"/>
      <c r="AD703" s="14"/>
      <c r="AE703" s="14"/>
      <c r="AF703" s="14"/>
      <c r="AG703" s="14"/>
      <c r="AH703" s="14"/>
      <c r="AI703" s="20"/>
      <c r="AJ703" s="14"/>
      <c r="AK703" s="14"/>
      <c r="AL703" s="14"/>
      <c r="AM703" s="14"/>
      <c r="AN703" s="14"/>
      <c r="AO703" s="14"/>
      <c r="AP703" s="14"/>
      <c r="AQ703" s="14"/>
      <c r="AR703" s="14"/>
    </row>
    <row r="704" ht="22.5" customHeight="1">
      <c r="A704" s="204"/>
      <c r="B704" s="200"/>
      <c r="C704" s="20"/>
      <c r="D704" s="14"/>
      <c r="E704" s="201"/>
      <c r="F704" s="14"/>
      <c r="G704" s="154"/>
      <c r="H704" s="14"/>
      <c r="I704" s="155"/>
      <c r="J704" s="155"/>
      <c r="K704" s="202"/>
      <c r="L704" s="14" t="str">
        <f t="shared" si="30"/>
        <v>0</v>
      </c>
      <c r="M704" s="14"/>
      <c r="N704" s="14"/>
      <c r="O704" s="14"/>
      <c r="P704" s="14"/>
      <c r="Q704" s="14"/>
      <c r="R704" s="201"/>
      <c r="S704" s="14"/>
      <c r="T704" s="14"/>
      <c r="U704" s="14"/>
      <c r="V704" s="203"/>
      <c r="W704" s="14"/>
      <c r="X704" s="14"/>
      <c r="Y704" s="14"/>
      <c r="Z704" s="14"/>
      <c r="AA704" s="14"/>
      <c r="AB704" s="14"/>
      <c r="AC704" s="14"/>
      <c r="AD704" s="14"/>
      <c r="AE704" s="14"/>
      <c r="AF704" s="14"/>
      <c r="AG704" s="14"/>
      <c r="AH704" s="14"/>
      <c r="AI704" s="20"/>
      <c r="AJ704" s="14"/>
      <c r="AK704" s="14"/>
      <c r="AL704" s="14"/>
      <c r="AM704" s="14"/>
      <c r="AN704" s="14"/>
      <c r="AO704" s="14"/>
      <c r="AP704" s="14"/>
      <c r="AQ704" s="14"/>
      <c r="AR704" s="14"/>
    </row>
    <row r="705" ht="22.5" customHeight="1">
      <c r="A705" s="204"/>
      <c r="B705" s="205"/>
      <c r="C705" s="20"/>
      <c r="D705" s="14"/>
      <c r="E705" s="201"/>
      <c r="F705" s="14"/>
      <c r="G705" s="154"/>
      <c r="H705" s="14"/>
      <c r="I705" s="155"/>
      <c r="J705" s="155"/>
      <c r="K705" s="202"/>
      <c r="L705" s="14" t="str">
        <f t="shared" si="30"/>
        <v>0</v>
      </c>
      <c r="M705" s="14"/>
      <c r="N705" s="14"/>
      <c r="O705" s="14"/>
      <c r="P705" s="14"/>
      <c r="Q705" s="14"/>
      <c r="R705" s="201"/>
      <c r="S705" s="14"/>
      <c r="T705" s="14"/>
      <c r="U705" s="14"/>
      <c r="V705" s="203"/>
      <c r="W705" s="14"/>
      <c r="X705" s="14"/>
      <c r="Y705" s="14"/>
      <c r="Z705" s="14"/>
      <c r="AA705" s="14"/>
      <c r="AB705" s="14"/>
      <c r="AC705" s="14"/>
      <c r="AD705" s="14"/>
      <c r="AE705" s="14"/>
      <c r="AF705" s="14"/>
      <c r="AG705" s="14"/>
      <c r="AH705" s="14"/>
      <c r="AI705" s="20"/>
      <c r="AJ705" s="14"/>
      <c r="AK705" s="14"/>
      <c r="AL705" s="14"/>
      <c r="AM705" s="14"/>
      <c r="AN705" s="14"/>
      <c r="AO705" s="14"/>
      <c r="AP705" s="14"/>
      <c r="AQ705" s="14"/>
      <c r="AR705" s="14"/>
    </row>
    <row r="706" ht="22.5" customHeight="1">
      <c r="A706" s="204"/>
      <c r="B706" s="200"/>
      <c r="C706" s="20"/>
      <c r="D706" s="14"/>
      <c r="E706" s="201"/>
      <c r="F706" s="14"/>
      <c r="G706" s="154"/>
      <c r="H706" s="14"/>
      <c r="I706" s="155"/>
      <c r="J706" s="155"/>
      <c r="K706" s="202"/>
      <c r="L706" s="14" t="str">
        <f t="shared" si="30"/>
        <v>0</v>
      </c>
      <c r="M706" s="14"/>
      <c r="N706" s="14"/>
      <c r="O706" s="14"/>
      <c r="P706" s="14"/>
      <c r="Q706" s="14"/>
      <c r="R706" s="201"/>
      <c r="S706" s="14"/>
      <c r="T706" s="14"/>
      <c r="U706" s="14"/>
      <c r="V706" s="203"/>
      <c r="W706" s="14"/>
      <c r="X706" s="14"/>
      <c r="Y706" s="14"/>
      <c r="Z706" s="14"/>
      <c r="AA706" s="14"/>
      <c r="AB706" s="14"/>
      <c r="AC706" s="14"/>
      <c r="AD706" s="14"/>
      <c r="AE706" s="14"/>
      <c r="AF706" s="14"/>
      <c r="AG706" s="14"/>
      <c r="AH706" s="14"/>
      <c r="AI706" s="20"/>
      <c r="AJ706" s="14"/>
      <c r="AK706" s="14"/>
      <c r="AL706" s="14"/>
      <c r="AM706" s="14"/>
      <c r="AN706" s="14"/>
      <c r="AO706" s="14"/>
      <c r="AP706" s="14"/>
      <c r="AQ706" s="14"/>
      <c r="AR706" s="14"/>
    </row>
    <row r="707" ht="22.5" customHeight="1">
      <c r="A707" s="204"/>
      <c r="B707" s="205"/>
      <c r="C707" s="20"/>
      <c r="D707" s="14"/>
      <c r="E707" s="201"/>
      <c r="F707" s="14"/>
      <c r="G707" s="154"/>
      <c r="H707" s="14"/>
      <c r="I707" s="155"/>
      <c r="J707" s="155"/>
      <c r="K707" s="202"/>
      <c r="L707" s="14" t="str">
        <f t="shared" si="30"/>
        <v>0</v>
      </c>
      <c r="M707" s="14"/>
      <c r="N707" s="14"/>
      <c r="O707" s="14"/>
      <c r="P707" s="14"/>
      <c r="Q707" s="14"/>
      <c r="R707" s="201"/>
      <c r="S707" s="14"/>
      <c r="T707" s="14"/>
      <c r="U707" s="14"/>
      <c r="V707" s="203"/>
      <c r="W707" s="14"/>
      <c r="X707" s="14"/>
      <c r="Y707" s="14"/>
      <c r="Z707" s="14"/>
      <c r="AA707" s="14"/>
      <c r="AB707" s="14"/>
      <c r="AC707" s="14"/>
      <c r="AD707" s="14"/>
      <c r="AE707" s="14"/>
      <c r="AF707" s="14"/>
      <c r="AG707" s="14"/>
      <c r="AH707" s="14"/>
      <c r="AI707" s="20"/>
      <c r="AJ707" s="14"/>
      <c r="AK707" s="14"/>
      <c r="AL707" s="14"/>
      <c r="AM707" s="14"/>
      <c r="AN707" s="14"/>
      <c r="AO707" s="14"/>
      <c r="AP707" s="14"/>
      <c r="AQ707" s="14"/>
      <c r="AR707" s="14"/>
    </row>
    <row r="708" ht="22.5" customHeight="1">
      <c r="A708" s="204"/>
      <c r="B708" s="200"/>
      <c r="C708" s="20"/>
      <c r="D708" s="14"/>
      <c r="E708" s="201"/>
      <c r="F708" s="14"/>
      <c r="G708" s="154"/>
      <c r="H708" s="14"/>
      <c r="I708" s="155"/>
      <c r="J708" s="155"/>
      <c r="K708" s="202"/>
      <c r="L708" s="14" t="str">
        <f t="shared" si="30"/>
        <v>0</v>
      </c>
      <c r="M708" s="14"/>
      <c r="N708" s="14"/>
      <c r="O708" s="14"/>
      <c r="P708" s="14"/>
      <c r="Q708" s="14"/>
      <c r="R708" s="201"/>
      <c r="S708" s="14"/>
      <c r="T708" s="14"/>
      <c r="U708" s="14"/>
      <c r="V708" s="203"/>
      <c r="W708" s="14"/>
      <c r="X708" s="14"/>
      <c r="Y708" s="14"/>
      <c r="Z708" s="14"/>
      <c r="AA708" s="14"/>
      <c r="AB708" s="14"/>
      <c r="AC708" s="14"/>
      <c r="AD708" s="14"/>
      <c r="AE708" s="14"/>
      <c r="AF708" s="14"/>
      <c r="AG708" s="14"/>
      <c r="AH708" s="14"/>
      <c r="AI708" s="20"/>
      <c r="AJ708" s="14"/>
      <c r="AK708" s="14"/>
      <c r="AL708" s="14"/>
      <c r="AM708" s="14"/>
      <c r="AN708" s="14"/>
      <c r="AO708" s="14"/>
      <c r="AP708" s="14"/>
      <c r="AQ708" s="14"/>
      <c r="AR708" s="14"/>
    </row>
    <row r="709" ht="22.5" customHeight="1">
      <c r="A709" s="204"/>
      <c r="B709" s="205"/>
      <c r="C709" s="20"/>
      <c r="D709" s="14"/>
      <c r="E709" s="201"/>
      <c r="F709" s="14"/>
      <c r="G709" s="154"/>
      <c r="H709" s="14"/>
      <c r="I709" s="155"/>
      <c r="J709" s="155"/>
      <c r="K709" s="202"/>
      <c r="L709" s="14" t="str">
        <f t="shared" si="30"/>
        <v>0</v>
      </c>
      <c r="M709" s="14"/>
      <c r="N709" s="14"/>
      <c r="O709" s="14"/>
      <c r="P709" s="14"/>
      <c r="Q709" s="14"/>
      <c r="R709" s="201"/>
      <c r="S709" s="14"/>
      <c r="T709" s="14"/>
      <c r="U709" s="14"/>
      <c r="V709" s="203"/>
      <c r="W709" s="14"/>
      <c r="X709" s="14"/>
      <c r="Y709" s="14"/>
      <c r="Z709" s="14"/>
      <c r="AA709" s="14"/>
      <c r="AB709" s="14"/>
      <c r="AC709" s="14"/>
      <c r="AD709" s="14"/>
      <c r="AE709" s="14"/>
      <c r="AF709" s="14"/>
      <c r="AG709" s="14"/>
      <c r="AH709" s="14"/>
      <c r="AI709" s="20"/>
      <c r="AJ709" s="14"/>
      <c r="AK709" s="14"/>
      <c r="AL709" s="14"/>
      <c r="AM709" s="14"/>
      <c r="AN709" s="14"/>
      <c r="AO709" s="14"/>
      <c r="AP709" s="14"/>
      <c r="AQ709" s="14"/>
      <c r="AR709" s="14"/>
    </row>
    <row r="710" ht="22.5" customHeight="1">
      <c r="A710" s="204"/>
      <c r="B710" s="200"/>
      <c r="C710" s="20"/>
      <c r="D710" s="14"/>
      <c r="E710" s="201"/>
      <c r="F710" s="14"/>
      <c r="G710" s="154"/>
      <c r="H710" s="14"/>
      <c r="I710" s="155"/>
      <c r="J710" s="155"/>
      <c r="K710" s="202"/>
      <c r="L710" s="14" t="str">
        <f t="shared" si="30"/>
        <v>0</v>
      </c>
      <c r="M710" s="14"/>
      <c r="N710" s="14"/>
      <c r="O710" s="14"/>
      <c r="P710" s="14"/>
      <c r="Q710" s="14"/>
      <c r="R710" s="201"/>
      <c r="S710" s="14"/>
      <c r="T710" s="14"/>
      <c r="U710" s="14"/>
      <c r="V710" s="203"/>
      <c r="W710" s="14"/>
      <c r="X710" s="14"/>
      <c r="Y710" s="14"/>
      <c r="Z710" s="14"/>
      <c r="AA710" s="14"/>
      <c r="AB710" s="14"/>
      <c r="AC710" s="14"/>
      <c r="AD710" s="14"/>
      <c r="AE710" s="14"/>
      <c r="AF710" s="14"/>
      <c r="AG710" s="14"/>
      <c r="AH710" s="14"/>
      <c r="AI710" s="20"/>
      <c r="AJ710" s="14"/>
      <c r="AK710" s="14"/>
      <c r="AL710" s="14"/>
      <c r="AM710" s="14"/>
      <c r="AN710" s="14"/>
      <c r="AO710" s="14"/>
      <c r="AP710" s="14"/>
      <c r="AQ710" s="14"/>
      <c r="AR710" s="14"/>
    </row>
    <row r="711" ht="22.5" customHeight="1">
      <c r="A711" s="204"/>
      <c r="B711" s="205"/>
      <c r="C711" s="20"/>
      <c r="D711" s="14"/>
      <c r="E711" s="201"/>
      <c r="F711" s="14"/>
      <c r="G711" s="154"/>
      <c r="H711" s="14"/>
      <c r="I711" s="155"/>
      <c r="J711" s="155"/>
      <c r="K711" s="202"/>
      <c r="L711" s="14" t="str">
        <f t="shared" si="30"/>
        <v>0</v>
      </c>
      <c r="M711" s="14"/>
      <c r="N711" s="14"/>
      <c r="O711" s="14"/>
      <c r="P711" s="14"/>
      <c r="Q711" s="14"/>
      <c r="R711" s="201"/>
      <c r="S711" s="14"/>
      <c r="T711" s="14"/>
      <c r="U711" s="14"/>
      <c r="V711" s="203"/>
      <c r="W711" s="14"/>
      <c r="X711" s="14"/>
      <c r="Y711" s="14"/>
      <c r="Z711" s="14"/>
      <c r="AA711" s="14"/>
      <c r="AB711" s="14"/>
      <c r="AC711" s="14"/>
      <c r="AD711" s="14"/>
      <c r="AE711" s="14"/>
      <c r="AF711" s="14"/>
      <c r="AG711" s="14"/>
      <c r="AH711" s="14"/>
      <c r="AI711" s="20"/>
      <c r="AJ711" s="14"/>
      <c r="AK711" s="14"/>
      <c r="AL711" s="14"/>
      <c r="AM711" s="14"/>
      <c r="AN711" s="14"/>
      <c r="AO711" s="14"/>
      <c r="AP711" s="14"/>
      <c r="AQ711" s="14"/>
      <c r="AR711" s="14"/>
    </row>
    <row r="712" ht="22.5" customHeight="1">
      <c r="A712" s="204"/>
      <c r="B712" s="200"/>
      <c r="C712" s="20"/>
      <c r="D712" s="14"/>
      <c r="E712" s="201"/>
      <c r="F712" s="14"/>
      <c r="G712" s="154"/>
      <c r="H712" s="14"/>
      <c r="I712" s="155"/>
      <c r="J712" s="155"/>
      <c r="K712" s="202"/>
      <c r="L712" s="14" t="str">
        <f t="shared" si="30"/>
        <v>0</v>
      </c>
      <c r="M712" s="14"/>
      <c r="N712" s="14"/>
      <c r="O712" s="14"/>
      <c r="P712" s="14"/>
      <c r="Q712" s="14"/>
      <c r="R712" s="201"/>
      <c r="S712" s="14"/>
      <c r="T712" s="14"/>
      <c r="U712" s="14"/>
      <c r="V712" s="203"/>
      <c r="W712" s="14"/>
      <c r="X712" s="14"/>
      <c r="Y712" s="14"/>
      <c r="Z712" s="14"/>
      <c r="AA712" s="14"/>
      <c r="AB712" s="14"/>
      <c r="AC712" s="14"/>
      <c r="AD712" s="14"/>
      <c r="AE712" s="14"/>
      <c r="AF712" s="14"/>
      <c r="AG712" s="14"/>
      <c r="AH712" s="14"/>
      <c r="AI712" s="20"/>
      <c r="AJ712" s="14"/>
      <c r="AK712" s="14"/>
      <c r="AL712" s="14"/>
      <c r="AM712" s="14"/>
      <c r="AN712" s="14"/>
      <c r="AO712" s="14"/>
      <c r="AP712" s="14"/>
      <c r="AQ712" s="14"/>
      <c r="AR712" s="14"/>
    </row>
    <row r="713" ht="22.5" customHeight="1">
      <c r="A713" s="204"/>
      <c r="B713" s="205"/>
      <c r="C713" s="20"/>
      <c r="D713" s="14"/>
      <c r="E713" s="201"/>
      <c r="F713" s="14"/>
      <c r="G713" s="154"/>
      <c r="H713" s="14"/>
      <c r="I713" s="155"/>
      <c r="J713" s="155"/>
      <c r="K713" s="202"/>
      <c r="L713" s="14" t="str">
        <f t="shared" si="30"/>
        <v>0</v>
      </c>
      <c r="M713" s="14"/>
      <c r="N713" s="14"/>
      <c r="O713" s="14"/>
      <c r="P713" s="14"/>
      <c r="Q713" s="14"/>
      <c r="R713" s="201"/>
      <c r="S713" s="14"/>
      <c r="T713" s="14"/>
      <c r="U713" s="14"/>
      <c r="V713" s="203"/>
      <c r="W713" s="14"/>
      <c r="X713" s="14"/>
      <c r="Y713" s="14"/>
      <c r="Z713" s="14"/>
      <c r="AA713" s="14"/>
      <c r="AB713" s="14"/>
      <c r="AC713" s="14"/>
      <c r="AD713" s="14"/>
      <c r="AE713" s="14"/>
      <c r="AF713" s="14"/>
      <c r="AG713" s="14"/>
      <c r="AH713" s="14"/>
      <c r="AI713" s="20"/>
      <c r="AJ713" s="14"/>
      <c r="AK713" s="14"/>
      <c r="AL713" s="14"/>
      <c r="AM713" s="14"/>
      <c r="AN713" s="14"/>
      <c r="AO713" s="14"/>
      <c r="AP713" s="14"/>
      <c r="AQ713" s="14"/>
      <c r="AR713" s="14"/>
    </row>
    <row r="714" ht="22.5" customHeight="1">
      <c r="A714" s="204"/>
      <c r="B714" s="200"/>
      <c r="C714" s="20"/>
      <c r="D714" s="14"/>
      <c r="E714" s="201"/>
      <c r="F714" s="14"/>
      <c r="G714" s="154"/>
      <c r="H714" s="14"/>
      <c r="I714" s="155"/>
      <c r="J714" s="155"/>
      <c r="K714" s="202"/>
      <c r="L714" s="14" t="str">
        <f t="shared" si="30"/>
        <v>0</v>
      </c>
      <c r="M714" s="14"/>
      <c r="N714" s="14"/>
      <c r="O714" s="14"/>
      <c r="P714" s="14"/>
      <c r="Q714" s="14"/>
      <c r="R714" s="201"/>
      <c r="S714" s="14"/>
      <c r="T714" s="14"/>
      <c r="U714" s="14"/>
      <c r="V714" s="203"/>
      <c r="W714" s="14"/>
      <c r="X714" s="14"/>
      <c r="Y714" s="14"/>
      <c r="Z714" s="14"/>
      <c r="AA714" s="14"/>
      <c r="AB714" s="14"/>
      <c r="AC714" s="14"/>
      <c r="AD714" s="14"/>
      <c r="AE714" s="14"/>
      <c r="AF714" s="14"/>
      <c r="AG714" s="14"/>
      <c r="AH714" s="14"/>
      <c r="AI714" s="20"/>
      <c r="AJ714" s="14"/>
      <c r="AK714" s="14"/>
      <c r="AL714" s="14"/>
      <c r="AM714" s="14"/>
      <c r="AN714" s="14"/>
      <c r="AO714" s="14"/>
      <c r="AP714" s="14"/>
      <c r="AQ714" s="14"/>
      <c r="AR714" s="14"/>
    </row>
    <row r="715" ht="22.5" customHeight="1">
      <c r="A715" s="204"/>
      <c r="B715" s="205"/>
      <c r="C715" s="20"/>
      <c r="D715" s="14"/>
      <c r="E715" s="201"/>
      <c r="F715" s="14"/>
      <c r="G715" s="154"/>
      <c r="H715" s="14"/>
      <c r="I715" s="155"/>
      <c r="J715" s="155"/>
      <c r="K715" s="202"/>
      <c r="L715" s="14" t="str">
        <f t="shared" si="30"/>
        <v>0</v>
      </c>
      <c r="M715" s="14"/>
      <c r="N715" s="14"/>
      <c r="O715" s="14"/>
      <c r="P715" s="14"/>
      <c r="Q715" s="14"/>
      <c r="R715" s="201"/>
      <c r="S715" s="14"/>
      <c r="T715" s="14"/>
      <c r="U715" s="14"/>
      <c r="V715" s="203"/>
      <c r="W715" s="14"/>
      <c r="X715" s="14"/>
      <c r="Y715" s="14"/>
      <c r="Z715" s="14"/>
      <c r="AA715" s="14"/>
      <c r="AB715" s="14"/>
      <c r="AC715" s="14"/>
      <c r="AD715" s="14"/>
      <c r="AE715" s="14"/>
      <c r="AF715" s="14"/>
      <c r="AG715" s="14"/>
      <c r="AH715" s="14"/>
      <c r="AI715" s="20"/>
      <c r="AJ715" s="14"/>
      <c r="AK715" s="14"/>
      <c r="AL715" s="14"/>
      <c r="AM715" s="14"/>
      <c r="AN715" s="14"/>
      <c r="AO715" s="14"/>
      <c r="AP715" s="14"/>
      <c r="AQ715" s="14"/>
      <c r="AR715" s="14"/>
    </row>
    <row r="716" ht="22.5" customHeight="1">
      <c r="A716" s="204"/>
      <c r="B716" s="200"/>
      <c r="C716" s="20"/>
      <c r="D716" s="14"/>
      <c r="E716" s="201"/>
      <c r="F716" s="14"/>
      <c r="G716" s="154"/>
      <c r="H716" s="14"/>
      <c r="I716" s="155"/>
      <c r="J716" s="155"/>
      <c r="K716" s="202"/>
      <c r="L716" s="14" t="str">
        <f t="shared" si="30"/>
        <v>0</v>
      </c>
      <c r="M716" s="14"/>
      <c r="N716" s="14"/>
      <c r="O716" s="14"/>
      <c r="P716" s="14"/>
      <c r="Q716" s="14"/>
      <c r="R716" s="201"/>
      <c r="S716" s="14"/>
      <c r="T716" s="14"/>
      <c r="U716" s="14"/>
      <c r="V716" s="203"/>
      <c r="W716" s="14"/>
      <c r="X716" s="14"/>
      <c r="Y716" s="14"/>
      <c r="Z716" s="14"/>
      <c r="AA716" s="14"/>
      <c r="AB716" s="14"/>
      <c r="AC716" s="14"/>
      <c r="AD716" s="14"/>
      <c r="AE716" s="14"/>
      <c r="AF716" s="14"/>
      <c r="AG716" s="14"/>
      <c r="AH716" s="14"/>
      <c r="AI716" s="20"/>
      <c r="AJ716" s="14"/>
      <c r="AK716" s="14"/>
      <c r="AL716" s="14"/>
      <c r="AM716" s="14"/>
      <c r="AN716" s="14"/>
      <c r="AO716" s="14"/>
      <c r="AP716" s="14"/>
      <c r="AQ716" s="14"/>
      <c r="AR716" s="14"/>
    </row>
    <row r="717" ht="22.5" customHeight="1">
      <c r="A717" s="204"/>
      <c r="B717" s="205"/>
      <c r="C717" s="20"/>
      <c r="D717" s="14"/>
      <c r="E717" s="201"/>
      <c r="F717" s="14"/>
      <c r="G717" s="154"/>
      <c r="H717" s="14"/>
      <c r="I717" s="155"/>
      <c r="J717" s="155"/>
      <c r="K717" s="202"/>
      <c r="L717" s="14" t="str">
        <f t="shared" si="30"/>
        <v>0</v>
      </c>
      <c r="M717" s="14"/>
      <c r="N717" s="14"/>
      <c r="O717" s="14"/>
      <c r="P717" s="14"/>
      <c r="Q717" s="14"/>
      <c r="R717" s="201"/>
      <c r="S717" s="14"/>
      <c r="T717" s="14"/>
      <c r="U717" s="14"/>
      <c r="V717" s="203"/>
      <c r="W717" s="14"/>
      <c r="X717" s="14"/>
      <c r="Y717" s="14"/>
      <c r="Z717" s="14"/>
      <c r="AA717" s="14"/>
      <c r="AB717" s="14"/>
      <c r="AC717" s="14"/>
      <c r="AD717" s="14"/>
      <c r="AE717" s="14"/>
      <c r="AF717" s="14"/>
      <c r="AG717" s="14"/>
      <c r="AH717" s="14"/>
      <c r="AI717" s="20"/>
      <c r="AJ717" s="14"/>
      <c r="AK717" s="14"/>
      <c r="AL717" s="14"/>
      <c r="AM717" s="14"/>
      <c r="AN717" s="14"/>
      <c r="AO717" s="14"/>
      <c r="AP717" s="14"/>
      <c r="AQ717" s="14"/>
      <c r="AR717" s="14"/>
    </row>
    <row r="718" ht="22.5" customHeight="1">
      <c r="A718" s="204"/>
      <c r="B718" s="200"/>
      <c r="C718" s="20"/>
      <c r="D718" s="14"/>
      <c r="E718" s="201"/>
      <c r="F718" s="14"/>
      <c r="G718" s="154"/>
      <c r="H718" s="14"/>
      <c r="I718" s="155"/>
      <c r="J718" s="155"/>
      <c r="K718" s="202"/>
      <c r="L718" s="14" t="str">
        <f t="shared" si="30"/>
        <v>0</v>
      </c>
      <c r="M718" s="14"/>
      <c r="N718" s="14"/>
      <c r="O718" s="14"/>
      <c r="P718" s="14"/>
      <c r="Q718" s="14"/>
      <c r="R718" s="201"/>
      <c r="S718" s="14"/>
      <c r="T718" s="14"/>
      <c r="U718" s="14"/>
      <c r="V718" s="203"/>
      <c r="W718" s="14"/>
      <c r="X718" s="14"/>
      <c r="Y718" s="14"/>
      <c r="Z718" s="14"/>
      <c r="AA718" s="14"/>
      <c r="AB718" s="14"/>
      <c r="AC718" s="14"/>
      <c r="AD718" s="14"/>
      <c r="AE718" s="14"/>
      <c r="AF718" s="14"/>
      <c r="AG718" s="14"/>
      <c r="AH718" s="14"/>
      <c r="AI718" s="20"/>
      <c r="AJ718" s="14"/>
      <c r="AK718" s="14"/>
      <c r="AL718" s="14"/>
      <c r="AM718" s="14"/>
      <c r="AN718" s="14"/>
      <c r="AO718" s="14"/>
      <c r="AP718" s="14"/>
      <c r="AQ718" s="14"/>
      <c r="AR718" s="14"/>
    </row>
    <row r="719" ht="22.5" customHeight="1">
      <c r="A719" s="204"/>
      <c r="B719" s="205"/>
      <c r="C719" s="20"/>
      <c r="D719" s="14"/>
      <c r="E719" s="201"/>
      <c r="F719" s="14"/>
      <c r="G719" s="154"/>
      <c r="H719" s="14"/>
      <c r="I719" s="155"/>
      <c r="J719" s="155"/>
      <c r="K719" s="202"/>
      <c r="L719" s="14" t="str">
        <f t="shared" si="30"/>
        <v>0</v>
      </c>
      <c r="M719" s="14"/>
      <c r="N719" s="14"/>
      <c r="O719" s="14"/>
      <c r="P719" s="14"/>
      <c r="Q719" s="14"/>
      <c r="R719" s="201"/>
      <c r="S719" s="14"/>
      <c r="T719" s="14"/>
      <c r="U719" s="14"/>
      <c r="V719" s="203"/>
      <c r="W719" s="14"/>
      <c r="X719" s="14"/>
      <c r="Y719" s="14"/>
      <c r="Z719" s="14"/>
      <c r="AA719" s="14"/>
      <c r="AB719" s="14"/>
      <c r="AC719" s="14"/>
      <c r="AD719" s="14"/>
      <c r="AE719" s="14"/>
      <c r="AF719" s="14"/>
      <c r="AG719" s="14"/>
      <c r="AH719" s="14"/>
      <c r="AI719" s="20"/>
      <c r="AJ719" s="14"/>
      <c r="AK719" s="14"/>
      <c r="AL719" s="14"/>
      <c r="AM719" s="14"/>
      <c r="AN719" s="14"/>
      <c r="AO719" s="14"/>
      <c r="AP719" s="14"/>
      <c r="AQ719" s="14"/>
      <c r="AR719" s="14"/>
    </row>
    <row r="720" ht="22.5" customHeight="1">
      <c r="A720" s="204"/>
      <c r="B720" s="200"/>
      <c r="C720" s="20"/>
      <c r="D720" s="14"/>
      <c r="E720" s="201"/>
      <c r="F720" s="14"/>
      <c r="G720" s="154"/>
      <c r="H720" s="14"/>
      <c r="I720" s="155"/>
      <c r="J720" s="155"/>
      <c r="K720" s="202"/>
      <c r="L720" s="14" t="str">
        <f t="shared" si="30"/>
        <v>0</v>
      </c>
      <c r="M720" s="14"/>
      <c r="N720" s="14"/>
      <c r="O720" s="14"/>
      <c r="P720" s="14"/>
      <c r="Q720" s="14"/>
      <c r="R720" s="201"/>
      <c r="S720" s="14"/>
      <c r="T720" s="14"/>
      <c r="U720" s="14"/>
      <c r="V720" s="203"/>
      <c r="W720" s="14"/>
      <c r="X720" s="14"/>
      <c r="Y720" s="14"/>
      <c r="Z720" s="14"/>
      <c r="AA720" s="14"/>
      <c r="AB720" s="14"/>
      <c r="AC720" s="14"/>
      <c r="AD720" s="14"/>
      <c r="AE720" s="14"/>
      <c r="AF720" s="14"/>
      <c r="AG720" s="14"/>
      <c r="AH720" s="14"/>
      <c r="AI720" s="20"/>
      <c r="AJ720" s="14"/>
      <c r="AK720" s="14"/>
      <c r="AL720" s="14"/>
      <c r="AM720" s="14"/>
      <c r="AN720" s="14"/>
      <c r="AO720" s="14"/>
      <c r="AP720" s="14"/>
      <c r="AQ720" s="14"/>
      <c r="AR720" s="14"/>
    </row>
    <row r="721" ht="22.5" customHeight="1">
      <c r="A721" s="204"/>
      <c r="B721" s="205"/>
      <c r="C721" s="20"/>
      <c r="D721" s="14"/>
      <c r="E721" s="201"/>
      <c r="F721" s="14"/>
      <c r="G721" s="154"/>
      <c r="H721" s="14"/>
      <c r="I721" s="155"/>
      <c r="J721" s="155"/>
      <c r="K721" s="202"/>
      <c r="L721" s="14" t="str">
        <f t="shared" si="30"/>
        <v>0</v>
      </c>
      <c r="M721" s="14"/>
      <c r="N721" s="14"/>
      <c r="O721" s="14"/>
      <c r="P721" s="14"/>
      <c r="Q721" s="14"/>
      <c r="R721" s="201"/>
      <c r="S721" s="14"/>
      <c r="T721" s="14"/>
      <c r="U721" s="14"/>
      <c r="V721" s="203"/>
      <c r="W721" s="14"/>
      <c r="X721" s="14"/>
      <c r="Y721" s="14"/>
      <c r="Z721" s="14"/>
      <c r="AA721" s="14"/>
      <c r="AB721" s="14"/>
      <c r="AC721" s="14"/>
      <c r="AD721" s="14"/>
      <c r="AE721" s="14"/>
      <c r="AF721" s="14"/>
      <c r="AG721" s="14"/>
      <c r="AH721" s="14"/>
      <c r="AI721" s="20"/>
      <c r="AJ721" s="14"/>
      <c r="AK721" s="14"/>
      <c r="AL721" s="14"/>
      <c r="AM721" s="14"/>
      <c r="AN721" s="14"/>
      <c r="AO721" s="14"/>
      <c r="AP721" s="14"/>
      <c r="AQ721" s="14"/>
      <c r="AR721" s="14"/>
    </row>
    <row r="722" ht="22.5" customHeight="1">
      <c r="A722" s="204"/>
      <c r="B722" s="200"/>
      <c r="C722" s="20"/>
      <c r="D722" s="14"/>
      <c r="E722" s="201"/>
      <c r="F722" s="14"/>
      <c r="G722" s="154"/>
      <c r="H722" s="14"/>
      <c r="I722" s="155"/>
      <c r="J722" s="155"/>
      <c r="K722" s="202"/>
      <c r="L722" s="14" t="str">
        <f t="shared" si="30"/>
        <v>0</v>
      </c>
      <c r="M722" s="14"/>
      <c r="N722" s="14"/>
      <c r="O722" s="14"/>
      <c r="P722" s="14"/>
      <c r="Q722" s="14"/>
      <c r="R722" s="201"/>
      <c r="S722" s="14"/>
      <c r="T722" s="14"/>
      <c r="U722" s="14"/>
      <c r="V722" s="203"/>
      <c r="W722" s="14"/>
      <c r="X722" s="14"/>
      <c r="Y722" s="14"/>
      <c r="Z722" s="14"/>
      <c r="AA722" s="14"/>
      <c r="AB722" s="14"/>
      <c r="AC722" s="14"/>
      <c r="AD722" s="14"/>
      <c r="AE722" s="14"/>
      <c r="AF722" s="14"/>
      <c r="AG722" s="14"/>
      <c r="AH722" s="14"/>
      <c r="AI722" s="20"/>
      <c r="AJ722" s="14"/>
      <c r="AK722" s="14"/>
      <c r="AL722" s="14"/>
      <c r="AM722" s="14"/>
      <c r="AN722" s="14"/>
      <c r="AO722" s="14"/>
      <c r="AP722" s="14"/>
      <c r="AQ722" s="14"/>
      <c r="AR722" s="14"/>
    </row>
    <row r="723" ht="22.5" customHeight="1">
      <c r="A723" s="204"/>
      <c r="B723" s="205"/>
      <c r="C723" s="20"/>
      <c r="D723" s="14"/>
      <c r="E723" s="201"/>
      <c r="F723" s="14"/>
      <c r="G723" s="154"/>
      <c r="H723" s="14"/>
      <c r="I723" s="155"/>
      <c r="J723" s="155"/>
      <c r="K723" s="202"/>
      <c r="L723" s="14" t="str">
        <f t="shared" si="30"/>
        <v>0</v>
      </c>
      <c r="M723" s="14"/>
      <c r="N723" s="14"/>
      <c r="O723" s="14"/>
      <c r="P723" s="14"/>
      <c r="Q723" s="14"/>
      <c r="R723" s="201"/>
      <c r="S723" s="14"/>
      <c r="T723" s="14"/>
      <c r="U723" s="14"/>
      <c r="V723" s="203"/>
      <c r="W723" s="14"/>
      <c r="X723" s="14"/>
      <c r="Y723" s="14"/>
      <c r="Z723" s="14"/>
      <c r="AA723" s="14"/>
      <c r="AB723" s="14"/>
      <c r="AC723" s="14"/>
      <c r="AD723" s="14"/>
      <c r="AE723" s="14"/>
      <c r="AF723" s="14"/>
      <c r="AG723" s="14"/>
      <c r="AH723" s="14"/>
      <c r="AI723" s="20"/>
      <c r="AJ723" s="14"/>
      <c r="AK723" s="14"/>
      <c r="AL723" s="14"/>
      <c r="AM723" s="14"/>
      <c r="AN723" s="14"/>
      <c r="AO723" s="14"/>
      <c r="AP723" s="14"/>
      <c r="AQ723" s="14"/>
      <c r="AR723" s="14"/>
    </row>
    <row r="724" ht="22.5" customHeight="1">
      <c r="A724" s="204"/>
      <c r="B724" s="200"/>
      <c r="C724" s="20"/>
      <c r="D724" s="14"/>
      <c r="E724" s="201"/>
      <c r="F724" s="14"/>
      <c r="G724" s="154"/>
      <c r="H724" s="14"/>
      <c r="I724" s="155"/>
      <c r="J724" s="155"/>
      <c r="K724" s="202"/>
      <c r="L724" s="14" t="str">
        <f t="shared" si="30"/>
        <v>0</v>
      </c>
      <c r="M724" s="14"/>
      <c r="N724" s="14"/>
      <c r="O724" s="14"/>
      <c r="P724" s="14"/>
      <c r="Q724" s="14"/>
      <c r="R724" s="201"/>
      <c r="S724" s="14"/>
      <c r="T724" s="14"/>
      <c r="U724" s="14"/>
      <c r="V724" s="203"/>
      <c r="W724" s="14"/>
      <c r="X724" s="14"/>
      <c r="Y724" s="14"/>
      <c r="Z724" s="14"/>
      <c r="AA724" s="14"/>
      <c r="AB724" s="14"/>
      <c r="AC724" s="14"/>
      <c r="AD724" s="14"/>
      <c r="AE724" s="14"/>
      <c r="AF724" s="14"/>
      <c r="AG724" s="14"/>
      <c r="AH724" s="14"/>
      <c r="AI724" s="20"/>
      <c r="AJ724" s="14"/>
      <c r="AK724" s="14"/>
      <c r="AL724" s="14"/>
      <c r="AM724" s="14"/>
      <c r="AN724" s="14"/>
      <c r="AO724" s="14"/>
      <c r="AP724" s="14"/>
      <c r="AQ724" s="14"/>
      <c r="AR724" s="14"/>
    </row>
    <row r="725" ht="22.5" customHeight="1">
      <c r="A725" s="204"/>
      <c r="B725" s="205"/>
      <c r="C725" s="20"/>
      <c r="D725" s="14"/>
      <c r="E725" s="201"/>
      <c r="F725" s="14"/>
      <c r="G725" s="154"/>
      <c r="H725" s="14"/>
      <c r="I725" s="155"/>
      <c r="J725" s="155"/>
      <c r="K725" s="202"/>
      <c r="L725" s="14" t="str">
        <f t="shared" si="30"/>
        <v>0</v>
      </c>
      <c r="M725" s="14"/>
      <c r="N725" s="14"/>
      <c r="O725" s="14"/>
      <c r="P725" s="14"/>
      <c r="Q725" s="14"/>
      <c r="R725" s="201"/>
      <c r="S725" s="14"/>
      <c r="T725" s="14"/>
      <c r="U725" s="14"/>
      <c r="V725" s="203"/>
      <c r="W725" s="14"/>
      <c r="X725" s="14"/>
      <c r="Y725" s="14"/>
      <c r="Z725" s="14"/>
      <c r="AA725" s="14"/>
      <c r="AB725" s="14"/>
      <c r="AC725" s="14"/>
      <c r="AD725" s="14"/>
      <c r="AE725" s="14"/>
      <c r="AF725" s="14"/>
      <c r="AG725" s="14"/>
      <c r="AH725" s="14"/>
      <c r="AI725" s="20"/>
      <c r="AJ725" s="14"/>
      <c r="AK725" s="14"/>
      <c r="AL725" s="14"/>
      <c r="AM725" s="14"/>
      <c r="AN725" s="14"/>
      <c r="AO725" s="14"/>
      <c r="AP725" s="14"/>
      <c r="AQ725" s="14"/>
      <c r="AR725" s="14"/>
    </row>
    <row r="726" ht="22.5" customHeight="1">
      <c r="A726" s="204"/>
      <c r="B726" s="200"/>
      <c r="C726" s="20"/>
      <c r="D726" s="14"/>
      <c r="E726" s="201"/>
      <c r="F726" s="14"/>
      <c r="G726" s="154"/>
      <c r="H726" s="14"/>
      <c r="I726" s="155"/>
      <c r="J726" s="155"/>
      <c r="K726" s="202"/>
      <c r="L726" s="14" t="str">
        <f t="shared" si="30"/>
        <v>0</v>
      </c>
      <c r="M726" s="14"/>
      <c r="N726" s="14"/>
      <c r="O726" s="14"/>
      <c r="P726" s="14"/>
      <c r="Q726" s="14"/>
      <c r="R726" s="201"/>
      <c r="S726" s="14"/>
      <c r="T726" s="14"/>
      <c r="U726" s="14"/>
      <c r="V726" s="203"/>
      <c r="W726" s="14"/>
      <c r="X726" s="14"/>
      <c r="Y726" s="14"/>
      <c r="Z726" s="14"/>
      <c r="AA726" s="14"/>
      <c r="AB726" s="14"/>
      <c r="AC726" s="14"/>
      <c r="AD726" s="14"/>
      <c r="AE726" s="14"/>
      <c r="AF726" s="14"/>
      <c r="AG726" s="14"/>
      <c r="AH726" s="14"/>
      <c r="AI726" s="20"/>
      <c r="AJ726" s="14"/>
      <c r="AK726" s="14"/>
      <c r="AL726" s="14"/>
      <c r="AM726" s="14"/>
      <c r="AN726" s="14"/>
      <c r="AO726" s="14"/>
      <c r="AP726" s="14"/>
      <c r="AQ726" s="14"/>
      <c r="AR726" s="14"/>
    </row>
    <row r="727" ht="22.5" customHeight="1">
      <c r="A727" s="204"/>
      <c r="B727" s="205"/>
      <c r="C727" s="20"/>
      <c r="D727" s="14"/>
      <c r="E727" s="201"/>
      <c r="F727" s="14"/>
      <c r="G727" s="154"/>
      <c r="H727" s="14"/>
      <c r="I727" s="155"/>
      <c r="J727" s="155"/>
      <c r="K727" s="202"/>
      <c r="L727" s="14" t="str">
        <f t="shared" si="30"/>
        <v>0</v>
      </c>
      <c r="M727" s="14"/>
      <c r="N727" s="14"/>
      <c r="O727" s="14"/>
      <c r="P727" s="14"/>
      <c r="Q727" s="14"/>
      <c r="R727" s="201"/>
      <c r="S727" s="14"/>
      <c r="T727" s="14"/>
      <c r="U727" s="14"/>
      <c r="V727" s="203"/>
      <c r="W727" s="14"/>
      <c r="X727" s="14"/>
      <c r="Y727" s="14"/>
      <c r="Z727" s="14"/>
      <c r="AA727" s="14"/>
      <c r="AB727" s="14"/>
      <c r="AC727" s="14"/>
      <c r="AD727" s="14"/>
      <c r="AE727" s="14"/>
      <c r="AF727" s="14"/>
      <c r="AG727" s="14"/>
      <c r="AH727" s="14"/>
      <c r="AI727" s="20"/>
      <c r="AJ727" s="14"/>
      <c r="AK727" s="14"/>
      <c r="AL727" s="14"/>
      <c r="AM727" s="14"/>
      <c r="AN727" s="14"/>
      <c r="AO727" s="14"/>
      <c r="AP727" s="14"/>
      <c r="AQ727" s="14"/>
      <c r="AR727" s="14"/>
    </row>
    <row r="728" ht="22.5" customHeight="1">
      <c r="A728" s="204"/>
      <c r="B728" s="200"/>
      <c r="C728" s="20"/>
      <c r="D728" s="14"/>
      <c r="E728" s="201"/>
      <c r="F728" s="14"/>
      <c r="G728" s="154"/>
      <c r="H728" s="14"/>
      <c r="I728" s="155"/>
      <c r="J728" s="155"/>
      <c r="K728" s="202"/>
      <c r="L728" s="14" t="str">
        <f t="shared" si="30"/>
        <v>0</v>
      </c>
      <c r="M728" s="14"/>
      <c r="N728" s="14"/>
      <c r="O728" s="14"/>
      <c r="P728" s="14"/>
      <c r="Q728" s="14"/>
      <c r="R728" s="201"/>
      <c r="S728" s="14"/>
      <c r="T728" s="14"/>
      <c r="U728" s="14"/>
      <c r="V728" s="203"/>
      <c r="W728" s="14"/>
      <c r="X728" s="14"/>
      <c r="Y728" s="14"/>
      <c r="Z728" s="14"/>
      <c r="AA728" s="14"/>
      <c r="AB728" s="14"/>
      <c r="AC728" s="14"/>
      <c r="AD728" s="14"/>
      <c r="AE728" s="14"/>
      <c r="AF728" s="14"/>
      <c r="AG728" s="14"/>
      <c r="AH728" s="14"/>
      <c r="AI728" s="20"/>
      <c r="AJ728" s="14"/>
      <c r="AK728" s="14"/>
      <c r="AL728" s="14"/>
      <c r="AM728" s="14"/>
      <c r="AN728" s="14"/>
      <c r="AO728" s="14"/>
      <c r="AP728" s="14"/>
      <c r="AQ728" s="14"/>
      <c r="AR728" s="14"/>
    </row>
    <row r="729" ht="22.5" customHeight="1">
      <c r="A729" s="204"/>
      <c r="B729" s="205"/>
      <c r="C729" s="20"/>
      <c r="D729" s="14"/>
      <c r="E729" s="201"/>
      <c r="F729" s="14"/>
      <c r="G729" s="154"/>
      <c r="H729" s="14"/>
      <c r="I729" s="155"/>
      <c r="J729" s="155"/>
      <c r="K729" s="202"/>
      <c r="L729" s="14" t="str">
        <f t="shared" si="30"/>
        <v>0</v>
      </c>
      <c r="M729" s="14"/>
      <c r="N729" s="14"/>
      <c r="O729" s="14"/>
      <c r="P729" s="14"/>
      <c r="Q729" s="14"/>
      <c r="R729" s="201"/>
      <c r="S729" s="14"/>
      <c r="T729" s="14"/>
      <c r="U729" s="14"/>
      <c r="V729" s="203"/>
      <c r="W729" s="14"/>
      <c r="X729" s="14"/>
      <c r="Y729" s="14"/>
      <c r="Z729" s="14"/>
      <c r="AA729" s="14"/>
      <c r="AB729" s="14"/>
      <c r="AC729" s="14"/>
      <c r="AD729" s="14"/>
      <c r="AE729" s="14"/>
      <c r="AF729" s="14"/>
      <c r="AG729" s="14"/>
      <c r="AH729" s="14"/>
      <c r="AI729" s="20"/>
      <c r="AJ729" s="14"/>
      <c r="AK729" s="14"/>
      <c r="AL729" s="14"/>
      <c r="AM729" s="14"/>
      <c r="AN729" s="14"/>
      <c r="AO729" s="14"/>
      <c r="AP729" s="14"/>
      <c r="AQ729" s="14"/>
      <c r="AR729" s="14"/>
    </row>
    <row r="730" ht="22.5" customHeight="1">
      <c r="A730" s="204"/>
      <c r="B730" s="200"/>
      <c r="C730" s="20"/>
      <c r="D730" s="14"/>
      <c r="E730" s="201"/>
      <c r="F730" s="14"/>
      <c r="G730" s="154"/>
      <c r="H730" s="14"/>
      <c r="I730" s="155"/>
      <c r="J730" s="155"/>
      <c r="K730" s="202"/>
      <c r="L730" s="14" t="str">
        <f t="shared" si="30"/>
        <v>0</v>
      </c>
      <c r="M730" s="14"/>
      <c r="N730" s="14"/>
      <c r="O730" s="14"/>
      <c r="P730" s="14"/>
      <c r="Q730" s="14"/>
      <c r="R730" s="201"/>
      <c r="S730" s="14"/>
      <c r="T730" s="14"/>
      <c r="U730" s="14"/>
      <c r="V730" s="203"/>
      <c r="W730" s="14"/>
      <c r="X730" s="14"/>
      <c r="Y730" s="14"/>
      <c r="Z730" s="14"/>
      <c r="AA730" s="14"/>
      <c r="AB730" s="14"/>
      <c r="AC730" s="14"/>
      <c r="AD730" s="14"/>
      <c r="AE730" s="14"/>
      <c r="AF730" s="14"/>
      <c r="AG730" s="14"/>
      <c r="AH730" s="14"/>
      <c r="AI730" s="20"/>
      <c r="AJ730" s="14"/>
      <c r="AK730" s="14"/>
      <c r="AL730" s="14"/>
      <c r="AM730" s="14"/>
      <c r="AN730" s="14"/>
      <c r="AO730" s="14"/>
      <c r="AP730" s="14"/>
      <c r="AQ730" s="14"/>
      <c r="AR730" s="14"/>
    </row>
    <row r="731" ht="22.5" customHeight="1">
      <c r="A731" s="204"/>
      <c r="B731" s="205"/>
      <c r="C731" s="20"/>
      <c r="D731" s="14"/>
      <c r="E731" s="201"/>
      <c r="F731" s="14"/>
      <c r="G731" s="154"/>
      <c r="H731" s="14"/>
      <c r="I731" s="155"/>
      <c r="J731" s="155"/>
      <c r="K731" s="202"/>
      <c r="L731" s="14" t="str">
        <f t="shared" si="30"/>
        <v>0</v>
      </c>
      <c r="M731" s="14"/>
      <c r="N731" s="14"/>
      <c r="O731" s="14"/>
      <c r="P731" s="14"/>
      <c r="Q731" s="14"/>
      <c r="R731" s="201"/>
      <c r="S731" s="14"/>
      <c r="T731" s="14"/>
      <c r="U731" s="14"/>
      <c r="V731" s="203"/>
      <c r="W731" s="14"/>
      <c r="X731" s="14"/>
      <c r="Y731" s="14"/>
      <c r="Z731" s="14"/>
      <c r="AA731" s="14"/>
      <c r="AB731" s="14"/>
      <c r="AC731" s="14"/>
      <c r="AD731" s="14"/>
      <c r="AE731" s="14"/>
      <c r="AF731" s="14"/>
      <c r="AG731" s="14"/>
      <c r="AH731" s="14"/>
      <c r="AI731" s="20"/>
      <c r="AJ731" s="14"/>
      <c r="AK731" s="14"/>
      <c r="AL731" s="14"/>
      <c r="AM731" s="14"/>
      <c r="AN731" s="14"/>
      <c r="AO731" s="14"/>
      <c r="AP731" s="14"/>
      <c r="AQ731" s="14"/>
      <c r="AR731" s="14"/>
    </row>
    <row r="732" ht="22.5" customHeight="1">
      <c r="A732" s="204"/>
      <c r="B732" s="200"/>
      <c r="C732" s="20"/>
      <c r="D732" s="14"/>
      <c r="E732" s="201"/>
      <c r="F732" s="14"/>
      <c r="G732" s="154"/>
      <c r="H732" s="14"/>
      <c r="I732" s="155"/>
      <c r="J732" s="155"/>
      <c r="K732" s="202"/>
      <c r="L732" s="14" t="str">
        <f t="shared" si="30"/>
        <v>0</v>
      </c>
      <c r="M732" s="14"/>
      <c r="N732" s="14"/>
      <c r="O732" s="14"/>
      <c r="P732" s="14"/>
      <c r="Q732" s="14"/>
      <c r="R732" s="201"/>
      <c r="S732" s="14"/>
      <c r="T732" s="14"/>
      <c r="U732" s="14"/>
      <c r="V732" s="203"/>
      <c r="W732" s="14"/>
      <c r="X732" s="14"/>
      <c r="Y732" s="14"/>
      <c r="Z732" s="14"/>
      <c r="AA732" s="14"/>
      <c r="AB732" s="14"/>
      <c r="AC732" s="14"/>
      <c r="AD732" s="14"/>
      <c r="AE732" s="14"/>
      <c r="AF732" s="14"/>
      <c r="AG732" s="14"/>
      <c r="AH732" s="14"/>
      <c r="AI732" s="20"/>
      <c r="AJ732" s="14"/>
      <c r="AK732" s="14"/>
      <c r="AL732" s="14"/>
      <c r="AM732" s="14"/>
      <c r="AN732" s="14"/>
      <c r="AO732" s="14"/>
      <c r="AP732" s="14"/>
      <c r="AQ732" s="14"/>
      <c r="AR732" s="14"/>
    </row>
    <row r="733" ht="22.5" customHeight="1">
      <c r="A733" s="204"/>
      <c r="B733" s="205"/>
      <c r="C733" s="20"/>
      <c r="D733" s="14"/>
      <c r="E733" s="201"/>
      <c r="F733" s="14"/>
      <c r="G733" s="154"/>
      <c r="H733" s="14"/>
      <c r="I733" s="155"/>
      <c r="J733" s="155"/>
      <c r="K733" s="202"/>
      <c r="L733" s="14" t="str">
        <f t="shared" si="30"/>
        <v>0</v>
      </c>
      <c r="M733" s="14"/>
      <c r="N733" s="14"/>
      <c r="O733" s="14"/>
      <c r="P733" s="14"/>
      <c r="Q733" s="14"/>
      <c r="R733" s="201"/>
      <c r="S733" s="14"/>
      <c r="T733" s="14"/>
      <c r="U733" s="14"/>
      <c r="V733" s="203"/>
      <c r="W733" s="14"/>
      <c r="X733" s="14"/>
      <c r="Y733" s="14"/>
      <c r="Z733" s="14"/>
      <c r="AA733" s="14"/>
      <c r="AB733" s="14"/>
      <c r="AC733" s="14"/>
      <c r="AD733" s="14"/>
      <c r="AE733" s="14"/>
      <c r="AF733" s="14"/>
      <c r="AG733" s="14"/>
      <c r="AH733" s="14"/>
      <c r="AI733" s="20"/>
      <c r="AJ733" s="14"/>
      <c r="AK733" s="14"/>
      <c r="AL733" s="14"/>
      <c r="AM733" s="14"/>
      <c r="AN733" s="14"/>
      <c r="AO733" s="14"/>
      <c r="AP733" s="14"/>
      <c r="AQ733" s="14"/>
      <c r="AR733" s="14"/>
    </row>
    <row r="734" ht="22.5" customHeight="1">
      <c r="A734" s="204"/>
      <c r="B734" s="200"/>
      <c r="C734" s="20"/>
      <c r="D734" s="14"/>
      <c r="E734" s="201"/>
      <c r="F734" s="14"/>
      <c r="G734" s="154"/>
      <c r="H734" s="14"/>
      <c r="I734" s="155"/>
      <c r="J734" s="155"/>
      <c r="K734" s="202"/>
      <c r="L734" s="14" t="str">
        <f t="shared" si="30"/>
        <v>0</v>
      </c>
      <c r="M734" s="14"/>
      <c r="N734" s="14"/>
      <c r="O734" s="14"/>
      <c r="P734" s="14"/>
      <c r="Q734" s="14"/>
      <c r="R734" s="201"/>
      <c r="S734" s="14"/>
      <c r="T734" s="14"/>
      <c r="U734" s="14"/>
      <c r="V734" s="203"/>
      <c r="W734" s="14"/>
      <c r="X734" s="14"/>
      <c r="Y734" s="14"/>
      <c r="Z734" s="14"/>
      <c r="AA734" s="14"/>
      <c r="AB734" s="14"/>
      <c r="AC734" s="14"/>
      <c r="AD734" s="14"/>
      <c r="AE734" s="14"/>
      <c r="AF734" s="14"/>
      <c r="AG734" s="14"/>
      <c r="AH734" s="14"/>
      <c r="AI734" s="20"/>
      <c r="AJ734" s="14"/>
      <c r="AK734" s="14"/>
      <c r="AL734" s="14"/>
      <c r="AM734" s="14"/>
      <c r="AN734" s="14"/>
      <c r="AO734" s="14"/>
      <c r="AP734" s="14"/>
      <c r="AQ734" s="14"/>
      <c r="AR734" s="14"/>
    </row>
    <row r="735" ht="22.5" customHeight="1">
      <c r="A735" s="204"/>
      <c r="B735" s="205"/>
      <c r="C735" s="20"/>
      <c r="D735" s="14"/>
      <c r="E735" s="201"/>
      <c r="F735" s="14"/>
      <c r="G735" s="154"/>
      <c r="H735" s="14"/>
      <c r="I735" s="155"/>
      <c r="J735" s="155"/>
      <c r="K735" s="202"/>
      <c r="L735" s="14" t="str">
        <f t="shared" si="30"/>
        <v>0</v>
      </c>
      <c r="M735" s="14"/>
      <c r="N735" s="14"/>
      <c r="O735" s="14"/>
      <c r="P735" s="14"/>
      <c r="Q735" s="14"/>
      <c r="R735" s="201"/>
      <c r="S735" s="14"/>
      <c r="T735" s="14"/>
      <c r="U735" s="14"/>
      <c r="V735" s="203"/>
      <c r="W735" s="14"/>
      <c r="X735" s="14"/>
      <c r="Y735" s="14"/>
      <c r="Z735" s="14"/>
      <c r="AA735" s="14"/>
      <c r="AB735" s="14"/>
      <c r="AC735" s="14"/>
      <c r="AD735" s="14"/>
      <c r="AE735" s="14"/>
      <c r="AF735" s="14"/>
      <c r="AG735" s="14"/>
      <c r="AH735" s="14"/>
      <c r="AI735" s="20"/>
      <c r="AJ735" s="14"/>
      <c r="AK735" s="14"/>
      <c r="AL735" s="14"/>
      <c r="AM735" s="14"/>
      <c r="AN735" s="14"/>
      <c r="AO735" s="14"/>
      <c r="AP735" s="14"/>
      <c r="AQ735" s="14"/>
      <c r="AR735" s="14"/>
    </row>
    <row r="736" ht="22.5" customHeight="1">
      <c r="A736" s="204"/>
      <c r="B736" s="200"/>
      <c r="C736" s="20"/>
      <c r="D736" s="14"/>
      <c r="E736" s="201"/>
      <c r="F736" s="14"/>
      <c r="G736" s="154"/>
      <c r="H736" s="14"/>
      <c r="I736" s="155"/>
      <c r="J736" s="155"/>
      <c r="K736" s="202"/>
      <c r="L736" s="14" t="str">
        <f t="shared" si="30"/>
        <v>0</v>
      </c>
      <c r="M736" s="14"/>
      <c r="N736" s="14"/>
      <c r="O736" s="14"/>
      <c r="P736" s="14"/>
      <c r="Q736" s="14"/>
      <c r="R736" s="201"/>
      <c r="S736" s="14"/>
      <c r="T736" s="14"/>
      <c r="U736" s="14"/>
      <c r="V736" s="203"/>
      <c r="W736" s="14"/>
      <c r="X736" s="14"/>
      <c r="Y736" s="14"/>
      <c r="Z736" s="14"/>
      <c r="AA736" s="14"/>
      <c r="AB736" s="14"/>
      <c r="AC736" s="14"/>
      <c r="AD736" s="14"/>
      <c r="AE736" s="14"/>
      <c r="AF736" s="14"/>
      <c r="AG736" s="14"/>
      <c r="AH736" s="14"/>
      <c r="AI736" s="20"/>
      <c r="AJ736" s="14"/>
      <c r="AK736" s="14"/>
      <c r="AL736" s="14"/>
      <c r="AM736" s="14"/>
      <c r="AN736" s="14"/>
      <c r="AO736" s="14"/>
      <c r="AP736" s="14"/>
      <c r="AQ736" s="14"/>
      <c r="AR736" s="14"/>
    </row>
    <row r="737" ht="22.5" customHeight="1">
      <c r="A737" s="204"/>
      <c r="B737" s="205"/>
      <c r="C737" s="20"/>
      <c r="D737" s="14"/>
      <c r="E737" s="201"/>
      <c r="F737" s="14"/>
      <c r="G737" s="154"/>
      <c r="H737" s="14"/>
      <c r="I737" s="155"/>
      <c r="J737" s="155"/>
      <c r="K737" s="202"/>
      <c r="L737" s="14" t="str">
        <f t="shared" si="30"/>
        <v>0</v>
      </c>
      <c r="M737" s="14"/>
      <c r="N737" s="14"/>
      <c r="O737" s="14"/>
      <c r="P737" s="14"/>
      <c r="Q737" s="14"/>
      <c r="R737" s="201"/>
      <c r="S737" s="14"/>
      <c r="T737" s="14"/>
      <c r="U737" s="14"/>
      <c r="V737" s="203"/>
      <c r="W737" s="14"/>
      <c r="X737" s="14"/>
      <c r="Y737" s="14"/>
      <c r="Z737" s="14"/>
      <c r="AA737" s="14"/>
      <c r="AB737" s="14"/>
      <c r="AC737" s="14"/>
      <c r="AD737" s="14"/>
      <c r="AE737" s="14"/>
      <c r="AF737" s="14"/>
      <c r="AG737" s="14"/>
      <c r="AH737" s="14"/>
      <c r="AI737" s="20"/>
      <c r="AJ737" s="14"/>
      <c r="AK737" s="14"/>
      <c r="AL737" s="14"/>
      <c r="AM737" s="14"/>
      <c r="AN737" s="14"/>
      <c r="AO737" s="14"/>
      <c r="AP737" s="14"/>
      <c r="AQ737" s="14"/>
      <c r="AR737" s="14"/>
    </row>
    <row r="738" ht="22.5" customHeight="1">
      <c r="A738" s="204"/>
      <c r="B738" s="200"/>
      <c r="C738" s="20"/>
      <c r="D738" s="14"/>
      <c r="E738" s="201"/>
      <c r="F738" s="14"/>
      <c r="G738" s="154"/>
      <c r="H738" s="14"/>
      <c r="I738" s="155"/>
      <c r="J738" s="155"/>
      <c r="K738" s="202"/>
      <c r="L738" s="14" t="str">
        <f t="shared" si="30"/>
        <v>0</v>
      </c>
      <c r="M738" s="14"/>
      <c r="N738" s="14"/>
      <c r="O738" s="14"/>
      <c r="P738" s="14"/>
      <c r="Q738" s="14"/>
      <c r="R738" s="201"/>
      <c r="S738" s="14"/>
      <c r="T738" s="14"/>
      <c r="U738" s="14"/>
      <c r="V738" s="203"/>
      <c r="W738" s="14"/>
      <c r="X738" s="14"/>
      <c r="Y738" s="14"/>
      <c r="Z738" s="14"/>
      <c r="AA738" s="14"/>
      <c r="AB738" s="14"/>
      <c r="AC738" s="14"/>
      <c r="AD738" s="14"/>
      <c r="AE738" s="14"/>
      <c r="AF738" s="14"/>
      <c r="AG738" s="14"/>
      <c r="AH738" s="14"/>
      <c r="AI738" s="20"/>
      <c r="AJ738" s="14"/>
      <c r="AK738" s="14"/>
      <c r="AL738" s="14"/>
      <c r="AM738" s="14"/>
      <c r="AN738" s="14"/>
      <c r="AO738" s="14"/>
      <c r="AP738" s="14"/>
      <c r="AQ738" s="14"/>
      <c r="AR738" s="14"/>
    </row>
    <row r="739" ht="22.5" customHeight="1">
      <c r="A739" s="204"/>
      <c r="B739" s="205"/>
      <c r="C739" s="20"/>
      <c r="D739" s="14"/>
      <c r="E739" s="201"/>
      <c r="F739" s="14"/>
      <c r="G739" s="154"/>
      <c r="H739" s="14"/>
      <c r="I739" s="155"/>
      <c r="J739" s="155"/>
      <c r="K739" s="202"/>
      <c r="L739" s="14" t="str">
        <f t="shared" si="30"/>
        <v>0</v>
      </c>
      <c r="M739" s="14"/>
      <c r="N739" s="14"/>
      <c r="O739" s="14"/>
      <c r="P739" s="14"/>
      <c r="Q739" s="14"/>
      <c r="R739" s="201"/>
      <c r="S739" s="14"/>
      <c r="T739" s="14"/>
      <c r="U739" s="14"/>
      <c r="V739" s="203"/>
      <c r="W739" s="14"/>
      <c r="X739" s="14"/>
      <c r="Y739" s="14"/>
      <c r="Z739" s="14"/>
      <c r="AA739" s="14"/>
      <c r="AB739" s="14"/>
      <c r="AC739" s="14"/>
      <c r="AD739" s="14"/>
      <c r="AE739" s="14"/>
      <c r="AF739" s="14"/>
      <c r="AG739" s="14"/>
      <c r="AH739" s="14"/>
      <c r="AI739" s="20"/>
      <c r="AJ739" s="14"/>
      <c r="AK739" s="14"/>
      <c r="AL739" s="14"/>
      <c r="AM739" s="14"/>
      <c r="AN739" s="14"/>
      <c r="AO739" s="14"/>
      <c r="AP739" s="14"/>
      <c r="AQ739" s="14"/>
      <c r="AR739" s="14"/>
    </row>
    <row r="740" ht="22.5" customHeight="1">
      <c r="A740" s="204"/>
      <c r="B740" s="200"/>
      <c r="C740" s="20"/>
      <c r="D740" s="14"/>
      <c r="E740" s="201"/>
      <c r="F740" s="14"/>
      <c r="G740" s="154"/>
      <c r="H740" s="14"/>
      <c r="I740" s="155"/>
      <c r="J740" s="155"/>
      <c r="K740" s="202"/>
      <c r="L740" s="14" t="str">
        <f t="shared" si="30"/>
        <v>0</v>
      </c>
      <c r="M740" s="14"/>
      <c r="N740" s="14"/>
      <c r="O740" s="14"/>
      <c r="P740" s="14"/>
      <c r="Q740" s="14"/>
      <c r="R740" s="201"/>
      <c r="S740" s="14"/>
      <c r="T740" s="14"/>
      <c r="U740" s="14"/>
      <c r="V740" s="203"/>
      <c r="W740" s="14"/>
      <c r="X740" s="14"/>
      <c r="Y740" s="14"/>
      <c r="Z740" s="14"/>
      <c r="AA740" s="14"/>
      <c r="AB740" s="14"/>
      <c r="AC740" s="14"/>
      <c r="AD740" s="14"/>
      <c r="AE740" s="14"/>
      <c r="AF740" s="14"/>
      <c r="AG740" s="14"/>
      <c r="AH740" s="14"/>
      <c r="AI740" s="20"/>
      <c r="AJ740" s="14"/>
      <c r="AK740" s="14"/>
      <c r="AL740" s="14"/>
      <c r="AM740" s="14"/>
      <c r="AN740" s="14"/>
      <c r="AO740" s="14"/>
      <c r="AP740" s="14"/>
      <c r="AQ740" s="14"/>
      <c r="AR740" s="14"/>
    </row>
    <row r="741" ht="22.5" customHeight="1">
      <c r="A741" s="204"/>
      <c r="B741" s="205"/>
      <c r="C741" s="20"/>
      <c r="D741" s="14"/>
      <c r="E741" s="201"/>
      <c r="F741" s="14"/>
      <c r="G741" s="154"/>
      <c r="H741" s="14"/>
      <c r="I741" s="155"/>
      <c r="J741" s="155"/>
      <c r="K741" s="202"/>
      <c r="L741" s="14" t="str">
        <f t="shared" si="30"/>
        <v>0</v>
      </c>
      <c r="M741" s="14"/>
      <c r="N741" s="14"/>
      <c r="O741" s="14"/>
      <c r="P741" s="14"/>
      <c r="Q741" s="14"/>
      <c r="R741" s="201"/>
      <c r="S741" s="14"/>
      <c r="T741" s="14"/>
      <c r="U741" s="14"/>
      <c r="V741" s="203"/>
      <c r="W741" s="14"/>
      <c r="X741" s="14"/>
      <c r="Y741" s="14"/>
      <c r="Z741" s="14"/>
      <c r="AA741" s="14"/>
      <c r="AB741" s="14"/>
      <c r="AC741" s="14"/>
      <c r="AD741" s="14"/>
      <c r="AE741" s="14"/>
      <c r="AF741" s="14"/>
      <c r="AG741" s="14"/>
      <c r="AH741" s="14"/>
      <c r="AI741" s="20"/>
      <c r="AJ741" s="14"/>
      <c r="AK741" s="14"/>
      <c r="AL741" s="14"/>
      <c r="AM741" s="14"/>
      <c r="AN741" s="14"/>
      <c r="AO741" s="14"/>
      <c r="AP741" s="14"/>
      <c r="AQ741" s="14"/>
      <c r="AR741" s="14"/>
    </row>
    <row r="742" ht="22.5" customHeight="1">
      <c r="A742" s="204"/>
      <c r="B742" s="200"/>
      <c r="C742" s="20"/>
      <c r="D742" s="14"/>
      <c r="E742" s="201"/>
      <c r="F742" s="14"/>
      <c r="G742" s="154"/>
      <c r="H742" s="14"/>
      <c r="I742" s="155"/>
      <c r="J742" s="155"/>
      <c r="K742" s="202"/>
      <c r="L742" s="14" t="str">
        <f t="shared" si="30"/>
        <v>0</v>
      </c>
      <c r="M742" s="14"/>
      <c r="N742" s="14"/>
      <c r="O742" s="14"/>
      <c r="P742" s="14"/>
      <c r="Q742" s="14"/>
      <c r="R742" s="201"/>
      <c r="S742" s="14"/>
      <c r="T742" s="14"/>
      <c r="U742" s="14"/>
      <c r="V742" s="203"/>
      <c r="W742" s="14"/>
      <c r="X742" s="14"/>
      <c r="Y742" s="14"/>
      <c r="Z742" s="14"/>
      <c r="AA742" s="14"/>
      <c r="AB742" s="14"/>
      <c r="AC742" s="14"/>
      <c r="AD742" s="14"/>
      <c r="AE742" s="14"/>
      <c r="AF742" s="14"/>
      <c r="AG742" s="14"/>
      <c r="AH742" s="14"/>
      <c r="AI742" s="20"/>
      <c r="AJ742" s="14"/>
      <c r="AK742" s="14"/>
      <c r="AL742" s="14"/>
      <c r="AM742" s="14"/>
      <c r="AN742" s="14"/>
      <c r="AO742" s="14"/>
      <c r="AP742" s="14"/>
      <c r="AQ742" s="14"/>
      <c r="AR742" s="14"/>
    </row>
    <row r="743" ht="22.5" customHeight="1">
      <c r="A743" s="204"/>
      <c r="B743" s="205"/>
      <c r="C743" s="20"/>
      <c r="D743" s="14"/>
      <c r="E743" s="201"/>
      <c r="F743" s="14"/>
      <c r="G743" s="154"/>
      <c r="H743" s="14"/>
      <c r="I743" s="155"/>
      <c r="J743" s="155"/>
      <c r="K743" s="202"/>
      <c r="L743" s="14" t="str">
        <f t="shared" si="30"/>
        <v>0</v>
      </c>
      <c r="M743" s="14"/>
      <c r="N743" s="14"/>
      <c r="O743" s="14"/>
      <c r="P743" s="14"/>
      <c r="Q743" s="14"/>
      <c r="R743" s="201"/>
      <c r="S743" s="14"/>
      <c r="T743" s="14"/>
      <c r="U743" s="14"/>
      <c r="V743" s="203"/>
      <c r="W743" s="14"/>
      <c r="X743" s="14"/>
      <c r="Y743" s="14"/>
      <c r="Z743" s="14"/>
      <c r="AA743" s="14"/>
      <c r="AB743" s="14"/>
      <c r="AC743" s="14"/>
      <c r="AD743" s="14"/>
      <c r="AE743" s="14"/>
      <c r="AF743" s="14"/>
      <c r="AG743" s="14"/>
      <c r="AH743" s="14"/>
      <c r="AI743" s="20"/>
      <c r="AJ743" s="14"/>
      <c r="AK743" s="14"/>
      <c r="AL743" s="14"/>
      <c r="AM743" s="14"/>
      <c r="AN743" s="14"/>
      <c r="AO743" s="14"/>
      <c r="AP743" s="14"/>
      <c r="AQ743" s="14"/>
      <c r="AR743" s="14"/>
    </row>
    <row r="744" ht="22.5" customHeight="1">
      <c r="A744" s="204"/>
      <c r="B744" s="200"/>
      <c r="C744" s="20"/>
      <c r="D744" s="14"/>
      <c r="E744" s="201"/>
      <c r="F744" s="14"/>
      <c r="G744" s="154"/>
      <c r="H744" s="14"/>
      <c r="I744" s="155"/>
      <c r="J744" s="155"/>
      <c r="K744" s="202"/>
      <c r="L744" s="14" t="str">
        <f t="shared" si="30"/>
        <v>0</v>
      </c>
      <c r="M744" s="14"/>
      <c r="N744" s="14"/>
      <c r="O744" s="14"/>
      <c r="P744" s="14"/>
      <c r="Q744" s="14"/>
      <c r="R744" s="201"/>
      <c r="S744" s="14"/>
      <c r="T744" s="14"/>
      <c r="U744" s="14"/>
      <c r="V744" s="203"/>
      <c r="W744" s="14"/>
      <c r="X744" s="14"/>
      <c r="Y744" s="14"/>
      <c r="Z744" s="14"/>
      <c r="AA744" s="14"/>
      <c r="AB744" s="14"/>
      <c r="AC744" s="14"/>
      <c r="AD744" s="14"/>
      <c r="AE744" s="14"/>
      <c r="AF744" s="14"/>
      <c r="AG744" s="14"/>
      <c r="AH744" s="14"/>
      <c r="AI744" s="20"/>
      <c r="AJ744" s="14"/>
      <c r="AK744" s="14"/>
      <c r="AL744" s="14"/>
      <c r="AM744" s="14"/>
      <c r="AN744" s="14"/>
      <c r="AO744" s="14"/>
      <c r="AP744" s="14"/>
      <c r="AQ744" s="14"/>
      <c r="AR744" s="14"/>
    </row>
    <row r="745" ht="22.5" customHeight="1">
      <c r="A745" s="204"/>
      <c r="B745" s="205"/>
      <c r="C745" s="20"/>
      <c r="D745" s="14"/>
      <c r="E745" s="201"/>
      <c r="F745" s="14"/>
      <c r="G745" s="154"/>
      <c r="H745" s="14"/>
      <c r="I745" s="155"/>
      <c r="J745" s="155"/>
      <c r="K745" s="202"/>
      <c r="L745" s="14" t="str">
        <f t="shared" si="30"/>
        <v>0</v>
      </c>
      <c r="M745" s="14"/>
      <c r="N745" s="14"/>
      <c r="O745" s="14"/>
      <c r="P745" s="14"/>
      <c r="Q745" s="14"/>
      <c r="R745" s="201"/>
      <c r="S745" s="14"/>
      <c r="T745" s="14"/>
      <c r="U745" s="14"/>
      <c r="V745" s="203"/>
      <c r="W745" s="14"/>
      <c r="X745" s="14"/>
      <c r="Y745" s="14"/>
      <c r="Z745" s="14"/>
      <c r="AA745" s="14"/>
      <c r="AB745" s="14"/>
      <c r="AC745" s="14"/>
      <c r="AD745" s="14"/>
      <c r="AE745" s="14"/>
      <c r="AF745" s="14"/>
      <c r="AG745" s="14"/>
      <c r="AH745" s="14"/>
      <c r="AI745" s="20"/>
      <c r="AJ745" s="14"/>
      <c r="AK745" s="14"/>
      <c r="AL745" s="14"/>
      <c r="AM745" s="14"/>
      <c r="AN745" s="14"/>
      <c r="AO745" s="14"/>
      <c r="AP745" s="14"/>
      <c r="AQ745" s="14"/>
      <c r="AR745" s="14"/>
    </row>
    <row r="746" ht="22.5" customHeight="1">
      <c r="A746" s="204"/>
      <c r="B746" s="200"/>
      <c r="C746" s="20"/>
      <c r="D746" s="14"/>
      <c r="E746" s="201"/>
      <c r="F746" s="14"/>
      <c r="G746" s="154"/>
      <c r="H746" s="14"/>
      <c r="I746" s="155"/>
      <c r="J746" s="155"/>
      <c r="K746" s="202"/>
      <c r="L746" s="14" t="str">
        <f t="shared" si="30"/>
        <v>0</v>
      </c>
      <c r="M746" s="14"/>
      <c r="N746" s="14"/>
      <c r="O746" s="14"/>
      <c r="P746" s="14"/>
      <c r="Q746" s="14"/>
      <c r="R746" s="201"/>
      <c r="S746" s="14"/>
      <c r="T746" s="14"/>
      <c r="U746" s="14"/>
      <c r="V746" s="203"/>
      <c r="W746" s="14"/>
      <c r="X746" s="14"/>
      <c r="Y746" s="14"/>
      <c r="Z746" s="14"/>
      <c r="AA746" s="14"/>
      <c r="AB746" s="14"/>
      <c r="AC746" s="14"/>
      <c r="AD746" s="14"/>
      <c r="AE746" s="14"/>
      <c r="AF746" s="14"/>
      <c r="AG746" s="14"/>
      <c r="AH746" s="14"/>
      <c r="AI746" s="20"/>
      <c r="AJ746" s="14"/>
      <c r="AK746" s="14"/>
      <c r="AL746" s="14"/>
      <c r="AM746" s="14"/>
      <c r="AN746" s="14"/>
      <c r="AO746" s="14"/>
      <c r="AP746" s="14"/>
      <c r="AQ746" s="14"/>
      <c r="AR746" s="14"/>
    </row>
    <row r="747" ht="22.5" customHeight="1">
      <c r="A747" s="204"/>
      <c r="B747" s="205"/>
      <c r="C747" s="20"/>
      <c r="D747" s="14"/>
      <c r="E747" s="201"/>
      <c r="F747" s="14"/>
      <c r="G747" s="154"/>
      <c r="H747" s="14"/>
      <c r="I747" s="155"/>
      <c r="J747" s="155"/>
      <c r="K747" s="202"/>
      <c r="L747" s="14" t="str">
        <f t="shared" si="30"/>
        <v>0</v>
      </c>
      <c r="M747" s="14"/>
      <c r="N747" s="14"/>
      <c r="O747" s="14"/>
      <c r="P747" s="14"/>
      <c r="Q747" s="14"/>
      <c r="R747" s="201"/>
      <c r="S747" s="14"/>
      <c r="T747" s="14"/>
      <c r="U747" s="14"/>
      <c r="V747" s="203"/>
      <c r="W747" s="14"/>
      <c r="X747" s="14"/>
      <c r="Y747" s="14"/>
      <c r="Z747" s="14"/>
      <c r="AA747" s="14"/>
      <c r="AB747" s="14"/>
      <c r="AC747" s="14"/>
      <c r="AD747" s="14"/>
      <c r="AE747" s="14"/>
      <c r="AF747" s="14"/>
      <c r="AG747" s="14"/>
      <c r="AH747" s="14"/>
      <c r="AI747" s="20"/>
      <c r="AJ747" s="14"/>
      <c r="AK747" s="14"/>
      <c r="AL747" s="14"/>
      <c r="AM747" s="14"/>
      <c r="AN747" s="14"/>
      <c r="AO747" s="14"/>
      <c r="AP747" s="14"/>
      <c r="AQ747" s="14"/>
      <c r="AR747" s="14"/>
    </row>
    <row r="748" ht="22.5" customHeight="1">
      <c r="A748" s="204"/>
      <c r="B748" s="200"/>
      <c r="C748" s="20"/>
      <c r="D748" s="14"/>
      <c r="E748" s="201"/>
      <c r="F748" s="14"/>
      <c r="G748" s="154"/>
      <c r="H748" s="14"/>
      <c r="I748" s="155"/>
      <c r="J748" s="155"/>
      <c r="K748" s="202"/>
      <c r="L748" s="14" t="str">
        <f t="shared" si="30"/>
        <v>0</v>
      </c>
      <c r="M748" s="14"/>
      <c r="N748" s="14"/>
      <c r="O748" s="14"/>
      <c r="P748" s="14"/>
      <c r="Q748" s="14"/>
      <c r="R748" s="201"/>
      <c r="S748" s="14"/>
      <c r="T748" s="14"/>
      <c r="U748" s="14"/>
      <c r="V748" s="203"/>
      <c r="W748" s="14"/>
      <c r="X748" s="14"/>
      <c r="Y748" s="14"/>
      <c r="Z748" s="14"/>
      <c r="AA748" s="14"/>
      <c r="AB748" s="14"/>
      <c r="AC748" s="14"/>
      <c r="AD748" s="14"/>
      <c r="AE748" s="14"/>
      <c r="AF748" s="14"/>
      <c r="AG748" s="14"/>
      <c r="AH748" s="14"/>
      <c r="AI748" s="20"/>
      <c r="AJ748" s="14"/>
      <c r="AK748" s="14"/>
      <c r="AL748" s="14"/>
      <c r="AM748" s="14"/>
      <c r="AN748" s="14"/>
      <c r="AO748" s="14"/>
      <c r="AP748" s="14"/>
      <c r="AQ748" s="14"/>
      <c r="AR748" s="14"/>
    </row>
    <row r="749" ht="22.5" customHeight="1">
      <c r="A749" s="204"/>
      <c r="B749" s="205"/>
      <c r="C749" s="20"/>
      <c r="D749" s="14"/>
      <c r="E749" s="201"/>
      <c r="F749" s="14"/>
      <c r="G749" s="154"/>
      <c r="H749" s="14"/>
      <c r="I749" s="155"/>
      <c r="J749" s="155"/>
      <c r="K749" s="202"/>
      <c r="L749" s="14" t="str">
        <f t="shared" si="30"/>
        <v>0</v>
      </c>
      <c r="M749" s="14"/>
      <c r="N749" s="14"/>
      <c r="O749" s="14"/>
      <c r="P749" s="14"/>
      <c r="Q749" s="14"/>
      <c r="R749" s="201"/>
      <c r="S749" s="14"/>
      <c r="T749" s="14"/>
      <c r="U749" s="14"/>
      <c r="V749" s="203"/>
      <c r="W749" s="14"/>
      <c r="X749" s="14"/>
      <c r="Y749" s="14"/>
      <c r="Z749" s="14"/>
      <c r="AA749" s="14"/>
      <c r="AB749" s="14"/>
      <c r="AC749" s="14"/>
      <c r="AD749" s="14"/>
      <c r="AE749" s="14"/>
      <c r="AF749" s="14"/>
      <c r="AG749" s="14"/>
      <c r="AH749" s="14"/>
      <c r="AI749" s="20"/>
      <c r="AJ749" s="14"/>
      <c r="AK749" s="14"/>
      <c r="AL749" s="14"/>
      <c r="AM749" s="14"/>
      <c r="AN749" s="14"/>
      <c r="AO749" s="14"/>
      <c r="AP749" s="14"/>
      <c r="AQ749" s="14"/>
      <c r="AR749" s="14"/>
    </row>
    <row r="750" ht="22.5" customHeight="1">
      <c r="A750" s="204"/>
      <c r="B750" s="200"/>
      <c r="C750" s="20"/>
      <c r="D750" s="14"/>
      <c r="E750" s="201"/>
      <c r="F750" s="14"/>
      <c r="G750" s="154"/>
      <c r="H750" s="14"/>
      <c r="I750" s="155"/>
      <c r="J750" s="155"/>
      <c r="K750" s="202"/>
      <c r="L750" s="14" t="str">
        <f t="shared" si="30"/>
        <v>0</v>
      </c>
      <c r="M750" s="14"/>
      <c r="N750" s="14"/>
      <c r="O750" s="14"/>
      <c r="P750" s="14"/>
      <c r="Q750" s="14"/>
      <c r="R750" s="201"/>
      <c r="S750" s="14"/>
      <c r="T750" s="14"/>
      <c r="U750" s="14"/>
      <c r="V750" s="203"/>
      <c r="W750" s="14"/>
      <c r="X750" s="14"/>
      <c r="Y750" s="14"/>
      <c r="Z750" s="14"/>
      <c r="AA750" s="14"/>
      <c r="AB750" s="14"/>
      <c r="AC750" s="14"/>
      <c r="AD750" s="14"/>
      <c r="AE750" s="14"/>
      <c r="AF750" s="14"/>
      <c r="AG750" s="14"/>
      <c r="AH750" s="14"/>
      <c r="AI750" s="20"/>
      <c r="AJ750" s="14"/>
      <c r="AK750" s="14"/>
      <c r="AL750" s="14"/>
      <c r="AM750" s="14"/>
      <c r="AN750" s="14"/>
      <c r="AO750" s="14"/>
      <c r="AP750" s="14"/>
      <c r="AQ750" s="14"/>
      <c r="AR750" s="14"/>
    </row>
    <row r="751" ht="22.5" customHeight="1">
      <c r="A751" s="204"/>
      <c r="B751" s="205"/>
      <c r="C751" s="20"/>
      <c r="D751" s="14"/>
      <c r="E751" s="201"/>
      <c r="F751" s="14"/>
      <c r="G751" s="154"/>
      <c r="H751" s="14"/>
      <c r="I751" s="155"/>
      <c r="J751" s="155"/>
      <c r="K751" s="202"/>
      <c r="L751" s="14" t="str">
        <f t="shared" si="30"/>
        <v>0</v>
      </c>
      <c r="M751" s="14"/>
      <c r="N751" s="14"/>
      <c r="O751" s="14"/>
      <c r="P751" s="14"/>
      <c r="Q751" s="14"/>
      <c r="R751" s="201"/>
      <c r="S751" s="14"/>
      <c r="T751" s="14"/>
      <c r="U751" s="14"/>
      <c r="V751" s="203"/>
      <c r="W751" s="14"/>
      <c r="X751" s="14"/>
      <c r="Y751" s="14"/>
      <c r="Z751" s="14"/>
      <c r="AA751" s="14"/>
      <c r="AB751" s="14"/>
      <c r="AC751" s="14"/>
      <c r="AD751" s="14"/>
      <c r="AE751" s="14"/>
      <c r="AF751" s="14"/>
      <c r="AG751" s="14"/>
      <c r="AH751" s="14"/>
      <c r="AI751" s="20"/>
      <c r="AJ751" s="14"/>
      <c r="AK751" s="14"/>
      <c r="AL751" s="14"/>
      <c r="AM751" s="14"/>
      <c r="AN751" s="14"/>
      <c r="AO751" s="14"/>
      <c r="AP751" s="14"/>
      <c r="AQ751" s="14"/>
      <c r="AR751" s="14"/>
    </row>
    <row r="752" ht="22.5" customHeight="1">
      <c r="A752" s="204"/>
      <c r="B752" s="200"/>
      <c r="C752" s="20"/>
      <c r="D752" s="14"/>
      <c r="E752" s="201"/>
      <c r="F752" s="14"/>
      <c r="G752" s="154"/>
      <c r="H752" s="14"/>
      <c r="I752" s="155"/>
      <c r="J752" s="155"/>
      <c r="K752" s="202"/>
      <c r="L752" s="14" t="str">
        <f t="shared" si="30"/>
        <v>0</v>
      </c>
      <c r="M752" s="14"/>
      <c r="N752" s="14"/>
      <c r="O752" s="14"/>
      <c r="P752" s="14"/>
      <c r="Q752" s="14"/>
      <c r="R752" s="201"/>
      <c r="S752" s="14"/>
      <c r="T752" s="14"/>
      <c r="U752" s="14"/>
      <c r="V752" s="203"/>
      <c r="W752" s="14"/>
      <c r="X752" s="14"/>
      <c r="Y752" s="14"/>
      <c r="Z752" s="14"/>
      <c r="AA752" s="14"/>
      <c r="AB752" s="14"/>
      <c r="AC752" s="14"/>
      <c r="AD752" s="14"/>
      <c r="AE752" s="14"/>
      <c r="AF752" s="14"/>
      <c r="AG752" s="14"/>
      <c r="AH752" s="14"/>
      <c r="AI752" s="20"/>
      <c r="AJ752" s="14"/>
      <c r="AK752" s="14"/>
      <c r="AL752" s="14"/>
      <c r="AM752" s="14"/>
      <c r="AN752" s="14"/>
      <c r="AO752" s="14"/>
      <c r="AP752" s="14"/>
      <c r="AQ752" s="14"/>
      <c r="AR752" s="14"/>
    </row>
    <row r="753" ht="22.5" customHeight="1">
      <c r="A753" s="204"/>
      <c r="B753" s="205"/>
      <c r="C753" s="20"/>
      <c r="D753" s="14"/>
      <c r="E753" s="201"/>
      <c r="F753" s="14"/>
      <c r="G753" s="154"/>
      <c r="H753" s="14"/>
      <c r="I753" s="155"/>
      <c r="J753" s="155"/>
      <c r="K753" s="202"/>
      <c r="L753" s="14" t="str">
        <f t="shared" si="30"/>
        <v>0</v>
      </c>
      <c r="M753" s="14"/>
      <c r="N753" s="14"/>
      <c r="O753" s="14"/>
      <c r="P753" s="14"/>
      <c r="Q753" s="14"/>
      <c r="R753" s="201"/>
      <c r="S753" s="14"/>
      <c r="T753" s="14"/>
      <c r="U753" s="14"/>
      <c r="V753" s="203"/>
      <c r="W753" s="14"/>
      <c r="X753" s="14"/>
      <c r="Y753" s="14"/>
      <c r="Z753" s="14"/>
      <c r="AA753" s="14"/>
      <c r="AB753" s="14"/>
      <c r="AC753" s="14"/>
      <c r="AD753" s="14"/>
      <c r="AE753" s="14"/>
      <c r="AF753" s="14"/>
      <c r="AG753" s="14"/>
      <c r="AH753" s="14"/>
      <c r="AI753" s="20"/>
      <c r="AJ753" s="14"/>
      <c r="AK753" s="14"/>
      <c r="AL753" s="14"/>
      <c r="AM753" s="14"/>
      <c r="AN753" s="14"/>
      <c r="AO753" s="14"/>
      <c r="AP753" s="14"/>
      <c r="AQ753" s="14"/>
      <c r="AR753" s="14"/>
    </row>
    <row r="754" ht="22.5" customHeight="1">
      <c r="A754" s="204"/>
      <c r="B754" s="200"/>
      <c r="C754" s="20"/>
      <c r="D754" s="14"/>
      <c r="E754" s="201"/>
      <c r="F754" s="14"/>
      <c r="G754" s="154"/>
      <c r="H754" s="14"/>
      <c r="I754" s="155"/>
      <c r="J754" s="155"/>
      <c r="K754" s="202"/>
      <c r="L754" s="14" t="str">
        <f t="shared" si="30"/>
        <v>0</v>
      </c>
      <c r="M754" s="14"/>
      <c r="N754" s="14"/>
      <c r="O754" s="14"/>
      <c r="P754" s="14"/>
      <c r="Q754" s="14"/>
      <c r="R754" s="201"/>
      <c r="S754" s="14"/>
      <c r="T754" s="14"/>
      <c r="U754" s="14"/>
      <c r="V754" s="203"/>
      <c r="W754" s="14"/>
      <c r="X754" s="14"/>
      <c r="Y754" s="14"/>
      <c r="Z754" s="14"/>
      <c r="AA754" s="14"/>
      <c r="AB754" s="14"/>
      <c r="AC754" s="14"/>
      <c r="AD754" s="14"/>
      <c r="AE754" s="14"/>
      <c r="AF754" s="14"/>
      <c r="AG754" s="14"/>
      <c r="AH754" s="14"/>
      <c r="AI754" s="20"/>
      <c r="AJ754" s="14"/>
      <c r="AK754" s="14"/>
      <c r="AL754" s="14"/>
      <c r="AM754" s="14"/>
      <c r="AN754" s="14"/>
      <c r="AO754" s="14"/>
      <c r="AP754" s="14"/>
      <c r="AQ754" s="14"/>
      <c r="AR754" s="14"/>
    </row>
    <row r="755" ht="22.5" customHeight="1">
      <c r="A755" s="204"/>
      <c r="B755" s="205"/>
      <c r="C755" s="20"/>
      <c r="D755" s="14"/>
      <c r="E755" s="201"/>
      <c r="F755" s="14"/>
      <c r="G755" s="154"/>
      <c r="H755" s="14"/>
      <c r="I755" s="155"/>
      <c r="J755" s="155"/>
      <c r="K755" s="202"/>
      <c r="L755" s="14" t="str">
        <f t="shared" si="30"/>
        <v>0</v>
      </c>
      <c r="M755" s="14"/>
      <c r="N755" s="14"/>
      <c r="O755" s="14"/>
      <c r="P755" s="14"/>
      <c r="Q755" s="14"/>
      <c r="R755" s="201"/>
      <c r="S755" s="14"/>
      <c r="T755" s="14"/>
      <c r="U755" s="14"/>
      <c r="V755" s="203"/>
      <c r="W755" s="14"/>
      <c r="X755" s="14"/>
      <c r="Y755" s="14"/>
      <c r="Z755" s="14"/>
      <c r="AA755" s="14"/>
      <c r="AB755" s="14"/>
      <c r="AC755" s="14"/>
      <c r="AD755" s="14"/>
      <c r="AE755" s="14"/>
      <c r="AF755" s="14"/>
      <c r="AG755" s="14"/>
      <c r="AH755" s="14"/>
      <c r="AI755" s="20"/>
      <c r="AJ755" s="14"/>
      <c r="AK755" s="14"/>
      <c r="AL755" s="14"/>
      <c r="AM755" s="14"/>
      <c r="AN755" s="14"/>
      <c r="AO755" s="14"/>
      <c r="AP755" s="14"/>
      <c r="AQ755" s="14"/>
      <c r="AR755" s="14"/>
    </row>
    <row r="756" ht="22.5" customHeight="1">
      <c r="A756" s="204"/>
      <c r="B756" s="200"/>
      <c r="C756" s="20"/>
      <c r="D756" s="14"/>
      <c r="E756" s="201"/>
      <c r="F756" s="14"/>
      <c r="G756" s="154"/>
      <c r="H756" s="14"/>
      <c r="I756" s="155"/>
      <c r="J756" s="155"/>
      <c r="K756" s="202"/>
      <c r="L756" s="14" t="str">
        <f t="shared" si="30"/>
        <v>0</v>
      </c>
      <c r="M756" s="14"/>
      <c r="N756" s="14"/>
      <c r="O756" s="14"/>
      <c r="P756" s="14"/>
      <c r="Q756" s="14"/>
      <c r="R756" s="201"/>
      <c r="S756" s="14"/>
      <c r="T756" s="14"/>
      <c r="U756" s="14"/>
      <c r="V756" s="203"/>
      <c r="W756" s="14"/>
      <c r="X756" s="14"/>
      <c r="Y756" s="14"/>
      <c r="Z756" s="14"/>
      <c r="AA756" s="14"/>
      <c r="AB756" s="14"/>
      <c r="AC756" s="14"/>
      <c r="AD756" s="14"/>
      <c r="AE756" s="14"/>
      <c r="AF756" s="14"/>
      <c r="AG756" s="14"/>
      <c r="AH756" s="14"/>
      <c r="AI756" s="20"/>
      <c r="AJ756" s="14"/>
      <c r="AK756" s="14"/>
      <c r="AL756" s="14"/>
      <c r="AM756" s="14"/>
      <c r="AN756" s="14"/>
      <c r="AO756" s="14"/>
      <c r="AP756" s="14"/>
      <c r="AQ756" s="14"/>
      <c r="AR756" s="14"/>
    </row>
    <row r="757" ht="22.5" customHeight="1">
      <c r="A757" s="204"/>
      <c r="B757" s="205"/>
      <c r="C757" s="20"/>
      <c r="D757" s="14"/>
      <c r="E757" s="201"/>
      <c r="F757" s="14"/>
      <c r="G757" s="154"/>
      <c r="H757" s="14"/>
      <c r="I757" s="155"/>
      <c r="J757" s="155"/>
      <c r="K757" s="202"/>
      <c r="L757" s="14" t="str">
        <f t="shared" si="30"/>
        <v>0</v>
      </c>
      <c r="M757" s="14"/>
      <c r="N757" s="14"/>
      <c r="O757" s="14"/>
      <c r="P757" s="14"/>
      <c r="Q757" s="14"/>
      <c r="R757" s="201"/>
      <c r="S757" s="14"/>
      <c r="T757" s="14"/>
      <c r="U757" s="14"/>
      <c r="V757" s="203"/>
      <c r="W757" s="14"/>
      <c r="X757" s="14"/>
      <c r="Y757" s="14"/>
      <c r="Z757" s="14"/>
      <c r="AA757" s="14"/>
      <c r="AB757" s="14"/>
      <c r="AC757" s="14"/>
      <c r="AD757" s="14"/>
      <c r="AE757" s="14"/>
      <c r="AF757" s="14"/>
      <c r="AG757" s="14"/>
      <c r="AH757" s="14"/>
      <c r="AI757" s="20"/>
      <c r="AJ757" s="14"/>
      <c r="AK757" s="14"/>
      <c r="AL757" s="14"/>
      <c r="AM757" s="14"/>
      <c r="AN757" s="14"/>
      <c r="AO757" s="14"/>
      <c r="AP757" s="14"/>
      <c r="AQ757" s="14"/>
      <c r="AR757" s="14"/>
    </row>
    <row r="758" ht="22.5" customHeight="1">
      <c r="A758" s="204"/>
      <c r="B758" s="200"/>
      <c r="C758" s="20"/>
      <c r="D758" s="14"/>
      <c r="E758" s="201"/>
      <c r="F758" s="14"/>
      <c r="G758" s="154"/>
      <c r="H758" s="14"/>
      <c r="I758" s="155"/>
      <c r="J758" s="155"/>
      <c r="K758" s="202"/>
      <c r="L758" s="14" t="str">
        <f t="shared" si="30"/>
        <v>0</v>
      </c>
      <c r="M758" s="14"/>
      <c r="N758" s="14"/>
      <c r="O758" s="14"/>
      <c r="P758" s="14"/>
      <c r="Q758" s="14"/>
      <c r="R758" s="201"/>
      <c r="S758" s="14"/>
      <c r="T758" s="14"/>
      <c r="U758" s="14"/>
      <c r="V758" s="203"/>
      <c r="W758" s="14"/>
      <c r="X758" s="14"/>
      <c r="Y758" s="14"/>
      <c r="Z758" s="14"/>
      <c r="AA758" s="14"/>
      <c r="AB758" s="14"/>
      <c r="AC758" s="14"/>
      <c r="AD758" s="14"/>
      <c r="AE758" s="14"/>
      <c r="AF758" s="14"/>
      <c r="AG758" s="14"/>
      <c r="AH758" s="14"/>
      <c r="AI758" s="20"/>
      <c r="AJ758" s="14"/>
      <c r="AK758" s="14"/>
      <c r="AL758" s="14"/>
      <c r="AM758" s="14"/>
      <c r="AN758" s="14"/>
      <c r="AO758" s="14"/>
      <c r="AP758" s="14"/>
      <c r="AQ758" s="14"/>
      <c r="AR758" s="14"/>
    </row>
    <row r="759" ht="22.5" customHeight="1">
      <c r="A759" s="204"/>
      <c r="B759" s="205"/>
      <c r="C759" s="20"/>
      <c r="D759" s="14"/>
      <c r="E759" s="201"/>
      <c r="F759" s="14"/>
      <c r="G759" s="154"/>
      <c r="H759" s="14"/>
      <c r="I759" s="155"/>
      <c r="J759" s="155"/>
      <c r="K759" s="202"/>
      <c r="L759" s="14" t="str">
        <f t="shared" si="30"/>
        <v>0</v>
      </c>
      <c r="M759" s="14"/>
      <c r="N759" s="14"/>
      <c r="O759" s="14"/>
      <c r="P759" s="14"/>
      <c r="Q759" s="14"/>
      <c r="R759" s="201"/>
      <c r="S759" s="14"/>
      <c r="T759" s="14"/>
      <c r="U759" s="14"/>
      <c r="V759" s="203"/>
      <c r="W759" s="14"/>
      <c r="X759" s="14"/>
      <c r="Y759" s="14"/>
      <c r="Z759" s="14"/>
      <c r="AA759" s="14"/>
      <c r="AB759" s="14"/>
      <c r="AC759" s="14"/>
      <c r="AD759" s="14"/>
      <c r="AE759" s="14"/>
      <c r="AF759" s="14"/>
      <c r="AG759" s="14"/>
      <c r="AH759" s="14"/>
      <c r="AI759" s="20"/>
      <c r="AJ759" s="14"/>
      <c r="AK759" s="14"/>
      <c r="AL759" s="14"/>
      <c r="AM759" s="14"/>
      <c r="AN759" s="14"/>
      <c r="AO759" s="14"/>
      <c r="AP759" s="14"/>
      <c r="AQ759" s="14"/>
      <c r="AR759" s="14"/>
    </row>
    <row r="760" ht="22.5" customHeight="1">
      <c r="A760" s="204"/>
      <c r="B760" s="200"/>
      <c r="C760" s="20"/>
      <c r="D760" s="14"/>
      <c r="E760" s="201"/>
      <c r="F760" s="14"/>
      <c r="G760" s="154"/>
      <c r="H760" s="14"/>
      <c r="I760" s="155"/>
      <c r="J760" s="155"/>
      <c r="K760" s="202"/>
      <c r="L760" s="14" t="str">
        <f t="shared" si="30"/>
        <v>0</v>
      </c>
      <c r="M760" s="14"/>
      <c r="N760" s="14"/>
      <c r="O760" s="14"/>
      <c r="P760" s="14"/>
      <c r="Q760" s="14"/>
      <c r="R760" s="201"/>
      <c r="S760" s="14"/>
      <c r="T760" s="14"/>
      <c r="U760" s="14"/>
      <c r="V760" s="203"/>
      <c r="W760" s="14"/>
      <c r="X760" s="14"/>
      <c r="Y760" s="14"/>
      <c r="Z760" s="14"/>
      <c r="AA760" s="14"/>
      <c r="AB760" s="14"/>
      <c r="AC760" s="14"/>
      <c r="AD760" s="14"/>
      <c r="AE760" s="14"/>
      <c r="AF760" s="14"/>
      <c r="AG760" s="14"/>
      <c r="AH760" s="14"/>
      <c r="AI760" s="20"/>
      <c r="AJ760" s="14"/>
      <c r="AK760" s="14"/>
      <c r="AL760" s="14"/>
      <c r="AM760" s="14"/>
      <c r="AN760" s="14"/>
      <c r="AO760" s="14"/>
      <c r="AP760" s="14"/>
      <c r="AQ760" s="14"/>
      <c r="AR760" s="14"/>
    </row>
    <row r="761" ht="22.5" customHeight="1">
      <c r="A761" s="204"/>
      <c r="B761" s="205"/>
      <c r="C761" s="20"/>
      <c r="D761" s="14"/>
      <c r="E761" s="201"/>
      <c r="F761" s="14"/>
      <c r="G761" s="154"/>
      <c r="H761" s="14"/>
      <c r="I761" s="155"/>
      <c r="J761" s="155"/>
      <c r="K761" s="202"/>
      <c r="L761" s="14" t="str">
        <f t="shared" si="30"/>
        <v>0</v>
      </c>
      <c r="M761" s="14"/>
      <c r="N761" s="14"/>
      <c r="O761" s="14"/>
      <c r="P761" s="14"/>
      <c r="Q761" s="14"/>
      <c r="R761" s="201"/>
      <c r="S761" s="14"/>
      <c r="T761" s="14"/>
      <c r="U761" s="14"/>
      <c r="V761" s="203"/>
      <c r="W761" s="14"/>
      <c r="X761" s="14"/>
      <c r="Y761" s="14"/>
      <c r="Z761" s="14"/>
      <c r="AA761" s="14"/>
      <c r="AB761" s="14"/>
      <c r="AC761" s="14"/>
      <c r="AD761" s="14"/>
      <c r="AE761" s="14"/>
      <c r="AF761" s="14"/>
      <c r="AG761" s="14"/>
      <c r="AH761" s="14"/>
      <c r="AI761" s="20"/>
      <c r="AJ761" s="14"/>
      <c r="AK761" s="14"/>
      <c r="AL761" s="14"/>
      <c r="AM761" s="14"/>
      <c r="AN761" s="14"/>
      <c r="AO761" s="14"/>
      <c r="AP761" s="14"/>
      <c r="AQ761" s="14"/>
      <c r="AR761" s="14"/>
    </row>
    <row r="762" ht="22.5" customHeight="1">
      <c r="A762" s="204"/>
      <c r="B762" s="200"/>
      <c r="C762" s="20"/>
      <c r="D762" s="14"/>
      <c r="E762" s="201"/>
      <c r="F762" s="14"/>
      <c r="G762" s="154"/>
      <c r="H762" s="14"/>
      <c r="I762" s="155"/>
      <c r="J762" s="155"/>
      <c r="K762" s="202"/>
      <c r="L762" s="14" t="str">
        <f t="shared" si="30"/>
        <v>0</v>
      </c>
      <c r="M762" s="14"/>
      <c r="N762" s="14"/>
      <c r="O762" s="14"/>
      <c r="P762" s="14"/>
      <c r="Q762" s="14"/>
      <c r="R762" s="201"/>
      <c r="S762" s="14"/>
      <c r="T762" s="14"/>
      <c r="U762" s="14"/>
      <c r="V762" s="203"/>
      <c r="W762" s="14"/>
      <c r="X762" s="14"/>
      <c r="Y762" s="14"/>
      <c r="Z762" s="14"/>
      <c r="AA762" s="14"/>
      <c r="AB762" s="14"/>
      <c r="AC762" s="14"/>
      <c r="AD762" s="14"/>
      <c r="AE762" s="14"/>
      <c r="AF762" s="14"/>
      <c r="AG762" s="14"/>
      <c r="AH762" s="14"/>
      <c r="AI762" s="20"/>
      <c r="AJ762" s="14"/>
      <c r="AK762" s="14"/>
      <c r="AL762" s="14"/>
      <c r="AM762" s="14"/>
      <c r="AN762" s="14"/>
      <c r="AO762" s="14"/>
      <c r="AP762" s="14"/>
      <c r="AQ762" s="14"/>
      <c r="AR762" s="14"/>
    </row>
    <row r="763" ht="22.5" customHeight="1">
      <c r="A763" s="204"/>
      <c r="B763" s="205"/>
      <c r="C763" s="20"/>
      <c r="D763" s="14"/>
      <c r="E763" s="201"/>
      <c r="F763" s="14"/>
      <c r="G763" s="154"/>
      <c r="H763" s="14"/>
      <c r="I763" s="155"/>
      <c r="J763" s="155"/>
      <c r="K763" s="202"/>
      <c r="L763" s="14" t="str">
        <f t="shared" si="30"/>
        <v>0</v>
      </c>
      <c r="M763" s="14"/>
      <c r="N763" s="14"/>
      <c r="O763" s="14"/>
      <c r="P763" s="14"/>
      <c r="Q763" s="14"/>
      <c r="R763" s="201"/>
      <c r="S763" s="14"/>
      <c r="T763" s="14"/>
      <c r="U763" s="14"/>
      <c r="V763" s="203"/>
      <c r="W763" s="14"/>
      <c r="X763" s="14"/>
      <c r="Y763" s="14"/>
      <c r="Z763" s="14"/>
      <c r="AA763" s="14"/>
      <c r="AB763" s="14"/>
      <c r="AC763" s="14"/>
      <c r="AD763" s="14"/>
      <c r="AE763" s="14"/>
      <c r="AF763" s="14"/>
      <c r="AG763" s="14"/>
      <c r="AH763" s="14"/>
      <c r="AI763" s="20"/>
      <c r="AJ763" s="14"/>
      <c r="AK763" s="14"/>
      <c r="AL763" s="14"/>
      <c r="AM763" s="14"/>
      <c r="AN763" s="14"/>
      <c r="AO763" s="14"/>
      <c r="AP763" s="14"/>
      <c r="AQ763" s="14"/>
      <c r="AR763" s="14"/>
    </row>
    <row r="764" ht="22.5" customHeight="1">
      <c r="A764" s="204"/>
      <c r="B764" s="200"/>
      <c r="C764" s="20"/>
      <c r="D764" s="14"/>
      <c r="E764" s="201"/>
      <c r="F764" s="14"/>
      <c r="G764" s="154"/>
      <c r="H764" s="14"/>
      <c r="I764" s="155"/>
      <c r="J764" s="155"/>
      <c r="K764" s="202"/>
      <c r="L764" s="14" t="str">
        <f t="shared" si="30"/>
        <v>0</v>
      </c>
      <c r="M764" s="14"/>
      <c r="N764" s="14"/>
      <c r="O764" s="14"/>
      <c r="P764" s="14"/>
      <c r="Q764" s="14"/>
      <c r="R764" s="201"/>
      <c r="S764" s="14"/>
      <c r="T764" s="14"/>
      <c r="U764" s="14"/>
      <c r="V764" s="203"/>
      <c r="W764" s="14"/>
      <c r="X764" s="14"/>
      <c r="Y764" s="14"/>
      <c r="Z764" s="14"/>
      <c r="AA764" s="14"/>
      <c r="AB764" s="14"/>
      <c r="AC764" s="14"/>
      <c r="AD764" s="14"/>
      <c r="AE764" s="14"/>
      <c r="AF764" s="14"/>
      <c r="AG764" s="14"/>
      <c r="AH764" s="14"/>
      <c r="AI764" s="20"/>
      <c r="AJ764" s="14"/>
      <c r="AK764" s="14"/>
      <c r="AL764" s="14"/>
      <c r="AM764" s="14"/>
      <c r="AN764" s="14"/>
      <c r="AO764" s="14"/>
      <c r="AP764" s="14"/>
      <c r="AQ764" s="14"/>
      <c r="AR764" s="14"/>
    </row>
    <row r="765" ht="22.5" customHeight="1">
      <c r="A765" s="204"/>
      <c r="B765" s="205"/>
      <c r="C765" s="20"/>
      <c r="D765" s="14"/>
      <c r="E765" s="201"/>
      <c r="F765" s="14"/>
      <c r="G765" s="154"/>
      <c r="H765" s="14"/>
      <c r="I765" s="155"/>
      <c r="J765" s="155"/>
      <c r="K765" s="202"/>
      <c r="L765" s="14" t="str">
        <f t="shared" si="30"/>
        <v>0</v>
      </c>
      <c r="M765" s="14"/>
      <c r="N765" s="14"/>
      <c r="O765" s="14"/>
      <c r="P765" s="14"/>
      <c r="Q765" s="14"/>
      <c r="R765" s="201"/>
      <c r="S765" s="14"/>
      <c r="T765" s="14"/>
      <c r="U765" s="14"/>
      <c r="V765" s="203"/>
      <c r="W765" s="14"/>
      <c r="X765" s="14"/>
      <c r="Y765" s="14"/>
      <c r="Z765" s="14"/>
      <c r="AA765" s="14"/>
      <c r="AB765" s="14"/>
      <c r="AC765" s="14"/>
      <c r="AD765" s="14"/>
      <c r="AE765" s="14"/>
      <c r="AF765" s="14"/>
      <c r="AG765" s="14"/>
      <c r="AH765" s="14"/>
      <c r="AI765" s="20"/>
      <c r="AJ765" s="14"/>
      <c r="AK765" s="14"/>
      <c r="AL765" s="14"/>
      <c r="AM765" s="14"/>
      <c r="AN765" s="14"/>
      <c r="AO765" s="14"/>
      <c r="AP765" s="14"/>
      <c r="AQ765" s="14"/>
      <c r="AR765" s="14"/>
    </row>
    <row r="766" ht="22.5" customHeight="1">
      <c r="A766" s="204"/>
      <c r="B766" s="200"/>
      <c r="C766" s="20"/>
      <c r="D766" s="14"/>
      <c r="E766" s="201"/>
      <c r="F766" s="14"/>
      <c r="G766" s="154"/>
      <c r="H766" s="14"/>
      <c r="I766" s="155"/>
      <c r="J766" s="155"/>
      <c r="K766" s="202"/>
      <c r="L766" s="14" t="str">
        <f t="shared" si="30"/>
        <v>0</v>
      </c>
      <c r="M766" s="14"/>
      <c r="N766" s="14"/>
      <c r="O766" s="14"/>
      <c r="P766" s="14"/>
      <c r="Q766" s="14"/>
      <c r="R766" s="201"/>
      <c r="S766" s="14"/>
      <c r="T766" s="14"/>
      <c r="U766" s="14"/>
      <c r="V766" s="203"/>
      <c r="W766" s="14"/>
      <c r="X766" s="14"/>
      <c r="Y766" s="14"/>
      <c r="Z766" s="14"/>
      <c r="AA766" s="14"/>
      <c r="AB766" s="14"/>
      <c r="AC766" s="14"/>
      <c r="AD766" s="14"/>
      <c r="AE766" s="14"/>
      <c r="AF766" s="14"/>
      <c r="AG766" s="14"/>
      <c r="AH766" s="14"/>
      <c r="AI766" s="20"/>
      <c r="AJ766" s="14"/>
      <c r="AK766" s="14"/>
      <c r="AL766" s="14"/>
      <c r="AM766" s="14"/>
      <c r="AN766" s="14"/>
      <c r="AO766" s="14"/>
      <c r="AP766" s="14"/>
      <c r="AQ766" s="14"/>
      <c r="AR766" s="14"/>
    </row>
    <row r="767" ht="22.5" customHeight="1">
      <c r="A767" s="204"/>
      <c r="B767" s="205"/>
      <c r="C767" s="20"/>
      <c r="D767" s="14"/>
      <c r="E767" s="201"/>
      <c r="F767" s="14"/>
      <c r="G767" s="154"/>
      <c r="H767" s="14"/>
      <c r="I767" s="155"/>
      <c r="J767" s="155"/>
      <c r="K767" s="202"/>
      <c r="L767" s="14" t="str">
        <f t="shared" si="30"/>
        <v>0</v>
      </c>
      <c r="M767" s="14"/>
      <c r="N767" s="14"/>
      <c r="O767" s="14"/>
      <c r="P767" s="14"/>
      <c r="Q767" s="14"/>
      <c r="R767" s="201"/>
      <c r="S767" s="14"/>
      <c r="T767" s="14"/>
      <c r="U767" s="14"/>
      <c r="V767" s="203"/>
      <c r="W767" s="14"/>
      <c r="X767" s="14"/>
      <c r="Y767" s="14"/>
      <c r="Z767" s="14"/>
      <c r="AA767" s="14"/>
      <c r="AB767" s="14"/>
      <c r="AC767" s="14"/>
      <c r="AD767" s="14"/>
      <c r="AE767" s="14"/>
      <c r="AF767" s="14"/>
      <c r="AG767" s="14"/>
      <c r="AH767" s="14"/>
      <c r="AI767" s="20"/>
      <c r="AJ767" s="14"/>
      <c r="AK767" s="14"/>
      <c r="AL767" s="14"/>
      <c r="AM767" s="14"/>
      <c r="AN767" s="14"/>
      <c r="AO767" s="14"/>
      <c r="AP767" s="14"/>
      <c r="AQ767" s="14"/>
      <c r="AR767" s="14"/>
    </row>
    <row r="768" ht="22.5" customHeight="1">
      <c r="A768" s="204"/>
      <c r="B768" s="200"/>
      <c r="C768" s="20"/>
      <c r="D768" s="14"/>
      <c r="E768" s="201"/>
      <c r="F768" s="14"/>
      <c r="G768" s="154"/>
      <c r="H768" s="14"/>
      <c r="I768" s="155"/>
      <c r="J768" s="155"/>
      <c r="K768" s="202"/>
      <c r="L768" s="14" t="str">
        <f t="shared" si="30"/>
        <v>0</v>
      </c>
      <c r="M768" s="14"/>
      <c r="N768" s="14"/>
      <c r="O768" s="14"/>
      <c r="P768" s="14"/>
      <c r="Q768" s="14"/>
      <c r="R768" s="201"/>
      <c r="S768" s="14"/>
      <c r="T768" s="14"/>
      <c r="U768" s="14"/>
      <c r="V768" s="203"/>
      <c r="W768" s="14"/>
      <c r="X768" s="14"/>
      <c r="Y768" s="14"/>
      <c r="Z768" s="14"/>
      <c r="AA768" s="14"/>
      <c r="AB768" s="14"/>
      <c r="AC768" s="14"/>
      <c r="AD768" s="14"/>
      <c r="AE768" s="14"/>
      <c r="AF768" s="14"/>
      <c r="AG768" s="14"/>
      <c r="AH768" s="14"/>
      <c r="AI768" s="20"/>
      <c r="AJ768" s="14"/>
      <c r="AK768" s="14"/>
      <c r="AL768" s="14"/>
      <c r="AM768" s="14"/>
      <c r="AN768" s="14"/>
      <c r="AO768" s="14"/>
      <c r="AP768" s="14"/>
      <c r="AQ768" s="14"/>
      <c r="AR768" s="14"/>
    </row>
    <row r="769" ht="22.5" customHeight="1">
      <c r="A769" s="204"/>
      <c r="B769" s="205"/>
      <c r="C769" s="20"/>
      <c r="D769" s="14"/>
      <c r="E769" s="201"/>
      <c r="F769" s="14"/>
      <c r="G769" s="154"/>
      <c r="H769" s="14"/>
      <c r="I769" s="155"/>
      <c r="J769" s="155"/>
      <c r="K769" s="202"/>
      <c r="L769" s="14" t="str">
        <f t="shared" si="30"/>
        <v>0</v>
      </c>
      <c r="M769" s="14"/>
      <c r="N769" s="14"/>
      <c r="O769" s="14"/>
      <c r="P769" s="14"/>
      <c r="Q769" s="14"/>
      <c r="R769" s="201"/>
      <c r="S769" s="14"/>
      <c r="T769" s="14"/>
      <c r="U769" s="14"/>
      <c r="V769" s="203"/>
      <c r="W769" s="14"/>
      <c r="X769" s="14"/>
      <c r="Y769" s="14"/>
      <c r="Z769" s="14"/>
      <c r="AA769" s="14"/>
      <c r="AB769" s="14"/>
      <c r="AC769" s="14"/>
      <c r="AD769" s="14"/>
      <c r="AE769" s="14"/>
      <c r="AF769" s="14"/>
      <c r="AG769" s="14"/>
      <c r="AH769" s="14"/>
      <c r="AI769" s="20"/>
      <c r="AJ769" s="14"/>
      <c r="AK769" s="14"/>
      <c r="AL769" s="14"/>
      <c r="AM769" s="14"/>
      <c r="AN769" s="14"/>
      <c r="AO769" s="14"/>
      <c r="AP769" s="14"/>
      <c r="AQ769" s="14"/>
      <c r="AR769" s="14"/>
    </row>
    <row r="770" ht="22.5" customHeight="1">
      <c r="A770" s="204"/>
      <c r="B770" s="200"/>
      <c r="C770" s="20"/>
      <c r="D770" s="14"/>
      <c r="E770" s="201"/>
      <c r="F770" s="14"/>
      <c r="G770" s="154"/>
      <c r="H770" s="14"/>
      <c r="I770" s="155"/>
      <c r="J770" s="155"/>
      <c r="K770" s="202"/>
      <c r="L770" s="14" t="str">
        <f t="shared" si="30"/>
        <v>0</v>
      </c>
      <c r="M770" s="14"/>
      <c r="N770" s="14"/>
      <c r="O770" s="14"/>
      <c r="P770" s="14"/>
      <c r="Q770" s="14"/>
      <c r="R770" s="201"/>
      <c r="S770" s="14"/>
      <c r="T770" s="14"/>
      <c r="U770" s="14"/>
      <c r="V770" s="203"/>
      <c r="W770" s="14"/>
      <c r="X770" s="14"/>
      <c r="Y770" s="14"/>
      <c r="Z770" s="14"/>
      <c r="AA770" s="14"/>
      <c r="AB770" s="14"/>
      <c r="AC770" s="14"/>
      <c r="AD770" s="14"/>
      <c r="AE770" s="14"/>
      <c r="AF770" s="14"/>
      <c r="AG770" s="14"/>
      <c r="AH770" s="14"/>
      <c r="AI770" s="20"/>
      <c r="AJ770" s="14"/>
      <c r="AK770" s="14"/>
      <c r="AL770" s="14"/>
      <c r="AM770" s="14"/>
      <c r="AN770" s="14"/>
      <c r="AO770" s="14"/>
      <c r="AP770" s="14"/>
      <c r="AQ770" s="14"/>
      <c r="AR770" s="14"/>
    </row>
    <row r="771" ht="22.5" customHeight="1">
      <c r="A771" s="204"/>
      <c r="B771" s="205"/>
      <c r="C771" s="20"/>
      <c r="D771" s="14"/>
      <c r="E771" s="201"/>
      <c r="F771" s="14"/>
      <c r="G771" s="154"/>
      <c r="H771" s="14"/>
      <c r="I771" s="155"/>
      <c r="J771" s="155"/>
      <c r="K771" s="202"/>
      <c r="L771" s="14" t="str">
        <f t="shared" si="30"/>
        <v>0</v>
      </c>
      <c r="M771" s="14"/>
      <c r="N771" s="14"/>
      <c r="O771" s="14"/>
      <c r="P771" s="14"/>
      <c r="Q771" s="14"/>
      <c r="R771" s="201"/>
      <c r="S771" s="14"/>
      <c r="T771" s="14"/>
      <c r="U771" s="14"/>
      <c r="V771" s="203"/>
      <c r="W771" s="14"/>
      <c r="X771" s="14"/>
      <c r="Y771" s="14"/>
      <c r="Z771" s="14"/>
      <c r="AA771" s="14"/>
      <c r="AB771" s="14"/>
      <c r="AC771" s="14"/>
      <c r="AD771" s="14"/>
      <c r="AE771" s="14"/>
      <c r="AF771" s="14"/>
      <c r="AG771" s="14"/>
      <c r="AH771" s="14"/>
      <c r="AI771" s="20"/>
      <c r="AJ771" s="14"/>
      <c r="AK771" s="14"/>
      <c r="AL771" s="14"/>
      <c r="AM771" s="14"/>
      <c r="AN771" s="14"/>
      <c r="AO771" s="14"/>
      <c r="AP771" s="14"/>
      <c r="AQ771" s="14"/>
      <c r="AR771" s="14"/>
    </row>
    <row r="772" ht="22.5" customHeight="1">
      <c r="A772" s="204"/>
      <c r="B772" s="200"/>
      <c r="C772" s="20"/>
      <c r="D772" s="14"/>
      <c r="E772" s="201"/>
      <c r="F772" s="14"/>
      <c r="G772" s="154"/>
      <c r="H772" s="14"/>
      <c r="I772" s="155"/>
      <c r="J772" s="155"/>
      <c r="K772" s="202"/>
      <c r="L772" s="14" t="str">
        <f t="shared" si="30"/>
        <v>0</v>
      </c>
      <c r="M772" s="14"/>
      <c r="N772" s="14"/>
      <c r="O772" s="14"/>
      <c r="P772" s="14"/>
      <c r="Q772" s="14"/>
      <c r="R772" s="201"/>
      <c r="S772" s="14"/>
      <c r="T772" s="14"/>
      <c r="U772" s="14"/>
      <c r="V772" s="203"/>
      <c r="W772" s="14"/>
      <c r="X772" s="14"/>
      <c r="Y772" s="14"/>
      <c r="Z772" s="14"/>
      <c r="AA772" s="14"/>
      <c r="AB772" s="14"/>
      <c r="AC772" s="14"/>
      <c r="AD772" s="14"/>
      <c r="AE772" s="14"/>
      <c r="AF772" s="14"/>
      <c r="AG772" s="14"/>
      <c r="AH772" s="14"/>
      <c r="AI772" s="20"/>
      <c r="AJ772" s="14"/>
      <c r="AK772" s="14"/>
      <c r="AL772" s="14"/>
      <c r="AM772" s="14"/>
      <c r="AN772" s="14"/>
      <c r="AO772" s="14"/>
      <c r="AP772" s="14"/>
      <c r="AQ772" s="14"/>
      <c r="AR772" s="14"/>
    </row>
    <row r="773" ht="22.5" customHeight="1">
      <c r="A773" s="204"/>
      <c r="B773" s="205"/>
      <c r="C773" s="20"/>
      <c r="D773" s="14"/>
      <c r="E773" s="201"/>
      <c r="F773" s="14"/>
      <c r="G773" s="154"/>
      <c r="H773" s="14"/>
      <c r="I773" s="155"/>
      <c r="J773" s="155"/>
      <c r="K773" s="202"/>
      <c r="L773" s="14" t="str">
        <f t="shared" si="30"/>
        <v>0</v>
      </c>
      <c r="M773" s="14"/>
      <c r="N773" s="14"/>
      <c r="O773" s="14"/>
      <c r="P773" s="14"/>
      <c r="Q773" s="14"/>
      <c r="R773" s="201"/>
      <c r="S773" s="14"/>
      <c r="T773" s="14"/>
      <c r="U773" s="14"/>
      <c r="V773" s="203"/>
      <c r="W773" s="14"/>
      <c r="X773" s="14"/>
      <c r="Y773" s="14"/>
      <c r="Z773" s="14"/>
      <c r="AA773" s="14"/>
      <c r="AB773" s="14"/>
      <c r="AC773" s="14"/>
      <c r="AD773" s="14"/>
      <c r="AE773" s="14"/>
      <c r="AF773" s="14"/>
      <c r="AG773" s="14"/>
      <c r="AH773" s="14"/>
      <c r="AI773" s="20"/>
      <c r="AJ773" s="14"/>
      <c r="AK773" s="14"/>
      <c r="AL773" s="14"/>
      <c r="AM773" s="14"/>
      <c r="AN773" s="14"/>
      <c r="AO773" s="14"/>
      <c r="AP773" s="14"/>
      <c r="AQ773" s="14"/>
      <c r="AR773" s="14"/>
    </row>
    <row r="774" ht="22.5" customHeight="1">
      <c r="A774" s="204"/>
      <c r="B774" s="200"/>
      <c r="C774" s="20"/>
      <c r="D774" s="14"/>
      <c r="E774" s="201"/>
      <c r="F774" s="14"/>
      <c r="G774" s="154"/>
      <c r="H774" s="14"/>
      <c r="I774" s="155"/>
      <c r="J774" s="155"/>
      <c r="K774" s="202"/>
      <c r="L774" s="14" t="str">
        <f t="shared" si="30"/>
        <v>0</v>
      </c>
      <c r="M774" s="14"/>
      <c r="N774" s="14"/>
      <c r="O774" s="14"/>
      <c r="P774" s="14"/>
      <c r="Q774" s="14"/>
      <c r="R774" s="201"/>
      <c r="S774" s="14"/>
      <c r="T774" s="14"/>
      <c r="U774" s="14"/>
      <c r="V774" s="203"/>
      <c r="W774" s="14"/>
      <c r="X774" s="14"/>
      <c r="Y774" s="14"/>
      <c r="Z774" s="14"/>
      <c r="AA774" s="14"/>
      <c r="AB774" s="14"/>
      <c r="AC774" s="14"/>
      <c r="AD774" s="14"/>
      <c r="AE774" s="14"/>
      <c r="AF774" s="14"/>
      <c r="AG774" s="14"/>
      <c r="AH774" s="14"/>
      <c r="AI774" s="20"/>
      <c r="AJ774" s="14"/>
      <c r="AK774" s="14"/>
      <c r="AL774" s="14"/>
      <c r="AM774" s="14"/>
      <c r="AN774" s="14"/>
      <c r="AO774" s="14"/>
      <c r="AP774" s="14"/>
      <c r="AQ774" s="14"/>
      <c r="AR774" s="14"/>
    </row>
    <row r="775" ht="22.5" customHeight="1">
      <c r="A775" s="204"/>
      <c r="B775" s="205"/>
      <c r="C775" s="20"/>
      <c r="D775" s="14"/>
      <c r="E775" s="201"/>
      <c r="F775" s="14"/>
      <c r="G775" s="154"/>
      <c r="H775" s="14"/>
      <c r="I775" s="155"/>
      <c r="J775" s="155"/>
      <c r="K775" s="202"/>
      <c r="L775" s="14" t="str">
        <f t="shared" si="30"/>
        <v>0</v>
      </c>
      <c r="M775" s="14"/>
      <c r="N775" s="14"/>
      <c r="O775" s="14"/>
      <c r="P775" s="14"/>
      <c r="Q775" s="14"/>
      <c r="R775" s="201"/>
      <c r="S775" s="14"/>
      <c r="T775" s="14"/>
      <c r="U775" s="14"/>
      <c r="V775" s="203"/>
      <c r="W775" s="14"/>
      <c r="X775" s="14"/>
      <c r="Y775" s="14"/>
      <c r="Z775" s="14"/>
      <c r="AA775" s="14"/>
      <c r="AB775" s="14"/>
      <c r="AC775" s="14"/>
      <c r="AD775" s="14"/>
      <c r="AE775" s="14"/>
      <c r="AF775" s="14"/>
      <c r="AG775" s="14"/>
      <c r="AH775" s="14"/>
      <c r="AI775" s="20"/>
      <c r="AJ775" s="14"/>
      <c r="AK775" s="14"/>
      <c r="AL775" s="14"/>
      <c r="AM775" s="14"/>
      <c r="AN775" s="14"/>
      <c r="AO775" s="14"/>
      <c r="AP775" s="14"/>
      <c r="AQ775" s="14"/>
      <c r="AR775" s="14"/>
    </row>
    <row r="776" ht="22.5" customHeight="1">
      <c r="A776" s="204"/>
      <c r="B776" s="200"/>
      <c r="C776" s="20"/>
      <c r="D776" s="14"/>
      <c r="E776" s="201"/>
      <c r="F776" s="14"/>
      <c r="G776" s="154"/>
      <c r="H776" s="14"/>
      <c r="I776" s="155"/>
      <c r="J776" s="155"/>
      <c r="K776" s="202"/>
      <c r="L776" s="14" t="str">
        <f t="shared" si="30"/>
        <v>0</v>
      </c>
      <c r="M776" s="14"/>
      <c r="N776" s="14"/>
      <c r="O776" s="14"/>
      <c r="P776" s="14"/>
      <c r="Q776" s="14"/>
      <c r="R776" s="201"/>
      <c r="S776" s="14"/>
      <c r="T776" s="14"/>
      <c r="U776" s="14"/>
      <c r="V776" s="203"/>
      <c r="W776" s="14"/>
      <c r="X776" s="14"/>
      <c r="Y776" s="14"/>
      <c r="Z776" s="14"/>
      <c r="AA776" s="14"/>
      <c r="AB776" s="14"/>
      <c r="AC776" s="14"/>
      <c r="AD776" s="14"/>
      <c r="AE776" s="14"/>
      <c r="AF776" s="14"/>
      <c r="AG776" s="14"/>
      <c r="AH776" s="14"/>
      <c r="AI776" s="20"/>
      <c r="AJ776" s="14"/>
      <c r="AK776" s="14"/>
      <c r="AL776" s="14"/>
      <c r="AM776" s="14"/>
      <c r="AN776" s="14"/>
      <c r="AO776" s="14"/>
      <c r="AP776" s="14"/>
      <c r="AQ776" s="14"/>
      <c r="AR776" s="14"/>
    </row>
    <row r="777" ht="22.5" customHeight="1">
      <c r="A777" s="204"/>
      <c r="B777" s="205"/>
      <c r="C777" s="20"/>
      <c r="D777" s="14"/>
      <c r="E777" s="201"/>
      <c r="F777" s="14"/>
      <c r="G777" s="154"/>
      <c r="H777" s="14"/>
      <c r="I777" s="155"/>
      <c r="J777" s="155"/>
      <c r="K777" s="202"/>
      <c r="L777" s="14" t="str">
        <f t="shared" si="30"/>
        <v>0</v>
      </c>
      <c r="M777" s="14"/>
      <c r="N777" s="14"/>
      <c r="O777" s="14"/>
      <c r="P777" s="14"/>
      <c r="Q777" s="14"/>
      <c r="R777" s="201"/>
      <c r="S777" s="14"/>
      <c r="T777" s="14"/>
      <c r="U777" s="14"/>
      <c r="V777" s="203"/>
      <c r="W777" s="14"/>
      <c r="X777" s="14"/>
      <c r="Y777" s="14"/>
      <c r="Z777" s="14"/>
      <c r="AA777" s="14"/>
      <c r="AB777" s="14"/>
      <c r="AC777" s="14"/>
      <c r="AD777" s="14"/>
      <c r="AE777" s="14"/>
      <c r="AF777" s="14"/>
      <c r="AG777" s="14"/>
      <c r="AH777" s="14"/>
      <c r="AI777" s="20"/>
      <c r="AJ777" s="14"/>
      <c r="AK777" s="14"/>
      <c r="AL777" s="14"/>
      <c r="AM777" s="14"/>
      <c r="AN777" s="14"/>
      <c r="AO777" s="14"/>
      <c r="AP777" s="14"/>
      <c r="AQ777" s="14"/>
      <c r="AR777" s="14"/>
    </row>
    <row r="778" ht="22.5" customHeight="1">
      <c r="A778" s="204"/>
      <c r="B778" s="200"/>
      <c r="C778" s="20"/>
      <c r="D778" s="14"/>
      <c r="E778" s="201"/>
      <c r="F778" s="14"/>
      <c r="G778" s="154"/>
      <c r="H778" s="14"/>
      <c r="I778" s="155"/>
      <c r="J778" s="155"/>
      <c r="K778" s="202"/>
      <c r="L778" s="14" t="str">
        <f t="shared" si="30"/>
        <v>0</v>
      </c>
      <c r="M778" s="14"/>
      <c r="N778" s="14"/>
      <c r="O778" s="14"/>
      <c r="P778" s="14"/>
      <c r="Q778" s="14"/>
      <c r="R778" s="201"/>
      <c r="S778" s="14"/>
      <c r="T778" s="14"/>
      <c r="U778" s="14"/>
      <c r="V778" s="203"/>
      <c r="W778" s="14"/>
      <c r="X778" s="14"/>
      <c r="Y778" s="14"/>
      <c r="Z778" s="14"/>
      <c r="AA778" s="14"/>
      <c r="AB778" s="14"/>
      <c r="AC778" s="14"/>
      <c r="AD778" s="14"/>
      <c r="AE778" s="14"/>
      <c r="AF778" s="14"/>
      <c r="AG778" s="14"/>
      <c r="AH778" s="14"/>
      <c r="AI778" s="20"/>
      <c r="AJ778" s="14"/>
      <c r="AK778" s="14"/>
      <c r="AL778" s="14"/>
      <c r="AM778" s="14"/>
      <c r="AN778" s="14"/>
      <c r="AO778" s="14"/>
      <c r="AP778" s="14"/>
      <c r="AQ778" s="14"/>
      <c r="AR778" s="14"/>
    </row>
    <row r="779" ht="22.5" customHeight="1">
      <c r="A779" s="204"/>
      <c r="B779" s="205"/>
      <c r="C779" s="20"/>
      <c r="D779" s="14"/>
      <c r="E779" s="201"/>
      <c r="F779" s="14"/>
      <c r="G779" s="154"/>
      <c r="H779" s="14"/>
      <c r="I779" s="155"/>
      <c r="J779" s="155"/>
      <c r="K779" s="202"/>
      <c r="L779" s="14" t="str">
        <f t="shared" si="30"/>
        <v>0</v>
      </c>
      <c r="M779" s="14"/>
      <c r="N779" s="14"/>
      <c r="O779" s="14"/>
      <c r="P779" s="14"/>
      <c r="Q779" s="14"/>
      <c r="R779" s="201"/>
      <c r="S779" s="14"/>
      <c r="T779" s="14"/>
      <c r="U779" s="14"/>
      <c r="V779" s="203"/>
      <c r="W779" s="14"/>
      <c r="X779" s="14"/>
      <c r="Y779" s="14"/>
      <c r="Z779" s="14"/>
      <c r="AA779" s="14"/>
      <c r="AB779" s="14"/>
      <c r="AC779" s="14"/>
      <c r="AD779" s="14"/>
      <c r="AE779" s="14"/>
      <c r="AF779" s="14"/>
      <c r="AG779" s="14"/>
      <c r="AH779" s="14"/>
      <c r="AI779" s="20"/>
      <c r="AJ779" s="14"/>
      <c r="AK779" s="14"/>
      <c r="AL779" s="14"/>
      <c r="AM779" s="14"/>
      <c r="AN779" s="14"/>
      <c r="AO779" s="14"/>
      <c r="AP779" s="14"/>
      <c r="AQ779" s="14"/>
      <c r="AR779" s="14"/>
    </row>
    <row r="780" ht="22.5" customHeight="1">
      <c r="A780" s="204"/>
      <c r="B780" s="200"/>
      <c r="C780" s="20"/>
      <c r="D780" s="14"/>
      <c r="E780" s="201"/>
      <c r="F780" s="14"/>
      <c r="G780" s="154"/>
      <c r="H780" s="14"/>
      <c r="I780" s="155"/>
      <c r="J780" s="155"/>
      <c r="K780" s="202"/>
      <c r="L780" s="14" t="str">
        <f t="shared" si="30"/>
        <v>0</v>
      </c>
      <c r="M780" s="14"/>
      <c r="N780" s="14"/>
      <c r="O780" s="14"/>
      <c r="P780" s="14"/>
      <c r="Q780" s="14"/>
      <c r="R780" s="201"/>
      <c r="S780" s="14"/>
      <c r="T780" s="14"/>
      <c r="U780" s="14"/>
      <c r="V780" s="203"/>
      <c r="W780" s="14"/>
      <c r="X780" s="14"/>
      <c r="Y780" s="14"/>
      <c r="Z780" s="14"/>
      <c r="AA780" s="14"/>
      <c r="AB780" s="14"/>
      <c r="AC780" s="14"/>
      <c r="AD780" s="14"/>
      <c r="AE780" s="14"/>
      <c r="AF780" s="14"/>
      <c r="AG780" s="14"/>
      <c r="AH780" s="14"/>
      <c r="AI780" s="20"/>
      <c r="AJ780" s="14"/>
      <c r="AK780" s="14"/>
      <c r="AL780" s="14"/>
      <c r="AM780" s="14"/>
      <c r="AN780" s="14"/>
      <c r="AO780" s="14"/>
      <c r="AP780" s="14"/>
      <c r="AQ780" s="14"/>
      <c r="AR780" s="14"/>
    </row>
    <row r="781" ht="22.5" customHeight="1">
      <c r="A781" s="204"/>
      <c r="B781" s="205"/>
      <c r="C781" s="20"/>
      <c r="D781" s="14"/>
      <c r="E781" s="201"/>
      <c r="F781" s="14"/>
      <c r="G781" s="154"/>
      <c r="H781" s="14"/>
      <c r="I781" s="155"/>
      <c r="J781" s="155"/>
      <c r="K781" s="202"/>
      <c r="L781" s="14" t="str">
        <f t="shared" si="30"/>
        <v>0</v>
      </c>
      <c r="M781" s="14"/>
      <c r="N781" s="14"/>
      <c r="O781" s="14"/>
      <c r="P781" s="14"/>
      <c r="Q781" s="14"/>
      <c r="R781" s="201"/>
      <c r="S781" s="14"/>
      <c r="T781" s="14"/>
      <c r="U781" s="14"/>
      <c r="V781" s="203"/>
      <c r="W781" s="14"/>
      <c r="X781" s="14"/>
      <c r="Y781" s="14"/>
      <c r="Z781" s="14"/>
      <c r="AA781" s="14"/>
      <c r="AB781" s="14"/>
      <c r="AC781" s="14"/>
      <c r="AD781" s="14"/>
      <c r="AE781" s="14"/>
      <c r="AF781" s="14"/>
      <c r="AG781" s="14"/>
      <c r="AH781" s="14"/>
      <c r="AI781" s="20"/>
      <c r="AJ781" s="14"/>
      <c r="AK781" s="14"/>
      <c r="AL781" s="14"/>
      <c r="AM781" s="14"/>
      <c r="AN781" s="14"/>
      <c r="AO781" s="14"/>
      <c r="AP781" s="14"/>
      <c r="AQ781" s="14"/>
      <c r="AR781" s="14"/>
    </row>
    <row r="782" ht="22.5" customHeight="1">
      <c r="A782" s="204"/>
      <c r="B782" s="200"/>
      <c r="C782" s="20"/>
      <c r="D782" s="14"/>
      <c r="E782" s="201"/>
      <c r="F782" s="14"/>
      <c r="G782" s="154"/>
      <c r="H782" s="14"/>
      <c r="I782" s="155"/>
      <c r="J782" s="155"/>
      <c r="K782" s="202"/>
      <c r="L782" s="14" t="str">
        <f t="shared" si="30"/>
        <v>0</v>
      </c>
      <c r="M782" s="14"/>
      <c r="N782" s="14"/>
      <c r="O782" s="14"/>
      <c r="P782" s="14"/>
      <c r="Q782" s="14"/>
      <c r="R782" s="201"/>
      <c r="S782" s="14"/>
      <c r="T782" s="14"/>
      <c r="U782" s="14"/>
      <c r="V782" s="203"/>
      <c r="W782" s="14"/>
      <c r="X782" s="14"/>
      <c r="Y782" s="14"/>
      <c r="Z782" s="14"/>
      <c r="AA782" s="14"/>
      <c r="AB782" s="14"/>
      <c r="AC782" s="14"/>
      <c r="AD782" s="14"/>
      <c r="AE782" s="14"/>
      <c r="AF782" s="14"/>
      <c r="AG782" s="14"/>
      <c r="AH782" s="14"/>
      <c r="AI782" s="20"/>
      <c r="AJ782" s="14"/>
      <c r="AK782" s="14"/>
      <c r="AL782" s="14"/>
      <c r="AM782" s="14"/>
      <c r="AN782" s="14"/>
      <c r="AO782" s="14"/>
      <c r="AP782" s="14"/>
      <c r="AQ782" s="14"/>
      <c r="AR782" s="14"/>
    </row>
    <row r="783" ht="22.5" customHeight="1">
      <c r="A783" s="204"/>
      <c r="B783" s="205"/>
      <c r="C783" s="20"/>
      <c r="D783" s="14"/>
      <c r="E783" s="201"/>
      <c r="F783" s="14"/>
      <c r="G783" s="154"/>
      <c r="H783" s="14"/>
      <c r="I783" s="155"/>
      <c r="J783" s="155"/>
      <c r="K783" s="202"/>
      <c r="L783" s="14" t="str">
        <f t="shared" si="30"/>
        <v>0</v>
      </c>
      <c r="M783" s="14"/>
      <c r="N783" s="14"/>
      <c r="O783" s="14"/>
      <c r="P783" s="14"/>
      <c r="Q783" s="14"/>
      <c r="R783" s="201"/>
      <c r="S783" s="14"/>
      <c r="T783" s="14"/>
      <c r="U783" s="14"/>
      <c r="V783" s="203"/>
      <c r="W783" s="14"/>
      <c r="X783" s="14"/>
      <c r="Y783" s="14"/>
      <c r="Z783" s="14"/>
      <c r="AA783" s="14"/>
      <c r="AB783" s="14"/>
      <c r="AC783" s="14"/>
      <c r="AD783" s="14"/>
      <c r="AE783" s="14"/>
      <c r="AF783" s="14"/>
      <c r="AG783" s="14"/>
      <c r="AH783" s="14"/>
      <c r="AI783" s="20"/>
      <c r="AJ783" s="14"/>
      <c r="AK783" s="14"/>
      <c r="AL783" s="14"/>
      <c r="AM783" s="14"/>
      <c r="AN783" s="14"/>
      <c r="AO783" s="14"/>
      <c r="AP783" s="14"/>
      <c r="AQ783" s="14"/>
      <c r="AR783" s="14"/>
    </row>
    <row r="784" ht="22.5" customHeight="1">
      <c r="A784" s="204"/>
      <c r="B784" s="200"/>
      <c r="C784" s="20"/>
      <c r="D784" s="14"/>
      <c r="E784" s="201"/>
      <c r="F784" s="14"/>
      <c r="G784" s="154"/>
      <c r="H784" s="14"/>
      <c r="I784" s="155"/>
      <c r="J784" s="155"/>
      <c r="K784" s="202"/>
      <c r="L784" s="14" t="str">
        <f t="shared" si="30"/>
        <v>0</v>
      </c>
      <c r="M784" s="14"/>
      <c r="N784" s="14"/>
      <c r="O784" s="14"/>
      <c r="P784" s="14"/>
      <c r="Q784" s="14"/>
      <c r="R784" s="201"/>
      <c r="S784" s="14"/>
      <c r="T784" s="14"/>
      <c r="U784" s="14"/>
      <c r="V784" s="203"/>
      <c r="W784" s="14"/>
      <c r="X784" s="14"/>
      <c r="Y784" s="14"/>
      <c r="Z784" s="14"/>
      <c r="AA784" s="14"/>
      <c r="AB784" s="14"/>
      <c r="AC784" s="14"/>
      <c r="AD784" s="14"/>
      <c r="AE784" s="14"/>
      <c r="AF784" s="14"/>
      <c r="AG784" s="14"/>
      <c r="AH784" s="14"/>
      <c r="AI784" s="20"/>
      <c r="AJ784" s="14"/>
      <c r="AK784" s="14"/>
      <c r="AL784" s="14"/>
      <c r="AM784" s="14"/>
      <c r="AN784" s="14"/>
      <c r="AO784" s="14"/>
      <c r="AP784" s="14"/>
      <c r="AQ784" s="14"/>
      <c r="AR784" s="14"/>
    </row>
    <row r="785" ht="22.5" customHeight="1">
      <c r="A785" s="204"/>
      <c r="B785" s="205"/>
      <c r="C785" s="20"/>
      <c r="D785" s="14"/>
      <c r="E785" s="201"/>
      <c r="F785" s="14"/>
      <c r="G785" s="154"/>
      <c r="H785" s="14"/>
      <c r="I785" s="155"/>
      <c r="J785" s="155"/>
      <c r="K785" s="202"/>
      <c r="L785" s="14" t="str">
        <f t="shared" si="30"/>
        <v>0</v>
      </c>
      <c r="M785" s="14"/>
      <c r="N785" s="14"/>
      <c r="O785" s="14"/>
      <c r="P785" s="14"/>
      <c r="Q785" s="14"/>
      <c r="R785" s="201"/>
      <c r="S785" s="14"/>
      <c r="T785" s="14"/>
      <c r="U785" s="14"/>
      <c r="V785" s="203"/>
      <c r="W785" s="14"/>
      <c r="X785" s="14"/>
      <c r="Y785" s="14"/>
      <c r="Z785" s="14"/>
      <c r="AA785" s="14"/>
      <c r="AB785" s="14"/>
      <c r="AC785" s="14"/>
      <c r="AD785" s="14"/>
      <c r="AE785" s="14"/>
      <c r="AF785" s="14"/>
      <c r="AG785" s="14"/>
      <c r="AH785" s="14"/>
      <c r="AI785" s="20"/>
      <c r="AJ785" s="14"/>
      <c r="AK785" s="14"/>
      <c r="AL785" s="14"/>
      <c r="AM785" s="14"/>
      <c r="AN785" s="14"/>
      <c r="AO785" s="14"/>
      <c r="AP785" s="14"/>
      <c r="AQ785" s="14"/>
      <c r="AR785" s="14"/>
    </row>
    <row r="786" ht="22.5" customHeight="1">
      <c r="A786" s="204"/>
      <c r="B786" s="200"/>
      <c r="C786" s="20"/>
      <c r="D786" s="14"/>
      <c r="E786" s="201"/>
      <c r="F786" s="14"/>
      <c r="G786" s="154"/>
      <c r="H786" s="14"/>
      <c r="I786" s="155"/>
      <c r="J786" s="155"/>
      <c r="K786" s="202"/>
      <c r="L786" s="14" t="str">
        <f t="shared" si="30"/>
        <v>0</v>
      </c>
      <c r="M786" s="14"/>
      <c r="N786" s="14"/>
      <c r="O786" s="14"/>
      <c r="P786" s="14"/>
      <c r="Q786" s="14"/>
      <c r="R786" s="201"/>
      <c r="S786" s="14"/>
      <c r="T786" s="14"/>
      <c r="U786" s="14"/>
      <c r="V786" s="203"/>
      <c r="W786" s="14"/>
      <c r="X786" s="14"/>
      <c r="Y786" s="14"/>
      <c r="Z786" s="14"/>
      <c r="AA786" s="14"/>
      <c r="AB786" s="14"/>
      <c r="AC786" s="14"/>
      <c r="AD786" s="14"/>
      <c r="AE786" s="14"/>
      <c r="AF786" s="14"/>
      <c r="AG786" s="14"/>
      <c r="AH786" s="14"/>
      <c r="AI786" s="20"/>
      <c r="AJ786" s="14"/>
      <c r="AK786" s="14"/>
      <c r="AL786" s="14"/>
      <c r="AM786" s="14"/>
      <c r="AN786" s="14"/>
      <c r="AO786" s="14"/>
      <c r="AP786" s="14"/>
      <c r="AQ786" s="14"/>
      <c r="AR786" s="14"/>
    </row>
    <row r="787" ht="22.5" customHeight="1">
      <c r="A787" s="204"/>
      <c r="B787" s="205"/>
      <c r="C787" s="20"/>
      <c r="D787" s="14"/>
      <c r="E787" s="201"/>
      <c r="F787" s="14"/>
      <c r="G787" s="154"/>
      <c r="H787" s="14"/>
      <c r="I787" s="155"/>
      <c r="J787" s="155"/>
      <c r="K787" s="202"/>
      <c r="L787" s="14" t="str">
        <f t="shared" si="30"/>
        <v>0</v>
      </c>
      <c r="M787" s="14"/>
      <c r="N787" s="14"/>
      <c r="O787" s="14"/>
      <c r="P787" s="14"/>
      <c r="Q787" s="14"/>
      <c r="R787" s="201"/>
      <c r="S787" s="14"/>
      <c r="T787" s="14"/>
      <c r="U787" s="14"/>
      <c r="V787" s="203"/>
      <c r="W787" s="14"/>
      <c r="X787" s="14"/>
      <c r="Y787" s="14"/>
      <c r="Z787" s="14"/>
      <c r="AA787" s="14"/>
      <c r="AB787" s="14"/>
      <c r="AC787" s="14"/>
      <c r="AD787" s="14"/>
      <c r="AE787" s="14"/>
      <c r="AF787" s="14"/>
      <c r="AG787" s="14"/>
      <c r="AH787" s="14"/>
      <c r="AI787" s="20"/>
      <c r="AJ787" s="14"/>
      <c r="AK787" s="14"/>
      <c r="AL787" s="14"/>
      <c r="AM787" s="14"/>
      <c r="AN787" s="14"/>
      <c r="AO787" s="14"/>
      <c r="AP787" s="14"/>
      <c r="AQ787" s="14"/>
      <c r="AR787" s="14"/>
    </row>
    <row r="788" ht="22.5" customHeight="1">
      <c r="A788" s="204"/>
      <c r="B788" s="200"/>
      <c r="C788" s="20"/>
      <c r="D788" s="14"/>
      <c r="E788" s="201"/>
      <c r="F788" s="14"/>
      <c r="G788" s="154"/>
      <c r="H788" s="14"/>
      <c r="I788" s="155"/>
      <c r="J788" s="155"/>
      <c r="K788" s="202"/>
      <c r="L788" s="14" t="str">
        <f t="shared" si="30"/>
        <v>0</v>
      </c>
      <c r="M788" s="14"/>
      <c r="N788" s="14"/>
      <c r="O788" s="14"/>
      <c r="P788" s="14"/>
      <c r="Q788" s="14"/>
      <c r="R788" s="201"/>
      <c r="S788" s="14"/>
      <c r="T788" s="14"/>
      <c r="U788" s="14"/>
      <c r="V788" s="203"/>
      <c r="W788" s="14"/>
      <c r="X788" s="14"/>
      <c r="Y788" s="14"/>
      <c r="Z788" s="14"/>
      <c r="AA788" s="14"/>
      <c r="AB788" s="14"/>
      <c r="AC788" s="14"/>
      <c r="AD788" s="14"/>
      <c r="AE788" s="14"/>
      <c r="AF788" s="14"/>
      <c r="AG788" s="14"/>
      <c r="AH788" s="14"/>
      <c r="AI788" s="20"/>
      <c r="AJ788" s="14"/>
      <c r="AK788" s="14"/>
      <c r="AL788" s="14"/>
      <c r="AM788" s="14"/>
      <c r="AN788" s="14"/>
      <c r="AO788" s="14"/>
      <c r="AP788" s="14"/>
      <c r="AQ788" s="14"/>
      <c r="AR788" s="14"/>
    </row>
    <row r="789" ht="22.5" customHeight="1">
      <c r="A789" s="204"/>
      <c r="B789" s="205"/>
      <c r="C789" s="20"/>
      <c r="D789" s="14"/>
      <c r="E789" s="201"/>
      <c r="F789" s="14"/>
      <c r="G789" s="154"/>
      <c r="H789" s="14"/>
      <c r="I789" s="155"/>
      <c r="J789" s="155"/>
      <c r="K789" s="202"/>
      <c r="L789" s="14" t="str">
        <f t="shared" si="30"/>
        <v>0</v>
      </c>
      <c r="M789" s="14"/>
      <c r="N789" s="14"/>
      <c r="O789" s="14"/>
      <c r="P789" s="14"/>
      <c r="Q789" s="14"/>
      <c r="R789" s="201"/>
      <c r="S789" s="14"/>
      <c r="T789" s="14"/>
      <c r="U789" s="14"/>
      <c r="V789" s="203"/>
      <c r="W789" s="14"/>
      <c r="X789" s="14"/>
      <c r="Y789" s="14"/>
      <c r="Z789" s="14"/>
      <c r="AA789" s="14"/>
      <c r="AB789" s="14"/>
      <c r="AC789" s="14"/>
      <c r="AD789" s="14"/>
      <c r="AE789" s="14"/>
      <c r="AF789" s="14"/>
      <c r="AG789" s="14"/>
      <c r="AH789" s="14"/>
      <c r="AI789" s="20"/>
      <c r="AJ789" s="14"/>
      <c r="AK789" s="14"/>
      <c r="AL789" s="14"/>
      <c r="AM789" s="14"/>
      <c r="AN789" s="14"/>
      <c r="AO789" s="14"/>
      <c r="AP789" s="14"/>
      <c r="AQ789" s="14"/>
      <c r="AR789" s="14"/>
    </row>
    <row r="790" ht="22.5" customHeight="1">
      <c r="A790" s="204"/>
      <c r="B790" s="200"/>
      <c r="C790" s="20"/>
      <c r="D790" s="14"/>
      <c r="E790" s="201"/>
      <c r="F790" s="14"/>
      <c r="G790" s="154"/>
      <c r="H790" s="14"/>
      <c r="I790" s="155"/>
      <c r="J790" s="155"/>
      <c r="K790" s="202"/>
      <c r="L790" s="14" t="str">
        <f t="shared" si="30"/>
        <v>0</v>
      </c>
      <c r="M790" s="14"/>
      <c r="N790" s="14"/>
      <c r="O790" s="14"/>
      <c r="P790" s="14"/>
      <c r="Q790" s="14"/>
      <c r="R790" s="201"/>
      <c r="S790" s="14"/>
      <c r="T790" s="14"/>
      <c r="U790" s="14"/>
      <c r="V790" s="203"/>
      <c r="W790" s="14"/>
      <c r="X790" s="14"/>
      <c r="Y790" s="14"/>
      <c r="Z790" s="14"/>
      <c r="AA790" s="14"/>
      <c r="AB790" s="14"/>
      <c r="AC790" s="14"/>
      <c r="AD790" s="14"/>
      <c r="AE790" s="14"/>
      <c r="AF790" s="14"/>
      <c r="AG790" s="14"/>
      <c r="AH790" s="14"/>
      <c r="AI790" s="20"/>
      <c r="AJ790" s="14"/>
      <c r="AK790" s="14"/>
      <c r="AL790" s="14"/>
      <c r="AM790" s="14"/>
      <c r="AN790" s="14"/>
      <c r="AO790" s="14"/>
      <c r="AP790" s="14"/>
      <c r="AQ790" s="14"/>
      <c r="AR790" s="14"/>
    </row>
    <row r="791" ht="22.5" customHeight="1">
      <c r="A791" s="204"/>
      <c r="B791" s="205"/>
      <c r="C791" s="20"/>
      <c r="D791" s="14"/>
      <c r="E791" s="201"/>
      <c r="F791" s="14"/>
      <c r="G791" s="154"/>
      <c r="H791" s="14"/>
      <c r="I791" s="155"/>
      <c r="J791" s="155"/>
      <c r="K791" s="202"/>
      <c r="L791" s="14" t="str">
        <f t="shared" si="30"/>
        <v>0</v>
      </c>
      <c r="M791" s="14"/>
      <c r="N791" s="14"/>
      <c r="O791" s="14"/>
      <c r="P791" s="14"/>
      <c r="Q791" s="14"/>
      <c r="R791" s="201"/>
      <c r="S791" s="14"/>
      <c r="T791" s="14"/>
      <c r="U791" s="14"/>
      <c r="V791" s="203"/>
      <c r="W791" s="14"/>
      <c r="X791" s="14"/>
      <c r="Y791" s="14"/>
      <c r="Z791" s="14"/>
      <c r="AA791" s="14"/>
      <c r="AB791" s="14"/>
      <c r="AC791" s="14"/>
      <c r="AD791" s="14"/>
      <c r="AE791" s="14"/>
      <c r="AF791" s="14"/>
      <c r="AG791" s="14"/>
      <c r="AH791" s="14"/>
      <c r="AI791" s="20"/>
      <c r="AJ791" s="14"/>
      <c r="AK791" s="14"/>
      <c r="AL791" s="14"/>
      <c r="AM791" s="14"/>
      <c r="AN791" s="14"/>
      <c r="AO791" s="14"/>
      <c r="AP791" s="14"/>
      <c r="AQ791" s="14"/>
      <c r="AR791" s="14"/>
    </row>
    <row r="792" ht="22.5" customHeight="1">
      <c r="A792" s="204"/>
      <c r="B792" s="200"/>
      <c r="C792" s="20"/>
      <c r="D792" s="14"/>
      <c r="E792" s="201"/>
      <c r="F792" s="14"/>
      <c r="G792" s="154"/>
      <c r="H792" s="14"/>
      <c r="I792" s="155"/>
      <c r="J792" s="155"/>
      <c r="K792" s="202"/>
      <c r="L792" s="14" t="str">
        <f t="shared" si="30"/>
        <v>0</v>
      </c>
      <c r="M792" s="14"/>
      <c r="N792" s="14"/>
      <c r="O792" s="14"/>
      <c r="P792" s="14"/>
      <c r="Q792" s="14"/>
      <c r="R792" s="201"/>
      <c r="S792" s="14"/>
      <c r="T792" s="14"/>
      <c r="U792" s="14"/>
      <c r="V792" s="203"/>
      <c r="W792" s="14"/>
      <c r="X792" s="14"/>
      <c r="Y792" s="14"/>
      <c r="Z792" s="14"/>
      <c r="AA792" s="14"/>
      <c r="AB792" s="14"/>
      <c r="AC792" s="14"/>
      <c r="AD792" s="14"/>
      <c r="AE792" s="14"/>
      <c r="AF792" s="14"/>
      <c r="AG792" s="14"/>
      <c r="AH792" s="14"/>
      <c r="AI792" s="20"/>
      <c r="AJ792" s="14"/>
      <c r="AK792" s="14"/>
      <c r="AL792" s="14"/>
      <c r="AM792" s="14"/>
      <c r="AN792" s="14"/>
      <c r="AO792" s="14"/>
      <c r="AP792" s="14"/>
      <c r="AQ792" s="14"/>
      <c r="AR792" s="14"/>
    </row>
    <row r="793" ht="22.5" customHeight="1">
      <c r="A793" s="204"/>
      <c r="B793" s="205"/>
      <c r="C793" s="20"/>
      <c r="D793" s="14"/>
      <c r="E793" s="201"/>
      <c r="F793" s="14"/>
      <c r="G793" s="154"/>
      <c r="H793" s="14"/>
      <c r="I793" s="155"/>
      <c r="J793" s="155"/>
      <c r="K793" s="202"/>
      <c r="L793" s="14" t="str">
        <f t="shared" si="30"/>
        <v>0</v>
      </c>
      <c r="M793" s="14"/>
      <c r="N793" s="14"/>
      <c r="O793" s="14"/>
      <c r="P793" s="14"/>
      <c r="Q793" s="14"/>
      <c r="R793" s="201"/>
      <c r="S793" s="14"/>
      <c r="T793" s="14"/>
      <c r="U793" s="14"/>
      <c r="V793" s="203"/>
      <c r="W793" s="14"/>
      <c r="X793" s="14"/>
      <c r="Y793" s="14"/>
      <c r="Z793" s="14"/>
      <c r="AA793" s="14"/>
      <c r="AB793" s="14"/>
      <c r="AC793" s="14"/>
      <c r="AD793" s="14"/>
      <c r="AE793" s="14"/>
      <c r="AF793" s="14"/>
      <c r="AG793" s="14"/>
      <c r="AH793" s="14"/>
      <c r="AI793" s="20"/>
      <c r="AJ793" s="14"/>
      <c r="AK793" s="14"/>
      <c r="AL793" s="14"/>
      <c r="AM793" s="14"/>
      <c r="AN793" s="14"/>
      <c r="AO793" s="14"/>
      <c r="AP793" s="14"/>
      <c r="AQ793" s="14"/>
      <c r="AR793" s="14"/>
    </row>
    <row r="794" ht="22.5" customHeight="1">
      <c r="A794" s="204"/>
      <c r="B794" s="200"/>
      <c r="C794" s="20"/>
      <c r="D794" s="14"/>
      <c r="E794" s="201"/>
      <c r="F794" s="14"/>
      <c r="G794" s="154"/>
      <c r="H794" s="14"/>
      <c r="I794" s="155"/>
      <c r="J794" s="155"/>
      <c r="K794" s="202"/>
      <c r="L794" s="14" t="str">
        <f t="shared" si="30"/>
        <v>0</v>
      </c>
      <c r="M794" s="14"/>
      <c r="N794" s="14"/>
      <c r="O794" s="14"/>
      <c r="P794" s="14"/>
      <c r="Q794" s="14"/>
      <c r="R794" s="201"/>
      <c r="S794" s="14"/>
      <c r="T794" s="14"/>
      <c r="U794" s="14"/>
      <c r="V794" s="203"/>
      <c r="W794" s="14"/>
      <c r="X794" s="14"/>
      <c r="Y794" s="14"/>
      <c r="Z794" s="14"/>
      <c r="AA794" s="14"/>
      <c r="AB794" s="14"/>
      <c r="AC794" s="14"/>
      <c r="AD794" s="14"/>
      <c r="AE794" s="14"/>
      <c r="AF794" s="14"/>
      <c r="AG794" s="14"/>
      <c r="AH794" s="14"/>
      <c r="AI794" s="20"/>
      <c r="AJ794" s="14"/>
      <c r="AK794" s="14"/>
      <c r="AL794" s="14"/>
      <c r="AM794" s="14"/>
      <c r="AN794" s="14"/>
      <c r="AO794" s="14"/>
      <c r="AP794" s="14"/>
      <c r="AQ794" s="14"/>
      <c r="AR794" s="14"/>
    </row>
    <row r="795" ht="22.5" customHeight="1">
      <c r="A795" s="204"/>
      <c r="B795" s="205"/>
      <c r="C795" s="20"/>
      <c r="D795" s="14"/>
      <c r="E795" s="201"/>
      <c r="F795" s="14"/>
      <c r="G795" s="154"/>
      <c r="H795" s="14"/>
      <c r="I795" s="155"/>
      <c r="J795" s="155"/>
      <c r="K795" s="202"/>
      <c r="L795" s="14" t="str">
        <f t="shared" si="30"/>
        <v>0</v>
      </c>
      <c r="M795" s="14"/>
      <c r="N795" s="14"/>
      <c r="O795" s="14"/>
      <c r="P795" s="14"/>
      <c r="Q795" s="14"/>
      <c r="R795" s="201"/>
      <c r="S795" s="14"/>
      <c r="T795" s="14"/>
      <c r="U795" s="14"/>
      <c r="V795" s="203"/>
      <c r="W795" s="14"/>
      <c r="X795" s="14"/>
      <c r="Y795" s="14"/>
      <c r="Z795" s="14"/>
      <c r="AA795" s="14"/>
      <c r="AB795" s="14"/>
      <c r="AC795" s="14"/>
      <c r="AD795" s="14"/>
      <c r="AE795" s="14"/>
      <c r="AF795" s="14"/>
      <c r="AG795" s="14"/>
      <c r="AH795" s="14"/>
      <c r="AI795" s="20"/>
      <c r="AJ795" s="14"/>
      <c r="AK795" s="14"/>
      <c r="AL795" s="14"/>
      <c r="AM795" s="14"/>
      <c r="AN795" s="14"/>
      <c r="AO795" s="14"/>
      <c r="AP795" s="14"/>
      <c r="AQ795" s="14"/>
      <c r="AR795" s="14"/>
    </row>
    <row r="796" ht="22.5" customHeight="1">
      <c r="A796" s="204"/>
      <c r="B796" s="200"/>
      <c r="C796" s="20"/>
      <c r="D796" s="14"/>
      <c r="E796" s="201"/>
      <c r="F796" s="14"/>
      <c r="G796" s="154"/>
      <c r="H796" s="14"/>
      <c r="I796" s="155"/>
      <c r="J796" s="155"/>
      <c r="K796" s="202"/>
      <c r="L796" s="14" t="str">
        <f t="shared" si="30"/>
        <v>0</v>
      </c>
      <c r="M796" s="14"/>
      <c r="N796" s="14"/>
      <c r="O796" s="14"/>
      <c r="P796" s="14"/>
      <c r="Q796" s="14"/>
      <c r="R796" s="201"/>
      <c r="S796" s="14"/>
      <c r="T796" s="14"/>
      <c r="U796" s="14"/>
      <c r="V796" s="203"/>
      <c r="W796" s="14"/>
      <c r="X796" s="14"/>
      <c r="Y796" s="14"/>
      <c r="Z796" s="14"/>
      <c r="AA796" s="14"/>
      <c r="AB796" s="14"/>
      <c r="AC796" s="14"/>
      <c r="AD796" s="14"/>
      <c r="AE796" s="14"/>
      <c r="AF796" s="14"/>
      <c r="AG796" s="14"/>
      <c r="AH796" s="14"/>
      <c r="AI796" s="20"/>
      <c r="AJ796" s="14"/>
      <c r="AK796" s="14"/>
      <c r="AL796" s="14"/>
      <c r="AM796" s="14"/>
      <c r="AN796" s="14"/>
      <c r="AO796" s="14"/>
      <c r="AP796" s="14"/>
      <c r="AQ796" s="14"/>
      <c r="AR796" s="14"/>
    </row>
    <row r="797" ht="22.5" customHeight="1">
      <c r="A797" s="204"/>
      <c r="B797" s="205"/>
      <c r="C797" s="20"/>
      <c r="D797" s="14"/>
      <c r="E797" s="201"/>
      <c r="F797" s="14"/>
      <c r="G797" s="154"/>
      <c r="H797" s="14"/>
      <c r="I797" s="155"/>
      <c r="J797" s="155"/>
      <c r="K797" s="202"/>
      <c r="L797" s="14" t="str">
        <f t="shared" si="30"/>
        <v>0</v>
      </c>
      <c r="M797" s="14"/>
      <c r="N797" s="14"/>
      <c r="O797" s="14"/>
      <c r="P797" s="14"/>
      <c r="Q797" s="14"/>
      <c r="R797" s="201"/>
      <c r="S797" s="14"/>
      <c r="T797" s="14"/>
      <c r="U797" s="14"/>
      <c r="V797" s="203"/>
      <c r="W797" s="14"/>
      <c r="X797" s="14"/>
      <c r="Y797" s="14"/>
      <c r="Z797" s="14"/>
      <c r="AA797" s="14"/>
      <c r="AB797" s="14"/>
      <c r="AC797" s="14"/>
      <c r="AD797" s="14"/>
      <c r="AE797" s="14"/>
      <c r="AF797" s="14"/>
      <c r="AG797" s="14"/>
      <c r="AH797" s="14"/>
      <c r="AI797" s="20"/>
      <c r="AJ797" s="14"/>
      <c r="AK797" s="14"/>
      <c r="AL797" s="14"/>
      <c r="AM797" s="14"/>
      <c r="AN797" s="14"/>
      <c r="AO797" s="14"/>
      <c r="AP797" s="14"/>
      <c r="AQ797" s="14"/>
      <c r="AR797" s="14"/>
    </row>
    <row r="798" ht="22.5" customHeight="1">
      <c r="A798" s="204"/>
      <c r="B798" s="200"/>
      <c r="C798" s="20"/>
      <c r="D798" s="14"/>
      <c r="E798" s="201"/>
      <c r="F798" s="14"/>
      <c r="G798" s="154"/>
      <c r="H798" s="14"/>
      <c r="I798" s="155"/>
      <c r="J798" s="155"/>
      <c r="K798" s="202"/>
      <c r="L798" s="14" t="str">
        <f t="shared" si="30"/>
        <v>0</v>
      </c>
      <c r="M798" s="14"/>
      <c r="N798" s="14"/>
      <c r="O798" s="14"/>
      <c r="P798" s="14"/>
      <c r="Q798" s="14"/>
      <c r="R798" s="201"/>
      <c r="S798" s="14"/>
      <c r="T798" s="14"/>
      <c r="U798" s="14"/>
      <c r="V798" s="203"/>
      <c r="W798" s="14"/>
      <c r="X798" s="14"/>
      <c r="Y798" s="14"/>
      <c r="Z798" s="14"/>
      <c r="AA798" s="14"/>
      <c r="AB798" s="14"/>
      <c r="AC798" s="14"/>
      <c r="AD798" s="14"/>
      <c r="AE798" s="14"/>
      <c r="AF798" s="14"/>
      <c r="AG798" s="14"/>
      <c r="AH798" s="14"/>
      <c r="AI798" s="20"/>
      <c r="AJ798" s="14"/>
      <c r="AK798" s="14"/>
      <c r="AL798" s="14"/>
      <c r="AM798" s="14"/>
      <c r="AN798" s="14"/>
      <c r="AO798" s="14"/>
      <c r="AP798" s="14"/>
      <c r="AQ798" s="14"/>
      <c r="AR798" s="14"/>
    </row>
    <row r="799" ht="22.5" customHeight="1">
      <c r="A799" s="204"/>
      <c r="B799" s="205"/>
      <c r="C799" s="20"/>
      <c r="D799" s="14"/>
      <c r="E799" s="201"/>
      <c r="F799" s="14"/>
      <c r="G799" s="154"/>
      <c r="H799" s="14"/>
      <c r="I799" s="155"/>
      <c r="J799" s="155"/>
      <c r="K799" s="202"/>
      <c r="L799" s="14" t="str">
        <f t="shared" si="30"/>
        <v>0</v>
      </c>
      <c r="M799" s="14"/>
      <c r="N799" s="14"/>
      <c r="O799" s="14"/>
      <c r="P799" s="14"/>
      <c r="Q799" s="14"/>
      <c r="R799" s="201"/>
      <c r="S799" s="14"/>
      <c r="T799" s="14"/>
      <c r="U799" s="14"/>
      <c r="V799" s="203"/>
      <c r="W799" s="14"/>
      <c r="X799" s="14"/>
      <c r="Y799" s="14"/>
      <c r="Z799" s="14"/>
      <c r="AA799" s="14"/>
      <c r="AB799" s="14"/>
      <c r="AC799" s="14"/>
      <c r="AD799" s="14"/>
      <c r="AE799" s="14"/>
      <c r="AF799" s="14"/>
      <c r="AG799" s="14"/>
      <c r="AH799" s="14"/>
      <c r="AI799" s="20"/>
      <c r="AJ799" s="14"/>
      <c r="AK799" s="14"/>
      <c r="AL799" s="14"/>
      <c r="AM799" s="14"/>
      <c r="AN799" s="14"/>
      <c r="AO799" s="14"/>
      <c r="AP799" s="14"/>
      <c r="AQ799" s="14"/>
      <c r="AR799" s="14"/>
    </row>
    <row r="800" ht="22.5" customHeight="1">
      <c r="A800" s="204"/>
      <c r="B800" s="200"/>
      <c r="C800" s="20"/>
      <c r="D800" s="14"/>
      <c r="E800" s="201"/>
      <c r="F800" s="14"/>
      <c r="G800" s="154"/>
      <c r="H800" s="14"/>
      <c r="I800" s="155"/>
      <c r="J800" s="155"/>
      <c r="K800" s="202"/>
      <c r="L800" s="14" t="str">
        <f t="shared" si="30"/>
        <v>0</v>
      </c>
      <c r="M800" s="14"/>
      <c r="N800" s="14"/>
      <c r="O800" s="14"/>
      <c r="P800" s="14"/>
      <c r="Q800" s="14"/>
      <c r="R800" s="201"/>
      <c r="S800" s="14"/>
      <c r="T800" s="14"/>
      <c r="U800" s="14"/>
      <c r="V800" s="203"/>
      <c r="W800" s="14"/>
      <c r="X800" s="14"/>
      <c r="Y800" s="14"/>
      <c r="Z800" s="14"/>
      <c r="AA800" s="14"/>
      <c r="AB800" s="14"/>
      <c r="AC800" s="14"/>
      <c r="AD800" s="14"/>
      <c r="AE800" s="14"/>
      <c r="AF800" s="14"/>
      <c r="AG800" s="14"/>
      <c r="AH800" s="14"/>
      <c r="AI800" s="20"/>
      <c r="AJ800" s="14"/>
      <c r="AK800" s="14"/>
      <c r="AL800" s="14"/>
      <c r="AM800" s="14"/>
      <c r="AN800" s="14"/>
      <c r="AO800" s="14"/>
      <c r="AP800" s="14"/>
      <c r="AQ800" s="14"/>
      <c r="AR800" s="14"/>
    </row>
    <row r="801" ht="22.5" customHeight="1">
      <c r="A801" s="204"/>
      <c r="B801" s="205"/>
      <c r="C801" s="20"/>
      <c r="D801" s="14"/>
      <c r="E801" s="201"/>
      <c r="F801" s="14"/>
      <c r="G801" s="154"/>
      <c r="H801" s="14"/>
      <c r="I801" s="155"/>
      <c r="J801" s="155"/>
      <c r="K801" s="202"/>
      <c r="L801" s="14" t="str">
        <f t="shared" si="30"/>
        <v>0</v>
      </c>
      <c r="M801" s="14"/>
      <c r="N801" s="14"/>
      <c r="O801" s="14"/>
      <c r="P801" s="14"/>
      <c r="Q801" s="14"/>
      <c r="R801" s="201"/>
      <c r="S801" s="14"/>
      <c r="T801" s="14"/>
      <c r="U801" s="14"/>
      <c r="V801" s="203"/>
      <c r="W801" s="14"/>
      <c r="X801" s="14"/>
      <c r="Y801" s="14"/>
      <c r="Z801" s="14"/>
      <c r="AA801" s="14"/>
      <c r="AB801" s="14"/>
      <c r="AC801" s="14"/>
      <c r="AD801" s="14"/>
      <c r="AE801" s="14"/>
      <c r="AF801" s="14"/>
      <c r="AG801" s="14"/>
      <c r="AH801" s="14"/>
      <c r="AI801" s="20"/>
      <c r="AJ801" s="14"/>
      <c r="AK801" s="14"/>
      <c r="AL801" s="14"/>
      <c r="AM801" s="14"/>
      <c r="AN801" s="14"/>
      <c r="AO801" s="14"/>
      <c r="AP801" s="14"/>
      <c r="AQ801" s="14"/>
      <c r="AR801" s="14"/>
    </row>
    <row r="802" ht="22.5" customHeight="1">
      <c r="A802" s="204"/>
      <c r="B802" s="200"/>
      <c r="C802" s="20"/>
      <c r="D802" s="14"/>
      <c r="E802" s="201"/>
      <c r="F802" s="14"/>
      <c r="G802" s="154"/>
      <c r="H802" s="14"/>
      <c r="I802" s="155"/>
      <c r="J802" s="155"/>
      <c r="K802" s="202"/>
      <c r="L802" s="14" t="str">
        <f t="shared" si="30"/>
        <v>0</v>
      </c>
      <c r="M802" s="14"/>
      <c r="N802" s="14"/>
      <c r="O802" s="14"/>
      <c r="P802" s="14"/>
      <c r="Q802" s="14"/>
      <c r="R802" s="201"/>
      <c r="S802" s="14"/>
      <c r="T802" s="14"/>
      <c r="U802" s="14"/>
      <c r="V802" s="203"/>
      <c r="W802" s="14"/>
      <c r="X802" s="14"/>
      <c r="Y802" s="14"/>
      <c r="Z802" s="14"/>
      <c r="AA802" s="14"/>
      <c r="AB802" s="14"/>
      <c r="AC802" s="14"/>
      <c r="AD802" s="14"/>
      <c r="AE802" s="14"/>
      <c r="AF802" s="14"/>
      <c r="AG802" s="14"/>
      <c r="AH802" s="14"/>
      <c r="AI802" s="20"/>
      <c r="AJ802" s="14"/>
      <c r="AK802" s="14"/>
      <c r="AL802" s="14"/>
      <c r="AM802" s="14"/>
      <c r="AN802" s="14"/>
      <c r="AO802" s="14"/>
      <c r="AP802" s="14"/>
      <c r="AQ802" s="14"/>
      <c r="AR802" s="14"/>
    </row>
    <row r="803" ht="22.5" customHeight="1">
      <c r="A803" s="204"/>
      <c r="B803" s="205"/>
      <c r="C803" s="20"/>
      <c r="D803" s="14"/>
      <c r="E803" s="201"/>
      <c r="F803" s="14"/>
      <c r="G803" s="154"/>
      <c r="H803" s="14"/>
      <c r="I803" s="155"/>
      <c r="J803" s="155"/>
      <c r="K803" s="202"/>
      <c r="L803" s="14" t="str">
        <f t="shared" si="30"/>
        <v>0</v>
      </c>
      <c r="M803" s="14"/>
      <c r="N803" s="14"/>
      <c r="O803" s="14"/>
      <c r="P803" s="14"/>
      <c r="Q803" s="14"/>
      <c r="R803" s="201"/>
      <c r="S803" s="14"/>
      <c r="T803" s="14"/>
      <c r="U803" s="14"/>
      <c r="V803" s="203"/>
      <c r="W803" s="14"/>
      <c r="X803" s="14"/>
      <c r="Y803" s="14"/>
      <c r="Z803" s="14"/>
      <c r="AA803" s="14"/>
      <c r="AB803" s="14"/>
      <c r="AC803" s="14"/>
      <c r="AD803" s="14"/>
      <c r="AE803" s="14"/>
      <c r="AF803" s="14"/>
      <c r="AG803" s="14"/>
      <c r="AH803" s="14"/>
      <c r="AI803" s="20"/>
      <c r="AJ803" s="14"/>
      <c r="AK803" s="14"/>
      <c r="AL803" s="14"/>
      <c r="AM803" s="14"/>
      <c r="AN803" s="14"/>
      <c r="AO803" s="14"/>
      <c r="AP803" s="14"/>
      <c r="AQ803" s="14"/>
      <c r="AR803" s="14"/>
    </row>
    <row r="804" ht="22.5" customHeight="1">
      <c r="A804" s="204"/>
      <c r="B804" s="200"/>
      <c r="C804" s="20"/>
      <c r="D804" s="14"/>
      <c r="E804" s="201"/>
      <c r="F804" s="14"/>
      <c r="G804" s="154"/>
      <c r="H804" s="14"/>
      <c r="I804" s="155"/>
      <c r="J804" s="155"/>
      <c r="K804" s="202"/>
      <c r="L804" s="14" t="str">
        <f t="shared" si="30"/>
        <v>0</v>
      </c>
      <c r="M804" s="14"/>
      <c r="N804" s="14"/>
      <c r="O804" s="14"/>
      <c r="P804" s="14"/>
      <c r="Q804" s="14"/>
      <c r="R804" s="201"/>
      <c r="S804" s="14"/>
      <c r="T804" s="14"/>
      <c r="U804" s="14"/>
      <c r="V804" s="203"/>
      <c r="W804" s="14"/>
      <c r="X804" s="14"/>
      <c r="Y804" s="14"/>
      <c r="Z804" s="14"/>
      <c r="AA804" s="14"/>
      <c r="AB804" s="14"/>
      <c r="AC804" s="14"/>
      <c r="AD804" s="14"/>
      <c r="AE804" s="14"/>
      <c r="AF804" s="14"/>
      <c r="AG804" s="14"/>
      <c r="AH804" s="14"/>
      <c r="AI804" s="20"/>
      <c r="AJ804" s="14"/>
      <c r="AK804" s="14"/>
      <c r="AL804" s="14"/>
      <c r="AM804" s="14"/>
      <c r="AN804" s="14"/>
      <c r="AO804" s="14"/>
      <c r="AP804" s="14"/>
      <c r="AQ804" s="14"/>
      <c r="AR804" s="14"/>
    </row>
    <row r="805" ht="22.5" customHeight="1">
      <c r="A805" s="204"/>
      <c r="B805" s="205"/>
      <c r="C805" s="20"/>
      <c r="D805" s="14"/>
      <c r="E805" s="201"/>
      <c r="F805" s="14"/>
      <c r="G805" s="154"/>
      <c r="H805" s="14"/>
      <c r="I805" s="155"/>
      <c r="J805" s="155"/>
      <c r="K805" s="202"/>
      <c r="L805" s="14" t="str">
        <f t="shared" si="30"/>
        <v>0</v>
      </c>
      <c r="M805" s="14"/>
      <c r="N805" s="14"/>
      <c r="O805" s="14"/>
      <c r="P805" s="14"/>
      <c r="Q805" s="14"/>
      <c r="R805" s="201"/>
      <c r="S805" s="14"/>
      <c r="T805" s="14"/>
      <c r="U805" s="14"/>
      <c r="V805" s="203"/>
      <c r="W805" s="14"/>
      <c r="X805" s="14"/>
      <c r="Y805" s="14"/>
      <c r="Z805" s="14"/>
      <c r="AA805" s="14"/>
      <c r="AB805" s="14"/>
      <c r="AC805" s="14"/>
      <c r="AD805" s="14"/>
      <c r="AE805" s="14"/>
      <c r="AF805" s="14"/>
      <c r="AG805" s="14"/>
      <c r="AH805" s="14"/>
      <c r="AI805" s="20"/>
      <c r="AJ805" s="14"/>
      <c r="AK805" s="14"/>
      <c r="AL805" s="14"/>
      <c r="AM805" s="14"/>
      <c r="AN805" s="14"/>
      <c r="AO805" s="14"/>
      <c r="AP805" s="14"/>
      <c r="AQ805" s="14"/>
      <c r="AR805" s="14"/>
    </row>
    <row r="806" ht="22.5" customHeight="1">
      <c r="A806" s="204"/>
      <c r="B806" s="200"/>
      <c r="C806" s="20"/>
      <c r="D806" s="14"/>
      <c r="E806" s="201"/>
      <c r="F806" s="14"/>
      <c r="G806" s="154"/>
      <c r="H806" s="14"/>
      <c r="I806" s="155"/>
      <c r="J806" s="155"/>
      <c r="K806" s="202"/>
      <c r="L806" s="14" t="str">
        <f t="shared" si="30"/>
        <v>0</v>
      </c>
      <c r="M806" s="14"/>
      <c r="N806" s="14"/>
      <c r="O806" s="14"/>
      <c r="P806" s="14"/>
      <c r="Q806" s="14"/>
      <c r="R806" s="201"/>
      <c r="S806" s="14"/>
      <c r="T806" s="14"/>
      <c r="U806" s="14"/>
      <c r="V806" s="203"/>
      <c r="W806" s="14"/>
      <c r="X806" s="14"/>
      <c r="Y806" s="14"/>
      <c r="Z806" s="14"/>
      <c r="AA806" s="14"/>
      <c r="AB806" s="14"/>
      <c r="AC806" s="14"/>
      <c r="AD806" s="14"/>
      <c r="AE806" s="14"/>
      <c r="AF806" s="14"/>
      <c r="AG806" s="14"/>
      <c r="AH806" s="14"/>
      <c r="AI806" s="20"/>
      <c r="AJ806" s="14"/>
      <c r="AK806" s="14"/>
      <c r="AL806" s="14"/>
      <c r="AM806" s="14"/>
      <c r="AN806" s="14"/>
      <c r="AO806" s="14"/>
      <c r="AP806" s="14"/>
      <c r="AQ806" s="14"/>
      <c r="AR806" s="14"/>
    </row>
    <row r="807" ht="22.5" customHeight="1">
      <c r="A807" s="204"/>
      <c r="B807" s="205"/>
      <c r="C807" s="20"/>
      <c r="D807" s="14"/>
      <c r="E807" s="201"/>
      <c r="F807" s="14"/>
      <c r="G807" s="154"/>
      <c r="H807" s="14"/>
      <c r="I807" s="155"/>
      <c r="J807" s="155"/>
      <c r="K807" s="202"/>
      <c r="L807" s="14" t="str">
        <f t="shared" si="30"/>
        <v>0</v>
      </c>
      <c r="M807" s="14"/>
      <c r="N807" s="14"/>
      <c r="O807" s="14"/>
      <c r="P807" s="14"/>
      <c r="Q807" s="14"/>
      <c r="R807" s="201"/>
      <c r="S807" s="14"/>
      <c r="T807" s="14"/>
      <c r="U807" s="14"/>
      <c r="V807" s="203"/>
      <c r="W807" s="14"/>
      <c r="X807" s="14"/>
      <c r="Y807" s="14"/>
      <c r="Z807" s="14"/>
      <c r="AA807" s="14"/>
      <c r="AB807" s="14"/>
      <c r="AC807" s="14"/>
      <c r="AD807" s="14"/>
      <c r="AE807" s="14"/>
      <c r="AF807" s="14"/>
      <c r="AG807" s="14"/>
      <c r="AH807" s="14"/>
      <c r="AI807" s="20"/>
      <c r="AJ807" s="14"/>
      <c r="AK807" s="14"/>
      <c r="AL807" s="14"/>
      <c r="AM807" s="14"/>
      <c r="AN807" s="14"/>
      <c r="AO807" s="14"/>
      <c r="AP807" s="14"/>
      <c r="AQ807" s="14"/>
      <c r="AR807" s="14"/>
    </row>
    <row r="808" ht="22.5" customHeight="1">
      <c r="A808" s="204"/>
      <c r="B808" s="200"/>
      <c r="C808" s="20"/>
      <c r="D808" s="14"/>
      <c r="E808" s="201"/>
      <c r="F808" s="14"/>
      <c r="G808" s="154"/>
      <c r="H808" s="14"/>
      <c r="I808" s="155"/>
      <c r="J808" s="155"/>
      <c r="K808" s="202"/>
      <c r="L808" s="14" t="str">
        <f t="shared" si="30"/>
        <v>0</v>
      </c>
      <c r="M808" s="14"/>
      <c r="N808" s="14"/>
      <c r="O808" s="14"/>
      <c r="P808" s="14"/>
      <c r="Q808" s="14"/>
      <c r="R808" s="201"/>
      <c r="S808" s="14"/>
      <c r="T808" s="14"/>
      <c r="U808" s="14"/>
      <c r="V808" s="203"/>
      <c r="W808" s="14"/>
      <c r="X808" s="14"/>
      <c r="Y808" s="14"/>
      <c r="Z808" s="14"/>
      <c r="AA808" s="14"/>
      <c r="AB808" s="14"/>
      <c r="AC808" s="14"/>
      <c r="AD808" s="14"/>
      <c r="AE808" s="14"/>
      <c r="AF808" s="14"/>
      <c r="AG808" s="14"/>
      <c r="AH808" s="14"/>
      <c r="AI808" s="20"/>
      <c r="AJ808" s="14"/>
      <c r="AK808" s="14"/>
      <c r="AL808" s="14"/>
      <c r="AM808" s="14"/>
      <c r="AN808" s="14"/>
      <c r="AO808" s="14"/>
      <c r="AP808" s="14"/>
      <c r="AQ808" s="14"/>
      <c r="AR808" s="14"/>
    </row>
    <row r="809" ht="22.5" customHeight="1">
      <c r="A809" s="204"/>
      <c r="B809" s="205"/>
      <c r="C809" s="20"/>
      <c r="D809" s="14"/>
      <c r="E809" s="201"/>
      <c r="F809" s="14"/>
      <c r="G809" s="154"/>
      <c r="H809" s="14"/>
      <c r="I809" s="155"/>
      <c r="J809" s="155"/>
      <c r="K809" s="202"/>
      <c r="L809" s="14" t="str">
        <f t="shared" si="30"/>
        <v>0</v>
      </c>
      <c r="M809" s="14"/>
      <c r="N809" s="14"/>
      <c r="O809" s="14"/>
      <c r="P809" s="14"/>
      <c r="Q809" s="14"/>
      <c r="R809" s="201"/>
      <c r="S809" s="14"/>
      <c r="T809" s="14"/>
      <c r="U809" s="14"/>
      <c r="V809" s="203"/>
      <c r="W809" s="14"/>
      <c r="X809" s="14"/>
      <c r="Y809" s="14"/>
      <c r="Z809" s="14"/>
      <c r="AA809" s="14"/>
      <c r="AB809" s="14"/>
      <c r="AC809" s="14"/>
      <c r="AD809" s="14"/>
      <c r="AE809" s="14"/>
      <c r="AF809" s="14"/>
      <c r="AG809" s="14"/>
      <c r="AH809" s="14"/>
      <c r="AI809" s="20"/>
      <c r="AJ809" s="14"/>
      <c r="AK809" s="14"/>
      <c r="AL809" s="14"/>
      <c r="AM809" s="14"/>
      <c r="AN809" s="14"/>
      <c r="AO809" s="14"/>
      <c r="AP809" s="14"/>
      <c r="AQ809" s="14"/>
      <c r="AR809" s="14"/>
    </row>
    <row r="810" ht="22.5" customHeight="1">
      <c r="A810" s="204"/>
      <c r="B810" s="200"/>
      <c r="C810" s="20"/>
      <c r="D810" s="14"/>
      <c r="E810" s="201"/>
      <c r="F810" s="14"/>
      <c r="G810" s="154"/>
      <c r="H810" s="14"/>
      <c r="I810" s="155"/>
      <c r="J810" s="155"/>
      <c r="K810" s="202"/>
      <c r="L810" s="14" t="str">
        <f t="shared" si="30"/>
        <v>0</v>
      </c>
      <c r="M810" s="14"/>
      <c r="N810" s="14"/>
      <c r="O810" s="14"/>
      <c r="P810" s="14"/>
      <c r="Q810" s="14"/>
      <c r="R810" s="201"/>
      <c r="S810" s="14"/>
      <c r="T810" s="14"/>
      <c r="U810" s="14"/>
      <c r="V810" s="203"/>
      <c r="W810" s="14"/>
      <c r="X810" s="14"/>
      <c r="Y810" s="14"/>
      <c r="Z810" s="14"/>
      <c r="AA810" s="14"/>
      <c r="AB810" s="14"/>
      <c r="AC810" s="14"/>
      <c r="AD810" s="14"/>
      <c r="AE810" s="14"/>
      <c r="AF810" s="14"/>
      <c r="AG810" s="14"/>
      <c r="AH810" s="14"/>
      <c r="AI810" s="20"/>
      <c r="AJ810" s="14"/>
      <c r="AK810" s="14"/>
      <c r="AL810" s="14"/>
      <c r="AM810" s="14"/>
      <c r="AN810" s="14"/>
      <c r="AO810" s="14"/>
      <c r="AP810" s="14"/>
      <c r="AQ810" s="14"/>
      <c r="AR810" s="14"/>
    </row>
    <row r="811" ht="22.5" customHeight="1">
      <c r="A811" s="204"/>
      <c r="B811" s="205"/>
      <c r="C811" s="20"/>
      <c r="D811" s="14"/>
      <c r="E811" s="201"/>
      <c r="F811" s="14"/>
      <c r="G811" s="154"/>
      <c r="H811" s="14"/>
      <c r="I811" s="155"/>
      <c r="J811" s="155"/>
      <c r="K811" s="202"/>
      <c r="L811" s="14" t="str">
        <f t="shared" si="30"/>
        <v>0</v>
      </c>
      <c r="M811" s="14"/>
      <c r="N811" s="14"/>
      <c r="O811" s="14"/>
      <c r="P811" s="14"/>
      <c r="Q811" s="14"/>
      <c r="R811" s="201"/>
      <c r="S811" s="14"/>
      <c r="T811" s="14"/>
      <c r="U811" s="14"/>
      <c r="V811" s="203"/>
      <c r="W811" s="14"/>
      <c r="X811" s="14"/>
      <c r="Y811" s="14"/>
      <c r="Z811" s="14"/>
      <c r="AA811" s="14"/>
      <c r="AB811" s="14"/>
      <c r="AC811" s="14"/>
      <c r="AD811" s="14"/>
      <c r="AE811" s="14"/>
      <c r="AF811" s="14"/>
      <c r="AG811" s="14"/>
      <c r="AH811" s="14"/>
      <c r="AI811" s="20"/>
      <c r="AJ811" s="14"/>
      <c r="AK811" s="14"/>
      <c r="AL811" s="14"/>
      <c r="AM811" s="14"/>
      <c r="AN811" s="14"/>
      <c r="AO811" s="14"/>
      <c r="AP811" s="14"/>
      <c r="AQ811" s="14"/>
      <c r="AR811" s="14"/>
    </row>
    <row r="812" ht="22.5" customHeight="1">
      <c r="A812" s="204"/>
      <c r="B812" s="200"/>
      <c r="C812" s="20"/>
      <c r="D812" s="14"/>
      <c r="E812" s="201"/>
      <c r="F812" s="14"/>
      <c r="G812" s="154"/>
      <c r="H812" s="14"/>
      <c r="I812" s="155"/>
      <c r="J812" s="155"/>
      <c r="K812" s="202"/>
      <c r="L812" s="14" t="str">
        <f t="shared" si="30"/>
        <v>0</v>
      </c>
      <c r="M812" s="14"/>
      <c r="N812" s="14"/>
      <c r="O812" s="14"/>
      <c r="P812" s="14"/>
      <c r="Q812" s="14"/>
      <c r="R812" s="201"/>
      <c r="S812" s="14"/>
      <c r="T812" s="14"/>
      <c r="U812" s="14"/>
      <c r="V812" s="203"/>
      <c r="W812" s="14"/>
      <c r="X812" s="14"/>
      <c r="Y812" s="14"/>
      <c r="Z812" s="14"/>
      <c r="AA812" s="14"/>
      <c r="AB812" s="14"/>
      <c r="AC812" s="14"/>
      <c r="AD812" s="14"/>
      <c r="AE812" s="14"/>
      <c r="AF812" s="14"/>
      <c r="AG812" s="14"/>
      <c r="AH812" s="14"/>
      <c r="AI812" s="20"/>
      <c r="AJ812" s="14"/>
      <c r="AK812" s="14"/>
      <c r="AL812" s="14"/>
      <c r="AM812" s="14"/>
      <c r="AN812" s="14"/>
      <c r="AO812" s="14"/>
      <c r="AP812" s="14"/>
      <c r="AQ812" s="14"/>
      <c r="AR812" s="14"/>
    </row>
    <row r="813" ht="22.5" customHeight="1">
      <c r="A813" s="204"/>
      <c r="B813" s="205"/>
      <c r="C813" s="20"/>
      <c r="D813" s="14"/>
      <c r="E813" s="201"/>
      <c r="F813" s="14"/>
      <c r="G813" s="154"/>
      <c r="H813" s="14"/>
      <c r="I813" s="155"/>
      <c r="J813" s="155"/>
      <c r="K813" s="202"/>
      <c r="L813" s="14" t="str">
        <f t="shared" si="30"/>
        <v>0</v>
      </c>
      <c r="M813" s="14"/>
      <c r="N813" s="14"/>
      <c r="O813" s="14"/>
      <c r="P813" s="14"/>
      <c r="Q813" s="14"/>
      <c r="R813" s="201"/>
      <c r="S813" s="14"/>
      <c r="T813" s="14"/>
      <c r="U813" s="14"/>
      <c r="V813" s="203"/>
      <c r="W813" s="14"/>
      <c r="X813" s="14"/>
      <c r="Y813" s="14"/>
      <c r="Z813" s="14"/>
      <c r="AA813" s="14"/>
      <c r="AB813" s="14"/>
      <c r="AC813" s="14"/>
      <c r="AD813" s="14"/>
      <c r="AE813" s="14"/>
      <c r="AF813" s="14"/>
      <c r="AG813" s="14"/>
      <c r="AH813" s="14"/>
      <c r="AI813" s="20"/>
      <c r="AJ813" s="14"/>
      <c r="AK813" s="14"/>
      <c r="AL813" s="14"/>
      <c r="AM813" s="14"/>
      <c r="AN813" s="14"/>
      <c r="AO813" s="14"/>
      <c r="AP813" s="14"/>
      <c r="AQ813" s="14"/>
      <c r="AR813" s="14"/>
    </row>
    <row r="814" ht="22.5" customHeight="1">
      <c r="A814" s="204"/>
      <c r="B814" s="200"/>
      <c r="C814" s="20"/>
      <c r="D814" s="14"/>
      <c r="E814" s="201"/>
      <c r="F814" s="14"/>
      <c r="G814" s="154"/>
      <c r="H814" s="14"/>
      <c r="I814" s="155"/>
      <c r="J814" s="155"/>
      <c r="K814" s="202"/>
      <c r="L814" s="14" t="str">
        <f t="shared" si="30"/>
        <v>0</v>
      </c>
      <c r="M814" s="14"/>
      <c r="N814" s="14"/>
      <c r="O814" s="14"/>
      <c r="P814" s="14"/>
      <c r="Q814" s="14"/>
      <c r="R814" s="201"/>
      <c r="S814" s="14"/>
      <c r="T814" s="14"/>
      <c r="U814" s="14"/>
      <c r="V814" s="203"/>
      <c r="W814" s="14"/>
      <c r="X814" s="14"/>
      <c r="Y814" s="14"/>
      <c r="Z814" s="14"/>
      <c r="AA814" s="14"/>
      <c r="AB814" s="14"/>
      <c r="AC814" s="14"/>
      <c r="AD814" s="14"/>
      <c r="AE814" s="14"/>
      <c r="AF814" s="14"/>
      <c r="AG814" s="14"/>
      <c r="AH814" s="14"/>
      <c r="AI814" s="20"/>
      <c r="AJ814" s="14"/>
      <c r="AK814" s="14"/>
      <c r="AL814" s="14"/>
      <c r="AM814" s="14"/>
      <c r="AN814" s="14"/>
      <c r="AO814" s="14"/>
      <c r="AP814" s="14"/>
      <c r="AQ814" s="14"/>
      <c r="AR814" s="14"/>
    </row>
    <row r="815" ht="22.5" customHeight="1">
      <c r="A815" s="204"/>
      <c r="B815" s="205"/>
      <c r="C815" s="20"/>
      <c r="D815" s="14"/>
      <c r="E815" s="201"/>
      <c r="F815" s="14"/>
      <c r="G815" s="154"/>
      <c r="H815" s="14"/>
      <c r="I815" s="155"/>
      <c r="J815" s="155"/>
      <c r="K815" s="202"/>
      <c r="L815" s="14" t="str">
        <f t="shared" si="30"/>
        <v>0</v>
      </c>
      <c r="M815" s="14"/>
      <c r="N815" s="14"/>
      <c r="O815" s="14"/>
      <c r="P815" s="14"/>
      <c r="Q815" s="14"/>
      <c r="R815" s="201"/>
      <c r="S815" s="14"/>
      <c r="T815" s="14"/>
      <c r="U815" s="14"/>
      <c r="V815" s="203"/>
      <c r="W815" s="14"/>
      <c r="X815" s="14"/>
      <c r="Y815" s="14"/>
      <c r="Z815" s="14"/>
      <c r="AA815" s="14"/>
      <c r="AB815" s="14"/>
      <c r="AC815" s="14"/>
      <c r="AD815" s="14"/>
      <c r="AE815" s="14"/>
      <c r="AF815" s="14"/>
      <c r="AG815" s="14"/>
      <c r="AH815" s="14"/>
      <c r="AI815" s="20"/>
      <c r="AJ815" s="14"/>
      <c r="AK815" s="14"/>
      <c r="AL815" s="14"/>
      <c r="AM815" s="14"/>
      <c r="AN815" s="14"/>
      <c r="AO815" s="14"/>
      <c r="AP815" s="14"/>
      <c r="AQ815" s="14"/>
      <c r="AR815" s="14"/>
    </row>
    <row r="816" ht="22.5" customHeight="1">
      <c r="A816" s="204"/>
      <c r="B816" s="200"/>
      <c r="C816" s="20"/>
      <c r="D816" s="14"/>
      <c r="E816" s="201"/>
      <c r="F816" s="14"/>
      <c r="G816" s="154"/>
      <c r="H816" s="14"/>
      <c r="I816" s="155"/>
      <c r="J816" s="155"/>
      <c r="K816" s="202"/>
      <c r="L816" s="14" t="str">
        <f t="shared" si="30"/>
        <v>0</v>
      </c>
      <c r="M816" s="14"/>
      <c r="N816" s="14"/>
      <c r="O816" s="14"/>
      <c r="P816" s="14"/>
      <c r="Q816" s="14"/>
      <c r="R816" s="201"/>
      <c r="S816" s="14"/>
      <c r="T816" s="14"/>
      <c r="U816" s="14"/>
      <c r="V816" s="203"/>
      <c r="W816" s="14"/>
      <c r="X816" s="14"/>
      <c r="Y816" s="14"/>
      <c r="Z816" s="14"/>
      <c r="AA816" s="14"/>
      <c r="AB816" s="14"/>
      <c r="AC816" s="14"/>
      <c r="AD816" s="14"/>
      <c r="AE816" s="14"/>
      <c r="AF816" s="14"/>
      <c r="AG816" s="14"/>
      <c r="AH816" s="14"/>
      <c r="AI816" s="20"/>
      <c r="AJ816" s="14"/>
      <c r="AK816" s="14"/>
      <c r="AL816" s="14"/>
      <c r="AM816" s="14"/>
      <c r="AN816" s="14"/>
      <c r="AO816" s="14"/>
      <c r="AP816" s="14"/>
      <c r="AQ816" s="14"/>
      <c r="AR816" s="14"/>
    </row>
    <row r="817" ht="22.5" customHeight="1">
      <c r="A817" s="204"/>
      <c r="B817" s="205"/>
      <c r="C817" s="20"/>
      <c r="D817" s="14"/>
      <c r="E817" s="201"/>
      <c r="F817" s="14"/>
      <c r="G817" s="154"/>
      <c r="H817" s="14"/>
      <c r="I817" s="155"/>
      <c r="J817" s="155"/>
      <c r="K817" s="202"/>
      <c r="L817" s="14" t="str">
        <f t="shared" si="30"/>
        <v>0</v>
      </c>
      <c r="M817" s="14"/>
      <c r="N817" s="14"/>
      <c r="O817" s="14"/>
      <c r="P817" s="14"/>
      <c r="Q817" s="14"/>
      <c r="R817" s="201"/>
      <c r="S817" s="14"/>
      <c r="T817" s="14"/>
      <c r="U817" s="14"/>
      <c r="V817" s="203"/>
      <c r="W817" s="14"/>
      <c r="X817" s="14"/>
      <c r="Y817" s="14"/>
      <c r="Z817" s="14"/>
      <c r="AA817" s="14"/>
      <c r="AB817" s="14"/>
      <c r="AC817" s="14"/>
      <c r="AD817" s="14"/>
      <c r="AE817" s="14"/>
      <c r="AF817" s="14"/>
      <c r="AG817" s="14"/>
      <c r="AH817" s="14"/>
      <c r="AI817" s="20"/>
      <c r="AJ817" s="14"/>
      <c r="AK817" s="14"/>
      <c r="AL817" s="14"/>
      <c r="AM817" s="14"/>
      <c r="AN817" s="14"/>
      <c r="AO817" s="14"/>
      <c r="AP817" s="14"/>
      <c r="AQ817" s="14"/>
      <c r="AR817" s="14"/>
    </row>
    <row r="818" ht="22.5" customHeight="1">
      <c r="A818" s="204"/>
      <c r="B818" s="200"/>
      <c r="C818" s="20"/>
      <c r="D818" s="14"/>
      <c r="E818" s="201"/>
      <c r="F818" s="14"/>
      <c r="G818" s="154"/>
      <c r="H818" s="14"/>
      <c r="I818" s="155"/>
      <c r="J818" s="155"/>
      <c r="K818" s="202"/>
      <c r="L818" s="14" t="str">
        <f t="shared" si="30"/>
        <v>0</v>
      </c>
      <c r="M818" s="14"/>
      <c r="N818" s="14"/>
      <c r="O818" s="14"/>
      <c r="P818" s="14"/>
      <c r="Q818" s="14"/>
      <c r="R818" s="201"/>
      <c r="S818" s="14"/>
      <c r="T818" s="14"/>
      <c r="U818" s="14"/>
      <c r="V818" s="203"/>
      <c r="W818" s="14"/>
      <c r="X818" s="14"/>
      <c r="Y818" s="14"/>
      <c r="Z818" s="14"/>
      <c r="AA818" s="14"/>
      <c r="AB818" s="14"/>
      <c r="AC818" s="14"/>
      <c r="AD818" s="14"/>
      <c r="AE818" s="14"/>
      <c r="AF818" s="14"/>
      <c r="AG818" s="14"/>
      <c r="AH818" s="14"/>
      <c r="AI818" s="20"/>
      <c r="AJ818" s="14"/>
      <c r="AK818" s="14"/>
      <c r="AL818" s="14"/>
      <c r="AM818" s="14"/>
      <c r="AN818" s="14"/>
      <c r="AO818" s="14"/>
      <c r="AP818" s="14"/>
      <c r="AQ818" s="14"/>
      <c r="AR818" s="14"/>
    </row>
    <row r="819" ht="22.5" customHeight="1">
      <c r="A819" s="204"/>
      <c r="B819" s="205"/>
      <c r="C819" s="20"/>
      <c r="D819" s="14"/>
      <c r="E819" s="201"/>
      <c r="F819" s="14"/>
      <c r="G819" s="154"/>
      <c r="H819" s="14"/>
      <c r="I819" s="155"/>
      <c r="J819" s="155"/>
      <c r="K819" s="202"/>
      <c r="L819" s="14" t="str">
        <f t="shared" si="30"/>
        <v>0</v>
      </c>
      <c r="M819" s="14"/>
      <c r="N819" s="14"/>
      <c r="O819" s="14"/>
      <c r="P819" s="14"/>
      <c r="Q819" s="14"/>
      <c r="R819" s="201"/>
      <c r="S819" s="14"/>
      <c r="T819" s="14"/>
      <c r="U819" s="14"/>
      <c r="V819" s="203"/>
      <c r="W819" s="14"/>
      <c r="X819" s="14"/>
      <c r="Y819" s="14"/>
      <c r="Z819" s="14"/>
      <c r="AA819" s="14"/>
      <c r="AB819" s="14"/>
      <c r="AC819" s="14"/>
      <c r="AD819" s="14"/>
      <c r="AE819" s="14"/>
      <c r="AF819" s="14"/>
      <c r="AG819" s="14"/>
      <c r="AH819" s="14"/>
      <c r="AI819" s="20"/>
      <c r="AJ819" s="14"/>
      <c r="AK819" s="14"/>
      <c r="AL819" s="14"/>
      <c r="AM819" s="14"/>
      <c r="AN819" s="14"/>
      <c r="AO819" s="14"/>
      <c r="AP819" s="14"/>
      <c r="AQ819" s="14"/>
      <c r="AR819" s="14"/>
    </row>
    <row r="820" ht="22.5" customHeight="1">
      <c r="A820" s="204"/>
      <c r="B820" s="200"/>
      <c r="C820" s="20"/>
      <c r="D820" s="14"/>
      <c r="E820" s="201"/>
      <c r="F820" s="14"/>
      <c r="G820" s="154"/>
      <c r="H820" s="14"/>
      <c r="I820" s="155"/>
      <c r="J820" s="155"/>
      <c r="K820" s="202"/>
      <c r="L820" s="14" t="str">
        <f t="shared" si="30"/>
        <v>0</v>
      </c>
      <c r="M820" s="14"/>
      <c r="N820" s="14"/>
      <c r="O820" s="14"/>
      <c r="P820" s="14"/>
      <c r="Q820" s="14"/>
      <c r="R820" s="201"/>
      <c r="S820" s="14"/>
      <c r="T820" s="14"/>
      <c r="U820" s="14"/>
      <c r="V820" s="203"/>
      <c r="W820" s="14"/>
      <c r="X820" s="14"/>
      <c r="Y820" s="14"/>
      <c r="Z820" s="14"/>
      <c r="AA820" s="14"/>
      <c r="AB820" s="14"/>
      <c r="AC820" s="14"/>
      <c r="AD820" s="14"/>
      <c r="AE820" s="14"/>
      <c r="AF820" s="14"/>
      <c r="AG820" s="14"/>
      <c r="AH820" s="14"/>
      <c r="AI820" s="20"/>
      <c r="AJ820" s="14"/>
      <c r="AK820" s="14"/>
      <c r="AL820" s="14"/>
      <c r="AM820" s="14"/>
      <c r="AN820" s="14"/>
      <c r="AO820" s="14"/>
      <c r="AP820" s="14"/>
      <c r="AQ820" s="14"/>
      <c r="AR820" s="14"/>
    </row>
    <row r="821" ht="22.5" customHeight="1">
      <c r="A821" s="204"/>
      <c r="B821" s="205"/>
      <c r="C821" s="20"/>
      <c r="D821" s="14"/>
      <c r="E821" s="201"/>
      <c r="F821" s="14"/>
      <c r="G821" s="154"/>
      <c r="H821" s="14"/>
      <c r="I821" s="155"/>
      <c r="J821" s="155"/>
      <c r="K821" s="202"/>
      <c r="L821" s="14" t="str">
        <f t="shared" si="30"/>
        <v>0</v>
      </c>
      <c r="M821" s="14"/>
      <c r="N821" s="14"/>
      <c r="O821" s="14"/>
      <c r="P821" s="14"/>
      <c r="Q821" s="14"/>
      <c r="R821" s="201"/>
      <c r="S821" s="14"/>
      <c r="T821" s="14"/>
      <c r="U821" s="14"/>
      <c r="V821" s="203"/>
      <c r="W821" s="14"/>
      <c r="X821" s="14"/>
      <c r="Y821" s="14"/>
      <c r="Z821" s="14"/>
      <c r="AA821" s="14"/>
      <c r="AB821" s="14"/>
      <c r="AC821" s="14"/>
      <c r="AD821" s="14"/>
      <c r="AE821" s="14"/>
      <c r="AF821" s="14"/>
      <c r="AG821" s="14"/>
      <c r="AH821" s="14"/>
      <c r="AI821" s="20"/>
      <c r="AJ821" s="14"/>
      <c r="AK821" s="14"/>
      <c r="AL821" s="14"/>
      <c r="AM821" s="14"/>
      <c r="AN821" s="14"/>
      <c r="AO821" s="14"/>
      <c r="AP821" s="14"/>
      <c r="AQ821" s="14"/>
      <c r="AR821" s="14"/>
    </row>
    <row r="822" ht="22.5" customHeight="1">
      <c r="A822" s="204"/>
      <c r="B822" s="200"/>
      <c r="C822" s="20"/>
      <c r="D822" s="14"/>
      <c r="E822" s="201"/>
      <c r="F822" s="14"/>
      <c r="G822" s="154"/>
      <c r="H822" s="14"/>
      <c r="I822" s="155"/>
      <c r="J822" s="155"/>
      <c r="K822" s="202"/>
      <c r="L822" s="14" t="str">
        <f t="shared" si="30"/>
        <v>0</v>
      </c>
      <c r="M822" s="14"/>
      <c r="N822" s="14"/>
      <c r="O822" s="14"/>
      <c r="P822" s="14"/>
      <c r="Q822" s="14"/>
      <c r="R822" s="201"/>
      <c r="S822" s="14"/>
      <c r="T822" s="14"/>
      <c r="U822" s="14"/>
      <c r="V822" s="203"/>
      <c r="W822" s="14"/>
      <c r="X822" s="14"/>
      <c r="Y822" s="14"/>
      <c r="Z822" s="14"/>
      <c r="AA822" s="14"/>
      <c r="AB822" s="14"/>
      <c r="AC822" s="14"/>
      <c r="AD822" s="14"/>
      <c r="AE822" s="14"/>
      <c r="AF822" s="14"/>
      <c r="AG822" s="14"/>
      <c r="AH822" s="14"/>
      <c r="AI822" s="20"/>
      <c r="AJ822" s="14"/>
      <c r="AK822" s="14"/>
      <c r="AL822" s="14"/>
      <c r="AM822" s="14"/>
      <c r="AN822" s="14"/>
      <c r="AO822" s="14"/>
      <c r="AP822" s="14"/>
      <c r="AQ822" s="14"/>
      <c r="AR822" s="14"/>
    </row>
    <row r="823" ht="22.5" customHeight="1">
      <c r="A823" s="204"/>
      <c r="B823" s="205"/>
      <c r="C823" s="20"/>
      <c r="D823" s="14"/>
      <c r="E823" s="201"/>
      <c r="F823" s="14"/>
      <c r="G823" s="154"/>
      <c r="H823" s="14"/>
      <c r="I823" s="155"/>
      <c r="J823" s="155"/>
      <c r="K823" s="202"/>
      <c r="L823" s="14" t="str">
        <f t="shared" si="30"/>
        <v>0</v>
      </c>
      <c r="M823" s="14"/>
      <c r="N823" s="14"/>
      <c r="O823" s="14"/>
      <c r="P823" s="14"/>
      <c r="Q823" s="14"/>
      <c r="R823" s="201"/>
      <c r="S823" s="14"/>
      <c r="T823" s="14"/>
      <c r="U823" s="14"/>
      <c r="V823" s="203"/>
      <c r="W823" s="14"/>
      <c r="X823" s="14"/>
      <c r="Y823" s="14"/>
      <c r="Z823" s="14"/>
      <c r="AA823" s="14"/>
      <c r="AB823" s="14"/>
      <c r="AC823" s="14"/>
      <c r="AD823" s="14"/>
      <c r="AE823" s="14"/>
      <c r="AF823" s="14"/>
      <c r="AG823" s="14"/>
      <c r="AH823" s="14"/>
      <c r="AI823" s="20"/>
      <c r="AJ823" s="14"/>
      <c r="AK823" s="14"/>
      <c r="AL823" s="14"/>
      <c r="AM823" s="14"/>
      <c r="AN823" s="14"/>
      <c r="AO823" s="14"/>
      <c r="AP823" s="14"/>
      <c r="AQ823" s="14"/>
      <c r="AR823" s="14"/>
    </row>
    <row r="824" ht="22.5" customHeight="1">
      <c r="A824" s="204"/>
      <c r="B824" s="200"/>
      <c r="C824" s="20"/>
      <c r="D824" s="14"/>
      <c r="E824" s="201"/>
      <c r="F824" s="14"/>
      <c r="G824" s="154"/>
      <c r="H824" s="14"/>
      <c r="I824" s="155"/>
      <c r="J824" s="155"/>
      <c r="K824" s="202"/>
      <c r="L824" s="14" t="str">
        <f t="shared" si="30"/>
        <v>0</v>
      </c>
      <c r="M824" s="14"/>
      <c r="N824" s="14"/>
      <c r="O824" s="14"/>
      <c r="P824" s="14"/>
      <c r="Q824" s="14"/>
      <c r="R824" s="201"/>
      <c r="S824" s="14"/>
      <c r="T824" s="14"/>
      <c r="U824" s="14"/>
      <c r="V824" s="203"/>
      <c r="W824" s="14"/>
      <c r="X824" s="14"/>
      <c r="Y824" s="14"/>
      <c r="Z824" s="14"/>
      <c r="AA824" s="14"/>
      <c r="AB824" s="14"/>
      <c r="AC824" s="14"/>
      <c r="AD824" s="14"/>
      <c r="AE824" s="14"/>
      <c r="AF824" s="14"/>
      <c r="AG824" s="14"/>
      <c r="AH824" s="14"/>
      <c r="AI824" s="20"/>
      <c r="AJ824" s="14"/>
      <c r="AK824" s="14"/>
      <c r="AL824" s="14"/>
      <c r="AM824" s="14"/>
      <c r="AN824" s="14"/>
      <c r="AO824" s="14"/>
      <c r="AP824" s="14"/>
      <c r="AQ824" s="14"/>
      <c r="AR824" s="14"/>
    </row>
    <row r="825" ht="22.5" customHeight="1">
      <c r="A825" s="204"/>
      <c r="B825" s="205"/>
      <c r="C825" s="20"/>
      <c r="D825" s="14"/>
      <c r="E825" s="201"/>
      <c r="F825" s="14"/>
      <c r="G825" s="154"/>
      <c r="H825" s="14"/>
      <c r="I825" s="155"/>
      <c r="J825" s="155"/>
      <c r="K825" s="202"/>
      <c r="L825" s="14" t="str">
        <f t="shared" si="30"/>
        <v>0</v>
      </c>
      <c r="M825" s="14"/>
      <c r="N825" s="14"/>
      <c r="O825" s="14"/>
      <c r="P825" s="14"/>
      <c r="Q825" s="14"/>
      <c r="R825" s="201"/>
      <c r="S825" s="14"/>
      <c r="T825" s="14"/>
      <c r="U825" s="14"/>
      <c r="V825" s="203"/>
      <c r="W825" s="14"/>
      <c r="X825" s="14"/>
      <c r="Y825" s="14"/>
      <c r="Z825" s="14"/>
      <c r="AA825" s="14"/>
      <c r="AB825" s="14"/>
      <c r="AC825" s="14"/>
      <c r="AD825" s="14"/>
      <c r="AE825" s="14"/>
      <c r="AF825" s="14"/>
      <c r="AG825" s="14"/>
      <c r="AH825" s="14"/>
      <c r="AI825" s="20"/>
      <c r="AJ825" s="14"/>
      <c r="AK825" s="14"/>
      <c r="AL825" s="14"/>
      <c r="AM825" s="14"/>
      <c r="AN825" s="14"/>
      <c r="AO825" s="14"/>
      <c r="AP825" s="14"/>
      <c r="AQ825" s="14"/>
      <c r="AR825" s="14"/>
    </row>
    <row r="826" ht="22.5" customHeight="1">
      <c r="A826" s="204"/>
      <c r="B826" s="200"/>
      <c r="C826" s="20"/>
      <c r="D826" s="14"/>
      <c r="E826" s="201"/>
      <c r="F826" s="14"/>
      <c r="G826" s="154"/>
      <c r="H826" s="14"/>
      <c r="I826" s="155"/>
      <c r="J826" s="155"/>
      <c r="K826" s="202"/>
      <c r="L826" s="14" t="str">
        <f t="shared" si="30"/>
        <v>0</v>
      </c>
      <c r="M826" s="14"/>
      <c r="N826" s="14"/>
      <c r="O826" s="14"/>
      <c r="P826" s="14"/>
      <c r="Q826" s="14"/>
      <c r="R826" s="201"/>
      <c r="S826" s="14"/>
      <c r="T826" s="14"/>
      <c r="U826" s="14"/>
      <c r="V826" s="203"/>
      <c r="W826" s="14"/>
      <c r="X826" s="14"/>
      <c r="Y826" s="14"/>
      <c r="Z826" s="14"/>
      <c r="AA826" s="14"/>
      <c r="AB826" s="14"/>
      <c r="AC826" s="14"/>
      <c r="AD826" s="14"/>
      <c r="AE826" s="14"/>
      <c r="AF826" s="14"/>
      <c r="AG826" s="14"/>
      <c r="AH826" s="14"/>
      <c r="AI826" s="20"/>
      <c r="AJ826" s="14"/>
      <c r="AK826" s="14"/>
      <c r="AL826" s="14"/>
      <c r="AM826" s="14"/>
      <c r="AN826" s="14"/>
      <c r="AO826" s="14"/>
      <c r="AP826" s="14"/>
      <c r="AQ826" s="14"/>
      <c r="AR826" s="14"/>
    </row>
    <row r="827" ht="22.5" customHeight="1">
      <c r="A827" s="204"/>
      <c r="B827" s="205"/>
      <c r="C827" s="20"/>
      <c r="D827" s="14"/>
      <c r="E827" s="201"/>
      <c r="F827" s="14"/>
      <c r="G827" s="154"/>
      <c r="H827" s="14"/>
      <c r="I827" s="155"/>
      <c r="J827" s="155"/>
      <c r="K827" s="202"/>
      <c r="L827" s="14" t="str">
        <f t="shared" si="30"/>
        <v>0</v>
      </c>
      <c r="M827" s="14"/>
      <c r="N827" s="14"/>
      <c r="O827" s="14"/>
      <c r="P827" s="14"/>
      <c r="Q827" s="14"/>
      <c r="R827" s="201"/>
      <c r="S827" s="14"/>
      <c r="T827" s="14"/>
      <c r="U827" s="14"/>
      <c r="V827" s="203"/>
      <c r="W827" s="14"/>
      <c r="X827" s="14"/>
      <c r="Y827" s="14"/>
      <c r="Z827" s="14"/>
      <c r="AA827" s="14"/>
      <c r="AB827" s="14"/>
      <c r="AC827" s="14"/>
      <c r="AD827" s="14"/>
      <c r="AE827" s="14"/>
      <c r="AF827" s="14"/>
      <c r="AG827" s="14"/>
      <c r="AH827" s="14"/>
      <c r="AI827" s="20"/>
      <c r="AJ827" s="14"/>
      <c r="AK827" s="14"/>
      <c r="AL827" s="14"/>
      <c r="AM827" s="14"/>
      <c r="AN827" s="14"/>
      <c r="AO827" s="14"/>
      <c r="AP827" s="14"/>
      <c r="AQ827" s="14"/>
      <c r="AR827" s="14"/>
    </row>
    <row r="828" ht="22.5" customHeight="1">
      <c r="A828" s="204"/>
      <c r="B828" s="200"/>
      <c r="C828" s="20"/>
      <c r="D828" s="14"/>
      <c r="E828" s="201"/>
      <c r="F828" s="14"/>
      <c r="G828" s="154"/>
      <c r="H828" s="14"/>
      <c r="I828" s="155"/>
      <c r="J828" s="155"/>
      <c r="K828" s="202"/>
      <c r="L828" s="14" t="str">
        <f t="shared" si="30"/>
        <v>0</v>
      </c>
      <c r="M828" s="14"/>
      <c r="N828" s="14"/>
      <c r="O828" s="14"/>
      <c r="P828" s="14"/>
      <c r="Q828" s="14"/>
      <c r="R828" s="201"/>
      <c r="S828" s="14"/>
      <c r="T828" s="14"/>
      <c r="U828" s="14"/>
      <c r="V828" s="203"/>
      <c r="W828" s="14"/>
      <c r="X828" s="14"/>
      <c r="Y828" s="14"/>
      <c r="Z828" s="14"/>
      <c r="AA828" s="14"/>
      <c r="AB828" s="14"/>
      <c r="AC828" s="14"/>
      <c r="AD828" s="14"/>
      <c r="AE828" s="14"/>
      <c r="AF828" s="14"/>
      <c r="AG828" s="14"/>
      <c r="AH828" s="14"/>
      <c r="AI828" s="20"/>
      <c r="AJ828" s="14"/>
      <c r="AK828" s="14"/>
      <c r="AL828" s="14"/>
      <c r="AM828" s="14"/>
      <c r="AN828" s="14"/>
      <c r="AO828" s="14"/>
      <c r="AP828" s="14"/>
      <c r="AQ828" s="14"/>
      <c r="AR828" s="14"/>
    </row>
    <row r="829" ht="22.5" customHeight="1">
      <c r="A829" s="204"/>
      <c r="B829" s="205"/>
      <c r="C829" s="20"/>
      <c r="D829" s="14"/>
      <c r="E829" s="201"/>
      <c r="F829" s="14"/>
      <c r="G829" s="154"/>
      <c r="H829" s="14"/>
      <c r="I829" s="155"/>
      <c r="J829" s="155"/>
      <c r="K829" s="202"/>
      <c r="L829" s="14" t="str">
        <f t="shared" si="30"/>
        <v>0</v>
      </c>
      <c r="M829" s="14"/>
      <c r="N829" s="14"/>
      <c r="O829" s="14"/>
      <c r="P829" s="14"/>
      <c r="Q829" s="14"/>
      <c r="R829" s="201"/>
      <c r="S829" s="14"/>
      <c r="T829" s="14"/>
      <c r="U829" s="14"/>
      <c r="V829" s="203"/>
      <c r="W829" s="14"/>
      <c r="X829" s="14"/>
      <c r="Y829" s="14"/>
      <c r="Z829" s="14"/>
      <c r="AA829" s="14"/>
      <c r="AB829" s="14"/>
      <c r="AC829" s="14"/>
      <c r="AD829" s="14"/>
      <c r="AE829" s="14"/>
      <c r="AF829" s="14"/>
      <c r="AG829" s="14"/>
      <c r="AH829" s="14"/>
      <c r="AI829" s="20"/>
      <c r="AJ829" s="14"/>
      <c r="AK829" s="14"/>
      <c r="AL829" s="14"/>
      <c r="AM829" s="14"/>
      <c r="AN829" s="14"/>
      <c r="AO829" s="14"/>
      <c r="AP829" s="14"/>
      <c r="AQ829" s="14"/>
      <c r="AR829" s="14"/>
    </row>
    <row r="830" ht="22.5" customHeight="1">
      <c r="A830" s="204"/>
      <c r="B830" s="200"/>
      <c r="C830" s="20"/>
      <c r="D830" s="14"/>
      <c r="E830" s="201"/>
      <c r="F830" s="14"/>
      <c r="G830" s="154"/>
      <c r="H830" s="14"/>
      <c r="I830" s="155"/>
      <c r="J830" s="155"/>
      <c r="K830" s="202"/>
      <c r="L830" s="14" t="str">
        <f t="shared" si="30"/>
        <v>0</v>
      </c>
      <c r="M830" s="14"/>
      <c r="N830" s="14"/>
      <c r="O830" s="14"/>
      <c r="P830" s="14"/>
      <c r="Q830" s="14"/>
      <c r="R830" s="201"/>
      <c r="S830" s="14"/>
      <c r="T830" s="14"/>
      <c r="U830" s="14"/>
      <c r="V830" s="203"/>
      <c r="W830" s="14"/>
      <c r="X830" s="14"/>
      <c r="Y830" s="14"/>
      <c r="Z830" s="14"/>
      <c r="AA830" s="14"/>
      <c r="AB830" s="14"/>
      <c r="AC830" s="14"/>
      <c r="AD830" s="14"/>
      <c r="AE830" s="14"/>
      <c r="AF830" s="14"/>
      <c r="AG830" s="14"/>
      <c r="AH830" s="14"/>
      <c r="AI830" s="20"/>
      <c r="AJ830" s="14"/>
      <c r="AK830" s="14"/>
      <c r="AL830" s="14"/>
      <c r="AM830" s="14"/>
      <c r="AN830" s="14"/>
      <c r="AO830" s="14"/>
      <c r="AP830" s="14"/>
      <c r="AQ830" s="14"/>
      <c r="AR830" s="14"/>
    </row>
    <row r="831" ht="22.5" customHeight="1">
      <c r="A831" s="204"/>
      <c r="B831" s="205"/>
      <c r="C831" s="20"/>
      <c r="D831" s="14"/>
      <c r="E831" s="201"/>
      <c r="F831" s="14"/>
      <c r="G831" s="154"/>
      <c r="H831" s="14"/>
      <c r="I831" s="155"/>
      <c r="J831" s="155"/>
      <c r="K831" s="202"/>
      <c r="L831" s="14" t="str">
        <f t="shared" si="30"/>
        <v>0</v>
      </c>
      <c r="M831" s="14"/>
      <c r="N831" s="14"/>
      <c r="O831" s="14"/>
      <c r="P831" s="14"/>
      <c r="Q831" s="14"/>
      <c r="R831" s="201"/>
      <c r="S831" s="14"/>
      <c r="T831" s="14"/>
      <c r="U831" s="14"/>
      <c r="V831" s="203"/>
      <c r="W831" s="14"/>
      <c r="X831" s="14"/>
      <c r="Y831" s="14"/>
      <c r="Z831" s="14"/>
      <c r="AA831" s="14"/>
      <c r="AB831" s="14"/>
      <c r="AC831" s="14"/>
      <c r="AD831" s="14"/>
      <c r="AE831" s="14"/>
      <c r="AF831" s="14"/>
      <c r="AG831" s="14"/>
      <c r="AH831" s="14"/>
      <c r="AI831" s="20"/>
      <c r="AJ831" s="14"/>
      <c r="AK831" s="14"/>
      <c r="AL831" s="14"/>
      <c r="AM831" s="14"/>
      <c r="AN831" s="14"/>
      <c r="AO831" s="14"/>
      <c r="AP831" s="14"/>
      <c r="AQ831" s="14"/>
      <c r="AR831" s="14"/>
    </row>
    <row r="832" ht="22.5" customHeight="1">
      <c r="A832" s="204"/>
      <c r="B832" s="200"/>
      <c r="C832" s="20"/>
      <c r="D832" s="14"/>
      <c r="E832" s="201"/>
      <c r="F832" s="14"/>
      <c r="G832" s="154"/>
      <c r="H832" s="14"/>
      <c r="I832" s="155"/>
      <c r="J832" s="155"/>
      <c r="K832" s="202"/>
      <c r="L832" s="14" t="str">
        <f t="shared" si="30"/>
        <v>0</v>
      </c>
      <c r="M832" s="14"/>
      <c r="N832" s="14"/>
      <c r="O832" s="14"/>
      <c r="P832" s="14"/>
      <c r="Q832" s="14"/>
      <c r="R832" s="201"/>
      <c r="S832" s="14"/>
      <c r="T832" s="14"/>
      <c r="U832" s="14"/>
      <c r="V832" s="203"/>
      <c r="W832" s="14"/>
      <c r="X832" s="14"/>
      <c r="Y832" s="14"/>
      <c r="Z832" s="14"/>
      <c r="AA832" s="14"/>
      <c r="AB832" s="14"/>
      <c r="AC832" s="14"/>
      <c r="AD832" s="14"/>
      <c r="AE832" s="14"/>
      <c r="AF832" s="14"/>
      <c r="AG832" s="14"/>
      <c r="AH832" s="14"/>
      <c r="AI832" s="20"/>
      <c r="AJ832" s="14"/>
      <c r="AK832" s="14"/>
      <c r="AL832" s="14"/>
      <c r="AM832" s="14"/>
      <c r="AN832" s="14"/>
      <c r="AO832" s="14"/>
      <c r="AP832" s="14"/>
      <c r="AQ832" s="14"/>
      <c r="AR832" s="14"/>
    </row>
    <row r="833" ht="22.5" customHeight="1">
      <c r="A833" s="204"/>
      <c r="B833" s="205"/>
      <c r="C833" s="20"/>
      <c r="D833" s="14"/>
      <c r="E833" s="201"/>
      <c r="F833" s="14"/>
      <c r="G833" s="154"/>
      <c r="H833" s="14"/>
      <c r="I833" s="155"/>
      <c r="J833" s="155"/>
      <c r="K833" s="202"/>
      <c r="L833" s="14" t="str">
        <f t="shared" si="30"/>
        <v>0</v>
      </c>
      <c r="M833" s="14"/>
      <c r="N833" s="14"/>
      <c r="O833" s="14"/>
      <c r="P833" s="14"/>
      <c r="Q833" s="14"/>
      <c r="R833" s="201"/>
      <c r="S833" s="14"/>
      <c r="T833" s="14"/>
      <c r="U833" s="14"/>
      <c r="V833" s="203"/>
      <c r="W833" s="14"/>
      <c r="X833" s="14"/>
      <c r="Y833" s="14"/>
      <c r="Z833" s="14"/>
      <c r="AA833" s="14"/>
      <c r="AB833" s="14"/>
      <c r="AC833" s="14"/>
      <c r="AD833" s="14"/>
      <c r="AE833" s="14"/>
      <c r="AF833" s="14"/>
      <c r="AG833" s="14"/>
      <c r="AH833" s="14"/>
      <c r="AI833" s="20"/>
      <c r="AJ833" s="14"/>
      <c r="AK833" s="14"/>
      <c r="AL833" s="14"/>
      <c r="AM833" s="14"/>
      <c r="AN833" s="14"/>
      <c r="AO833" s="14"/>
      <c r="AP833" s="14"/>
      <c r="AQ833" s="14"/>
      <c r="AR833" s="14"/>
    </row>
    <row r="834" ht="22.5" customHeight="1">
      <c r="A834" s="204"/>
      <c r="B834" s="200"/>
      <c r="C834" s="20"/>
      <c r="D834" s="14"/>
      <c r="E834" s="201"/>
      <c r="F834" s="14"/>
      <c r="G834" s="154"/>
      <c r="H834" s="14"/>
      <c r="I834" s="155"/>
      <c r="J834" s="155"/>
      <c r="K834" s="202"/>
      <c r="L834" s="14" t="str">
        <f t="shared" si="30"/>
        <v>0</v>
      </c>
      <c r="M834" s="14"/>
      <c r="N834" s="14"/>
      <c r="O834" s="14"/>
      <c r="P834" s="14"/>
      <c r="Q834" s="14"/>
      <c r="R834" s="201"/>
      <c r="S834" s="14"/>
      <c r="T834" s="14"/>
      <c r="U834" s="14"/>
      <c r="V834" s="203"/>
      <c r="W834" s="14"/>
      <c r="X834" s="14"/>
      <c r="Y834" s="14"/>
      <c r="Z834" s="14"/>
      <c r="AA834" s="14"/>
      <c r="AB834" s="14"/>
      <c r="AC834" s="14"/>
      <c r="AD834" s="14"/>
      <c r="AE834" s="14"/>
      <c r="AF834" s="14"/>
      <c r="AG834" s="14"/>
      <c r="AH834" s="14"/>
      <c r="AI834" s="20"/>
      <c r="AJ834" s="14"/>
      <c r="AK834" s="14"/>
      <c r="AL834" s="14"/>
      <c r="AM834" s="14"/>
      <c r="AN834" s="14"/>
      <c r="AO834" s="14"/>
      <c r="AP834" s="14"/>
      <c r="AQ834" s="14"/>
      <c r="AR834" s="14"/>
    </row>
    <row r="835" ht="22.5" customHeight="1">
      <c r="A835" s="204"/>
      <c r="B835" s="205"/>
      <c r="C835" s="20"/>
      <c r="D835" s="14"/>
      <c r="E835" s="201"/>
      <c r="F835" s="14"/>
      <c r="G835" s="154"/>
      <c r="H835" s="14"/>
      <c r="I835" s="155"/>
      <c r="J835" s="155"/>
      <c r="K835" s="202"/>
      <c r="L835" s="14" t="str">
        <f t="shared" si="30"/>
        <v>0</v>
      </c>
      <c r="M835" s="14"/>
      <c r="N835" s="14"/>
      <c r="O835" s="14"/>
      <c r="P835" s="14"/>
      <c r="Q835" s="14"/>
      <c r="R835" s="201"/>
      <c r="S835" s="14"/>
      <c r="T835" s="14"/>
      <c r="U835" s="14"/>
      <c r="V835" s="203"/>
      <c r="W835" s="14"/>
      <c r="X835" s="14"/>
      <c r="Y835" s="14"/>
      <c r="Z835" s="14"/>
      <c r="AA835" s="14"/>
      <c r="AB835" s="14"/>
      <c r="AC835" s="14"/>
      <c r="AD835" s="14"/>
      <c r="AE835" s="14"/>
      <c r="AF835" s="14"/>
      <c r="AG835" s="14"/>
      <c r="AH835" s="14"/>
      <c r="AI835" s="20"/>
      <c r="AJ835" s="14"/>
      <c r="AK835" s="14"/>
      <c r="AL835" s="14"/>
      <c r="AM835" s="14"/>
      <c r="AN835" s="14"/>
      <c r="AO835" s="14"/>
      <c r="AP835" s="14"/>
      <c r="AQ835" s="14"/>
      <c r="AR835" s="14"/>
    </row>
    <row r="836" ht="22.5" customHeight="1">
      <c r="A836" s="204"/>
      <c r="B836" s="200"/>
      <c r="C836" s="20"/>
      <c r="D836" s="14"/>
      <c r="E836" s="201"/>
      <c r="F836" s="14"/>
      <c r="G836" s="154"/>
      <c r="H836" s="14"/>
      <c r="I836" s="155"/>
      <c r="J836" s="155"/>
      <c r="K836" s="202"/>
      <c r="L836" s="14" t="str">
        <f t="shared" si="30"/>
        <v>0</v>
      </c>
      <c r="M836" s="14"/>
      <c r="N836" s="14"/>
      <c r="O836" s="14"/>
      <c r="P836" s="14"/>
      <c r="Q836" s="14"/>
      <c r="R836" s="201"/>
      <c r="S836" s="14"/>
      <c r="T836" s="14"/>
      <c r="U836" s="14"/>
      <c r="V836" s="203"/>
      <c r="W836" s="14"/>
      <c r="X836" s="14"/>
      <c r="Y836" s="14"/>
      <c r="Z836" s="14"/>
      <c r="AA836" s="14"/>
      <c r="AB836" s="14"/>
      <c r="AC836" s="14"/>
      <c r="AD836" s="14"/>
      <c r="AE836" s="14"/>
      <c r="AF836" s="14"/>
      <c r="AG836" s="14"/>
      <c r="AH836" s="14"/>
      <c r="AI836" s="20"/>
      <c r="AJ836" s="14"/>
      <c r="AK836" s="14"/>
      <c r="AL836" s="14"/>
      <c r="AM836" s="14"/>
      <c r="AN836" s="14"/>
      <c r="AO836" s="14"/>
      <c r="AP836" s="14"/>
      <c r="AQ836" s="14"/>
      <c r="AR836" s="14"/>
    </row>
    <row r="837" ht="22.5" customHeight="1">
      <c r="A837" s="204"/>
      <c r="B837" s="205"/>
      <c r="C837" s="20"/>
      <c r="D837" s="14"/>
      <c r="E837" s="201"/>
      <c r="F837" s="14"/>
      <c r="G837" s="154"/>
      <c r="H837" s="14"/>
      <c r="I837" s="155"/>
      <c r="J837" s="155"/>
      <c r="K837" s="202"/>
      <c r="L837" s="14" t="str">
        <f t="shared" si="30"/>
        <v>0</v>
      </c>
      <c r="M837" s="14"/>
      <c r="N837" s="14"/>
      <c r="O837" s="14"/>
      <c r="P837" s="14"/>
      <c r="Q837" s="14"/>
      <c r="R837" s="201"/>
      <c r="S837" s="14"/>
      <c r="T837" s="14"/>
      <c r="U837" s="14"/>
      <c r="V837" s="203"/>
      <c r="W837" s="14"/>
      <c r="X837" s="14"/>
      <c r="Y837" s="14"/>
      <c r="Z837" s="14"/>
      <c r="AA837" s="14"/>
      <c r="AB837" s="14"/>
      <c r="AC837" s="14"/>
      <c r="AD837" s="14"/>
      <c r="AE837" s="14"/>
      <c r="AF837" s="14"/>
      <c r="AG837" s="14"/>
      <c r="AH837" s="14"/>
      <c r="AI837" s="20"/>
      <c r="AJ837" s="14"/>
      <c r="AK837" s="14"/>
      <c r="AL837" s="14"/>
      <c r="AM837" s="14"/>
      <c r="AN837" s="14"/>
      <c r="AO837" s="14"/>
      <c r="AP837" s="14"/>
      <c r="AQ837" s="14"/>
      <c r="AR837" s="14"/>
    </row>
    <row r="838" ht="22.5" customHeight="1">
      <c r="A838" s="204"/>
      <c r="B838" s="200"/>
      <c r="C838" s="20"/>
      <c r="D838" s="14"/>
      <c r="E838" s="201"/>
      <c r="F838" s="14"/>
      <c r="G838" s="154"/>
      <c r="H838" s="14"/>
      <c r="I838" s="155"/>
      <c r="J838" s="155"/>
      <c r="K838" s="202"/>
      <c r="L838" s="14" t="str">
        <f t="shared" si="30"/>
        <v>0</v>
      </c>
      <c r="M838" s="14"/>
      <c r="N838" s="14"/>
      <c r="O838" s="14"/>
      <c r="P838" s="14"/>
      <c r="Q838" s="14"/>
      <c r="R838" s="201"/>
      <c r="S838" s="14"/>
      <c r="T838" s="14"/>
      <c r="U838" s="14"/>
      <c r="V838" s="203"/>
      <c r="W838" s="14"/>
      <c r="X838" s="14"/>
      <c r="Y838" s="14"/>
      <c r="Z838" s="14"/>
      <c r="AA838" s="14"/>
      <c r="AB838" s="14"/>
      <c r="AC838" s="14"/>
      <c r="AD838" s="14"/>
      <c r="AE838" s="14"/>
      <c r="AF838" s="14"/>
      <c r="AG838" s="14"/>
      <c r="AH838" s="14"/>
      <c r="AI838" s="20"/>
      <c r="AJ838" s="14"/>
      <c r="AK838" s="14"/>
      <c r="AL838" s="14"/>
      <c r="AM838" s="14"/>
      <c r="AN838" s="14"/>
      <c r="AO838" s="14"/>
      <c r="AP838" s="14"/>
      <c r="AQ838" s="14"/>
      <c r="AR838" s="14"/>
    </row>
    <row r="839" ht="22.5" customHeight="1">
      <c r="A839" s="204"/>
      <c r="B839" s="205"/>
      <c r="C839" s="20"/>
      <c r="D839" s="14"/>
      <c r="E839" s="201"/>
      <c r="F839" s="14"/>
      <c r="G839" s="154"/>
      <c r="H839" s="14"/>
      <c r="I839" s="155"/>
      <c r="J839" s="155"/>
      <c r="K839" s="202"/>
      <c r="L839" s="14" t="str">
        <f t="shared" si="30"/>
        <v>0</v>
      </c>
      <c r="M839" s="14"/>
      <c r="N839" s="14"/>
      <c r="O839" s="14"/>
      <c r="P839" s="14"/>
      <c r="Q839" s="14"/>
      <c r="R839" s="201"/>
      <c r="S839" s="14"/>
      <c r="T839" s="14"/>
      <c r="U839" s="14"/>
      <c r="V839" s="203"/>
      <c r="W839" s="14"/>
      <c r="X839" s="14"/>
      <c r="Y839" s="14"/>
      <c r="Z839" s="14"/>
      <c r="AA839" s="14"/>
      <c r="AB839" s="14"/>
      <c r="AC839" s="14"/>
      <c r="AD839" s="14"/>
      <c r="AE839" s="14"/>
      <c r="AF839" s="14"/>
      <c r="AG839" s="14"/>
      <c r="AH839" s="14"/>
      <c r="AI839" s="20"/>
      <c r="AJ839" s="14"/>
      <c r="AK839" s="14"/>
      <c r="AL839" s="14"/>
      <c r="AM839" s="14"/>
      <c r="AN839" s="14"/>
      <c r="AO839" s="14"/>
      <c r="AP839" s="14"/>
      <c r="AQ839" s="14"/>
      <c r="AR839" s="14"/>
    </row>
    <row r="840" ht="22.5" customHeight="1">
      <c r="A840" s="204"/>
      <c r="B840" s="200"/>
      <c r="C840" s="20"/>
      <c r="D840" s="14"/>
      <c r="E840" s="201"/>
      <c r="F840" s="14"/>
      <c r="G840" s="154"/>
      <c r="H840" s="14"/>
      <c r="I840" s="155"/>
      <c r="J840" s="155"/>
      <c r="K840" s="202"/>
      <c r="L840" s="14" t="str">
        <f t="shared" si="30"/>
        <v>0</v>
      </c>
      <c r="M840" s="14"/>
      <c r="N840" s="14"/>
      <c r="O840" s="14"/>
      <c r="P840" s="14"/>
      <c r="Q840" s="14"/>
      <c r="R840" s="201"/>
      <c r="S840" s="14"/>
      <c r="T840" s="14"/>
      <c r="U840" s="14"/>
      <c r="V840" s="203"/>
      <c r="W840" s="14"/>
      <c r="X840" s="14"/>
      <c r="Y840" s="14"/>
      <c r="Z840" s="14"/>
      <c r="AA840" s="14"/>
      <c r="AB840" s="14"/>
      <c r="AC840" s="14"/>
      <c r="AD840" s="14"/>
      <c r="AE840" s="14"/>
      <c r="AF840" s="14"/>
      <c r="AG840" s="14"/>
      <c r="AH840" s="14"/>
      <c r="AI840" s="20"/>
      <c r="AJ840" s="14"/>
      <c r="AK840" s="14"/>
      <c r="AL840" s="14"/>
      <c r="AM840" s="14"/>
      <c r="AN840" s="14"/>
      <c r="AO840" s="14"/>
      <c r="AP840" s="14"/>
      <c r="AQ840" s="14"/>
      <c r="AR840" s="14"/>
    </row>
    <row r="841" ht="22.5" customHeight="1">
      <c r="A841" s="204"/>
      <c r="B841" s="205"/>
      <c r="C841" s="20"/>
      <c r="D841" s="14"/>
      <c r="E841" s="201"/>
      <c r="F841" s="14"/>
      <c r="G841" s="154"/>
      <c r="H841" s="14"/>
      <c r="I841" s="155"/>
      <c r="J841" s="155"/>
      <c r="K841" s="202"/>
      <c r="L841" s="14" t="str">
        <f t="shared" si="30"/>
        <v>0</v>
      </c>
      <c r="M841" s="14"/>
      <c r="N841" s="14"/>
      <c r="O841" s="14"/>
      <c r="P841" s="14"/>
      <c r="Q841" s="14"/>
      <c r="R841" s="201"/>
      <c r="S841" s="14"/>
      <c r="T841" s="14"/>
      <c r="U841" s="14"/>
      <c r="V841" s="203"/>
      <c r="W841" s="14"/>
      <c r="X841" s="14"/>
      <c r="Y841" s="14"/>
      <c r="Z841" s="14"/>
      <c r="AA841" s="14"/>
      <c r="AB841" s="14"/>
      <c r="AC841" s="14"/>
      <c r="AD841" s="14"/>
      <c r="AE841" s="14"/>
      <c r="AF841" s="14"/>
      <c r="AG841" s="14"/>
      <c r="AH841" s="14"/>
      <c r="AI841" s="20"/>
      <c r="AJ841" s="14"/>
      <c r="AK841" s="14"/>
      <c r="AL841" s="14"/>
      <c r="AM841" s="14"/>
      <c r="AN841" s="14"/>
      <c r="AO841" s="14"/>
      <c r="AP841" s="14"/>
      <c r="AQ841" s="14"/>
      <c r="AR841" s="14"/>
    </row>
    <row r="842" ht="22.5" customHeight="1">
      <c r="A842" s="204"/>
      <c r="B842" s="200"/>
      <c r="C842" s="20"/>
      <c r="D842" s="14"/>
      <c r="E842" s="201"/>
      <c r="F842" s="14"/>
      <c r="G842" s="154"/>
      <c r="H842" s="14"/>
      <c r="I842" s="155"/>
      <c r="J842" s="155"/>
      <c r="K842" s="202"/>
      <c r="L842" s="14" t="str">
        <f t="shared" si="30"/>
        <v>0</v>
      </c>
      <c r="M842" s="14"/>
      <c r="N842" s="14"/>
      <c r="O842" s="14"/>
      <c r="P842" s="14"/>
      <c r="Q842" s="14"/>
      <c r="R842" s="201"/>
      <c r="S842" s="14"/>
      <c r="T842" s="14"/>
      <c r="U842" s="14"/>
      <c r="V842" s="203"/>
      <c r="W842" s="14"/>
      <c r="X842" s="14"/>
      <c r="Y842" s="14"/>
      <c r="Z842" s="14"/>
      <c r="AA842" s="14"/>
      <c r="AB842" s="14"/>
      <c r="AC842" s="14"/>
      <c r="AD842" s="14"/>
      <c r="AE842" s="14"/>
      <c r="AF842" s="14"/>
      <c r="AG842" s="14"/>
      <c r="AH842" s="14"/>
      <c r="AI842" s="20"/>
      <c r="AJ842" s="14"/>
      <c r="AK842" s="14"/>
      <c r="AL842" s="14"/>
      <c r="AM842" s="14"/>
      <c r="AN842" s="14"/>
      <c r="AO842" s="14"/>
      <c r="AP842" s="14"/>
      <c r="AQ842" s="14"/>
      <c r="AR842" s="14"/>
    </row>
    <row r="843" ht="22.5" customHeight="1">
      <c r="A843" s="204"/>
      <c r="B843" s="205"/>
      <c r="C843" s="20"/>
      <c r="D843" s="14"/>
      <c r="E843" s="201"/>
      <c r="F843" s="14"/>
      <c r="G843" s="154"/>
      <c r="H843" s="14"/>
      <c r="I843" s="155"/>
      <c r="J843" s="155"/>
      <c r="K843" s="202"/>
      <c r="L843" s="14" t="str">
        <f t="shared" si="30"/>
        <v>0</v>
      </c>
      <c r="M843" s="14"/>
      <c r="N843" s="14"/>
      <c r="O843" s="14"/>
      <c r="P843" s="14"/>
      <c r="Q843" s="14"/>
      <c r="R843" s="201"/>
      <c r="S843" s="14"/>
      <c r="T843" s="14"/>
      <c r="U843" s="14"/>
      <c r="V843" s="203"/>
      <c r="W843" s="14"/>
      <c r="X843" s="14"/>
      <c r="Y843" s="14"/>
      <c r="Z843" s="14"/>
      <c r="AA843" s="14"/>
      <c r="AB843" s="14"/>
      <c r="AC843" s="14"/>
      <c r="AD843" s="14"/>
      <c r="AE843" s="14"/>
      <c r="AF843" s="14"/>
      <c r="AG843" s="14"/>
      <c r="AH843" s="14"/>
      <c r="AI843" s="20"/>
      <c r="AJ843" s="14"/>
      <c r="AK843" s="14"/>
      <c r="AL843" s="14"/>
      <c r="AM843" s="14"/>
      <c r="AN843" s="14"/>
      <c r="AO843" s="14"/>
      <c r="AP843" s="14"/>
      <c r="AQ843" s="14"/>
      <c r="AR843" s="14"/>
    </row>
    <row r="844" ht="22.5" customHeight="1">
      <c r="A844" s="204"/>
      <c r="B844" s="200"/>
      <c r="C844" s="20"/>
      <c r="D844" s="14"/>
      <c r="E844" s="201"/>
      <c r="F844" s="14"/>
      <c r="G844" s="154"/>
      <c r="H844" s="14"/>
      <c r="I844" s="155"/>
      <c r="J844" s="155"/>
      <c r="K844" s="202"/>
      <c r="L844" s="14" t="str">
        <f t="shared" si="30"/>
        <v>0</v>
      </c>
      <c r="M844" s="14"/>
      <c r="N844" s="14"/>
      <c r="O844" s="14"/>
      <c r="P844" s="14"/>
      <c r="Q844" s="14"/>
      <c r="R844" s="201"/>
      <c r="S844" s="14"/>
      <c r="T844" s="14"/>
      <c r="U844" s="14"/>
      <c r="V844" s="203"/>
      <c r="W844" s="14"/>
      <c r="X844" s="14"/>
      <c r="Y844" s="14"/>
      <c r="Z844" s="14"/>
      <c r="AA844" s="14"/>
      <c r="AB844" s="14"/>
      <c r="AC844" s="14"/>
      <c r="AD844" s="14"/>
      <c r="AE844" s="14"/>
      <c r="AF844" s="14"/>
      <c r="AG844" s="14"/>
      <c r="AH844" s="14"/>
      <c r="AI844" s="20"/>
      <c r="AJ844" s="14"/>
      <c r="AK844" s="14"/>
      <c r="AL844" s="14"/>
      <c r="AM844" s="14"/>
      <c r="AN844" s="14"/>
      <c r="AO844" s="14"/>
      <c r="AP844" s="14"/>
      <c r="AQ844" s="14"/>
      <c r="AR844" s="14"/>
    </row>
    <row r="845" ht="22.5" customHeight="1">
      <c r="A845" s="204"/>
      <c r="B845" s="205"/>
      <c r="C845" s="20"/>
      <c r="D845" s="14"/>
      <c r="E845" s="201"/>
      <c r="F845" s="14"/>
      <c r="G845" s="154"/>
      <c r="H845" s="14"/>
      <c r="I845" s="155"/>
      <c r="J845" s="155"/>
      <c r="K845" s="202"/>
      <c r="L845" s="14" t="str">
        <f t="shared" si="30"/>
        <v>0</v>
      </c>
      <c r="M845" s="14"/>
      <c r="N845" s="14"/>
      <c r="O845" s="14"/>
      <c r="P845" s="14"/>
      <c r="Q845" s="14"/>
      <c r="R845" s="201"/>
      <c r="S845" s="14"/>
      <c r="T845" s="14"/>
      <c r="U845" s="14"/>
      <c r="V845" s="203"/>
      <c r="W845" s="14"/>
      <c r="X845" s="14"/>
      <c r="Y845" s="14"/>
      <c r="Z845" s="14"/>
      <c r="AA845" s="14"/>
      <c r="AB845" s="14"/>
      <c r="AC845" s="14"/>
      <c r="AD845" s="14"/>
      <c r="AE845" s="14"/>
      <c r="AF845" s="14"/>
      <c r="AG845" s="14"/>
      <c r="AH845" s="14"/>
      <c r="AI845" s="20"/>
      <c r="AJ845" s="14"/>
      <c r="AK845" s="14"/>
      <c r="AL845" s="14"/>
      <c r="AM845" s="14"/>
      <c r="AN845" s="14"/>
      <c r="AO845" s="14"/>
      <c r="AP845" s="14"/>
      <c r="AQ845" s="14"/>
      <c r="AR845" s="14"/>
    </row>
    <row r="846" ht="22.5" customHeight="1">
      <c r="A846" s="204"/>
      <c r="B846" s="200"/>
      <c r="C846" s="20"/>
      <c r="D846" s="14"/>
      <c r="E846" s="201"/>
      <c r="F846" s="14"/>
      <c r="G846" s="154"/>
      <c r="H846" s="14"/>
      <c r="I846" s="155"/>
      <c r="J846" s="155"/>
      <c r="K846" s="202"/>
      <c r="L846" s="14" t="str">
        <f t="shared" si="30"/>
        <v>0</v>
      </c>
      <c r="M846" s="14"/>
      <c r="N846" s="14"/>
      <c r="O846" s="14"/>
      <c r="P846" s="14"/>
      <c r="Q846" s="14"/>
      <c r="R846" s="201"/>
      <c r="S846" s="14"/>
      <c r="T846" s="14"/>
      <c r="U846" s="14"/>
      <c r="V846" s="203"/>
      <c r="W846" s="14"/>
      <c r="X846" s="14"/>
      <c r="Y846" s="14"/>
      <c r="Z846" s="14"/>
      <c r="AA846" s="14"/>
      <c r="AB846" s="14"/>
      <c r="AC846" s="14"/>
      <c r="AD846" s="14"/>
      <c r="AE846" s="14"/>
      <c r="AF846" s="14"/>
      <c r="AG846" s="14"/>
      <c r="AH846" s="14"/>
      <c r="AI846" s="20"/>
      <c r="AJ846" s="14"/>
      <c r="AK846" s="14"/>
      <c r="AL846" s="14"/>
      <c r="AM846" s="14"/>
      <c r="AN846" s="14"/>
      <c r="AO846" s="14"/>
      <c r="AP846" s="14"/>
      <c r="AQ846" s="14"/>
      <c r="AR846" s="14"/>
    </row>
    <row r="847" ht="22.5" customHeight="1">
      <c r="A847" s="204"/>
      <c r="B847" s="205"/>
      <c r="C847" s="20"/>
      <c r="D847" s="14"/>
      <c r="E847" s="201"/>
      <c r="F847" s="14"/>
      <c r="G847" s="154"/>
      <c r="H847" s="14"/>
      <c r="I847" s="155"/>
      <c r="J847" s="155"/>
      <c r="K847" s="202"/>
      <c r="L847" s="14" t="str">
        <f t="shared" si="30"/>
        <v>0</v>
      </c>
      <c r="M847" s="14"/>
      <c r="N847" s="14"/>
      <c r="O847" s="14"/>
      <c r="P847" s="14"/>
      <c r="Q847" s="14"/>
      <c r="R847" s="201"/>
      <c r="S847" s="14"/>
      <c r="T847" s="14"/>
      <c r="U847" s="14"/>
      <c r="V847" s="203"/>
      <c r="W847" s="14"/>
      <c r="X847" s="14"/>
      <c r="Y847" s="14"/>
      <c r="Z847" s="14"/>
      <c r="AA847" s="14"/>
      <c r="AB847" s="14"/>
      <c r="AC847" s="14"/>
      <c r="AD847" s="14"/>
      <c r="AE847" s="14"/>
      <c r="AF847" s="14"/>
      <c r="AG847" s="14"/>
      <c r="AH847" s="14"/>
      <c r="AI847" s="20"/>
      <c r="AJ847" s="14"/>
      <c r="AK847" s="14"/>
      <c r="AL847" s="14"/>
      <c r="AM847" s="14"/>
      <c r="AN847" s="14"/>
      <c r="AO847" s="14"/>
      <c r="AP847" s="14"/>
      <c r="AQ847" s="14"/>
      <c r="AR847" s="14"/>
    </row>
    <row r="848" ht="22.5" customHeight="1">
      <c r="A848" s="204"/>
      <c r="B848" s="200"/>
      <c r="C848" s="20"/>
      <c r="D848" s="14"/>
      <c r="E848" s="201"/>
      <c r="F848" s="14"/>
      <c r="G848" s="154"/>
      <c r="H848" s="14"/>
      <c r="I848" s="155"/>
      <c r="J848" s="155"/>
      <c r="K848" s="202"/>
      <c r="L848" s="14" t="str">
        <f t="shared" si="30"/>
        <v>0</v>
      </c>
      <c r="M848" s="14"/>
      <c r="N848" s="14"/>
      <c r="O848" s="14"/>
      <c r="P848" s="14"/>
      <c r="Q848" s="14"/>
      <c r="R848" s="201"/>
      <c r="S848" s="14"/>
      <c r="T848" s="14"/>
      <c r="U848" s="14"/>
      <c r="V848" s="203"/>
      <c r="W848" s="14"/>
      <c r="X848" s="14"/>
      <c r="Y848" s="14"/>
      <c r="Z848" s="14"/>
      <c r="AA848" s="14"/>
      <c r="AB848" s="14"/>
      <c r="AC848" s="14"/>
      <c r="AD848" s="14"/>
      <c r="AE848" s="14"/>
      <c r="AF848" s="14"/>
      <c r="AG848" s="14"/>
      <c r="AH848" s="14"/>
      <c r="AI848" s="20"/>
      <c r="AJ848" s="14"/>
      <c r="AK848" s="14"/>
      <c r="AL848" s="14"/>
      <c r="AM848" s="14"/>
      <c r="AN848" s="14"/>
      <c r="AO848" s="14"/>
      <c r="AP848" s="14"/>
      <c r="AQ848" s="14"/>
      <c r="AR848" s="14"/>
    </row>
    <row r="849" ht="22.5" customHeight="1">
      <c r="A849" s="204"/>
      <c r="B849" s="205"/>
      <c r="C849" s="20"/>
      <c r="D849" s="14"/>
      <c r="E849" s="201"/>
      <c r="F849" s="14"/>
      <c r="G849" s="154"/>
      <c r="H849" s="14"/>
      <c r="I849" s="155"/>
      <c r="J849" s="155"/>
      <c r="K849" s="202"/>
      <c r="L849" s="14" t="str">
        <f t="shared" si="30"/>
        <v>0</v>
      </c>
      <c r="M849" s="14"/>
      <c r="N849" s="14"/>
      <c r="O849" s="14"/>
      <c r="P849" s="14"/>
      <c r="Q849" s="14"/>
      <c r="R849" s="201"/>
      <c r="S849" s="14"/>
      <c r="T849" s="14"/>
      <c r="U849" s="14"/>
      <c r="V849" s="203"/>
      <c r="W849" s="14"/>
      <c r="X849" s="14"/>
      <c r="Y849" s="14"/>
      <c r="Z849" s="14"/>
      <c r="AA849" s="14"/>
      <c r="AB849" s="14"/>
      <c r="AC849" s="14"/>
      <c r="AD849" s="14"/>
      <c r="AE849" s="14"/>
      <c r="AF849" s="14"/>
      <c r="AG849" s="14"/>
      <c r="AH849" s="14"/>
      <c r="AI849" s="20"/>
      <c r="AJ849" s="14"/>
      <c r="AK849" s="14"/>
      <c r="AL849" s="14"/>
      <c r="AM849" s="14"/>
      <c r="AN849" s="14"/>
      <c r="AO849" s="14"/>
      <c r="AP849" s="14"/>
      <c r="AQ849" s="14"/>
      <c r="AR849" s="14"/>
    </row>
    <row r="850" ht="22.5" customHeight="1">
      <c r="A850" s="204"/>
      <c r="B850" s="200"/>
      <c r="C850" s="20"/>
      <c r="D850" s="14"/>
      <c r="E850" s="201"/>
      <c r="F850" s="14"/>
      <c r="G850" s="154"/>
      <c r="H850" s="14"/>
      <c r="I850" s="155"/>
      <c r="J850" s="155"/>
      <c r="K850" s="202"/>
      <c r="L850" s="14" t="str">
        <f t="shared" si="30"/>
        <v>0</v>
      </c>
      <c r="M850" s="14"/>
      <c r="N850" s="14"/>
      <c r="O850" s="14"/>
      <c r="P850" s="14"/>
      <c r="Q850" s="14"/>
      <c r="R850" s="201"/>
      <c r="S850" s="14"/>
      <c r="T850" s="14"/>
      <c r="U850" s="14"/>
      <c r="V850" s="203"/>
      <c r="W850" s="14"/>
      <c r="X850" s="14"/>
      <c r="Y850" s="14"/>
      <c r="Z850" s="14"/>
      <c r="AA850" s="14"/>
      <c r="AB850" s="14"/>
      <c r="AC850" s="14"/>
      <c r="AD850" s="14"/>
      <c r="AE850" s="14"/>
      <c r="AF850" s="14"/>
      <c r="AG850" s="14"/>
      <c r="AH850" s="14"/>
      <c r="AI850" s="20"/>
      <c r="AJ850" s="14"/>
      <c r="AK850" s="14"/>
      <c r="AL850" s="14"/>
      <c r="AM850" s="14"/>
      <c r="AN850" s="14"/>
      <c r="AO850" s="14"/>
      <c r="AP850" s="14"/>
      <c r="AQ850" s="14"/>
      <c r="AR850" s="14"/>
    </row>
    <row r="851" ht="22.5" customHeight="1">
      <c r="A851" s="204"/>
      <c r="B851" s="205"/>
      <c r="C851" s="20"/>
      <c r="D851" s="14"/>
      <c r="E851" s="201"/>
      <c r="F851" s="14"/>
      <c r="G851" s="154"/>
      <c r="H851" s="14"/>
      <c r="I851" s="155"/>
      <c r="J851" s="155"/>
      <c r="K851" s="202"/>
      <c r="L851" s="14" t="str">
        <f t="shared" si="30"/>
        <v>0</v>
      </c>
      <c r="M851" s="14"/>
      <c r="N851" s="14"/>
      <c r="O851" s="14"/>
      <c r="P851" s="14"/>
      <c r="Q851" s="14"/>
      <c r="R851" s="201"/>
      <c r="S851" s="14"/>
      <c r="T851" s="14"/>
      <c r="U851" s="14"/>
      <c r="V851" s="203"/>
      <c r="W851" s="14"/>
      <c r="X851" s="14"/>
      <c r="Y851" s="14"/>
      <c r="Z851" s="14"/>
      <c r="AA851" s="14"/>
      <c r="AB851" s="14"/>
      <c r="AC851" s="14"/>
      <c r="AD851" s="14"/>
      <c r="AE851" s="14"/>
      <c r="AF851" s="14"/>
      <c r="AG851" s="14"/>
      <c r="AH851" s="14"/>
      <c r="AI851" s="20"/>
      <c r="AJ851" s="14"/>
      <c r="AK851" s="14"/>
      <c r="AL851" s="14"/>
      <c r="AM851" s="14"/>
      <c r="AN851" s="14"/>
      <c r="AO851" s="14"/>
      <c r="AP851" s="14"/>
      <c r="AQ851" s="14"/>
      <c r="AR851" s="14"/>
    </row>
    <row r="852" ht="22.5" customHeight="1">
      <c r="A852" s="204"/>
      <c r="B852" s="200"/>
      <c r="C852" s="20"/>
      <c r="D852" s="14"/>
      <c r="E852" s="201"/>
      <c r="F852" s="14"/>
      <c r="G852" s="154"/>
      <c r="H852" s="14"/>
      <c r="I852" s="155"/>
      <c r="J852" s="155"/>
      <c r="K852" s="202"/>
      <c r="L852" s="14" t="str">
        <f t="shared" si="30"/>
        <v>0</v>
      </c>
      <c r="M852" s="14"/>
      <c r="N852" s="14"/>
      <c r="O852" s="14"/>
      <c r="P852" s="14"/>
      <c r="Q852" s="14"/>
      <c r="R852" s="201"/>
      <c r="S852" s="14"/>
      <c r="T852" s="14"/>
      <c r="U852" s="14"/>
      <c r="V852" s="203"/>
      <c r="W852" s="14"/>
      <c r="X852" s="14"/>
      <c r="Y852" s="14"/>
      <c r="Z852" s="14"/>
      <c r="AA852" s="14"/>
      <c r="AB852" s="14"/>
      <c r="AC852" s="14"/>
      <c r="AD852" s="14"/>
      <c r="AE852" s="14"/>
      <c r="AF852" s="14"/>
      <c r="AG852" s="14"/>
      <c r="AH852" s="14"/>
      <c r="AI852" s="20"/>
      <c r="AJ852" s="14"/>
      <c r="AK852" s="14"/>
      <c r="AL852" s="14"/>
      <c r="AM852" s="14"/>
      <c r="AN852" s="14"/>
      <c r="AO852" s="14"/>
      <c r="AP852" s="14"/>
      <c r="AQ852" s="14"/>
      <c r="AR852" s="14"/>
    </row>
    <row r="853" ht="22.5" customHeight="1">
      <c r="A853" s="204"/>
      <c r="B853" s="205"/>
      <c r="C853" s="20"/>
      <c r="D853" s="14"/>
      <c r="E853" s="201"/>
      <c r="F853" s="14"/>
      <c r="G853" s="154"/>
      <c r="H853" s="14"/>
      <c r="I853" s="155"/>
      <c r="J853" s="155"/>
      <c r="K853" s="202"/>
      <c r="L853" s="14" t="str">
        <f t="shared" si="30"/>
        <v>0</v>
      </c>
      <c r="M853" s="14"/>
      <c r="N853" s="14"/>
      <c r="O853" s="14"/>
      <c r="P853" s="14"/>
      <c r="Q853" s="14"/>
      <c r="R853" s="201"/>
      <c r="S853" s="14"/>
      <c r="T853" s="14"/>
      <c r="U853" s="14"/>
      <c r="V853" s="203"/>
      <c r="W853" s="14"/>
      <c r="X853" s="14"/>
      <c r="Y853" s="14"/>
      <c r="Z853" s="14"/>
      <c r="AA853" s="14"/>
      <c r="AB853" s="14"/>
      <c r="AC853" s="14"/>
      <c r="AD853" s="14"/>
      <c r="AE853" s="14"/>
      <c r="AF853" s="14"/>
      <c r="AG853" s="14"/>
      <c r="AH853" s="14"/>
      <c r="AI853" s="20"/>
      <c r="AJ853" s="14"/>
      <c r="AK853" s="14"/>
      <c r="AL853" s="14"/>
      <c r="AM853" s="14"/>
      <c r="AN853" s="14"/>
      <c r="AO853" s="14"/>
      <c r="AP853" s="14"/>
      <c r="AQ853" s="14"/>
      <c r="AR853" s="14"/>
    </row>
    <row r="854" ht="22.5" customHeight="1">
      <c r="A854" s="204"/>
      <c r="B854" s="200"/>
      <c r="C854" s="20"/>
      <c r="D854" s="14"/>
      <c r="E854" s="201"/>
      <c r="F854" s="14"/>
      <c r="G854" s="154"/>
      <c r="H854" s="14"/>
      <c r="I854" s="155"/>
      <c r="J854" s="155"/>
      <c r="K854" s="202"/>
      <c r="L854" s="14" t="str">
        <f t="shared" si="30"/>
        <v>0</v>
      </c>
      <c r="M854" s="14"/>
      <c r="N854" s="14"/>
      <c r="O854" s="14"/>
      <c r="P854" s="14"/>
      <c r="Q854" s="14"/>
      <c r="R854" s="201"/>
      <c r="S854" s="14"/>
      <c r="T854" s="14"/>
      <c r="U854" s="14"/>
      <c r="V854" s="203"/>
      <c r="W854" s="14"/>
      <c r="X854" s="14"/>
      <c r="Y854" s="14"/>
      <c r="Z854" s="14"/>
      <c r="AA854" s="14"/>
      <c r="AB854" s="14"/>
      <c r="AC854" s="14"/>
      <c r="AD854" s="14"/>
      <c r="AE854" s="14"/>
      <c r="AF854" s="14"/>
      <c r="AG854" s="14"/>
      <c r="AH854" s="14"/>
      <c r="AI854" s="20"/>
      <c r="AJ854" s="14"/>
      <c r="AK854" s="14"/>
      <c r="AL854" s="14"/>
      <c r="AM854" s="14"/>
      <c r="AN854" s="14"/>
      <c r="AO854" s="14"/>
      <c r="AP854" s="14"/>
      <c r="AQ854" s="14"/>
      <c r="AR854" s="14"/>
    </row>
    <row r="855" ht="22.5" customHeight="1">
      <c r="A855" s="204"/>
      <c r="B855" s="205"/>
      <c r="C855" s="20"/>
      <c r="D855" s="14"/>
      <c r="E855" s="201"/>
      <c r="F855" s="14"/>
      <c r="G855" s="154"/>
      <c r="H855" s="14"/>
      <c r="I855" s="155"/>
      <c r="J855" s="155"/>
      <c r="K855" s="202"/>
      <c r="L855" s="14" t="str">
        <f t="shared" si="30"/>
        <v>0</v>
      </c>
      <c r="M855" s="14"/>
      <c r="N855" s="14"/>
      <c r="O855" s="14"/>
      <c r="P855" s="14"/>
      <c r="Q855" s="14"/>
      <c r="R855" s="201"/>
      <c r="S855" s="14"/>
      <c r="T855" s="14"/>
      <c r="U855" s="14"/>
      <c r="V855" s="203"/>
      <c r="W855" s="14"/>
      <c r="X855" s="14"/>
      <c r="Y855" s="14"/>
      <c r="Z855" s="14"/>
      <c r="AA855" s="14"/>
      <c r="AB855" s="14"/>
      <c r="AC855" s="14"/>
      <c r="AD855" s="14"/>
      <c r="AE855" s="14"/>
      <c r="AF855" s="14"/>
      <c r="AG855" s="14"/>
      <c r="AH855" s="14"/>
      <c r="AI855" s="20"/>
      <c r="AJ855" s="14"/>
      <c r="AK855" s="14"/>
      <c r="AL855" s="14"/>
      <c r="AM855" s="14"/>
      <c r="AN855" s="14"/>
      <c r="AO855" s="14"/>
      <c r="AP855" s="14"/>
      <c r="AQ855" s="14"/>
      <c r="AR855" s="14"/>
    </row>
    <row r="856" ht="22.5" customHeight="1">
      <c r="A856" s="204"/>
      <c r="B856" s="200"/>
      <c r="C856" s="20"/>
      <c r="D856" s="14"/>
      <c r="E856" s="201"/>
      <c r="F856" s="14"/>
      <c r="G856" s="154"/>
      <c r="H856" s="14"/>
      <c r="I856" s="155"/>
      <c r="J856" s="155"/>
      <c r="K856" s="202"/>
      <c r="L856" s="14" t="str">
        <f t="shared" si="30"/>
        <v>0</v>
      </c>
      <c r="M856" s="14"/>
      <c r="N856" s="14"/>
      <c r="O856" s="14"/>
      <c r="P856" s="14"/>
      <c r="Q856" s="14"/>
      <c r="R856" s="201"/>
      <c r="S856" s="14"/>
      <c r="T856" s="14"/>
      <c r="U856" s="14"/>
      <c r="V856" s="203"/>
      <c r="W856" s="14"/>
      <c r="X856" s="14"/>
      <c r="Y856" s="14"/>
      <c r="Z856" s="14"/>
      <c r="AA856" s="14"/>
      <c r="AB856" s="14"/>
      <c r="AC856" s="14"/>
      <c r="AD856" s="14"/>
      <c r="AE856" s="14"/>
      <c r="AF856" s="14"/>
      <c r="AG856" s="14"/>
      <c r="AH856" s="14"/>
      <c r="AI856" s="20"/>
      <c r="AJ856" s="14"/>
      <c r="AK856" s="14"/>
      <c r="AL856" s="14"/>
      <c r="AM856" s="14"/>
      <c r="AN856" s="14"/>
      <c r="AO856" s="14"/>
      <c r="AP856" s="14"/>
      <c r="AQ856" s="14"/>
      <c r="AR856" s="14"/>
    </row>
    <row r="857" ht="22.5" customHeight="1">
      <c r="A857" s="204"/>
      <c r="B857" s="205"/>
      <c r="C857" s="20"/>
      <c r="D857" s="14"/>
      <c r="E857" s="201"/>
      <c r="F857" s="14"/>
      <c r="G857" s="154"/>
      <c r="H857" s="14"/>
      <c r="I857" s="155"/>
      <c r="J857" s="155"/>
      <c r="K857" s="202"/>
      <c r="L857" s="14" t="str">
        <f t="shared" si="30"/>
        <v>0</v>
      </c>
      <c r="M857" s="14"/>
      <c r="N857" s="14"/>
      <c r="O857" s="14"/>
      <c r="P857" s="14"/>
      <c r="Q857" s="14"/>
      <c r="R857" s="201"/>
      <c r="S857" s="14"/>
      <c r="T857" s="14"/>
      <c r="U857" s="14"/>
      <c r="V857" s="203"/>
      <c r="W857" s="14"/>
      <c r="X857" s="14"/>
      <c r="Y857" s="14"/>
      <c r="Z857" s="14"/>
      <c r="AA857" s="14"/>
      <c r="AB857" s="14"/>
      <c r="AC857" s="14"/>
      <c r="AD857" s="14"/>
      <c r="AE857" s="14"/>
      <c r="AF857" s="14"/>
      <c r="AG857" s="14"/>
      <c r="AH857" s="14"/>
      <c r="AI857" s="20"/>
      <c r="AJ857" s="14"/>
      <c r="AK857" s="14"/>
      <c r="AL857" s="14"/>
      <c r="AM857" s="14"/>
      <c r="AN857" s="14"/>
      <c r="AO857" s="14"/>
      <c r="AP857" s="14"/>
      <c r="AQ857" s="14"/>
      <c r="AR857" s="14"/>
    </row>
    <row r="858" ht="22.5" customHeight="1">
      <c r="A858" s="204"/>
      <c r="B858" s="200"/>
      <c r="C858" s="20"/>
      <c r="D858" s="14"/>
      <c r="E858" s="201"/>
      <c r="F858" s="14"/>
      <c r="G858" s="154"/>
      <c r="H858" s="14"/>
      <c r="I858" s="155"/>
      <c r="J858" s="155"/>
      <c r="K858" s="202"/>
      <c r="L858" s="14" t="str">
        <f t="shared" si="30"/>
        <v>0</v>
      </c>
      <c r="M858" s="14"/>
      <c r="N858" s="14"/>
      <c r="O858" s="14"/>
      <c r="P858" s="14"/>
      <c r="Q858" s="14"/>
      <c r="R858" s="201"/>
      <c r="S858" s="14"/>
      <c r="T858" s="14"/>
      <c r="U858" s="14"/>
      <c r="V858" s="203"/>
      <c r="W858" s="14"/>
      <c r="X858" s="14"/>
      <c r="Y858" s="14"/>
      <c r="Z858" s="14"/>
      <c r="AA858" s="14"/>
      <c r="AB858" s="14"/>
      <c r="AC858" s="14"/>
      <c r="AD858" s="14"/>
      <c r="AE858" s="14"/>
      <c r="AF858" s="14"/>
      <c r="AG858" s="14"/>
      <c r="AH858" s="14"/>
      <c r="AI858" s="20"/>
      <c r="AJ858" s="14"/>
      <c r="AK858" s="14"/>
      <c r="AL858" s="14"/>
      <c r="AM858" s="14"/>
      <c r="AN858" s="14"/>
      <c r="AO858" s="14"/>
      <c r="AP858" s="14"/>
      <c r="AQ858" s="14"/>
      <c r="AR858" s="14"/>
    </row>
    <row r="859" ht="22.5" customHeight="1">
      <c r="A859" s="204"/>
      <c r="B859" s="205"/>
      <c r="C859" s="20"/>
      <c r="D859" s="14"/>
      <c r="E859" s="201"/>
      <c r="F859" s="14"/>
      <c r="G859" s="154"/>
      <c r="H859" s="14"/>
      <c r="I859" s="155"/>
      <c r="J859" s="155"/>
      <c r="K859" s="202"/>
      <c r="L859" s="14" t="str">
        <f t="shared" si="30"/>
        <v>0</v>
      </c>
      <c r="M859" s="14"/>
      <c r="N859" s="14"/>
      <c r="O859" s="14"/>
      <c r="P859" s="14"/>
      <c r="Q859" s="14"/>
      <c r="R859" s="201"/>
      <c r="S859" s="14"/>
      <c r="T859" s="14"/>
      <c r="U859" s="14"/>
      <c r="V859" s="203"/>
      <c r="W859" s="14"/>
      <c r="X859" s="14"/>
      <c r="Y859" s="14"/>
      <c r="Z859" s="14"/>
      <c r="AA859" s="14"/>
      <c r="AB859" s="14"/>
      <c r="AC859" s="14"/>
      <c r="AD859" s="14"/>
      <c r="AE859" s="14"/>
      <c r="AF859" s="14"/>
      <c r="AG859" s="14"/>
      <c r="AH859" s="14"/>
      <c r="AI859" s="20"/>
      <c r="AJ859" s="14"/>
      <c r="AK859" s="14"/>
      <c r="AL859" s="14"/>
      <c r="AM859" s="14"/>
      <c r="AN859" s="14"/>
      <c r="AO859" s="14"/>
      <c r="AP859" s="14"/>
      <c r="AQ859" s="14"/>
      <c r="AR859" s="14"/>
    </row>
    <row r="860" ht="22.5" customHeight="1">
      <c r="A860" s="204"/>
      <c r="B860" s="200"/>
      <c r="C860" s="20"/>
      <c r="D860" s="14"/>
      <c r="E860" s="201"/>
      <c r="F860" s="14"/>
      <c r="G860" s="154"/>
      <c r="H860" s="14"/>
      <c r="I860" s="155"/>
      <c r="J860" s="155"/>
      <c r="K860" s="202"/>
      <c r="L860" s="14" t="str">
        <f t="shared" si="30"/>
        <v>0</v>
      </c>
      <c r="M860" s="14"/>
      <c r="N860" s="14"/>
      <c r="O860" s="14"/>
      <c r="P860" s="14"/>
      <c r="Q860" s="14"/>
      <c r="R860" s="201"/>
      <c r="S860" s="14"/>
      <c r="T860" s="14"/>
      <c r="U860" s="14"/>
      <c r="V860" s="203"/>
      <c r="W860" s="14"/>
      <c r="X860" s="14"/>
      <c r="Y860" s="14"/>
      <c r="Z860" s="14"/>
      <c r="AA860" s="14"/>
      <c r="AB860" s="14"/>
      <c r="AC860" s="14"/>
      <c r="AD860" s="14"/>
      <c r="AE860" s="14"/>
      <c r="AF860" s="14"/>
      <c r="AG860" s="14"/>
      <c r="AH860" s="14"/>
      <c r="AI860" s="20"/>
      <c r="AJ860" s="14"/>
      <c r="AK860" s="14"/>
      <c r="AL860" s="14"/>
      <c r="AM860" s="14"/>
      <c r="AN860" s="14"/>
      <c r="AO860" s="14"/>
      <c r="AP860" s="14"/>
      <c r="AQ860" s="14"/>
      <c r="AR860" s="14"/>
    </row>
    <row r="861" ht="22.5" customHeight="1">
      <c r="A861" s="204"/>
      <c r="B861" s="205"/>
      <c r="C861" s="20"/>
      <c r="D861" s="14"/>
      <c r="E861" s="201"/>
      <c r="F861" s="14"/>
      <c r="G861" s="154"/>
      <c r="H861" s="14"/>
      <c r="I861" s="155"/>
      <c r="J861" s="155"/>
      <c r="K861" s="202"/>
      <c r="L861" s="14" t="str">
        <f t="shared" si="30"/>
        <v>0</v>
      </c>
      <c r="M861" s="14"/>
      <c r="N861" s="14"/>
      <c r="O861" s="14"/>
      <c r="P861" s="14"/>
      <c r="Q861" s="14"/>
      <c r="R861" s="201"/>
      <c r="S861" s="14"/>
      <c r="T861" s="14"/>
      <c r="U861" s="14"/>
      <c r="V861" s="203"/>
      <c r="W861" s="14"/>
      <c r="X861" s="14"/>
      <c r="Y861" s="14"/>
      <c r="Z861" s="14"/>
      <c r="AA861" s="14"/>
      <c r="AB861" s="14"/>
      <c r="AC861" s="14"/>
      <c r="AD861" s="14"/>
      <c r="AE861" s="14"/>
      <c r="AF861" s="14"/>
      <c r="AG861" s="14"/>
      <c r="AH861" s="14"/>
      <c r="AI861" s="20"/>
      <c r="AJ861" s="14"/>
      <c r="AK861" s="14"/>
      <c r="AL861" s="14"/>
      <c r="AM861" s="14"/>
      <c r="AN861" s="14"/>
      <c r="AO861" s="14"/>
      <c r="AP861" s="14"/>
      <c r="AQ861" s="14"/>
      <c r="AR861" s="14"/>
    </row>
    <row r="862" ht="22.5" customHeight="1">
      <c r="A862" s="204"/>
      <c r="B862" s="200"/>
      <c r="C862" s="20"/>
      <c r="D862" s="14"/>
      <c r="E862" s="201"/>
      <c r="F862" s="14"/>
      <c r="G862" s="154"/>
      <c r="H862" s="14"/>
      <c r="I862" s="155"/>
      <c r="J862" s="155"/>
      <c r="K862" s="202"/>
      <c r="L862" s="14" t="str">
        <f t="shared" si="30"/>
        <v>0</v>
      </c>
      <c r="M862" s="14"/>
      <c r="N862" s="14"/>
      <c r="O862" s="14"/>
      <c r="P862" s="14"/>
      <c r="Q862" s="14"/>
      <c r="R862" s="201"/>
      <c r="S862" s="14"/>
      <c r="T862" s="14"/>
      <c r="U862" s="14"/>
      <c r="V862" s="203"/>
      <c r="W862" s="14"/>
      <c r="X862" s="14"/>
      <c r="Y862" s="14"/>
      <c r="Z862" s="14"/>
      <c r="AA862" s="14"/>
      <c r="AB862" s="14"/>
      <c r="AC862" s="14"/>
      <c r="AD862" s="14"/>
      <c r="AE862" s="14"/>
      <c r="AF862" s="14"/>
      <c r="AG862" s="14"/>
      <c r="AH862" s="14"/>
      <c r="AI862" s="20"/>
      <c r="AJ862" s="14"/>
      <c r="AK862" s="14"/>
      <c r="AL862" s="14"/>
      <c r="AM862" s="14"/>
      <c r="AN862" s="14"/>
      <c r="AO862" s="14"/>
      <c r="AP862" s="14"/>
      <c r="AQ862" s="14"/>
      <c r="AR862" s="14"/>
    </row>
    <row r="863" ht="22.5" customHeight="1">
      <c r="A863" s="204"/>
      <c r="B863" s="205"/>
      <c r="C863" s="20"/>
      <c r="D863" s="14"/>
      <c r="E863" s="201"/>
      <c r="F863" s="14"/>
      <c r="G863" s="154"/>
      <c r="H863" s="14"/>
      <c r="I863" s="155"/>
      <c r="J863" s="155"/>
      <c r="K863" s="202"/>
      <c r="L863" s="14" t="str">
        <f t="shared" si="30"/>
        <v>0</v>
      </c>
      <c r="M863" s="14"/>
      <c r="N863" s="14"/>
      <c r="O863" s="14"/>
      <c r="P863" s="14"/>
      <c r="Q863" s="14"/>
      <c r="R863" s="201"/>
      <c r="S863" s="14"/>
      <c r="T863" s="14"/>
      <c r="U863" s="14"/>
      <c r="V863" s="203"/>
      <c r="W863" s="14"/>
      <c r="X863" s="14"/>
      <c r="Y863" s="14"/>
      <c r="Z863" s="14"/>
      <c r="AA863" s="14"/>
      <c r="AB863" s="14"/>
      <c r="AC863" s="14"/>
      <c r="AD863" s="14"/>
      <c r="AE863" s="14"/>
      <c r="AF863" s="14"/>
      <c r="AG863" s="14"/>
      <c r="AH863" s="14"/>
      <c r="AI863" s="20"/>
      <c r="AJ863" s="14"/>
      <c r="AK863" s="14"/>
      <c r="AL863" s="14"/>
      <c r="AM863" s="14"/>
      <c r="AN863" s="14"/>
      <c r="AO863" s="14"/>
      <c r="AP863" s="14"/>
      <c r="AQ863" s="14"/>
      <c r="AR863" s="14"/>
    </row>
    <row r="864" ht="22.5" customHeight="1">
      <c r="A864" s="204"/>
      <c r="B864" s="200"/>
      <c r="C864" s="20"/>
      <c r="D864" s="14"/>
      <c r="E864" s="201"/>
      <c r="F864" s="14"/>
      <c r="G864" s="154"/>
      <c r="H864" s="14"/>
      <c r="I864" s="155"/>
      <c r="J864" s="155"/>
      <c r="K864" s="202"/>
      <c r="L864" s="14" t="str">
        <f t="shared" si="30"/>
        <v>0</v>
      </c>
      <c r="M864" s="14"/>
      <c r="N864" s="14"/>
      <c r="O864" s="14"/>
      <c r="P864" s="14"/>
      <c r="Q864" s="14"/>
      <c r="R864" s="201"/>
      <c r="S864" s="14"/>
      <c r="T864" s="14"/>
      <c r="U864" s="14"/>
      <c r="V864" s="203"/>
      <c r="W864" s="14"/>
      <c r="X864" s="14"/>
      <c r="Y864" s="14"/>
      <c r="Z864" s="14"/>
      <c r="AA864" s="14"/>
      <c r="AB864" s="14"/>
      <c r="AC864" s="14"/>
      <c r="AD864" s="14"/>
      <c r="AE864" s="14"/>
      <c r="AF864" s="14"/>
      <c r="AG864" s="14"/>
      <c r="AH864" s="14"/>
      <c r="AI864" s="20"/>
      <c r="AJ864" s="14"/>
      <c r="AK864" s="14"/>
      <c r="AL864" s="14"/>
      <c r="AM864" s="14"/>
      <c r="AN864" s="14"/>
      <c r="AO864" s="14"/>
      <c r="AP864" s="14"/>
      <c r="AQ864" s="14"/>
      <c r="AR864" s="14"/>
    </row>
    <row r="865" ht="22.5" customHeight="1">
      <c r="A865" s="204"/>
      <c r="B865" s="205"/>
      <c r="C865" s="20"/>
      <c r="D865" s="14"/>
      <c r="E865" s="201"/>
      <c r="F865" s="14"/>
      <c r="G865" s="154"/>
      <c r="H865" s="14"/>
      <c r="I865" s="155"/>
      <c r="J865" s="155"/>
      <c r="K865" s="202"/>
      <c r="L865" s="14" t="str">
        <f t="shared" si="30"/>
        <v>0</v>
      </c>
      <c r="M865" s="14"/>
      <c r="N865" s="14"/>
      <c r="O865" s="14"/>
      <c r="P865" s="14"/>
      <c r="Q865" s="14"/>
      <c r="R865" s="201"/>
      <c r="S865" s="14"/>
      <c r="T865" s="14"/>
      <c r="U865" s="14"/>
      <c r="V865" s="203"/>
      <c r="W865" s="14"/>
      <c r="X865" s="14"/>
      <c r="Y865" s="14"/>
      <c r="Z865" s="14"/>
      <c r="AA865" s="14"/>
      <c r="AB865" s="14"/>
      <c r="AC865" s="14"/>
      <c r="AD865" s="14"/>
      <c r="AE865" s="14"/>
      <c r="AF865" s="14"/>
      <c r="AG865" s="14"/>
      <c r="AH865" s="14"/>
      <c r="AI865" s="20"/>
      <c r="AJ865" s="14"/>
      <c r="AK865" s="14"/>
      <c r="AL865" s="14"/>
      <c r="AM865" s="14"/>
      <c r="AN865" s="14"/>
      <c r="AO865" s="14"/>
      <c r="AP865" s="14"/>
      <c r="AQ865" s="14"/>
      <c r="AR865" s="14"/>
    </row>
    <row r="866" ht="22.5" customHeight="1">
      <c r="A866" s="204"/>
      <c r="B866" s="200"/>
      <c r="C866" s="20"/>
      <c r="D866" s="14"/>
      <c r="E866" s="201"/>
      <c r="F866" s="14"/>
      <c r="G866" s="154"/>
      <c r="H866" s="14"/>
      <c r="I866" s="155"/>
      <c r="J866" s="155"/>
      <c r="K866" s="202"/>
      <c r="L866" s="14" t="str">
        <f t="shared" si="30"/>
        <v>0</v>
      </c>
      <c r="M866" s="14"/>
      <c r="N866" s="14"/>
      <c r="O866" s="14"/>
      <c r="P866" s="14"/>
      <c r="Q866" s="14"/>
      <c r="R866" s="201"/>
      <c r="S866" s="14"/>
      <c r="T866" s="14"/>
      <c r="U866" s="14"/>
      <c r="V866" s="203"/>
      <c r="W866" s="14"/>
      <c r="X866" s="14"/>
      <c r="Y866" s="14"/>
      <c r="Z866" s="14"/>
      <c r="AA866" s="14"/>
      <c r="AB866" s="14"/>
      <c r="AC866" s="14"/>
      <c r="AD866" s="14"/>
      <c r="AE866" s="14"/>
      <c r="AF866" s="14"/>
      <c r="AG866" s="14"/>
      <c r="AH866" s="14"/>
      <c r="AI866" s="20"/>
      <c r="AJ866" s="14"/>
      <c r="AK866" s="14"/>
      <c r="AL866" s="14"/>
      <c r="AM866" s="14"/>
      <c r="AN866" s="14"/>
      <c r="AO866" s="14"/>
      <c r="AP866" s="14"/>
      <c r="AQ866" s="14"/>
      <c r="AR866" s="14"/>
    </row>
    <row r="867" ht="22.5" customHeight="1">
      <c r="A867" s="204"/>
      <c r="B867" s="205"/>
      <c r="C867" s="20"/>
      <c r="D867" s="14"/>
      <c r="E867" s="201"/>
      <c r="F867" s="14"/>
      <c r="G867" s="154"/>
      <c r="H867" s="14"/>
      <c r="I867" s="155"/>
      <c r="J867" s="155"/>
      <c r="K867" s="202"/>
      <c r="L867" s="14" t="str">
        <f t="shared" si="30"/>
        <v>0</v>
      </c>
      <c r="M867" s="14"/>
      <c r="N867" s="14"/>
      <c r="O867" s="14"/>
      <c r="P867" s="14"/>
      <c r="Q867" s="14"/>
      <c r="R867" s="201"/>
      <c r="S867" s="14"/>
      <c r="T867" s="14"/>
      <c r="U867" s="14"/>
      <c r="V867" s="203"/>
      <c r="W867" s="14"/>
      <c r="X867" s="14"/>
      <c r="Y867" s="14"/>
      <c r="Z867" s="14"/>
      <c r="AA867" s="14"/>
      <c r="AB867" s="14"/>
      <c r="AC867" s="14"/>
      <c r="AD867" s="14"/>
      <c r="AE867" s="14"/>
      <c r="AF867" s="14"/>
      <c r="AG867" s="14"/>
      <c r="AH867" s="14"/>
      <c r="AI867" s="20"/>
      <c r="AJ867" s="14"/>
      <c r="AK867" s="14"/>
      <c r="AL867" s="14"/>
      <c r="AM867" s="14"/>
      <c r="AN867" s="14"/>
      <c r="AO867" s="14"/>
      <c r="AP867" s="14"/>
      <c r="AQ867" s="14"/>
      <c r="AR867" s="14"/>
    </row>
    <row r="868" ht="22.5" customHeight="1">
      <c r="A868" s="204"/>
      <c r="B868" s="200"/>
      <c r="C868" s="20"/>
      <c r="D868" s="14"/>
      <c r="E868" s="201"/>
      <c r="F868" s="14"/>
      <c r="G868" s="154"/>
      <c r="H868" s="14"/>
      <c r="I868" s="155"/>
      <c r="J868" s="155"/>
      <c r="K868" s="202"/>
      <c r="L868" s="14" t="str">
        <f t="shared" si="30"/>
        <v>0</v>
      </c>
      <c r="M868" s="14"/>
      <c r="N868" s="14"/>
      <c r="O868" s="14"/>
      <c r="P868" s="14"/>
      <c r="Q868" s="14"/>
      <c r="R868" s="201"/>
      <c r="S868" s="14"/>
      <c r="T868" s="14"/>
      <c r="U868" s="14"/>
      <c r="V868" s="203"/>
      <c r="W868" s="14"/>
      <c r="X868" s="14"/>
      <c r="Y868" s="14"/>
      <c r="Z868" s="14"/>
      <c r="AA868" s="14"/>
      <c r="AB868" s="14"/>
      <c r="AC868" s="14"/>
      <c r="AD868" s="14"/>
      <c r="AE868" s="14"/>
      <c r="AF868" s="14"/>
      <c r="AG868" s="14"/>
      <c r="AH868" s="14"/>
      <c r="AI868" s="20"/>
      <c r="AJ868" s="14"/>
      <c r="AK868" s="14"/>
      <c r="AL868" s="14"/>
      <c r="AM868" s="14"/>
      <c r="AN868" s="14"/>
      <c r="AO868" s="14"/>
      <c r="AP868" s="14"/>
      <c r="AQ868" s="14"/>
      <c r="AR868" s="14"/>
    </row>
    <row r="869" ht="22.5" customHeight="1">
      <c r="A869" s="204"/>
      <c r="B869" s="205"/>
      <c r="C869" s="20"/>
      <c r="D869" s="14"/>
      <c r="E869" s="201"/>
      <c r="F869" s="14"/>
      <c r="G869" s="154"/>
      <c r="H869" s="14"/>
      <c r="I869" s="155"/>
      <c r="J869" s="155"/>
      <c r="K869" s="202"/>
      <c r="L869" s="14" t="str">
        <f t="shared" si="30"/>
        <v>0</v>
      </c>
      <c r="M869" s="14"/>
      <c r="N869" s="14"/>
      <c r="O869" s="14"/>
      <c r="P869" s="14"/>
      <c r="Q869" s="14"/>
      <c r="R869" s="201"/>
      <c r="S869" s="14"/>
      <c r="T869" s="14"/>
      <c r="U869" s="14"/>
      <c r="V869" s="203"/>
      <c r="W869" s="14"/>
      <c r="X869" s="14"/>
      <c r="Y869" s="14"/>
      <c r="Z869" s="14"/>
      <c r="AA869" s="14"/>
      <c r="AB869" s="14"/>
      <c r="AC869" s="14"/>
      <c r="AD869" s="14"/>
      <c r="AE869" s="14"/>
      <c r="AF869" s="14"/>
      <c r="AG869" s="14"/>
      <c r="AH869" s="14"/>
      <c r="AI869" s="20"/>
      <c r="AJ869" s="14"/>
      <c r="AK869" s="14"/>
      <c r="AL869" s="14"/>
      <c r="AM869" s="14"/>
      <c r="AN869" s="14"/>
      <c r="AO869" s="14"/>
      <c r="AP869" s="14"/>
      <c r="AQ869" s="14"/>
      <c r="AR869" s="14"/>
    </row>
    <row r="870" ht="22.5" customHeight="1">
      <c r="A870" s="204"/>
      <c r="B870" s="200"/>
      <c r="C870" s="20"/>
      <c r="D870" s="14"/>
      <c r="E870" s="201"/>
      <c r="F870" s="14"/>
      <c r="G870" s="154"/>
      <c r="H870" s="14"/>
      <c r="I870" s="155"/>
      <c r="J870" s="155"/>
      <c r="K870" s="202"/>
      <c r="L870" s="14" t="str">
        <f t="shared" si="30"/>
        <v>0</v>
      </c>
      <c r="M870" s="14"/>
      <c r="N870" s="14"/>
      <c r="O870" s="14"/>
      <c r="P870" s="14"/>
      <c r="Q870" s="14"/>
      <c r="R870" s="201"/>
      <c r="S870" s="14"/>
      <c r="T870" s="14"/>
      <c r="U870" s="14"/>
      <c r="V870" s="203"/>
      <c r="W870" s="14"/>
      <c r="X870" s="14"/>
      <c r="Y870" s="14"/>
      <c r="Z870" s="14"/>
      <c r="AA870" s="14"/>
      <c r="AB870" s="14"/>
      <c r="AC870" s="14"/>
      <c r="AD870" s="14"/>
      <c r="AE870" s="14"/>
      <c r="AF870" s="14"/>
      <c r="AG870" s="14"/>
      <c r="AH870" s="14"/>
      <c r="AI870" s="20"/>
      <c r="AJ870" s="14"/>
      <c r="AK870" s="14"/>
      <c r="AL870" s="14"/>
      <c r="AM870" s="14"/>
      <c r="AN870" s="14"/>
      <c r="AO870" s="14"/>
      <c r="AP870" s="14"/>
      <c r="AQ870" s="14"/>
      <c r="AR870" s="14"/>
    </row>
    <row r="871" ht="22.5" customHeight="1">
      <c r="A871" s="204"/>
      <c r="B871" s="205"/>
      <c r="C871" s="20"/>
      <c r="D871" s="14"/>
      <c r="E871" s="201"/>
      <c r="F871" s="14"/>
      <c r="G871" s="154"/>
      <c r="H871" s="14"/>
      <c r="I871" s="155"/>
      <c r="J871" s="155"/>
      <c r="K871" s="202"/>
      <c r="L871" s="14" t="str">
        <f t="shared" si="30"/>
        <v>0</v>
      </c>
      <c r="M871" s="14"/>
      <c r="N871" s="14"/>
      <c r="O871" s="14"/>
      <c r="P871" s="14"/>
      <c r="Q871" s="14"/>
      <c r="R871" s="201"/>
      <c r="S871" s="14"/>
      <c r="T871" s="14"/>
      <c r="U871" s="14"/>
      <c r="V871" s="203"/>
      <c r="W871" s="14"/>
      <c r="X871" s="14"/>
      <c r="Y871" s="14"/>
      <c r="Z871" s="14"/>
      <c r="AA871" s="14"/>
      <c r="AB871" s="14"/>
      <c r="AC871" s="14"/>
      <c r="AD871" s="14"/>
      <c r="AE871" s="14"/>
      <c r="AF871" s="14"/>
      <c r="AG871" s="14"/>
      <c r="AH871" s="14"/>
      <c r="AI871" s="20"/>
      <c r="AJ871" s="14"/>
      <c r="AK871" s="14"/>
      <c r="AL871" s="14"/>
      <c r="AM871" s="14"/>
      <c r="AN871" s="14"/>
      <c r="AO871" s="14"/>
      <c r="AP871" s="14"/>
      <c r="AQ871" s="14"/>
      <c r="AR871" s="14"/>
    </row>
    <row r="872" ht="22.5" customHeight="1">
      <c r="A872" s="204"/>
      <c r="B872" s="200"/>
      <c r="C872" s="20"/>
      <c r="D872" s="14"/>
      <c r="E872" s="201"/>
      <c r="F872" s="14"/>
      <c r="G872" s="154"/>
      <c r="H872" s="14"/>
      <c r="I872" s="155"/>
      <c r="J872" s="155"/>
      <c r="K872" s="202"/>
      <c r="L872" s="14" t="str">
        <f t="shared" si="30"/>
        <v>0</v>
      </c>
      <c r="M872" s="14"/>
      <c r="N872" s="14"/>
      <c r="O872" s="14"/>
      <c r="P872" s="14"/>
      <c r="Q872" s="14"/>
      <c r="R872" s="201"/>
      <c r="S872" s="14"/>
      <c r="T872" s="14"/>
      <c r="U872" s="14"/>
      <c r="V872" s="203"/>
      <c r="W872" s="14"/>
      <c r="X872" s="14"/>
      <c r="Y872" s="14"/>
      <c r="Z872" s="14"/>
      <c r="AA872" s="14"/>
      <c r="AB872" s="14"/>
      <c r="AC872" s="14"/>
      <c r="AD872" s="14"/>
      <c r="AE872" s="14"/>
      <c r="AF872" s="14"/>
      <c r="AG872" s="14"/>
      <c r="AH872" s="14"/>
      <c r="AI872" s="20"/>
      <c r="AJ872" s="14"/>
      <c r="AK872" s="14"/>
      <c r="AL872" s="14"/>
      <c r="AM872" s="14"/>
      <c r="AN872" s="14"/>
      <c r="AO872" s="14"/>
      <c r="AP872" s="14"/>
      <c r="AQ872" s="14"/>
      <c r="AR872" s="14"/>
    </row>
    <row r="873" ht="22.5" customHeight="1">
      <c r="A873" s="204"/>
      <c r="B873" s="205"/>
      <c r="C873" s="20"/>
      <c r="D873" s="14"/>
      <c r="E873" s="201"/>
      <c r="F873" s="14"/>
      <c r="G873" s="154"/>
      <c r="H873" s="14"/>
      <c r="I873" s="155"/>
      <c r="J873" s="155"/>
      <c r="K873" s="202"/>
      <c r="L873" s="14" t="str">
        <f t="shared" si="30"/>
        <v>0</v>
      </c>
      <c r="M873" s="14"/>
      <c r="N873" s="14"/>
      <c r="O873" s="14"/>
      <c r="P873" s="14"/>
      <c r="Q873" s="14"/>
      <c r="R873" s="201"/>
      <c r="S873" s="14"/>
      <c r="T873" s="14"/>
      <c r="U873" s="14"/>
      <c r="V873" s="203"/>
      <c r="W873" s="14"/>
      <c r="X873" s="14"/>
      <c r="Y873" s="14"/>
      <c r="Z873" s="14"/>
      <c r="AA873" s="14"/>
      <c r="AB873" s="14"/>
      <c r="AC873" s="14"/>
      <c r="AD873" s="14"/>
      <c r="AE873" s="14"/>
      <c r="AF873" s="14"/>
      <c r="AG873" s="14"/>
      <c r="AH873" s="14"/>
      <c r="AI873" s="20"/>
      <c r="AJ873" s="14"/>
      <c r="AK873" s="14"/>
      <c r="AL873" s="14"/>
      <c r="AM873" s="14"/>
      <c r="AN873" s="14"/>
      <c r="AO873" s="14"/>
      <c r="AP873" s="14"/>
      <c r="AQ873" s="14"/>
      <c r="AR873" s="14"/>
    </row>
    <row r="874" ht="22.5" customHeight="1">
      <c r="A874" s="204"/>
      <c r="B874" s="200"/>
      <c r="C874" s="20"/>
      <c r="D874" s="14"/>
      <c r="E874" s="201"/>
      <c r="F874" s="14"/>
      <c r="G874" s="154"/>
      <c r="H874" s="14"/>
      <c r="I874" s="155"/>
      <c r="J874" s="155"/>
      <c r="K874" s="202"/>
      <c r="L874" s="14" t="str">
        <f t="shared" si="30"/>
        <v>0</v>
      </c>
      <c r="M874" s="14"/>
      <c r="N874" s="14"/>
      <c r="O874" s="14"/>
      <c r="P874" s="14"/>
      <c r="Q874" s="14"/>
      <c r="R874" s="201"/>
      <c r="S874" s="14"/>
      <c r="T874" s="14"/>
      <c r="U874" s="14"/>
      <c r="V874" s="203"/>
      <c r="W874" s="14"/>
      <c r="X874" s="14"/>
      <c r="Y874" s="14"/>
      <c r="Z874" s="14"/>
      <c r="AA874" s="14"/>
      <c r="AB874" s="14"/>
      <c r="AC874" s="14"/>
      <c r="AD874" s="14"/>
      <c r="AE874" s="14"/>
      <c r="AF874" s="14"/>
      <c r="AG874" s="14"/>
      <c r="AH874" s="14"/>
      <c r="AI874" s="20"/>
      <c r="AJ874" s="14"/>
      <c r="AK874" s="14"/>
      <c r="AL874" s="14"/>
      <c r="AM874" s="14"/>
      <c r="AN874" s="14"/>
      <c r="AO874" s="14"/>
      <c r="AP874" s="14"/>
      <c r="AQ874" s="14"/>
      <c r="AR874" s="14"/>
    </row>
    <row r="875" ht="22.5" customHeight="1">
      <c r="A875" s="204"/>
      <c r="B875" s="205"/>
      <c r="C875" s="20"/>
      <c r="D875" s="14"/>
      <c r="E875" s="201"/>
      <c r="F875" s="14"/>
      <c r="G875" s="154"/>
      <c r="H875" s="14"/>
      <c r="I875" s="155"/>
      <c r="J875" s="155"/>
      <c r="K875" s="202"/>
      <c r="L875" s="14" t="str">
        <f t="shared" si="30"/>
        <v>0</v>
      </c>
      <c r="M875" s="14"/>
      <c r="N875" s="14"/>
      <c r="O875" s="14"/>
      <c r="P875" s="14"/>
      <c r="Q875" s="14"/>
      <c r="R875" s="201"/>
      <c r="S875" s="14"/>
      <c r="T875" s="14"/>
      <c r="U875" s="14"/>
      <c r="V875" s="203"/>
      <c r="W875" s="14"/>
      <c r="X875" s="14"/>
      <c r="Y875" s="14"/>
      <c r="Z875" s="14"/>
      <c r="AA875" s="14"/>
      <c r="AB875" s="14"/>
      <c r="AC875" s="14"/>
      <c r="AD875" s="14"/>
      <c r="AE875" s="14"/>
      <c r="AF875" s="14"/>
      <c r="AG875" s="14"/>
      <c r="AH875" s="14"/>
      <c r="AI875" s="20"/>
      <c r="AJ875" s="14"/>
      <c r="AK875" s="14"/>
      <c r="AL875" s="14"/>
      <c r="AM875" s="14"/>
      <c r="AN875" s="14"/>
      <c r="AO875" s="14"/>
      <c r="AP875" s="14"/>
      <c r="AQ875" s="14"/>
      <c r="AR875" s="14"/>
    </row>
    <row r="876" ht="22.5" customHeight="1">
      <c r="A876" s="204"/>
      <c r="B876" s="200"/>
      <c r="C876" s="20"/>
      <c r="D876" s="14"/>
      <c r="E876" s="201"/>
      <c r="F876" s="14"/>
      <c r="G876" s="154"/>
      <c r="H876" s="14"/>
      <c r="I876" s="155"/>
      <c r="J876" s="155"/>
      <c r="K876" s="202"/>
      <c r="L876" s="14" t="str">
        <f t="shared" si="30"/>
        <v>0</v>
      </c>
      <c r="M876" s="14"/>
      <c r="N876" s="14"/>
      <c r="O876" s="14"/>
      <c r="P876" s="14"/>
      <c r="Q876" s="14"/>
      <c r="R876" s="201"/>
      <c r="S876" s="14"/>
      <c r="T876" s="14"/>
      <c r="U876" s="14"/>
      <c r="V876" s="203"/>
      <c r="W876" s="14"/>
      <c r="X876" s="14"/>
      <c r="Y876" s="14"/>
      <c r="Z876" s="14"/>
      <c r="AA876" s="14"/>
      <c r="AB876" s="14"/>
      <c r="AC876" s="14"/>
      <c r="AD876" s="14"/>
      <c r="AE876" s="14"/>
      <c r="AF876" s="14"/>
      <c r="AG876" s="14"/>
      <c r="AH876" s="14"/>
      <c r="AI876" s="20"/>
      <c r="AJ876" s="14"/>
      <c r="AK876" s="14"/>
      <c r="AL876" s="14"/>
      <c r="AM876" s="14"/>
      <c r="AN876" s="14"/>
      <c r="AO876" s="14"/>
      <c r="AP876" s="14"/>
      <c r="AQ876" s="14"/>
      <c r="AR876" s="14"/>
    </row>
    <row r="877" ht="22.5" customHeight="1">
      <c r="A877" s="204"/>
      <c r="B877" s="205"/>
      <c r="C877" s="20"/>
      <c r="D877" s="14"/>
      <c r="E877" s="201"/>
      <c r="F877" s="14"/>
      <c r="G877" s="154"/>
      <c r="H877" s="14"/>
      <c r="I877" s="155"/>
      <c r="J877" s="155"/>
      <c r="K877" s="202"/>
      <c r="L877" s="14" t="str">
        <f t="shared" si="30"/>
        <v>0</v>
      </c>
      <c r="M877" s="14"/>
      <c r="N877" s="14"/>
      <c r="O877" s="14"/>
      <c r="P877" s="14"/>
      <c r="Q877" s="14"/>
      <c r="R877" s="201"/>
      <c r="S877" s="14"/>
      <c r="T877" s="14"/>
      <c r="U877" s="14"/>
      <c r="V877" s="203"/>
      <c r="W877" s="14"/>
      <c r="X877" s="14"/>
      <c r="Y877" s="14"/>
      <c r="Z877" s="14"/>
      <c r="AA877" s="14"/>
      <c r="AB877" s="14"/>
      <c r="AC877" s="14"/>
      <c r="AD877" s="14"/>
      <c r="AE877" s="14"/>
      <c r="AF877" s="14"/>
      <c r="AG877" s="14"/>
      <c r="AH877" s="14"/>
      <c r="AI877" s="20"/>
      <c r="AJ877" s="14"/>
      <c r="AK877" s="14"/>
      <c r="AL877" s="14"/>
      <c r="AM877" s="14"/>
      <c r="AN877" s="14"/>
      <c r="AO877" s="14"/>
      <c r="AP877" s="14"/>
      <c r="AQ877" s="14"/>
      <c r="AR877" s="14"/>
    </row>
    <row r="878" ht="22.5" customHeight="1">
      <c r="A878" s="204"/>
      <c r="B878" s="200"/>
      <c r="C878" s="20"/>
      <c r="D878" s="14"/>
      <c r="E878" s="201"/>
      <c r="F878" s="14"/>
      <c r="G878" s="154"/>
      <c r="H878" s="14"/>
      <c r="I878" s="155"/>
      <c r="J878" s="155"/>
      <c r="K878" s="202"/>
      <c r="L878" s="14" t="str">
        <f t="shared" si="30"/>
        <v>0</v>
      </c>
      <c r="M878" s="14"/>
      <c r="N878" s="14"/>
      <c r="O878" s="14"/>
      <c r="P878" s="14"/>
      <c r="Q878" s="14"/>
      <c r="R878" s="201"/>
      <c r="S878" s="14"/>
      <c r="T878" s="14"/>
      <c r="U878" s="14"/>
      <c r="V878" s="203"/>
      <c r="W878" s="14"/>
      <c r="X878" s="14"/>
      <c r="Y878" s="14"/>
      <c r="Z878" s="14"/>
      <c r="AA878" s="14"/>
      <c r="AB878" s="14"/>
      <c r="AC878" s="14"/>
      <c r="AD878" s="14"/>
      <c r="AE878" s="14"/>
      <c r="AF878" s="14"/>
      <c r="AG878" s="14"/>
      <c r="AH878" s="14"/>
      <c r="AI878" s="20"/>
      <c r="AJ878" s="14"/>
      <c r="AK878" s="14"/>
      <c r="AL878" s="14"/>
      <c r="AM878" s="14"/>
      <c r="AN878" s="14"/>
      <c r="AO878" s="14"/>
      <c r="AP878" s="14"/>
      <c r="AQ878" s="14"/>
      <c r="AR878" s="14"/>
    </row>
    <row r="879" ht="22.5" customHeight="1">
      <c r="A879" s="204"/>
      <c r="B879" s="205"/>
      <c r="C879" s="20"/>
      <c r="D879" s="14"/>
      <c r="E879" s="201"/>
      <c r="F879" s="14"/>
      <c r="G879" s="154"/>
      <c r="H879" s="14"/>
      <c r="I879" s="155"/>
      <c r="J879" s="155"/>
      <c r="K879" s="202"/>
      <c r="L879" s="14" t="str">
        <f t="shared" si="30"/>
        <v>0</v>
      </c>
      <c r="M879" s="14"/>
      <c r="N879" s="14"/>
      <c r="O879" s="14"/>
      <c r="P879" s="14"/>
      <c r="Q879" s="14"/>
      <c r="R879" s="201"/>
      <c r="S879" s="14"/>
      <c r="T879" s="14"/>
      <c r="U879" s="14"/>
      <c r="V879" s="203"/>
      <c r="W879" s="14"/>
      <c r="X879" s="14"/>
      <c r="Y879" s="14"/>
      <c r="Z879" s="14"/>
      <c r="AA879" s="14"/>
      <c r="AB879" s="14"/>
      <c r="AC879" s="14"/>
      <c r="AD879" s="14"/>
      <c r="AE879" s="14"/>
      <c r="AF879" s="14"/>
      <c r="AG879" s="14"/>
      <c r="AH879" s="14"/>
      <c r="AI879" s="20"/>
      <c r="AJ879" s="14"/>
      <c r="AK879" s="14"/>
      <c r="AL879" s="14"/>
      <c r="AM879" s="14"/>
      <c r="AN879" s="14"/>
      <c r="AO879" s="14"/>
      <c r="AP879" s="14"/>
      <c r="AQ879" s="14"/>
      <c r="AR879" s="14"/>
    </row>
    <row r="880" ht="22.5" customHeight="1">
      <c r="A880" s="204"/>
      <c r="B880" s="200"/>
      <c r="C880" s="20"/>
      <c r="D880" s="14"/>
      <c r="E880" s="201"/>
      <c r="F880" s="14"/>
      <c r="G880" s="154"/>
      <c r="H880" s="14"/>
      <c r="I880" s="155"/>
      <c r="J880" s="155"/>
      <c r="K880" s="202"/>
      <c r="L880" s="14" t="str">
        <f t="shared" si="30"/>
        <v>0</v>
      </c>
      <c r="M880" s="14"/>
      <c r="N880" s="14"/>
      <c r="O880" s="14"/>
      <c r="P880" s="14"/>
      <c r="Q880" s="14"/>
      <c r="R880" s="201"/>
      <c r="S880" s="14"/>
      <c r="T880" s="14"/>
      <c r="U880" s="14"/>
      <c r="V880" s="203"/>
      <c r="W880" s="14"/>
      <c r="X880" s="14"/>
      <c r="Y880" s="14"/>
      <c r="Z880" s="14"/>
      <c r="AA880" s="14"/>
      <c r="AB880" s="14"/>
      <c r="AC880" s="14"/>
      <c r="AD880" s="14"/>
      <c r="AE880" s="14"/>
      <c r="AF880" s="14"/>
      <c r="AG880" s="14"/>
      <c r="AH880" s="14"/>
      <c r="AI880" s="20"/>
      <c r="AJ880" s="14"/>
      <c r="AK880" s="14"/>
      <c r="AL880" s="14"/>
      <c r="AM880" s="14"/>
      <c r="AN880" s="14"/>
      <c r="AO880" s="14"/>
      <c r="AP880" s="14"/>
      <c r="AQ880" s="14"/>
      <c r="AR880" s="14"/>
    </row>
    <row r="881" ht="22.5" customHeight="1">
      <c r="A881" s="204"/>
      <c r="B881" s="205"/>
      <c r="C881" s="20"/>
      <c r="D881" s="14"/>
      <c r="E881" s="201"/>
      <c r="F881" s="14"/>
      <c r="G881" s="154"/>
      <c r="H881" s="14"/>
      <c r="I881" s="155"/>
      <c r="J881" s="155"/>
      <c r="K881" s="202"/>
      <c r="L881" s="14" t="str">
        <f t="shared" si="30"/>
        <v>0</v>
      </c>
      <c r="M881" s="14"/>
      <c r="N881" s="14"/>
      <c r="O881" s="14"/>
      <c r="P881" s="14"/>
      <c r="Q881" s="14"/>
      <c r="R881" s="201"/>
      <c r="S881" s="14"/>
      <c r="T881" s="14"/>
      <c r="U881" s="14"/>
      <c r="V881" s="203"/>
      <c r="W881" s="14"/>
      <c r="X881" s="14"/>
      <c r="Y881" s="14"/>
      <c r="Z881" s="14"/>
      <c r="AA881" s="14"/>
      <c r="AB881" s="14"/>
      <c r="AC881" s="14"/>
      <c r="AD881" s="14"/>
      <c r="AE881" s="14"/>
      <c r="AF881" s="14"/>
      <c r="AG881" s="14"/>
      <c r="AH881" s="14"/>
      <c r="AI881" s="20"/>
      <c r="AJ881" s="14"/>
      <c r="AK881" s="14"/>
      <c r="AL881" s="14"/>
      <c r="AM881" s="14"/>
      <c r="AN881" s="14"/>
      <c r="AO881" s="14"/>
      <c r="AP881" s="14"/>
      <c r="AQ881" s="14"/>
      <c r="AR881" s="14"/>
    </row>
    <row r="882" ht="22.5" customHeight="1">
      <c r="A882" s="204"/>
      <c r="B882" s="200"/>
      <c r="C882" s="20"/>
      <c r="D882" s="14"/>
      <c r="E882" s="201"/>
      <c r="F882" s="14"/>
      <c r="G882" s="154"/>
      <c r="H882" s="14"/>
      <c r="I882" s="155"/>
      <c r="J882" s="155"/>
      <c r="K882" s="202"/>
      <c r="L882" s="14" t="str">
        <f t="shared" si="30"/>
        <v>0</v>
      </c>
      <c r="M882" s="14"/>
      <c r="N882" s="14"/>
      <c r="O882" s="14"/>
      <c r="P882" s="14"/>
      <c r="Q882" s="14"/>
      <c r="R882" s="201"/>
      <c r="S882" s="14"/>
      <c r="T882" s="14"/>
      <c r="U882" s="14"/>
      <c r="V882" s="203"/>
      <c r="W882" s="14"/>
      <c r="X882" s="14"/>
      <c r="Y882" s="14"/>
      <c r="Z882" s="14"/>
      <c r="AA882" s="14"/>
      <c r="AB882" s="14"/>
      <c r="AC882" s="14"/>
      <c r="AD882" s="14"/>
      <c r="AE882" s="14"/>
      <c r="AF882" s="14"/>
      <c r="AG882" s="14"/>
      <c r="AH882" s="14"/>
      <c r="AI882" s="20"/>
      <c r="AJ882" s="14"/>
      <c r="AK882" s="14"/>
      <c r="AL882" s="14"/>
      <c r="AM882" s="14"/>
      <c r="AN882" s="14"/>
      <c r="AO882" s="14"/>
      <c r="AP882" s="14"/>
      <c r="AQ882" s="14"/>
      <c r="AR882" s="14"/>
    </row>
    <row r="883" ht="22.5" customHeight="1">
      <c r="A883" s="204"/>
      <c r="B883" s="205"/>
      <c r="C883" s="20"/>
      <c r="D883" s="14"/>
      <c r="E883" s="201"/>
      <c r="F883" s="14"/>
      <c r="G883" s="154"/>
      <c r="H883" s="14"/>
      <c r="I883" s="155"/>
      <c r="J883" s="155"/>
      <c r="K883" s="202"/>
      <c r="L883" s="14" t="str">
        <f t="shared" si="30"/>
        <v>0</v>
      </c>
      <c r="M883" s="14"/>
      <c r="N883" s="14"/>
      <c r="O883" s="14"/>
      <c r="P883" s="14"/>
      <c r="Q883" s="14"/>
      <c r="R883" s="201"/>
      <c r="S883" s="14"/>
      <c r="T883" s="14"/>
      <c r="U883" s="14"/>
      <c r="V883" s="203"/>
      <c r="W883" s="14"/>
      <c r="X883" s="14"/>
      <c r="Y883" s="14"/>
      <c r="Z883" s="14"/>
      <c r="AA883" s="14"/>
      <c r="AB883" s="14"/>
      <c r="AC883" s="14"/>
      <c r="AD883" s="14"/>
      <c r="AE883" s="14"/>
      <c r="AF883" s="14"/>
      <c r="AG883" s="14"/>
      <c r="AH883" s="14"/>
      <c r="AI883" s="20"/>
      <c r="AJ883" s="14"/>
      <c r="AK883" s="14"/>
      <c r="AL883" s="14"/>
      <c r="AM883" s="14"/>
      <c r="AN883" s="14"/>
      <c r="AO883" s="14"/>
      <c r="AP883" s="14"/>
      <c r="AQ883" s="14"/>
      <c r="AR883" s="14"/>
    </row>
    <row r="884" ht="22.5" customHeight="1">
      <c r="A884" s="204"/>
      <c r="B884" s="200"/>
      <c r="C884" s="20"/>
      <c r="D884" s="14"/>
      <c r="E884" s="201"/>
      <c r="F884" s="14"/>
      <c r="G884" s="154"/>
      <c r="H884" s="14"/>
      <c r="I884" s="155"/>
      <c r="J884" s="155"/>
      <c r="K884" s="202"/>
      <c r="L884" s="14" t="str">
        <f t="shared" si="30"/>
        <v>0</v>
      </c>
      <c r="M884" s="14"/>
      <c r="N884" s="14"/>
      <c r="O884" s="14"/>
      <c r="P884" s="14"/>
      <c r="Q884" s="14"/>
      <c r="R884" s="201"/>
      <c r="S884" s="14"/>
      <c r="T884" s="14"/>
      <c r="U884" s="14"/>
      <c r="V884" s="203"/>
      <c r="W884" s="14"/>
      <c r="X884" s="14"/>
      <c r="Y884" s="14"/>
      <c r="Z884" s="14"/>
      <c r="AA884" s="14"/>
      <c r="AB884" s="14"/>
      <c r="AC884" s="14"/>
      <c r="AD884" s="14"/>
      <c r="AE884" s="14"/>
      <c r="AF884" s="14"/>
      <c r="AG884" s="14"/>
      <c r="AH884" s="14"/>
      <c r="AI884" s="20"/>
      <c r="AJ884" s="14"/>
      <c r="AK884" s="14"/>
      <c r="AL884" s="14"/>
      <c r="AM884" s="14"/>
      <c r="AN884" s="14"/>
      <c r="AO884" s="14"/>
      <c r="AP884" s="14"/>
      <c r="AQ884" s="14"/>
      <c r="AR884" s="14"/>
    </row>
    <row r="885" ht="22.5" customHeight="1">
      <c r="A885" s="204"/>
      <c r="B885" s="205"/>
      <c r="C885" s="20"/>
      <c r="D885" s="14"/>
      <c r="E885" s="201"/>
      <c r="F885" s="14"/>
      <c r="G885" s="154"/>
      <c r="H885" s="14"/>
      <c r="I885" s="155"/>
      <c r="J885" s="155"/>
      <c r="K885" s="202"/>
      <c r="L885" s="14" t="str">
        <f t="shared" si="30"/>
        <v>0</v>
      </c>
      <c r="M885" s="14"/>
      <c r="N885" s="14"/>
      <c r="O885" s="14"/>
      <c r="P885" s="14"/>
      <c r="Q885" s="14"/>
      <c r="R885" s="201"/>
      <c r="S885" s="14"/>
      <c r="T885" s="14"/>
      <c r="U885" s="14"/>
      <c r="V885" s="203"/>
      <c r="W885" s="14"/>
      <c r="X885" s="14"/>
      <c r="Y885" s="14"/>
      <c r="Z885" s="14"/>
      <c r="AA885" s="14"/>
      <c r="AB885" s="14"/>
      <c r="AC885" s="14"/>
      <c r="AD885" s="14"/>
      <c r="AE885" s="14"/>
      <c r="AF885" s="14"/>
      <c r="AG885" s="14"/>
      <c r="AH885" s="14"/>
      <c r="AI885" s="20"/>
      <c r="AJ885" s="14"/>
      <c r="AK885" s="14"/>
      <c r="AL885" s="14"/>
      <c r="AM885" s="14"/>
      <c r="AN885" s="14"/>
      <c r="AO885" s="14"/>
      <c r="AP885" s="14"/>
      <c r="AQ885" s="14"/>
      <c r="AR885" s="14"/>
    </row>
    <row r="886" ht="22.5" customHeight="1">
      <c r="A886" s="204"/>
      <c r="B886" s="200"/>
      <c r="C886" s="20"/>
      <c r="D886" s="14"/>
      <c r="E886" s="201"/>
      <c r="F886" s="14"/>
      <c r="G886" s="154"/>
      <c r="H886" s="14"/>
      <c r="I886" s="155"/>
      <c r="J886" s="155"/>
      <c r="K886" s="202"/>
      <c r="L886" s="14" t="str">
        <f t="shared" si="30"/>
        <v>0</v>
      </c>
      <c r="M886" s="14"/>
      <c r="N886" s="14"/>
      <c r="O886" s="14"/>
      <c r="P886" s="14"/>
      <c r="Q886" s="14"/>
      <c r="R886" s="201"/>
      <c r="S886" s="14"/>
      <c r="T886" s="14"/>
      <c r="U886" s="14"/>
      <c r="V886" s="203"/>
      <c r="W886" s="14"/>
      <c r="X886" s="14"/>
      <c r="Y886" s="14"/>
      <c r="Z886" s="14"/>
      <c r="AA886" s="14"/>
      <c r="AB886" s="14"/>
      <c r="AC886" s="14"/>
      <c r="AD886" s="14"/>
      <c r="AE886" s="14"/>
      <c r="AF886" s="14"/>
      <c r="AG886" s="14"/>
      <c r="AH886" s="14"/>
      <c r="AI886" s="20"/>
      <c r="AJ886" s="14"/>
      <c r="AK886" s="14"/>
      <c r="AL886" s="14"/>
      <c r="AM886" s="14"/>
      <c r="AN886" s="14"/>
      <c r="AO886" s="14"/>
      <c r="AP886" s="14"/>
      <c r="AQ886" s="14"/>
      <c r="AR886" s="14"/>
    </row>
    <row r="887" ht="22.5" customHeight="1">
      <c r="A887" s="204"/>
      <c r="B887" s="205"/>
      <c r="C887" s="20"/>
      <c r="D887" s="14"/>
      <c r="E887" s="201"/>
      <c r="F887" s="14"/>
      <c r="G887" s="154"/>
      <c r="H887" s="14"/>
      <c r="I887" s="155"/>
      <c r="J887" s="155"/>
      <c r="K887" s="202"/>
      <c r="L887" s="14" t="str">
        <f t="shared" si="30"/>
        <v>0</v>
      </c>
      <c r="M887" s="14"/>
      <c r="N887" s="14"/>
      <c r="O887" s="14"/>
      <c r="P887" s="14"/>
      <c r="Q887" s="14"/>
      <c r="R887" s="201"/>
      <c r="S887" s="14"/>
      <c r="T887" s="14"/>
      <c r="U887" s="14"/>
      <c r="V887" s="203"/>
      <c r="W887" s="14"/>
      <c r="X887" s="14"/>
      <c r="Y887" s="14"/>
      <c r="Z887" s="14"/>
      <c r="AA887" s="14"/>
      <c r="AB887" s="14"/>
      <c r="AC887" s="14"/>
      <c r="AD887" s="14"/>
      <c r="AE887" s="14"/>
      <c r="AF887" s="14"/>
      <c r="AG887" s="14"/>
      <c r="AH887" s="14"/>
      <c r="AI887" s="20"/>
      <c r="AJ887" s="14"/>
      <c r="AK887" s="14"/>
      <c r="AL887" s="14"/>
      <c r="AM887" s="14"/>
      <c r="AN887" s="14"/>
      <c r="AO887" s="14"/>
      <c r="AP887" s="14"/>
      <c r="AQ887" s="14"/>
      <c r="AR887" s="14"/>
    </row>
    <row r="888" ht="22.5" customHeight="1">
      <c r="A888" s="204"/>
      <c r="B888" s="200"/>
      <c r="C888" s="20"/>
      <c r="D888" s="14"/>
      <c r="E888" s="201"/>
      <c r="F888" s="14"/>
      <c r="G888" s="154"/>
      <c r="H888" s="14"/>
      <c r="I888" s="155"/>
      <c r="J888" s="155"/>
      <c r="K888" s="202"/>
      <c r="L888" s="14" t="str">
        <f t="shared" si="30"/>
        <v>0</v>
      </c>
      <c r="M888" s="14"/>
      <c r="N888" s="14"/>
      <c r="O888" s="14"/>
      <c r="P888" s="14"/>
      <c r="Q888" s="14"/>
      <c r="R888" s="201"/>
      <c r="S888" s="14"/>
      <c r="T888" s="14"/>
      <c r="U888" s="14"/>
      <c r="V888" s="203"/>
      <c r="W888" s="14"/>
      <c r="X888" s="14"/>
      <c r="Y888" s="14"/>
      <c r="Z888" s="14"/>
      <c r="AA888" s="14"/>
      <c r="AB888" s="14"/>
      <c r="AC888" s="14"/>
      <c r="AD888" s="14"/>
      <c r="AE888" s="14"/>
      <c r="AF888" s="14"/>
      <c r="AG888" s="14"/>
      <c r="AH888" s="14"/>
      <c r="AI888" s="20"/>
      <c r="AJ888" s="14"/>
      <c r="AK888" s="14"/>
      <c r="AL888" s="14"/>
      <c r="AM888" s="14"/>
      <c r="AN888" s="14"/>
      <c r="AO888" s="14"/>
      <c r="AP888" s="14"/>
      <c r="AQ888" s="14"/>
      <c r="AR888" s="14"/>
    </row>
    <row r="889" ht="22.5" customHeight="1">
      <c r="A889" s="204"/>
      <c r="B889" s="205"/>
      <c r="C889" s="20"/>
      <c r="D889" s="14"/>
      <c r="E889" s="201"/>
      <c r="F889" s="14"/>
      <c r="G889" s="154"/>
      <c r="H889" s="14"/>
      <c r="I889" s="155"/>
      <c r="J889" s="155"/>
      <c r="K889" s="202"/>
      <c r="L889" s="14" t="str">
        <f t="shared" si="30"/>
        <v>0</v>
      </c>
      <c r="M889" s="14"/>
      <c r="N889" s="14"/>
      <c r="O889" s="14"/>
      <c r="P889" s="14"/>
      <c r="Q889" s="14"/>
      <c r="R889" s="201"/>
      <c r="S889" s="14"/>
      <c r="T889" s="14"/>
      <c r="U889" s="14"/>
      <c r="V889" s="203"/>
      <c r="W889" s="14"/>
      <c r="X889" s="14"/>
      <c r="Y889" s="14"/>
      <c r="Z889" s="14"/>
      <c r="AA889" s="14"/>
      <c r="AB889" s="14"/>
      <c r="AC889" s="14"/>
      <c r="AD889" s="14"/>
      <c r="AE889" s="14"/>
      <c r="AF889" s="14"/>
      <c r="AG889" s="14"/>
      <c r="AH889" s="14"/>
      <c r="AI889" s="20"/>
      <c r="AJ889" s="14"/>
      <c r="AK889" s="14"/>
      <c r="AL889" s="14"/>
      <c r="AM889" s="14"/>
      <c r="AN889" s="14"/>
      <c r="AO889" s="14"/>
      <c r="AP889" s="14"/>
      <c r="AQ889" s="14"/>
      <c r="AR889" s="14"/>
    </row>
    <row r="890" ht="22.5" customHeight="1">
      <c r="A890" s="204"/>
      <c r="B890" s="200"/>
      <c r="C890" s="20"/>
      <c r="D890" s="14"/>
      <c r="E890" s="201"/>
      <c r="F890" s="14"/>
      <c r="G890" s="154"/>
      <c r="H890" s="14"/>
      <c r="I890" s="155"/>
      <c r="J890" s="155"/>
      <c r="K890" s="202"/>
      <c r="L890" s="14" t="str">
        <f t="shared" si="30"/>
        <v>0</v>
      </c>
      <c r="M890" s="14"/>
      <c r="N890" s="14"/>
      <c r="O890" s="14"/>
      <c r="P890" s="14"/>
      <c r="Q890" s="14"/>
      <c r="R890" s="201"/>
      <c r="S890" s="14"/>
      <c r="T890" s="14"/>
      <c r="U890" s="14"/>
      <c r="V890" s="203"/>
      <c r="W890" s="14"/>
      <c r="X890" s="14"/>
      <c r="Y890" s="14"/>
      <c r="Z890" s="14"/>
      <c r="AA890" s="14"/>
      <c r="AB890" s="14"/>
      <c r="AC890" s="14"/>
      <c r="AD890" s="14"/>
      <c r="AE890" s="14"/>
      <c r="AF890" s="14"/>
      <c r="AG890" s="14"/>
      <c r="AH890" s="14"/>
      <c r="AI890" s="20"/>
      <c r="AJ890" s="14"/>
      <c r="AK890" s="14"/>
      <c r="AL890" s="14"/>
      <c r="AM890" s="14"/>
      <c r="AN890" s="14"/>
      <c r="AO890" s="14"/>
      <c r="AP890" s="14"/>
      <c r="AQ890" s="14"/>
      <c r="AR890" s="14"/>
    </row>
    <row r="891" ht="22.5" customHeight="1">
      <c r="A891" s="204"/>
      <c r="B891" s="205"/>
      <c r="C891" s="20"/>
      <c r="D891" s="14"/>
      <c r="E891" s="201"/>
      <c r="F891" s="14"/>
      <c r="G891" s="154"/>
      <c r="H891" s="14"/>
      <c r="I891" s="155"/>
      <c r="J891" s="155"/>
      <c r="K891" s="202"/>
      <c r="L891" s="14" t="str">
        <f t="shared" si="30"/>
        <v>0</v>
      </c>
      <c r="M891" s="14"/>
      <c r="N891" s="14"/>
      <c r="O891" s="14"/>
      <c r="P891" s="14"/>
      <c r="Q891" s="14"/>
      <c r="R891" s="201"/>
      <c r="S891" s="14"/>
      <c r="T891" s="14"/>
      <c r="U891" s="14"/>
      <c r="V891" s="203"/>
      <c r="W891" s="14"/>
      <c r="X891" s="14"/>
      <c r="Y891" s="14"/>
      <c r="Z891" s="14"/>
      <c r="AA891" s="14"/>
      <c r="AB891" s="14"/>
      <c r="AC891" s="14"/>
      <c r="AD891" s="14"/>
      <c r="AE891" s="14"/>
      <c r="AF891" s="14"/>
      <c r="AG891" s="14"/>
      <c r="AH891" s="14"/>
      <c r="AI891" s="20"/>
      <c r="AJ891" s="14"/>
      <c r="AK891" s="14"/>
      <c r="AL891" s="14"/>
      <c r="AM891" s="14"/>
      <c r="AN891" s="14"/>
      <c r="AO891" s="14"/>
      <c r="AP891" s="14"/>
      <c r="AQ891" s="14"/>
      <c r="AR891" s="14"/>
    </row>
    <row r="892" ht="22.5" customHeight="1">
      <c r="A892" s="204"/>
      <c r="B892" s="200"/>
      <c r="C892" s="20"/>
      <c r="D892" s="14"/>
      <c r="E892" s="201"/>
      <c r="F892" s="14"/>
      <c r="G892" s="154"/>
      <c r="H892" s="14"/>
      <c r="I892" s="155"/>
      <c r="J892" s="155"/>
      <c r="K892" s="202"/>
      <c r="L892" s="14" t="str">
        <f t="shared" si="30"/>
        <v>0</v>
      </c>
      <c r="M892" s="14"/>
      <c r="N892" s="14"/>
      <c r="O892" s="14"/>
      <c r="P892" s="14"/>
      <c r="Q892" s="14"/>
      <c r="R892" s="201"/>
      <c r="S892" s="14"/>
      <c r="T892" s="14"/>
      <c r="U892" s="14"/>
      <c r="V892" s="203"/>
      <c r="W892" s="14"/>
      <c r="X892" s="14"/>
      <c r="Y892" s="14"/>
      <c r="Z892" s="14"/>
      <c r="AA892" s="14"/>
      <c r="AB892" s="14"/>
      <c r="AC892" s="14"/>
      <c r="AD892" s="14"/>
      <c r="AE892" s="14"/>
      <c r="AF892" s="14"/>
      <c r="AG892" s="14"/>
      <c r="AH892" s="14"/>
      <c r="AI892" s="20"/>
      <c r="AJ892" s="14"/>
      <c r="AK892" s="14"/>
      <c r="AL892" s="14"/>
      <c r="AM892" s="14"/>
      <c r="AN892" s="14"/>
      <c r="AO892" s="14"/>
      <c r="AP892" s="14"/>
      <c r="AQ892" s="14"/>
      <c r="AR892" s="14"/>
    </row>
    <row r="893" ht="22.5" customHeight="1">
      <c r="A893" s="204"/>
      <c r="B893" s="205"/>
      <c r="C893" s="20"/>
      <c r="D893" s="14"/>
      <c r="E893" s="201"/>
      <c r="F893" s="14"/>
      <c r="G893" s="154"/>
      <c r="H893" s="14"/>
      <c r="I893" s="155"/>
      <c r="J893" s="155"/>
      <c r="K893" s="202"/>
      <c r="L893" s="14" t="str">
        <f t="shared" si="30"/>
        <v>0</v>
      </c>
      <c r="M893" s="14"/>
      <c r="N893" s="14"/>
      <c r="O893" s="14"/>
      <c r="P893" s="14"/>
      <c r="Q893" s="14"/>
      <c r="R893" s="201"/>
      <c r="S893" s="14"/>
      <c r="T893" s="14"/>
      <c r="U893" s="14"/>
      <c r="V893" s="203"/>
      <c r="W893" s="14"/>
      <c r="X893" s="14"/>
      <c r="Y893" s="14"/>
      <c r="Z893" s="14"/>
      <c r="AA893" s="14"/>
      <c r="AB893" s="14"/>
      <c r="AC893" s="14"/>
      <c r="AD893" s="14"/>
      <c r="AE893" s="14"/>
      <c r="AF893" s="14"/>
      <c r="AG893" s="14"/>
      <c r="AH893" s="14"/>
      <c r="AI893" s="20"/>
      <c r="AJ893" s="14"/>
      <c r="AK893" s="14"/>
      <c r="AL893" s="14"/>
      <c r="AM893" s="14"/>
      <c r="AN893" s="14"/>
      <c r="AO893" s="14"/>
      <c r="AP893" s="14"/>
      <c r="AQ893" s="14"/>
      <c r="AR893" s="14"/>
    </row>
    <row r="894" ht="22.5" customHeight="1">
      <c r="A894" s="204"/>
      <c r="B894" s="200"/>
      <c r="C894" s="20"/>
      <c r="D894" s="14"/>
      <c r="E894" s="201"/>
      <c r="F894" s="14"/>
      <c r="G894" s="154"/>
      <c r="H894" s="14"/>
      <c r="I894" s="155"/>
      <c r="J894" s="155"/>
      <c r="K894" s="202"/>
      <c r="L894" s="14" t="str">
        <f t="shared" si="30"/>
        <v>0</v>
      </c>
      <c r="M894" s="14"/>
      <c r="N894" s="14"/>
      <c r="O894" s="14"/>
      <c r="P894" s="14"/>
      <c r="Q894" s="14"/>
      <c r="R894" s="201"/>
      <c r="S894" s="14"/>
      <c r="T894" s="14"/>
      <c r="U894" s="14"/>
      <c r="V894" s="203"/>
      <c r="W894" s="14"/>
      <c r="X894" s="14"/>
      <c r="Y894" s="14"/>
      <c r="Z894" s="14"/>
      <c r="AA894" s="14"/>
      <c r="AB894" s="14"/>
      <c r="AC894" s="14"/>
      <c r="AD894" s="14"/>
      <c r="AE894" s="14"/>
      <c r="AF894" s="14"/>
      <c r="AG894" s="14"/>
      <c r="AH894" s="14"/>
      <c r="AI894" s="20"/>
      <c r="AJ894" s="14"/>
      <c r="AK894" s="14"/>
      <c r="AL894" s="14"/>
      <c r="AM894" s="14"/>
      <c r="AN894" s="14"/>
      <c r="AO894" s="14"/>
      <c r="AP894" s="14"/>
      <c r="AQ894" s="14"/>
      <c r="AR894" s="14"/>
    </row>
    <row r="895" ht="22.5" customHeight="1">
      <c r="A895" s="204"/>
      <c r="B895" s="205"/>
      <c r="C895" s="20"/>
      <c r="D895" s="14"/>
      <c r="E895" s="201"/>
      <c r="F895" s="14"/>
      <c r="G895" s="154"/>
      <c r="H895" s="14"/>
      <c r="I895" s="155"/>
      <c r="J895" s="155"/>
      <c r="K895" s="202"/>
      <c r="L895" s="14" t="str">
        <f t="shared" si="30"/>
        <v>0</v>
      </c>
      <c r="M895" s="14"/>
      <c r="N895" s="14"/>
      <c r="O895" s="14"/>
      <c r="P895" s="14"/>
      <c r="Q895" s="14"/>
      <c r="R895" s="201"/>
      <c r="S895" s="14"/>
      <c r="T895" s="14"/>
      <c r="U895" s="14"/>
      <c r="V895" s="203"/>
      <c r="W895" s="14"/>
      <c r="X895" s="14"/>
      <c r="Y895" s="14"/>
      <c r="Z895" s="14"/>
      <c r="AA895" s="14"/>
      <c r="AB895" s="14"/>
      <c r="AC895" s="14"/>
      <c r="AD895" s="14"/>
      <c r="AE895" s="14"/>
      <c r="AF895" s="14"/>
      <c r="AG895" s="14"/>
      <c r="AH895" s="14"/>
      <c r="AI895" s="20"/>
      <c r="AJ895" s="14"/>
      <c r="AK895" s="14"/>
      <c r="AL895" s="14"/>
      <c r="AM895" s="14"/>
      <c r="AN895" s="14"/>
      <c r="AO895" s="14"/>
      <c r="AP895" s="14"/>
      <c r="AQ895" s="14"/>
      <c r="AR895" s="14"/>
    </row>
    <row r="896" ht="22.5" customHeight="1">
      <c r="A896" s="204"/>
      <c r="B896" s="200"/>
      <c r="C896" s="20"/>
      <c r="D896" s="14"/>
      <c r="E896" s="201"/>
      <c r="F896" s="14"/>
      <c r="G896" s="154"/>
      <c r="H896" s="14"/>
      <c r="I896" s="155"/>
      <c r="J896" s="155"/>
      <c r="K896" s="202"/>
      <c r="L896" s="14" t="str">
        <f t="shared" si="30"/>
        <v>0</v>
      </c>
      <c r="M896" s="14"/>
      <c r="N896" s="14"/>
      <c r="O896" s="14"/>
      <c r="P896" s="14"/>
      <c r="Q896" s="14"/>
      <c r="R896" s="201"/>
      <c r="S896" s="14"/>
      <c r="T896" s="14"/>
      <c r="U896" s="14"/>
      <c r="V896" s="203"/>
      <c r="W896" s="14"/>
      <c r="X896" s="14"/>
      <c r="Y896" s="14"/>
      <c r="Z896" s="14"/>
      <c r="AA896" s="14"/>
      <c r="AB896" s="14"/>
      <c r="AC896" s="14"/>
      <c r="AD896" s="14"/>
      <c r="AE896" s="14"/>
      <c r="AF896" s="14"/>
      <c r="AG896" s="14"/>
      <c r="AH896" s="14"/>
      <c r="AI896" s="20"/>
      <c r="AJ896" s="14"/>
      <c r="AK896" s="14"/>
      <c r="AL896" s="14"/>
      <c r="AM896" s="14"/>
      <c r="AN896" s="14"/>
      <c r="AO896" s="14"/>
      <c r="AP896" s="14"/>
      <c r="AQ896" s="14"/>
      <c r="AR896" s="14"/>
    </row>
    <row r="897" ht="22.5" customHeight="1">
      <c r="A897" s="204"/>
      <c r="B897" s="205"/>
      <c r="C897" s="20"/>
      <c r="D897" s="14"/>
      <c r="E897" s="201"/>
      <c r="F897" s="14"/>
      <c r="G897" s="154"/>
      <c r="H897" s="14"/>
      <c r="I897" s="155"/>
      <c r="J897" s="155"/>
      <c r="K897" s="202"/>
      <c r="L897" s="14" t="str">
        <f t="shared" si="30"/>
        <v>0</v>
      </c>
      <c r="M897" s="14"/>
      <c r="N897" s="14"/>
      <c r="O897" s="14"/>
      <c r="P897" s="14"/>
      <c r="Q897" s="14"/>
      <c r="R897" s="201"/>
      <c r="S897" s="14"/>
      <c r="T897" s="14"/>
      <c r="U897" s="14"/>
      <c r="V897" s="203"/>
      <c r="W897" s="14"/>
      <c r="X897" s="14"/>
      <c r="Y897" s="14"/>
      <c r="Z897" s="14"/>
      <c r="AA897" s="14"/>
      <c r="AB897" s="14"/>
      <c r="AC897" s="14"/>
      <c r="AD897" s="14"/>
      <c r="AE897" s="14"/>
      <c r="AF897" s="14"/>
      <c r="AG897" s="14"/>
      <c r="AH897" s="14"/>
      <c r="AI897" s="20"/>
      <c r="AJ897" s="14"/>
      <c r="AK897" s="14"/>
      <c r="AL897" s="14"/>
      <c r="AM897" s="14"/>
      <c r="AN897" s="14"/>
      <c r="AO897" s="14"/>
      <c r="AP897" s="14"/>
      <c r="AQ897" s="14"/>
      <c r="AR897" s="14"/>
    </row>
    <row r="898" ht="22.5" customHeight="1">
      <c r="A898" s="204"/>
      <c r="B898" s="200"/>
      <c r="C898" s="20"/>
      <c r="D898" s="14"/>
      <c r="E898" s="201"/>
      <c r="F898" s="14"/>
      <c r="G898" s="154"/>
      <c r="H898" s="14"/>
      <c r="I898" s="155"/>
      <c r="J898" s="155"/>
      <c r="K898" s="202"/>
      <c r="L898" s="14" t="str">
        <f t="shared" si="30"/>
        <v>0</v>
      </c>
      <c r="M898" s="14"/>
      <c r="N898" s="14"/>
      <c r="O898" s="14"/>
      <c r="P898" s="14"/>
      <c r="Q898" s="14"/>
      <c r="R898" s="201"/>
      <c r="S898" s="14"/>
      <c r="T898" s="14"/>
      <c r="U898" s="14"/>
      <c r="V898" s="203"/>
      <c r="W898" s="14"/>
      <c r="X898" s="14"/>
      <c r="Y898" s="14"/>
      <c r="Z898" s="14"/>
      <c r="AA898" s="14"/>
      <c r="AB898" s="14"/>
      <c r="AC898" s="14"/>
      <c r="AD898" s="14"/>
      <c r="AE898" s="14"/>
      <c r="AF898" s="14"/>
      <c r="AG898" s="14"/>
      <c r="AH898" s="14"/>
      <c r="AI898" s="20"/>
      <c r="AJ898" s="14"/>
      <c r="AK898" s="14"/>
      <c r="AL898" s="14"/>
      <c r="AM898" s="14"/>
      <c r="AN898" s="14"/>
      <c r="AO898" s="14"/>
      <c r="AP898" s="14"/>
      <c r="AQ898" s="14"/>
      <c r="AR898" s="14"/>
    </row>
    <row r="899" ht="22.5" customHeight="1">
      <c r="A899" s="204"/>
      <c r="B899" s="205"/>
      <c r="C899" s="20"/>
      <c r="D899" s="14"/>
      <c r="E899" s="201"/>
      <c r="F899" s="14"/>
      <c r="G899" s="154"/>
      <c r="H899" s="14"/>
      <c r="I899" s="155"/>
      <c r="J899" s="155"/>
      <c r="K899" s="202"/>
      <c r="L899" s="14" t="str">
        <f t="shared" si="30"/>
        <v>0</v>
      </c>
      <c r="M899" s="14"/>
      <c r="N899" s="14"/>
      <c r="O899" s="14"/>
      <c r="P899" s="14"/>
      <c r="Q899" s="14"/>
      <c r="R899" s="201"/>
      <c r="S899" s="14"/>
      <c r="T899" s="14"/>
      <c r="U899" s="14"/>
      <c r="V899" s="203"/>
      <c r="W899" s="14"/>
      <c r="X899" s="14"/>
      <c r="Y899" s="14"/>
      <c r="Z899" s="14"/>
      <c r="AA899" s="14"/>
      <c r="AB899" s="14"/>
      <c r="AC899" s="14"/>
      <c r="AD899" s="14"/>
      <c r="AE899" s="14"/>
      <c r="AF899" s="14"/>
      <c r="AG899" s="14"/>
      <c r="AH899" s="14"/>
      <c r="AI899" s="20"/>
      <c r="AJ899" s="14"/>
      <c r="AK899" s="14"/>
      <c r="AL899" s="14"/>
      <c r="AM899" s="14"/>
      <c r="AN899" s="14"/>
      <c r="AO899" s="14"/>
      <c r="AP899" s="14"/>
      <c r="AQ899" s="14"/>
      <c r="AR899" s="14"/>
    </row>
    <row r="900" ht="22.5" customHeight="1">
      <c r="A900" s="204"/>
      <c r="B900" s="200"/>
      <c r="C900" s="20"/>
      <c r="D900" s="14"/>
      <c r="E900" s="201"/>
      <c r="F900" s="14"/>
      <c r="G900" s="154"/>
      <c r="H900" s="14"/>
      <c r="I900" s="155"/>
      <c r="J900" s="155"/>
      <c r="K900" s="202"/>
      <c r="L900" s="14" t="str">
        <f t="shared" si="30"/>
        <v>0</v>
      </c>
      <c r="M900" s="14"/>
      <c r="N900" s="14"/>
      <c r="O900" s="14"/>
      <c r="P900" s="14"/>
      <c r="Q900" s="14"/>
      <c r="R900" s="201"/>
      <c r="S900" s="14"/>
      <c r="T900" s="14"/>
      <c r="U900" s="14"/>
      <c r="V900" s="203"/>
      <c r="W900" s="14"/>
      <c r="X900" s="14"/>
      <c r="Y900" s="14"/>
      <c r="Z900" s="14"/>
      <c r="AA900" s="14"/>
      <c r="AB900" s="14"/>
      <c r="AC900" s="14"/>
      <c r="AD900" s="14"/>
      <c r="AE900" s="14"/>
      <c r="AF900" s="14"/>
      <c r="AG900" s="14"/>
      <c r="AH900" s="14"/>
      <c r="AI900" s="20"/>
      <c r="AJ900" s="14"/>
      <c r="AK900" s="14"/>
      <c r="AL900" s="14"/>
      <c r="AM900" s="14"/>
      <c r="AN900" s="14"/>
      <c r="AO900" s="14"/>
      <c r="AP900" s="14"/>
      <c r="AQ900" s="14"/>
      <c r="AR900" s="14"/>
    </row>
    <row r="901" ht="22.5" customHeight="1">
      <c r="A901" s="204"/>
      <c r="B901" s="205"/>
      <c r="C901" s="20"/>
      <c r="D901" s="14"/>
      <c r="E901" s="201"/>
      <c r="F901" s="14"/>
      <c r="G901" s="154"/>
      <c r="H901" s="14"/>
      <c r="I901" s="155"/>
      <c r="J901" s="155"/>
      <c r="K901" s="202"/>
      <c r="L901" s="14" t="str">
        <f t="shared" si="30"/>
        <v>0</v>
      </c>
      <c r="M901" s="14"/>
      <c r="N901" s="14"/>
      <c r="O901" s="14"/>
      <c r="P901" s="14"/>
      <c r="Q901" s="14"/>
      <c r="R901" s="201"/>
      <c r="S901" s="14"/>
      <c r="T901" s="14"/>
      <c r="U901" s="14"/>
      <c r="V901" s="203"/>
      <c r="W901" s="14"/>
      <c r="X901" s="14"/>
      <c r="Y901" s="14"/>
      <c r="Z901" s="14"/>
      <c r="AA901" s="14"/>
      <c r="AB901" s="14"/>
      <c r="AC901" s="14"/>
      <c r="AD901" s="14"/>
      <c r="AE901" s="14"/>
      <c r="AF901" s="14"/>
      <c r="AG901" s="14"/>
      <c r="AH901" s="14"/>
      <c r="AI901" s="20"/>
      <c r="AJ901" s="14"/>
      <c r="AK901" s="14"/>
      <c r="AL901" s="14"/>
      <c r="AM901" s="14"/>
      <c r="AN901" s="14"/>
      <c r="AO901" s="14"/>
      <c r="AP901" s="14"/>
      <c r="AQ901" s="14"/>
      <c r="AR901" s="14"/>
    </row>
    <row r="902" ht="22.5" customHeight="1">
      <c r="A902" s="204"/>
      <c r="B902" s="200"/>
      <c r="C902" s="20"/>
      <c r="D902" s="14"/>
      <c r="E902" s="201"/>
      <c r="F902" s="14"/>
      <c r="G902" s="154"/>
      <c r="H902" s="14"/>
      <c r="I902" s="155"/>
      <c r="J902" s="155"/>
      <c r="K902" s="202"/>
      <c r="L902" s="14" t="str">
        <f t="shared" si="30"/>
        <v>0</v>
      </c>
      <c r="M902" s="14"/>
      <c r="N902" s="14"/>
      <c r="O902" s="14"/>
      <c r="P902" s="14"/>
      <c r="Q902" s="14"/>
      <c r="R902" s="201"/>
      <c r="S902" s="14"/>
      <c r="T902" s="14"/>
      <c r="U902" s="14"/>
      <c r="V902" s="203"/>
      <c r="W902" s="14"/>
      <c r="X902" s="14"/>
      <c r="Y902" s="14"/>
      <c r="Z902" s="14"/>
      <c r="AA902" s="14"/>
      <c r="AB902" s="14"/>
      <c r="AC902" s="14"/>
      <c r="AD902" s="14"/>
      <c r="AE902" s="14"/>
      <c r="AF902" s="14"/>
      <c r="AG902" s="14"/>
      <c r="AH902" s="14"/>
      <c r="AI902" s="20"/>
      <c r="AJ902" s="14"/>
      <c r="AK902" s="14"/>
      <c r="AL902" s="14"/>
      <c r="AM902" s="14"/>
      <c r="AN902" s="14"/>
      <c r="AO902" s="14"/>
      <c r="AP902" s="14"/>
      <c r="AQ902" s="14"/>
      <c r="AR902" s="14"/>
    </row>
    <row r="903" ht="22.5" customHeight="1">
      <c r="A903" s="204"/>
      <c r="B903" s="205"/>
      <c r="C903" s="20"/>
      <c r="D903" s="14"/>
      <c r="E903" s="201"/>
      <c r="F903" s="14"/>
      <c r="G903" s="154"/>
      <c r="H903" s="14"/>
      <c r="I903" s="155"/>
      <c r="J903" s="155"/>
      <c r="K903" s="202"/>
      <c r="L903" s="14" t="str">
        <f t="shared" si="30"/>
        <v>0</v>
      </c>
      <c r="M903" s="14"/>
      <c r="N903" s="14"/>
      <c r="O903" s="14"/>
      <c r="P903" s="14"/>
      <c r="Q903" s="14"/>
      <c r="R903" s="201"/>
      <c r="S903" s="14"/>
      <c r="T903" s="14"/>
      <c r="U903" s="14"/>
      <c r="V903" s="203"/>
      <c r="W903" s="14"/>
      <c r="X903" s="14"/>
      <c r="Y903" s="14"/>
      <c r="Z903" s="14"/>
      <c r="AA903" s="14"/>
      <c r="AB903" s="14"/>
      <c r="AC903" s="14"/>
      <c r="AD903" s="14"/>
      <c r="AE903" s="14"/>
      <c r="AF903" s="14"/>
      <c r="AG903" s="14"/>
      <c r="AH903" s="14"/>
      <c r="AI903" s="20"/>
      <c r="AJ903" s="14"/>
      <c r="AK903" s="14"/>
      <c r="AL903" s="14"/>
      <c r="AM903" s="14"/>
      <c r="AN903" s="14"/>
      <c r="AO903" s="14"/>
      <c r="AP903" s="14"/>
      <c r="AQ903" s="14"/>
      <c r="AR903" s="14"/>
    </row>
    <row r="904" ht="22.5" customHeight="1">
      <c r="A904" s="204"/>
      <c r="B904" s="200"/>
      <c r="C904" s="20"/>
      <c r="D904" s="14"/>
      <c r="E904" s="201"/>
      <c r="F904" s="14"/>
      <c r="G904" s="154"/>
      <c r="H904" s="14"/>
      <c r="I904" s="155"/>
      <c r="J904" s="155"/>
      <c r="K904" s="202"/>
      <c r="L904" s="14" t="str">
        <f t="shared" si="30"/>
        <v>0</v>
      </c>
      <c r="M904" s="14"/>
      <c r="N904" s="14"/>
      <c r="O904" s="14"/>
      <c r="P904" s="14"/>
      <c r="Q904" s="14"/>
      <c r="R904" s="201"/>
      <c r="S904" s="14"/>
      <c r="T904" s="14"/>
      <c r="U904" s="14"/>
      <c r="V904" s="203"/>
      <c r="W904" s="14"/>
      <c r="X904" s="14"/>
      <c r="Y904" s="14"/>
      <c r="Z904" s="14"/>
      <c r="AA904" s="14"/>
      <c r="AB904" s="14"/>
      <c r="AC904" s="14"/>
      <c r="AD904" s="14"/>
      <c r="AE904" s="14"/>
      <c r="AF904" s="14"/>
      <c r="AG904" s="14"/>
      <c r="AH904" s="14"/>
      <c r="AI904" s="20"/>
      <c r="AJ904" s="14"/>
      <c r="AK904" s="14"/>
      <c r="AL904" s="14"/>
      <c r="AM904" s="14"/>
      <c r="AN904" s="14"/>
      <c r="AO904" s="14"/>
      <c r="AP904" s="14"/>
      <c r="AQ904" s="14"/>
      <c r="AR904" s="14"/>
    </row>
    <row r="905" ht="22.5" customHeight="1">
      <c r="A905" s="204"/>
      <c r="B905" s="205"/>
      <c r="C905" s="20"/>
      <c r="D905" s="14"/>
      <c r="E905" s="201"/>
      <c r="F905" s="14"/>
      <c r="G905" s="154"/>
      <c r="H905" s="14"/>
      <c r="I905" s="155"/>
      <c r="J905" s="155"/>
      <c r="K905" s="202"/>
      <c r="L905" s="14" t="str">
        <f t="shared" si="30"/>
        <v>0</v>
      </c>
      <c r="M905" s="14"/>
      <c r="N905" s="14"/>
      <c r="O905" s="14"/>
      <c r="P905" s="14"/>
      <c r="Q905" s="14"/>
      <c r="R905" s="201"/>
      <c r="S905" s="14"/>
      <c r="T905" s="14"/>
      <c r="U905" s="14"/>
      <c r="V905" s="203"/>
      <c r="W905" s="14"/>
      <c r="X905" s="14"/>
      <c r="Y905" s="14"/>
      <c r="Z905" s="14"/>
      <c r="AA905" s="14"/>
      <c r="AB905" s="14"/>
      <c r="AC905" s="14"/>
      <c r="AD905" s="14"/>
      <c r="AE905" s="14"/>
      <c r="AF905" s="14"/>
      <c r="AG905" s="14"/>
      <c r="AH905" s="14"/>
      <c r="AI905" s="20"/>
      <c r="AJ905" s="14"/>
      <c r="AK905" s="14"/>
      <c r="AL905" s="14"/>
      <c r="AM905" s="14"/>
      <c r="AN905" s="14"/>
      <c r="AO905" s="14"/>
      <c r="AP905" s="14"/>
      <c r="AQ905" s="14"/>
      <c r="AR905" s="14"/>
    </row>
    <row r="906" ht="22.5" customHeight="1">
      <c r="A906" s="204"/>
      <c r="B906" s="200"/>
      <c r="C906" s="20"/>
      <c r="D906" s="14"/>
      <c r="E906" s="201"/>
      <c r="F906" s="14"/>
      <c r="G906" s="154"/>
      <c r="H906" s="14"/>
      <c r="I906" s="155"/>
      <c r="J906" s="155"/>
      <c r="K906" s="202"/>
      <c r="L906" s="14" t="str">
        <f t="shared" si="30"/>
        <v>0</v>
      </c>
      <c r="M906" s="14"/>
      <c r="N906" s="14"/>
      <c r="O906" s="14"/>
      <c r="P906" s="14"/>
      <c r="Q906" s="14"/>
      <c r="R906" s="201"/>
      <c r="S906" s="14"/>
      <c r="T906" s="14"/>
      <c r="U906" s="14"/>
      <c r="V906" s="203"/>
      <c r="W906" s="14"/>
      <c r="X906" s="14"/>
      <c r="Y906" s="14"/>
      <c r="Z906" s="14"/>
      <c r="AA906" s="14"/>
      <c r="AB906" s="14"/>
      <c r="AC906" s="14"/>
      <c r="AD906" s="14"/>
      <c r="AE906" s="14"/>
      <c r="AF906" s="14"/>
      <c r="AG906" s="14"/>
      <c r="AH906" s="14"/>
      <c r="AI906" s="20"/>
      <c r="AJ906" s="14"/>
      <c r="AK906" s="14"/>
      <c r="AL906" s="14"/>
      <c r="AM906" s="14"/>
      <c r="AN906" s="14"/>
      <c r="AO906" s="14"/>
      <c r="AP906" s="14"/>
      <c r="AQ906" s="14"/>
      <c r="AR906" s="14"/>
    </row>
    <row r="907" ht="22.5" customHeight="1">
      <c r="A907" s="204"/>
      <c r="B907" s="205"/>
      <c r="C907" s="20"/>
      <c r="D907" s="14"/>
      <c r="E907" s="201"/>
      <c r="F907" s="14"/>
      <c r="G907" s="154"/>
      <c r="H907" s="14"/>
      <c r="I907" s="155"/>
      <c r="J907" s="155"/>
      <c r="K907" s="202"/>
      <c r="L907" s="14" t="str">
        <f t="shared" si="30"/>
        <v>0</v>
      </c>
      <c r="M907" s="14"/>
      <c r="N907" s="14"/>
      <c r="O907" s="14"/>
      <c r="P907" s="14"/>
      <c r="Q907" s="14"/>
      <c r="R907" s="201"/>
      <c r="S907" s="14"/>
      <c r="T907" s="14"/>
      <c r="U907" s="14"/>
      <c r="V907" s="203"/>
      <c r="W907" s="14"/>
      <c r="X907" s="14"/>
      <c r="Y907" s="14"/>
      <c r="Z907" s="14"/>
      <c r="AA907" s="14"/>
      <c r="AB907" s="14"/>
      <c r="AC907" s="14"/>
      <c r="AD907" s="14"/>
      <c r="AE907" s="14"/>
      <c r="AF907" s="14"/>
      <c r="AG907" s="14"/>
      <c r="AH907" s="14"/>
      <c r="AI907" s="20"/>
      <c r="AJ907" s="14"/>
      <c r="AK907" s="14"/>
      <c r="AL907" s="14"/>
      <c r="AM907" s="14"/>
      <c r="AN907" s="14"/>
      <c r="AO907" s="14"/>
      <c r="AP907" s="14"/>
      <c r="AQ907" s="14"/>
      <c r="AR907" s="14"/>
    </row>
    <row r="908" ht="22.5" customHeight="1">
      <c r="A908" s="204"/>
      <c r="B908" s="200"/>
      <c r="C908" s="20"/>
      <c r="D908" s="14"/>
      <c r="E908" s="201"/>
      <c r="F908" s="14"/>
      <c r="G908" s="154"/>
      <c r="H908" s="14"/>
      <c r="I908" s="155"/>
      <c r="J908" s="155"/>
      <c r="K908" s="202"/>
      <c r="L908" s="14" t="str">
        <f t="shared" si="30"/>
        <v>0</v>
      </c>
      <c r="M908" s="14"/>
      <c r="N908" s="14"/>
      <c r="O908" s="14"/>
      <c r="P908" s="14"/>
      <c r="Q908" s="14"/>
      <c r="R908" s="201"/>
      <c r="S908" s="14"/>
      <c r="T908" s="14"/>
      <c r="U908" s="14"/>
      <c r="V908" s="203"/>
      <c r="W908" s="14"/>
      <c r="X908" s="14"/>
      <c r="Y908" s="14"/>
      <c r="Z908" s="14"/>
      <c r="AA908" s="14"/>
      <c r="AB908" s="14"/>
      <c r="AC908" s="14"/>
      <c r="AD908" s="14"/>
      <c r="AE908" s="14"/>
      <c r="AF908" s="14"/>
      <c r="AG908" s="14"/>
      <c r="AH908" s="14"/>
      <c r="AI908" s="20"/>
      <c r="AJ908" s="14"/>
      <c r="AK908" s="14"/>
      <c r="AL908" s="14"/>
      <c r="AM908" s="14"/>
      <c r="AN908" s="14"/>
      <c r="AO908" s="14"/>
      <c r="AP908" s="14"/>
      <c r="AQ908" s="14"/>
      <c r="AR908" s="14"/>
    </row>
    <row r="909" ht="22.5" customHeight="1">
      <c r="A909" s="204"/>
      <c r="B909" s="205"/>
      <c r="C909" s="20"/>
      <c r="D909" s="14"/>
      <c r="E909" s="201"/>
      <c r="F909" s="14"/>
      <c r="G909" s="154"/>
      <c r="H909" s="14"/>
      <c r="I909" s="155"/>
      <c r="J909" s="155"/>
      <c r="K909" s="202"/>
      <c r="L909" s="14" t="str">
        <f t="shared" si="30"/>
        <v>0</v>
      </c>
      <c r="M909" s="14"/>
      <c r="N909" s="14"/>
      <c r="O909" s="14"/>
      <c r="P909" s="14"/>
      <c r="Q909" s="14"/>
      <c r="R909" s="201"/>
      <c r="S909" s="14"/>
      <c r="T909" s="14"/>
      <c r="U909" s="14"/>
      <c r="V909" s="203"/>
      <c r="W909" s="14"/>
      <c r="X909" s="14"/>
      <c r="Y909" s="14"/>
      <c r="Z909" s="14"/>
      <c r="AA909" s="14"/>
      <c r="AB909" s="14"/>
      <c r="AC909" s="14"/>
      <c r="AD909" s="14"/>
      <c r="AE909" s="14"/>
      <c r="AF909" s="14"/>
      <c r="AG909" s="14"/>
      <c r="AH909" s="14"/>
      <c r="AI909" s="20"/>
      <c r="AJ909" s="14"/>
      <c r="AK909" s="14"/>
      <c r="AL909" s="14"/>
      <c r="AM909" s="14"/>
      <c r="AN909" s="14"/>
      <c r="AO909" s="14"/>
      <c r="AP909" s="14"/>
      <c r="AQ909" s="14"/>
      <c r="AR909" s="14"/>
    </row>
    <row r="910" ht="22.5" customHeight="1">
      <c r="A910" s="204"/>
      <c r="B910" s="200"/>
      <c r="C910" s="20"/>
      <c r="D910" s="14"/>
      <c r="E910" s="201"/>
      <c r="F910" s="14"/>
      <c r="G910" s="154"/>
      <c r="H910" s="14"/>
      <c r="I910" s="155"/>
      <c r="J910" s="155"/>
      <c r="K910" s="202"/>
      <c r="L910" s="14" t="str">
        <f t="shared" si="30"/>
        <v>0</v>
      </c>
      <c r="M910" s="14"/>
      <c r="N910" s="14"/>
      <c r="O910" s="14"/>
      <c r="P910" s="14"/>
      <c r="Q910" s="14"/>
      <c r="R910" s="201"/>
      <c r="S910" s="14"/>
      <c r="T910" s="14"/>
      <c r="U910" s="14"/>
      <c r="V910" s="203"/>
      <c r="W910" s="14"/>
      <c r="X910" s="14"/>
      <c r="Y910" s="14"/>
      <c r="Z910" s="14"/>
      <c r="AA910" s="14"/>
      <c r="AB910" s="14"/>
      <c r="AC910" s="14"/>
      <c r="AD910" s="14"/>
      <c r="AE910" s="14"/>
      <c r="AF910" s="14"/>
      <c r="AG910" s="14"/>
      <c r="AH910" s="14"/>
      <c r="AI910" s="20"/>
      <c r="AJ910" s="14"/>
      <c r="AK910" s="14"/>
      <c r="AL910" s="14"/>
      <c r="AM910" s="14"/>
      <c r="AN910" s="14"/>
      <c r="AO910" s="14"/>
      <c r="AP910" s="14"/>
      <c r="AQ910" s="14"/>
      <c r="AR910" s="14"/>
    </row>
    <row r="911" ht="22.5" customHeight="1">
      <c r="A911" s="204"/>
      <c r="B911" s="205"/>
      <c r="C911" s="20"/>
      <c r="D911" s="14"/>
      <c r="E911" s="201"/>
      <c r="F911" s="14"/>
      <c r="G911" s="154"/>
      <c r="H911" s="14"/>
      <c r="I911" s="155"/>
      <c r="J911" s="155"/>
      <c r="K911" s="202"/>
      <c r="L911" s="14" t="str">
        <f t="shared" si="30"/>
        <v>0</v>
      </c>
      <c r="M911" s="14"/>
      <c r="N911" s="14"/>
      <c r="O911" s="14"/>
      <c r="P911" s="14"/>
      <c r="Q911" s="14"/>
      <c r="R911" s="201"/>
      <c r="S911" s="14"/>
      <c r="T911" s="14"/>
      <c r="U911" s="14"/>
      <c r="V911" s="203"/>
      <c r="W911" s="14"/>
      <c r="X911" s="14"/>
      <c r="Y911" s="14"/>
      <c r="Z911" s="14"/>
      <c r="AA911" s="14"/>
      <c r="AB911" s="14"/>
      <c r="AC911" s="14"/>
      <c r="AD911" s="14"/>
      <c r="AE911" s="14"/>
      <c r="AF911" s="14"/>
      <c r="AG911" s="14"/>
      <c r="AH911" s="14"/>
      <c r="AI911" s="20"/>
      <c r="AJ911" s="14"/>
      <c r="AK911" s="14"/>
      <c r="AL911" s="14"/>
      <c r="AM911" s="14"/>
      <c r="AN911" s="14"/>
      <c r="AO911" s="14"/>
      <c r="AP911" s="14"/>
      <c r="AQ911" s="14"/>
      <c r="AR911" s="14"/>
    </row>
    <row r="912" ht="22.5" customHeight="1">
      <c r="A912" s="204"/>
      <c r="B912" s="200"/>
      <c r="C912" s="20"/>
      <c r="D912" s="14"/>
      <c r="E912" s="201"/>
      <c r="F912" s="14"/>
      <c r="G912" s="154"/>
      <c r="H912" s="14"/>
      <c r="I912" s="155"/>
      <c r="J912" s="155"/>
      <c r="K912" s="202"/>
      <c r="L912" s="14" t="str">
        <f t="shared" si="30"/>
        <v>0</v>
      </c>
      <c r="M912" s="14"/>
      <c r="N912" s="14"/>
      <c r="O912" s="14"/>
      <c r="P912" s="14"/>
      <c r="Q912" s="14"/>
      <c r="R912" s="201"/>
      <c r="S912" s="14"/>
      <c r="T912" s="14"/>
      <c r="U912" s="14"/>
      <c r="V912" s="203"/>
      <c r="W912" s="14"/>
      <c r="X912" s="14"/>
      <c r="Y912" s="14"/>
      <c r="Z912" s="14"/>
      <c r="AA912" s="14"/>
      <c r="AB912" s="14"/>
      <c r="AC912" s="14"/>
      <c r="AD912" s="14"/>
      <c r="AE912" s="14"/>
      <c r="AF912" s="14"/>
      <c r="AG912" s="14"/>
      <c r="AH912" s="14"/>
      <c r="AI912" s="20"/>
      <c r="AJ912" s="14"/>
      <c r="AK912" s="14"/>
      <c r="AL912" s="14"/>
      <c r="AM912" s="14"/>
      <c r="AN912" s="14"/>
      <c r="AO912" s="14"/>
      <c r="AP912" s="14"/>
      <c r="AQ912" s="14"/>
      <c r="AR912" s="14"/>
    </row>
    <row r="913" ht="22.5" customHeight="1">
      <c r="A913" s="204"/>
      <c r="B913" s="205"/>
      <c r="C913" s="20"/>
      <c r="D913" s="14"/>
      <c r="E913" s="201"/>
      <c r="F913" s="14"/>
      <c r="G913" s="154"/>
      <c r="H913" s="14"/>
      <c r="I913" s="155"/>
      <c r="J913" s="155"/>
      <c r="K913" s="202"/>
      <c r="L913" s="14" t="str">
        <f t="shared" si="30"/>
        <v>0</v>
      </c>
      <c r="M913" s="14"/>
      <c r="N913" s="14"/>
      <c r="O913" s="14"/>
      <c r="P913" s="14"/>
      <c r="Q913" s="14"/>
      <c r="R913" s="201"/>
      <c r="S913" s="14"/>
      <c r="T913" s="14"/>
      <c r="U913" s="14"/>
      <c r="V913" s="203"/>
      <c r="W913" s="14"/>
      <c r="X913" s="14"/>
      <c r="Y913" s="14"/>
      <c r="Z913" s="14"/>
      <c r="AA913" s="14"/>
      <c r="AB913" s="14"/>
      <c r="AC913" s="14"/>
      <c r="AD913" s="14"/>
      <c r="AE913" s="14"/>
      <c r="AF913" s="14"/>
      <c r="AG913" s="14"/>
      <c r="AH913" s="14"/>
      <c r="AI913" s="20"/>
      <c r="AJ913" s="14"/>
      <c r="AK913" s="14"/>
      <c r="AL913" s="14"/>
      <c r="AM913" s="14"/>
      <c r="AN913" s="14"/>
      <c r="AO913" s="14"/>
      <c r="AP913" s="14"/>
      <c r="AQ913" s="14"/>
      <c r="AR913" s="14"/>
    </row>
    <row r="914" ht="22.5" customHeight="1">
      <c r="A914" s="204"/>
      <c r="B914" s="200"/>
      <c r="C914" s="20"/>
      <c r="D914" s="14"/>
      <c r="E914" s="201"/>
      <c r="F914" s="14"/>
      <c r="G914" s="154"/>
      <c r="H914" s="14"/>
      <c r="I914" s="155"/>
      <c r="J914" s="155"/>
      <c r="K914" s="202"/>
      <c r="L914" s="14" t="str">
        <f t="shared" si="30"/>
        <v>0</v>
      </c>
      <c r="M914" s="14"/>
      <c r="N914" s="14"/>
      <c r="O914" s="14"/>
      <c r="P914" s="14"/>
      <c r="Q914" s="14"/>
      <c r="R914" s="201"/>
      <c r="S914" s="14"/>
      <c r="T914" s="14"/>
      <c r="U914" s="14"/>
      <c r="V914" s="203"/>
      <c r="W914" s="14"/>
      <c r="X914" s="14"/>
      <c r="Y914" s="14"/>
      <c r="Z914" s="14"/>
      <c r="AA914" s="14"/>
      <c r="AB914" s="14"/>
      <c r="AC914" s="14"/>
      <c r="AD914" s="14"/>
      <c r="AE914" s="14"/>
      <c r="AF914" s="14"/>
      <c r="AG914" s="14"/>
      <c r="AH914" s="14"/>
      <c r="AI914" s="20"/>
      <c r="AJ914" s="14"/>
      <c r="AK914" s="14"/>
      <c r="AL914" s="14"/>
      <c r="AM914" s="14"/>
      <c r="AN914" s="14"/>
      <c r="AO914" s="14"/>
      <c r="AP914" s="14"/>
      <c r="AQ914" s="14"/>
      <c r="AR914" s="14"/>
    </row>
    <row r="915" ht="22.5" customHeight="1">
      <c r="A915" s="204"/>
      <c r="B915" s="205"/>
      <c r="C915" s="20"/>
      <c r="D915" s="14"/>
      <c r="E915" s="201"/>
      <c r="F915" s="14"/>
      <c r="G915" s="154"/>
      <c r="H915" s="14"/>
      <c r="I915" s="155"/>
      <c r="J915" s="155"/>
      <c r="K915" s="202"/>
      <c r="L915" s="14" t="str">
        <f t="shared" si="30"/>
        <v>0</v>
      </c>
      <c r="M915" s="14"/>
      <c r="N915" s="14"/>
      <c r="O915" s="14"/>
      <c r="P915" s="14"/>
      <c r="Q915" s="14"/>
      <c r="R915" s="201"/>
      <c r="S915" s="14"/>
      <c r="T915" s="14"/>
      <c r="U915" s="14"/>
      <c r="V915" s="203"/>
      <c r="W915" s="14"/>
      <c r="X915" s="14"/>
      <c r="Y915" s="14"/>
      <c r="Z915" s="14"/>
      <c r="AA915" s="14"/>
      <c r="AB915" s="14"/>
      <c r="AC915" s="14"/>
      <c r="AD915" s="14"/>
      <c r="AE915" s="14"/>
      <c r="AF915" s="14"/>
      <c r="AG915" s="14"/>
      <c r="AH915" s="14"/>
      <c r="AI915" s="20"/>
      <c r="AJ915" s="14"/>
      <c r="AK915" s="14"/>
      <c r="AL915" s="14"/>
      <c r="AM915" s="14"/>
      <c r="AN915" s="14"/>
      <c r="AO915" s="14"/>
      <c r="AP915" s="14"/>
      <c r="AQ915" s="14"/>
      <c r="AR915" s="14"/>
    </row>
    <row r="916" ht="22.5" customHeight="1">
      <c r="A916" s="204"/>
      <c r="B916" s="200"/>
      <c r="C916" s="20"/>
      <c r="D916" s="14"/>
      <c r="E916" s="201"/>
      <c r="F916" s="14"/>
      <c r="G916" s="154"/>
      <c r="H916" s="14"/>
      <c r="I916" s="155"/>
      <c r="J916" s="155"/>
      <c r="K916" s="202"/>
      <c r="L916" s="14" t="str">
        <f t="shared" si="30"/>
        <v>0</v>
      </c>
      <c r="M916" s="14"/>
      <c r="N916" s="14"/>
      <c r="O916" s="14"/>
      <c r="P916" s="14"/>
      <c r="Q916" s="14"/>
      <c r="R916" s="201"/>
      <c r="S916" s="14"/>
      <c r="T916" s="14"/>
      <c r="U916" s="14"/>
      <c r="V916" s="203"/>
      <c r="W916" s="14"/>
      <c r="X916" s="14"/>
      <c r="Y916" s="14"/>
      <c r="Z916" s="14"/>
      <c r="AA916" s="14"/>
      <c r="AB916" s="14"/>
      <c r="AC916" s="14"/>
      <c r="AD916" s="14"/>
      <c r="AE916" s="14"/>
      <c r="AF916" s="14"/>
      <c r="AG916" s="14"/>
      <c r="AH916" s="14"/>
      <c r="AI916" s="20"/>
      <c r="AJ916" s="14"/>
      <c r="AK916" s="14"/>
      <c r="AL916" s="14"/>
      <c r="AM916" s="14"/>
      <c r="AN916" s="14"/>
      <c r="AO916" s="14"/>
      <c r="AP916" s="14"/>
      <c r="AQ916" s="14"/>
      <c r="AR916" s="14"/>
    </row>
    <row r="917" ht="22.5" customHeight="1">
      <c r="A917" s="204"/>
      <c r="B917" s="205"/>
      <c r="C917" s="20"/>
      <c r="D917" s="14"/>
      <c r="E917" s="201"/>
      <c r="F917" s="14"/>
      <c r="G917" s="154"/>
      <c r="H917" s="14"/>
      <c r="I917" s="155"/>
      <c r="J917" s="155"/>
      <c r="K917" s="202"/>
      <c r="L917" s="14" t="str">
        <f t="shared" si="30"/>
        <v>0</v>
      </c>
      <c r="M917" s="14"/>
      <c r="N917" s="14"/>
      <c r="O917" s="14"/>
      <c r="P917" s="14"/>
      <c r="Q917" s="14"/>
      <c r="R917" s="201"/>
      <c r="S917" s="14"/>
      <c r="T917" s="14"/>
      <c r="U917" s="14"/>
      <c r="V917" s="203"/>
      <c r="W917" s="14"/>
      <c r="X917" s="14"/>
      <c r="Y917" s="14"/>
      <c r="Z917" s="14"/>
      <c r="AA917" s="14"/>
      <c r="AB917" s="14"/>
      <c r="AC917" s="14"/>
      <c r="AD917" s="14"/>
      <c r="AE917" s="14"/>
      <c r="AF917" s="14"/>
      <c r="AG917" s="14"/>
      <c r="AH917" s="14"/>
      <c r="AI917" s="20"/>
      <c r="AJ917" s="14"/>
      <c r="AK917" s="14"/>
      <c r="AL917" s="14"/>
      <c r="AM917" s="14"/>
      <c r="AN917" s="14"/>
      <c r="AO917" s="14"/>
      <c r="AP917" s="14"/>
      <c r="AQ917" s="14"/>
      <c r="AR917" s="14"/>
    </row>
    <row r="918" ht="22.5" customHeight="1">
      <c r="A918" s="204"/>
      <c r="B918" s="200"/>
      <c r="C918" s="20"/>
      <c r="D918" s="14"/>
      <c r="E918" s="201"/>
      <c r="F918" s="14"/>
      <c r="G918" s="154"/>
      <c r="H918" s="14"/>
      <c r="I918" s="155"/>
      <c r="J918" s="155"/>
      <c r="K918" s="202"/>
      <c r="L918" s="14" t="str">
        <f t="shared" si="30"/>
        <v>0</v>
      </c>
      <c r="M918" s="14"/>
      <c r="N918" s="14"/>
      <c r="O918" s="14"/>
      <c r="P918" s="14"/>
      <c r="Q918" s="14"/>
      <c r="R918" s="201"/>
      <c r="S918" s="14"/>
      <c r="T918" s="14"/>
      <c r="U918" s="14"/>
      <c r="V918" s="203"/>
      <c r="W918" s="14"/>
      <c r="X918" s="14"/>
      <c r="Y918" s="14"/>
      <c r="Z918" s="14"/>
      <c r="AA918" s="14"/>
      <c r="AB918" s="14"/>
      <c r="AC918" s="14"/>
      <c r="AD918" s="14"/>
      <c r="AE918" s="14"/>
      <c r="AF918" s="14"/>
      <c r="AG918" s="14"/>
      <c r="AH918" s="14"/>
      <c r="AI918" s="20"/>
      <c r="AJ918" s="14"/>
      <c r="AK918" s="14"/>
      <c r="AL918" s="14"/>
      <c r="AM918" s="14"/>
      <c r="AN918" s="14"/>
      <c r="AO918" s="14"/>
      <c r="AP918" s="14"/>
      <c r="AQ918" s="14"/>
      <c r="AR918" s="14"/>
    </row>
    <row r="919" ht="22.5" customHeight="1">
      <c r="A919" s="204"/>
      <c r="B919" s="205"/>
      <c r="C919" s="20"/>
      <c r="D919" s="14"/>
      <c r="E919" s="201"/>
      <c r="F919" s="14"/>
      <c r="G919" s="154"/>
      <c r="H919" s="14"/>
      <c r="I919" s="155"/>
      <c r="J919" s="155"/>
      <c r="K919" s="202"/>
      <c r="L919" s="14" t="str">
        <f t="shared" si="30"/>
        <v>0</v>
      </c>
      <c r="M919" s="14"/>
      <c r="N919" s="14"/>
      <c r="O919" s="14"/>
      <c r="P919" s="14"/>
      <c r="Q919" s="14"/>
      <c r="R919" s="201"/>
      <c r="S919" s="14"/>
      <c r="T919" s="14"/>
      <c r="U919" s="14"/>
      <c r="V919" s="203"/>
      <c r="W919" s="14"/>
      <c r="X919" s="14"/>
      <c r="Y919" s="14"/>
      <c r="Z919" s="14"/>
      <c r="AA919" s="14"/>
      <c r="AB919" s="14"/>
      <c r="AC919" s="14"/>
      <c r="AD919" s="14"/>
      <c r="AE919" s="14"/>
      <c r="AF919" s="14"/>
      <c r="AG919" s="14"/>
      <c r="AH919" s="14"/>
      <c r="AI919" s="20"/>
      <c r="AJ919" s="14"/>
      <c r="AK919" s="14"/>
      <c r="AL919" s="14"/>
      <c r="AM919" s="14"/>
      <c r="AN919" s="14"/>
      <c r="AO919" s="14"/>
      <c r="AP919" s="14"/>
      <c r="AQ919" s="14"/>
      <c r="AR919" s="14"/>
    </row>
    <row r="920" ht="22.5" customHeight="1">
      <c r="A920" s="204"/>
      <c r="B920" s="200"/>
      <c r="C920" s="20"/>
      <c r="D920" s="14"/>
      <c r="E920" s="201"/>
      <c r="F920" s="14"/>
      <c r="G920" s="154"/>
      <c r="H920" s="14"/>
      <c r="I920" s="155"/>
      <c r="J920" s="155"/>
      <c r="K920" s="202"/>
      <c r="L920" s="14" t="str">
        <f t="shared" si="30"/>
        <v>0</v>
      </c>
      <c r="M920" s="14"/>
      <c r="N920" s="14"/>
      <c r="O920" s="14"/>
      <c r="P920" s="14"/>
      <c r="Q920" s="14"/>
      <c r="R920" s="201"/>
      <c r="S920" s="14"/>
      <c r="T920" s="14"/>
      <c r="U920" s="14"/>
      <c r="V920" s="203"/>
      <c r="W920" s="14"/>
      <c r="X920" s="14"/>
      <c r="Y920" s="14"/>
      <c r="Z920" s="14"/>
      <c r="AA920" s="14"/>
      <c r="AB920" s="14"/>
      <c r="AC920" s="14"/>
      <c r="AD920" s="14"/>
      <c r="AE920" s="14"/>
      <c r="AF920" s="14"/>
      <c r="AG920" s="14"/>
      <c r="AH920" s="14"/>
      <c r="AI920" s="20"/>
      <c r="AJ920" s="14"/>
      <c r="AK920" s="14"/>
      <c r="AL920" s="14"/>
      <c r="AM920" s="14"/>
      <c r="AN920" s="14"/>
      <c r="AO920" s="14"/>
      <c r="AP920" s="14"/>
      <c r="AQ920" s="14"/>
      <c r="AR920" s="14"/>
    </row>
    <row r="921" ht="22.5" customHeight="1">
      <c r="A921" s="204"/>
      <c r="B921" s="205"/>
      <c r="C921" s="20"/>
      <c r="D921" s="14"/>
      <c r="E921" s="201"/>
      <c r="F921" s="14"/>
      <c r="G921" s="154"/>
      <c r="H921" s="14"/>
      <c r="I921" s="155"/>
      <c r="J921" s="155"/>
      <c r="K921" s="202"/>
      <c r="L921" s="14" t="str">
        <f t="shared" si="30"/>
        <v>0</v>
      </c>
      <c r="M921" s="14"/>
      <c r="N921" s="14"/>
      <c r="O921" s="14"/>
      <c r="P921" s="14"/>
      <c r="Q921" s="14"/>
      <c r="R921" s="201"/>
      <c r="S921" s="14"/>
      <c r="T921" s="14"/>
      <c r="U921" s="14"/>
      <c r="V921" s="203"/>
      <c r="W921" s="14"/>
      <c r="X921" s="14"/>
      <c r="Y921" s="14"/>
      <c r="Z921" s="14"/>
      <c r="AA921" s="14"/>
      <c r="AB921" s="14"/>
      <c r="AC921" s="14"/>
      <c r="AD921" s="14"/>
      <c r="AE921" s="14"/>
      <c r="AF921" s="14"/>
      <c r="AG921" s="14"/>
      <c r="AH921" s="14"/>
      <c r="AI921" s="20"/>
      <c r="AJ921" s="14"/>
      <c r="AK921" s="14"/>
      <c r="AL921" s="14"/>
      <c r="AM921" s="14"/>
      <c r="AN921" s="14"/>
      <c r="AO921" s="14"/>
      <c r="AP921" s="14"/>
      <c r="AQ921" s="14"/>
      <c r="AR921" s="14"/>
    </row>
    <row r="922" ht="22.5" customHeight="1">
      <c r="A922" s="204"/>
      <c r="B922" s="200"/>
      <c r="C922" s="20"/>
      <c r="D922" s="14"/>
      <c r="E922" s="201"/>
      <c r="F922" s="14"/>
      <c r="G922" s="154"/>
      <c r="H922" s="14"/>
      <c r="I922" s="155"/>
      <c r="J922" s="155"/>
      <c r="K922" s="202"/>
      <c r="L922" s="14" t="str">
        <f t="shared" si="30"/>
        <v>0</v>
      </c>
      <c r="M922" s="14"/>
      <c r="N922" s="14"/>
      <c r="O922" s="14"/>
      <c r="P922" s="14"/>
      <c r="Q922" s="14"/>
      <c r="R922" s="201"/>
      <c r="S922" s="14"/>
      <c r="T922" s="14"/>
      <c r="U922" s="14"/>
      <c r="V922" s="203"/>
      <c r="W922" s="14"/>
      <c r="X922" s="14"/>
      <c r="Y922" s="14"/>
      <c r="Z922" s="14"/>
      <c r="AA922" s="14"/>
      <c r="AB922" s="14"/>
      <c r="AC922" s="14"/>
      <c r="AD922" s="14"/>
      <c r="AE922" s="14"/>
      <c r="AF922" s="14"/>
      <c r="AG922" s="14"/>
      <c r="AH922" s="14"/>
      <c r="AI922" s="20"/>
      <c r="AJ922" s="14"/>
      <c r="AK922" s="14"/>
      <c r="AL922" s="14"/>
      <c r="AM922" s="14"/>
      <c r="AN922" s="14"/>
      <c r="AO922" s="14"/>
      <c r="AP922" s="14"/>
      <c r="AQ922" s="14"/>
      <c r="AR922" s="14"/>
    </row>
    <row r="923" ht="22.5" customHeight="1">
      <c r="A923" s="204"/>
      <c r="B923" s="205"/>
      <c r="C923" s="20"/>
      <c r="D923" s="14"/>
      <c r="E923" s="201"/>
      <c r="F923" s="14"/>
      <c r="G923" s="154"/>
      <c r="H923" s="14"/>
      <c r="I923" s="155"/>
      <c r="J923" s="155"/>
      <c r="K923" s="202"/>
      <c r="L923" s="14" t="str">
        <f t="shared" si="30"/>
        <v>0</v>
      </c>
      <c r="M923" s="14"/>
      <c r="N923" s="14"/>
      <c r="O923" s="14"/>
      <c r="P923" s="14"/>
      <c r="Q923" s="14"/>
      <c r="R923" s="201"/>
      <c r="S923" s="14"/>
      <c r="T923" s="14"/>
      <c r="U923" s="14"/>
      <c r="V923" s="203"/>
      <c r="W923" s="14"/>
      <c r="X923" s="14"/>
      <c r="Y923" s="14"/>
      <c r="Z923" s="14"/>
      <c r="AA923" s="14"/>
      <c r="AB923" s="14"/>
      <c r="AC923" s="14"/>
      <c r="AD923" s="14"/>
      <c r="AE923" s="14"/>
      <c r="AF923" s="14"/>
      <c r="AG923" s="14"/>
      <c r="AH923" s="14"/>
      <c r="AI923" s="20"/>
      <c r="AJ923" s="14"/>
      <c r="AK923" s="14"/>
      <c r="AL923" s="14"/>
      <c r="AM923" s="14"/>
      <c r="AN923" s="14"/>
      <c r="AO923" s="14"/>
      <c r="AP923" s="14"/>
      <c r="AQ923" s="14"/>
      <c r="AR923" s="14"/>
    </row>
    <row r="924" ht="22.5" customHeight="1">
      <c r="A924" s="204"/>
      <c r="B924" s="200"/>
      <c r="C924" s="20"/>
      <c r="D924" s="14"/>
      <c r="E924" s="201"/>
      <c r="F924" s="14"/>
      <c r="G924" s="154"/>
      <c r="H924" s="14"/>
      <c r="I924" s="155"/>
      <c r="J924" s="155"/>
      <c r="K924" s="202"/>
      <c r="L924" s="14" t="str">
        <f t="shared" si="30"/>
        <v>0</v>
      </c>
      <c r="M924" s="14"/>
      <c r="N924" s="14"/>
      <c r="O924" s="14"/>
      <c r="P924" s="14"/>
      <c r="Q924" s="14"/>
      <c r="R924" s="201"/>
      <c r="S924" s="14"/>
      <c r="T924" s="14"/>
      <c r="U924" s="14"/>
      <c r="V924" s="203"/>
      <c r="W924" s="14"/>
      <c r="X924" s="14"/>
      <c r="Y924" s="14"/>
      <c r="Z924" s="14"/>
      <c r="AA924" s="14"/>
      <c r="AB924" s="14"/>
      <c r="AC924" s="14"/>
      <c r="AD924" s="14"/>
      <c r="AE924" s="14"/>
      <c r="AF924" s="14"/>
      <c r="AG924" s="14"/>
      <c r="AH924" s="14"/>
      <c r="AI924" s="20"/>
      <c r="AJ924" s="14"/>
      <c r="AK924" s="14"/>
      <c r="AL924" s="14"/>
      <c r="AM924" s="14"/>
      <c r="AN924" s="14"/>
      <c r="AO924" s="14"/>
      <c r="AP924" s="14"/>
      <c r="AQ924" s="14"/>
      <c r="AR924" s="14"/>
    </row>
    <row r="925" ht="22.5" customHeight="1">
      <c r="A925" s="204"/>
      <c r="B925" s="205"/>
      <c r="C925" s="20"/>
      <c r="D925" s="14"/>
      <c r="E925" s="201"/>
      <c r="F925" s="14"/>
      <c r="G925" s="154"/>
      <c r="H925" s="14"/>
      <c r="I925" s="155"/>
      <c r="J925" s="155"/>
      <c r="K925" s="202"/>
      <c r="L925" s="14" t="str">
        <f t="shared" si="30"/>
        <v>0</v>
      </c>
      <c r="M925" s="14"/>
      <c r="N925" s="14"/>
      <c r="O925" s="14"/>
      <c r="P925" s="14"/>
      <c r="Q925" s="14"/>
      <c r="R925" s="201"/>
      <c r="S925" s="14"/>
      <c r="T925" s="14"/>
      <c r="U925" s="14"/>
      <c r="V925" s="203"/>
      <c r="W925" s="14"/>
      <c r="X925" s="14"/>
      <c r="Y925" s="14"/>
      <c r="Z925" s="14"/>
      <c r="AA925" s="14"/>
      <c r="AB925" s="14"/>
      <c r="AC925" s="14"/>
      <c r="AD925" s="14"/>
      <c r="AE925" s="14"/>
      <c r="AF925" s="14"/>
      <c r="AG925" s="14"/>
      <c r="AH925" s="14"/>
      <c r="AI925" s="20"/>
      <c r="AJ925" s="14"/>
      <c r="AK925" s="14"/>
      <c r="AL925" s="14"/>
      <c r="AM925" s="14"/>
      <c r="AN925" s="14"/>
      <c r="AO925" s="14"/>
      <c r="AP925" s="14"/>
      <c r="AQ925" s="14"/>
      <c r="AR925" s="14"/>
    </row>
    <row r="926" ht="22.5" customHeight="1">
      <c r="A926" s="204"/>
      <c r="B926" s="200"/>
      <c r="C926" s="20"/>
      <c r="D926" s="14"/>
      <c r="E926" s="201"/>
      <c r="F926" s="14"/>
      <c r="G926" s="154"/>
      <c r="H926" s="14"/>
      <c r="I926" s="155"/>
      <c r="J926" s="155"/>
      <c r="K926" s="202"/>
      <c r="L926" s="14" t="str">
        <f t="shared" si="30"/>
        <v>0</v>
      </c>
      <c r="M926" s="14"/>
      <c r="N926" s="14"/>
      <c r="O926" s="14"/>
      <c r="P926" s="14"/>
      <c r="Q926" s="14"/>
      <c r="R926" s="201"/>
      <c r="S926" s="14"/>
      <c r="T926" s="14"/>
      <c r="U926" s="14"/>
      <c r="V926" s="203"/>
      <c r="W926" s="14"/>
      <c r="X926" s="14"/>
      <c r="Y926" s="14"/>
      <c r="Z926" s="14"/>
      <c r="AA926" s="14"/>
      <c r="AB926" s="14"/>
      <c r="AC926" s="14"/>
      <c r="AD926" s="14"/>
      <c r="AE926" s="14"/>
      <c r="AF926" s="14"/>
      <c r="AG926" s="14"/>
      <c r="AH926" s="14"/>
      <c r="AI926" s="20"/>
      <c r="AJ926" s="14"/>
      <c r="AK926" s="14"/>
      <c r="AL926" s="14"/>
      <c r="AM926" s="14"/>
      <c r="AN926" s="14"/>
      <c r="AO926" s="14"/>
      <c r="AP926" s="14"/>
      <c r="AQ926" s="14"/>
      <c r="AR926" s="14"/>
    </row>
    <row r="927" ht="22.5" customHeight="1">
      <c r="A927" s="204"/>
      <c r="B927" s="205"/>
      <c r="C927" s="20"/>
      <c r="D927" s="14"/>
      <c r="E927" s="201"/>
      <c r="F927" s="14"/>
      <c r="G927" s="154"/>
      <c r="H927" s="14"/>
      <c r="I927" s="155"/>
      <c r="J927" s="155"/>
      <c r="K927" s="202"/>
      <c r="L927" s="14" t="str">
        <f t="shared" si="30"/>
        <v>0</v>
      </c>
      <c r="M927" s="14"/>
      <c r="N927" s="14"/>
      <c r="O927" s="14"/>
      <c r="P927" s="14"/>
      <c r="Q927" s="14"/>
      <c r="R927" s="201"/>
      <c r="S927" s="14"/>
      <c r="T927" s="14"/>
      <c r="U927" s="14"/>
      <c r="V927" s="203"/>
      <c r="W927" s="14"/>
      <c r="X927" s="14"/>
      <c r="Y927" s="14"/>
      <c r="Z927" s="14"/>
      <c r="AA927" s="14"/>
      <c r="AB927" s="14"/>
      <c r="AC927" s="14"/>
      <c r="AD927" s="14"/>
      <c r="AE927" s="14"/>
      <c r="AF927" s="14"/>
      <c r="AG927" s="14"/>
      <c r="AH927" s="14"/>
      <c r="AI927" s="20"/>
      <c r="AJ927" s="14"/>
      <c r="AK927" s="14"/>
      <c r="AL927" s="14"/>
      <c r="AM927" s="14"/>
      <c r="AN927" s="14"/>
      <c r="AO927" s="14"/>
      <c r="AP927" s="14"/>
      <c r="AQ927" s="14"/>
      <c r="AR927" s="14"/>
    </row>
    <row r="928" ht="22.5" customHeight="1">
      <c r="A928" s="204"/>
      <c r="B928" s="200"/>
      <c r="C928" s="20"/>
      <c r="D928" s="14"/>
      <c r="E928" s="201"/>
      <c r="F928" s="14"/>
      <c r="G928" s="154"/>
      <c r="H928" s="14"/>
      <c r="I928" s="155"/>
      <c r="J928" s="155"/>
      <c r="K928" s="202"/>
      <c r="L928" s="14" t="str">
        <f t="shared" si="30"/>
        <v>0</v>
      </c>
      <c r="M928" s="14"/>
      <c r="N928" s="14"/>
      <c r="O928" s="14"/>
      <c r="P928" s="14"/>
      <c r="Q928" s="14"/>
      <c r="R928" s="201"/>
      <c r="S928" s="14"/>
      <c r="T928" s="14"/>
      <c r="U928" s="14"/>
      <c r="V928" s="203"/>
      <c r="W928" s="14"/>
      <c r="X928" s="14"/>
      <c r="Y928" s="14"/>
      <c r="Z928" s="14"/>
      <c r="AA928" s="14"/>
      <c r="AB928" s="14"/>
      <c r="AC928" s="14"/>
      <c r="AD928" s="14"/>
      <c r="AE928" s="14"/>
      <c r="AF928" s="14"/>
      <c r="AG928" s="14"/>
      <c r="AH928" s="14"/>
      <c r="AI928" s="20"/>
      <c r="AJ928" s="14"/>
      <c r="AK928" s="14"/>
      <c r="AL928" s="14"/>
      <c r="AM928" s="14"/>
      <c r="AN928" s="14"/>
      <c r="AO928" s="14"/>
      <c r="AP928" s="14"/>
      <c r="AQ928" s="14"/>
      <c r="AR928" s="14"/>
    </row>
    <row r="929" ht="22.5" customHeight="1">
      <c r="A929" s="204"/>
      <c r="B929" s="205"/>
      <c r="C929" s="20"/>
      <c r="D929" s="14"/>
      <c r="E929" s="201"/>
      <c r="F929" s="14"/>
      <c r="G929" s="154"/>
      <c r="H929" s="14"/>
      <c r="I929" s="155"/>
      <c r="J929" s="155"/>
      <c r="K929" s="202"/>
      <c r="L929" s="14" t="str">
        <f t="shared" si="30"/>
        <v>0</v>
      </c>
      <c r="M929" s="14"/>
      <c r="N929" s="14"/>
      <c r="O929" s="14"/>
      <c r="P929" s="14"/>
      <c r="Q929" s="14"/>
      <c r="R929" s="201"/>
      <c r="S929" s="14"/>
      <c r="T929" s="14"/>
      <c r="U929" s="14"/>
      <c r="V929" s="203"/>
      <c r="W929" s="14"/>
      <c r="X929" s="14"/>
      <c r="Y929" s="14"/>
      <c r="Z929" s="14"/>
      <c r="AA929" s="14"/>
      <c r="AB929" s="14"/>
      <c r="AC929" s="14"/>
      <c r="AD929" s="14"/>
      <c r="AE929" s="14"/>
      <c r="AF929" s="14"/>
      <c r="AG929" s="14"/>
      <c r="AH929" s="14"/>
      <c r="AI929" s="20"/>
      <c r="AJ929" s="14"/>
      <c r="AK929" s="14"/>
      <c r="AL929" s="14"/>
      <c r="AM929" s="14"/>
      <c r="AN929" s="14"/>
      <c r="AO929" s="14"/>
      <c r="AP929" s="14"/>
      <c r="AQ929" s="14"/>
      <c r="AR929" s="14"/>
    </row>
    <row r="930" ht="22.5" customHeight="1">
      <c r="A930" s="204"/>
      <c r="B930" s="200"/>
      <c r="C930" s="20"/>
      <c r="D930" s="14"/>
      <c r="E930" s="201"/>
      <c r="F930" s="14"/>
      <c r="G930" s="154"/>
      <c r="H930" s="14"/>
      <c r="I930" s="155"/>
      <c r="J930" s="155"/>
      <c r="K930" s="202"/>
      <c r="L930" s="14" t="str">
        <f t="shared" si="30"/>
        <v>0</v>
      </c>
      <c r="M930" s="14"/>
      <c r="N930" s="14"/>
      <c r="O930" s="14"/>
      <c r="P930" s="14"/>
      <c r="Q930" s="14"/>
      <c r="R930" s="201"/>
      <c r="S930" s="14"/>
      <c r="T930" s="14"/>
      <c r="U930" s="14"/>
      <c r="V930" s="203"/>
      <c r="W930" s="14"/>
      <c r="X930" s="14"/>
      <c r="Y930" s="14"/>
      <c r="Z930" s="14"/>
      <c r="AA930" s="14"/>
      <c r="AB930" s="14"/>
      <c r="AC930" s="14"/>
      <c r="AD930" s="14"/>
      <c r="AE930" s="14"/>
      <c r="AF930" s="14"/>
      <c r="AG930" s="14"/>
      <c r="AH930" s="14"/>
      <c r="AI930" s="20"/>
      <c r="AJ930" s="14"/>
      <c r="AK930" s="14"/>
      <c r="AL930" s="14"/>
      <c r="AM930" s="14"/>
      <c r="AN930" s="14"/>
      <c r="AO930" s="14"/>
      <c r="AP930" s="14"/>
      <c r="AQ930" s="14"/>
      <c r="AR930" s="14"/>
    </row>
    <row r="931" ht="22.5" customHeight="1">
      <c r="A931" s="204"/>
      <c r="B931" s="205"/>
      <c r="C931" s="20"/>
      <c r="D931" s="14"/>
      <c r="E931" s="201"/>
      <c r="F931" s="14"/>
      <c r="G931" s="154"/>
      <c r="H931" s="14"/>
      <c r="I931" s="155"/>
      <c r="J931" s="155"/>
      <c r="K931" s="202"/>
      <c r="L931" s="14" t="str">
        <f t="shared" si="30"/>
        <v>0</v>
      </c>
      <c r="M931" s="14"/>
      <c r="N931" s="14"/>
      <c r="O931" s="14"/>
      <c r="P931" s="14"/>
      <c r="Q931" s="14"/>
      <c r="R931" s="201"/>
      <c r="S931" s="14"/>
      <c r="T931" s="14"/>
      <c r="U931" s="14"/>
      <c r="V931" s="203"/>
      <c r="W931" s="14"/>
      <c r="X931" s="14"/>
      <c r="Y931" s="14"/>
      <c r="Z931" s="14"/>
      <c r="AA931" s="14"/>
      <c r="AB931" s="14"/>
      <c r="AC931" s="14"/>
      <c r="AD931" s="14"/>
      <c r="AE931" s="14"/>
      <c r="AF931" s="14"/>
      <c r="AG931" s="14"/>
      <c r="AH931" s="14"/>
      <c r="AI931" s="20"/>
      <c r="AJ931" s="14"/>
      <c r="AK931" s="14"/>
      <c r="AL931" s="14"/>
      <c r="AM931" s="14"/>
      <c r="AN931" s="14"/>
      <c r="AO931" s="14"/>
      <c r="AP931" s="14"/>
      <c r="AQ931" s="14"/>
      <c r="AR931" s="14"/>
    </row>
    <row r="932" ht="22.5" customHeight="1">
      <c r="A932" s="204"/>
      <c r="B932" s="200"/>
      <c r="C932" s="20"/>
      <c r="D932" s="14"/>
      <c r="E932" s="201"/>
      <c r="F932" s="14"/>
      <c r="G932" s="154"/>
      <c r="H932" s="14"/>
      <c r="I932" s="155"/>
      <c r="J932" s="155"/>
      <c r="K932" s="202"/>
      <c r="L932" s="14" t="str">
        <f t="shared" si="30"/>
        <v>0</v>
      </c>
      <c r="M932" s="14"/>
      <c r="N932" s="14"/>
      <c r="O932" s="14"/>
      <c r="P932" s="14"/>
      <c r="Q932" s="14"/>
      <c r="R932" s="201"/>
      <c r="S932" s="14"/>
      <c r="T932" s="14"/>
      <c r="U932" s="14"/>
      <c r="V932" s="203"/>
      <c r="W932" s="14"/>
      <c r="X932" s="14"/>
      <c r="Y932" s="14"/>
      <c r="Z932" s="14"/>
      <c r="AA932" s="14"/>
      <c r="AB932" s="14"/>
      <c r="AC932" s="14"/>
      <c r="AD932" s="14"/>
      <c r="AE932" s="14"/>
      <c r="AF932" s="14"/>
      <c r="AG932" s="14"/>
      <c r="AH932" s="14"/>
      <c r="AI932" s="20"/>
      <c r="AJ932" s="14"/>
      <c r="AK932" s="14"/>
      <c r="AL932" s="14"/>
      <c r="AM932" s="14"/>
      <c r="AN932" s="14"/>
      <c r="AO932" s="14"/>
      <c r="AP932" s="14"/>
      <c r="AQ932" s="14"/>
      <c r="AR932" s="14"/>
    </row>
    <row r="933" ht="22.5" customHeight="1">
      <c r="A933" s="204"/>
      <c r="B933" s="205"/>
      <c r="C933" s="20"/>
      <c r="D933" s="14"/>
      <c r="E933" s="201"/>
      <c r="F933" s="14"/>
      <c r="G933" s="154"/>
      <c r="H933" s="14"/>
      <c r="I933" s="155"/>
      <c r="J933" s="155"/>
      <c r="K933" s="202"/>
      <c r="L933" s="14" t="str">
        <f t="shared" si="30"/>
        <v>0</v>
      </c>
      <c r="M933" s="14"/>
      <c r="N933" s="14"/>
      <c r="O933" s="14"/>
      <c r="P933" s="14"/>
      <c r="Q933" s="14"/>
      <c r="R933" s="201"/>
      <c r="S933" s="14"/>
      <c r="T933" s="14"/>
      <c r="U933" s="14"/>
      <c r="V933" s="203"/>
      <c r="W933" s="14"/>
      <c r="X933" s="14"/>
      <c r="Y933" s="14"/>
      <c r="Z933" s="14"/>
      <c r="AA933" s="14"/>
      <c r="AB933" s="14"/>
      <c r="AC933" s="14"/>
      <c r="AD933" s="14"/>
      <c r="AE933" s="14"/>
      <c r="AF933" s="14"/>
      <c r="AG933" s="14"/>
      <c r="AH933" s="14"/>
      <c r="AI933" s="20"/>
      <c r="AJ933" s="14"/>
      <c r="AK933" s="14"/>
      <c r="AL933" s="14"/>
      <c r="AM933" s="14"/>
      <c r="AN933" s="14"/>
      <c r="AO933" s="14"/>
      <c r="AP933" s="14"/>
      <c r="AQ933" s="14"/>
      <c r="AR933" s="14"/>
    </row>
    <row r="934" ht="22.5" customHeight="1">
      <c r="A934" s="204"/>
      <c r="B934" s="200"/>
      <c r="C934" s="20"/>
      <c r="D934" s="14"/>
      <c r="E934" s="201"/>
      <c r="F934" s="14"/>
      <c r="G934" s="154"/>
      <c r="H934" s="14"/>
      <c r="I934" s="155"/>
      <c r="J934" s="155"/>
      <c r="K934" s="202"/>
      <c r="L934" s="14" t="str">
        <f t="shared" si="30"/>
        <v>0</v>
      </c>
      <c r="M934" s="14"/>
      <c r="N934" s="14"/>
      <c r="O934" s="14"/>
      <c r="P934" s="14"/>
      <c r="Q934" s="14"/>
      <c r="R934" s="201"/>
      <c r="S934" s="14"/>
      <c r="T934" s="14"/>
      <c r="U934" s="14"/>
      <c r="V934" s="203"/>
      <c r="W934" s="14"/>
      <c r="X934" s="14"/>
      <c r="Y934" s="14"/>
      <c r="Z934" s="14"/>
      <c r="AA934" s="14"/>
      <c r="AB934" s="14"/>
      <c r="AC934" s="14"/>
      <c r="AD934" s="14"/>
      <c r="AE934" s="14"/>
      <c r="AF934" s="14"/>
      <c r="AG934" s="14"/>
      <c r="AH934" s="14"/>
      <c r="AI934" s="20"/>
      <c r="AJ934" s="14"/>
      <c r="AK934" s="14"/>
      <c r="AL934" s="14"/>
      <c r="AM934" s="14"/>
      <c r="AN934" s="14"/>
      <c r="AO934" s="14"/>
      <c r="AP934" s="14"/>
      <c r="AQ934" s="14"/>
      <c r="AR934" s="14"/>
    </row>
    <row r="935" ht="22.5" customHeight="1">
      <c r="A935" s="204"/>
      <c r="B935" s="205"/>
      <c r="C935" s="20"/>
      <c r="D935" s="14"/>
      <c r="E935" s="201"/>
      <c r="F935" s="14"/>
      <c r="G935" s="154"/>
      <c r="H935" s="14"/>
      <c r="I935" s="155"/>
      <c r="J935" s="155"/>
      <c r="K935" s="202"/>
      <c r="L935" s="14" t="str">
        <f t="shared" si="30"/>
        <v>0</v>
      </c>
      <c r="M935" s="14"/>
      <c r="N935" s="14"/>
      <c r="O935" s="14"/>
      <c r="P935" s="14"/>
      <c r="Q935" s="14"/>
      <c r="R935" s="201"/>
      <c r="S935" s="14"/>
      <c r="T935" s="14"/>
      <c r="U935" s="14"/>
      <c r="V935" s="203"/>
      <c r="W935" s="14"/>
      <c r="X935" s="14"/>
      <c r="Y935" s="14"/>
      <c r="Z935" s="14"/>
      <c r="AA935" s="14"/>
      <c r="AB935" s="14"/>
      <c r="AC935" s="14"/>
      <c r="AD935" s="14"/>
      <c r="AE935" s="14"/>
      <c r="AF935" s="14"/>
      <c r="AG935" s="14"/>
      <c r="AH935" s="14"/>
      <c r="AI935" s="20"/>
      <c r="AJ935" s="14"/>
      <c r="AK935" s="14"/>
      <c r="AL935" s="14"/>
      <c r="AM935" s="14"/>
      <c r="AN935" s="14"/>
      <c r="AO935" s="14"/>
      <c r="AP935" s="14"/>
      <c r="AQ935" s="14"/>
      <c r="AR935" s="14"/>
    </row>
    <row r="936" ht="22.5" customHeight="1">
      <c r="A936" s="204"/>
      <c r="B936" s="200"/>
      <c r="C936" s="20"/>
      <c r="D936" s="14"/>
      <c r="E936" s="201"/>
      <c r="F936" s="14"/>
      <c r="G936" s="154"/>
      <c r="H936" s="14"/>
      <c r="I936" s="155"/>
      <c r="J936" s="155"/>
      <c r="K936" s="202"/>
      <c r="L936" s="14" t="str">
        <f t="shared" si="30"/>
        <v>0</v>
      </c>
      <c r="M936" s="14"/>
      <c r="N936" s="14"/>
      <c r="O936" s="14"/>
      <c r="P936" s="14"/>
      <c r="Q936" s="14"/>
      <c r="R936" s="201"/>
      <c r="S936" s="14"/>
      <c r="T936" s="14"/>
      <c r="U936" s="14"/>
      <c r="V936" s="203"/>
      <c r="W936" s="14"/>
      <c r="X936" s="14"/>
      <c r="Y936" s="14"/>
      <c r="Z936" s="14"/>
      <c r="AA936" s="14"/>
      <c r="AB936" s="14"/>
      <c r="AC936" s="14"/>
      <c r="AD936" s="14"/>
      <c r="AE936" s="14"/>
      <c r="AF936" s="14"/>
      <c r="AG936" s="14"/>
      <c r="AH936" s="14"/>
      <c r="AI936" s="20"/>
      <c r="AJ936" s="14"/>
      <c r="AK936" s="14"/>
      <c r="AL936" s="14"/>
      <c r="AM936" s="14"/>
      <c r="AN936" s="14"/>
      <c r="AO936" s="14"/>
      <c r="AP936" s="14"/>
      <c r="AQ936" s="14"/>
      <c r="AR936" s="14"/>
    </row>
    <row r="937" ht="22.5" customHeight="1">
      <c r="A937" s="204"/>
      <c r="B937" s="205"/>
      <c r="C937" s="20"/>
      <c r="D937" s="14"/>
      <c r="E937" s="201"/>
      <c r="F937" s="14"/>
      <c r="G937" s="154"/>
      <c r="H937" s="14"/>
      <c r="I937" s="155"/>
      <c r="J937" s="155"/>
      <c r="K937" s="202"/>
      <c r="L937" s="14" t="str">
        <f t="shared" si="30"/>
        <v>0</v>
      </c>
      <c r="M937" s="14"/>
      <c r="N937" s="14"/>
      <c r="O937" s="14"/>
      <c r="P937" s="14"/>
      <c r="Q937" s="14"/>
      <c r="R937" s="201"/>
      <c r="S937" s="14"/>
      <c r="T937" s="14"/>
      <c r="U937" s="14"/>
      <c r="V937" s="203"/>
      <c r="W937" s="14"/>
      <c r="X937" s="14"/>
      <c r="Y937" s="14"/>
      <c r="Z937" s="14"/>
      <c r="AA937" s="14"/>
      <c r="AB937" s="14"/>
      <c r="AC937" s="14"/>
      <c r="AD937" s="14"/>
      <c r="AE937" s="14"/>
      <c r="AF937" s="14"/>
      <c r="AG937" s="14"/>
      <c r="AH937" s="14"/>
      <c r="AI937" s="20"/>
      <c r="AJ937" s="14"/>
      <c r="AK937" s="14"/>
      <c r="AL937" s="14"/>
      <c r="AM937" s="14"/>
      <c r="AN937" s="14"/>
      <c r="AO937" s="14"/>
      <c r="AP937" s="14"/>
      <c r="AQ937" s="14"/>
      <c r="AR937" s="14"/>
    </row>
    <row r="938" ht="22.5" customHeight="1">
      <c r="A938" s="204"/>
      <c r="B938" s="200"/>
      <c r="C938" s="20"/>
      <c r="D938" s="14"/>
      <c r="E938" s="201"/>
      <c r="F938" s="14"/>
      <c r="G938" s="154"/>
      <c r="H938" s="14"/>
      <c r="I938" s="155"/>
      <c r="J938" s="155"/>
      <c r="K938" s="202"/>
      <c r="L938" s="14" t="str">
        <f t="shared" si="30"/>
        <v>0</v>
      </c>
      <c r="M938" s="14"/>
      <c r="N938" s="14"/>
      <c r="O938" s="14"/>
      <c r="P938" s="14"/>
      <c r="Q938" s="14"/>
      <c r="R938" s="201"/>
      <c r="S938" s="14"/>
      <c r="T938" s="14"/>
      <c r="U938" s="14"/>
      <c r="V938" s="203"/>
      <c r="W938" s="14"/>
      <c r="X938" s="14"/>
      <c r="Y938" s="14"/>
      <c r="Z938" s="14"/>
      <c r="AA938" s="14"/>
      <c r="AB938" s="14"/>
      <c r="AC938" s="14"/>
      <c r="AD938" s="14"/>
      <c r="AE938" s="14"/>
      <c r="AF938" s="14"/>
      <c r="AG938" s="14"/>
      <c r="AH938" s="14"/>
      <c r="AI938" s="20"/>
      <c r="AJ938" s="14"/>
      <c r="AK938" s="14"/>
      <c r="AL938" s="14"/>
      <c r="AM938" s="14"/>
      <c r="AN938" s="14"/>
      <c r="AO938" s="14"/>
      <c r="AP938" s="14"/>
      <c r="AQ938" s="14"/>
      <c r="AR938" s="14"/>
    </row>
    <row r="939" ht="22.5" customHeight="1">
      <c r="A939" s="204"/>
      <c r="B939" s="205"/>
      <c r="C939" s="20"/>
      <c r="D939" s="14"/>
      <c r="E939" s="201"/>
      <c r="F939" s="14"/>
      <c r="G939" s="154"/>
      <c r="H939" s="14"/>
      <c r="I939" s="155"/>
      <c r="J939" s="155"/>
      <c r="K939" s="202"/>
      <c r="L939" s="14" t="str">
        <f t="shared" si="30"/>
        <v>0</v>
      </c>
      <c r="M939" s="14"/>
      <c r="N939" s="14"/>
      <c r="O939" s="14"/>
      <c r="P939" s="14"/>
      <c r="Q939" s="14"/>
      <c r="R939" s="201"/>
      <c r="S939" s="14"/>
      <c r="T939" s="14"/>
      <c r="U939" s="14"/>
      <c r="V939" s="203"/>
      <c r="W939" s="14"/>
      <c r="X939" s="14"/>
      <c r="Y939" s="14"/>
      <c r="Z939" s="14"/>
      <c r="AA939" s="14"/>
      <c r="AB939" s="14"/>
      <c r="AC939" s="14"/>
      <c r="AD939" s="14"/>
      <c r="AE939" s="14"/>
      <c r="AF939" s="14"/>
      <c r="AG939" s="14"/>
      <c r="AH939" s="14"/>
      <c r="AI939" s="20"/>
      <c r="AJ939" s="14"/>
      <c r="AK939" s="14"/>
      <c r="AL939" s="14"/>
      <c r="AM939" s="14"/>
      <c r="AN939" s="14"/>
      <c r="AO939" s="14"/>
      <c r="AP939" s="14"/>
      <c r="AQ939" s="14"/>
      <c r="AR939" s="14"/>
    </row>
    <row r="940" ht="22.5" customHeight="1">
      <c r="A940" s="204"/>
      <c r="B940" s="200"/>
      <c r="C940" s="20"/>
      <c r="D940" s="14"/>
      <c r="E940" s="201"/>
      <c r="F940" s="14"/>
      <c r="G940" s="154"/>
      <c r="H940" s="14"/>
      <c r="I940" s="155"/>
      <c r="J940" s="155"/>
      <c r="K940" s="202"/>
      <c r="L940" s="14" t="str">
        <f t="shared" si="30"/>
        <v>0</v>
      </c>
      <c r="M940" s="14"/>
      <c r="N940" s="14"/>
      <c r="O940" s="14"/>
      <c r="P940" s="14"/>
      <c r="Q940" s="14"/>
      <c r="R940" s="201"/>
      <c r="S940" s="14"/>
      <c r="T940" s="14"/>
      <c r="U940" s="14"/>
      <c r="V940" s="203"/>
      <c r="W940" s="14"/>
      <c r="X940" s="14"/>
      <c r="Y940" s="14"/>
      <c r="Z940" s="14"/>
      <c r="AA940" s="14"/>
      <c r="AB940" s="14"/>
      <c r="AC940" s="14"/>
      <c r="AD940" s="14"/>
      <c r="AE940" s="14"/>
      <c r="AF940" s="14"/>
      <c r="AG940" s="14"/>
      <c r="AH940" s="14"/>
      <c r="AI940" s="20"/>
      <c r="AJ940" s="14"/>
      <c r="AK940" s="14"/>
      <c r="AL940" s="14"/>
      <c r="AM940" s="14"/>
      <c r="AN940" s="14"/>
      <c r="AO940" s="14"/>
      <c r="AP940" s="14"/>
      <c r="AQ940" s="14"/>
      <c r="AR940" s="14"/>
    </row>
    <row r="941" ht="22.5" customHeight="1">
      <c r="A941" s="204"/>
      <c r="B941" s="205"/>
      <c r="C941" s="20"/>
      <c r="D941" s="14"/>
      <c r="E941" s="201"/>
      <c r="F941" s="14"/>
      <c r="G941" s="154"/>
      <c r="H941" s="14"/>
      <c r="I941" s="155"/>
      <c r="J941" s="155"/>
      <c r="K941" s="202"/>
      <c r="L941" s="14" t="str">
        <f t="shared" si="30"/>
        <v>0</v>
      </c>
      <c r="M941" s="14"/>
      <c r="N941" s="14"/>
      <c r="O941" s="14"/>
      <c r="P941" s="14"/>
      <c r="Q941" s="14"/>
      <c r="R941" s="201"/>
      <c r="S941" s="14"/>
      <c r="T941" s="14"/>
      <c r="U941" s="14"/>
      <c r="V941" s="203"/>
      <c r="W941" s="14"/>
      <c r="X941" s="14"/>
      <c r="Y941" s="14"/>
      <c r="Z941" s="14"/>
      <c r="AA941" s="14"/>
      <c r="AB941" s="14"/>
      <c r="AC941" s="14"/>
      <c r="AD941" s="14"/>
      <c r="AE941" s="14"/>
      <c r="AF941" s="14"/>
      <c r="AG941" s="14"/>
      <c r="AH941" s="14"/>
      <c r="AI941" s="20"/>
      <c r="AJ941" s="14"/>
      <c r="AK941" s="14"/>
      <c r="AL941" s="14"/>
      <c r="AM941" s="14"/>
      <c r="AN941" s="14"/>
      <c r="AO941" s="14"/>
      <c r="AP941" s="14"/>
      <c r="AQ941" s="14"/>
      <c r="AR941" s="14"/>
    </row>
    <row r="942" ht="22.5" customHeight="1">
      <c r="A942" s="204"/>
      <c r="B942" s="200"/>
      <c r="C942" s="20"/>
      <c r="D942" s="14"/>
      <c r="E942" s="201"/>
      <c r="F942" s="14"/>
      <c r="G942" s="154"/>
      <c r="H942" s="14"/>
      <c r="I942" s="155"/>
      <c r="J942" s="155"/>
      <c r="K942" s="202"/>
      <c r="L942" s="14" t="str">
        <f t="shared" si="30"/>
        <v>0</v>
      </c>
      <c r="M942" s="14"/>
      <c r="N942" s="14"/>
      <c r="O942" s="14"/>
      <c r="P942" s="14"/>
      <c r="Q942" s="14"/>
      <c r="R942" s="201"/>
      <c r="S942" s="14"/>
      <c r="T942" s="14"/>
      <c r="U942" s="14"/>
      <c r="V942" s="203"/>
      <c r="W942" s="14"/>
      <c r="X942" s="14"/>
      <c r="Y942" s="14"/>
      <c r="Z942" s="14"/>
      <c r="AA942" s="14"/>
      <c r="AB942" s="14"/>
      <c r="AC942" s="14"/>
      <c r="AD942" s="14"/>
      <c r="AE942" s="14"/>
      <c r="AF942" s="14"/>
      <c r="AG942" s="14"/>
      <c r="AH942" s="14"/>
      <c r="AI942" s="20"/>
      <c r="AJ942" s="14"/>
      <c r="AK942" s="14"/>
      <c r="AL942" s="14"/>
      <c r="AM942" s="14"/>
      <c r="AN942" s="14"/>
      <c r="AO942" s="14"/>
      <c r="AP942" s="14"/>
      <c r="AQ942" s="14"/>
      <c r="AR942" s="14"/>
    </row>
    <row r="943" ht="22.5" customHeight="1">
      <c r="A943" s="204"/>
      <c r="B943" s="205"/>
      <c r="C943" s="20"/>
      <c r="D943" s="14"/>
      <c r="E943" s="201"/>
      <c r="F943" s="14"/>
      <c r="G943" s="154"/>
      <c r="H943" s="14"/>
      <c r="I943" s="155"/>
      <c r="J943" s="155"/>
      <c r="K943" s="202"/>
      <c r="L943" s="14" t="str">
        <f t="shared" si="30"/>
        <v>0</v>
      </c>
      <c r="M943" s="14"/>
      <c r="N943" s="14"/>
      <c r="O943" s="14"/>
      <c r="P943" s="14"/>
      <c r="Q943" s="14"/>
      <c r="R943" s="201"/>
      <c r="S943" s="14"/>
      <c r="T943" s="14"/>
      <c r="U943" s="14"/>
      <c r="V943" s="203"/>
      <c r="W943" s="14"/>
      <c r="X943" s="14"/>
      <c r="Y943" s="14"/>
      <c r="Z943" s="14"/>
      <c r="AA943" s="14"/>
      <c r="AB943" s="14"/>
      <c r="AC943" s="14"/>
      <c r="AD943" s="14"/>
      <c r="AE943" s="14"/>
      <c r="AF943" s="14"/>
      <c r="AG943" s="14"/>
      <c r="AH943" s="14"/>
      <c r="AI943" s="20"/>
      <c r="AJ943" s="14"/>
      <c r="AK943" s="14"/>
      <c r="AL943" s="14"/>
      <c r="AM943" s="14"/>
      <c r="AN943" s="14"/>
      <c r="AO943" s="14"/>
      <c r="AP943" s="14"/>
      <c r="AQ943" s="14"/>
      <c r="AR943" s="14"/>
    </row>
    <row r="944" ht="22.5" customHeight="1">
      <c r="A944" s="204"/>
      <c r="B944" s="200"/>
      <c r="C944" s="20"/>
      <c r="D944" s="14"/>
      <c r="E944" s="201"/>
      <c r="F944" s="14"/>
      <c r="G944" s="154"/>
      <c r="H944" s="14"/>
      <c r="I944" s="155"/>
      <c r="J944" s="155"/>
      <c r="K944" s="202"/>
      <c r="L944" s="14" t="str">
        <f t="shared" si="30"/>
        <v>0</v>
      </c>
      <c r="M944" s="14"/>
      <c r="N944" s="14"/>
      <c r="O944" s="14"/>
      <c r="P944" s="14"/>
      <c r="Q944" s="14"/>
      <c r="R944" s="201"/>
      <c r="S944" s="14"/>
      <c r="T944" s="14"/>
      <c r="U944" s="14"/>
      <c r="V944" s="203"/>
      <c r="W944" s="14"/>
      <c r="X944" s="14"/>
      <c r="Y944" s="14"/>
      <c r="Z944" s="14"/>
      <c r="AA944" s="14"/>
      <c r="AB944" s="14"/>
      <c r="AC944" s="14"/>
      <c r="AD944" s="14"/>
      <c r="AE944" s="14"/>
      <c r="AF944" s="14"/>
      <c r="AG944" s="14"/>
      <c r="AH944" s="14"/>
      <c r="AI944" s="20"/>
      <c r="AJ944" s="14"/>
      <c r="AK944" s="14"/>
      <c r="AL944" s="14"/>
      <c r="AM944" s="14"/>
      <c r="AN944" s="14"/>
      <c r="AO944" s="14"/>
      <c r="AP944" s="14"/>
      <c r="AQ944" s="14"/>
      <c r="AR944" s="14"/>
    </row>
    <row r="945" ht="22.5" customHeight="1">
      <c r="A945" s="204"/>
      <c r="B945" s="205"/>
      <c r="C945" s="20"/>
      <c r="D945" s="14"/>
      <c r="E945" s="201"/>
      <c r="F945" s="14"/>
      <c r="G945" s="154"/>
      <c r="H945" s="14"/>
      <c r="I945" s="155"/>
      <c r="J945" s="155"/>
      <c r="K945" s="202"/>
      <c r="L945" s="14" t="str">
        <f t="shared" si="30"/>
        <v>0</v>
      </c>
      <c r="M945" s="14"/>
      <c r="N945" s="14"/>
      <c r="O945" s="14"/>
      <c r="P945" s="14"/>
      <c r="Q945" s="14"/>
      <c r="R945" s="201"/>
      <c r="S945" s="14"/>
      <c r="T945" s="14"/>
      <c r="U945" s="14"/>
      <c r="V945" s="203"/>
      <c r="W945" s="14"/>
      <c r="X945" s="14"/>
      <c r="Y945" s="14"/>
      <c r="Z945" s="14"/>
      <c r="AA945" s="14"/>
      <c r="AB945" s="14"/>
      <c r="AC945" s="14"/>
      <c r="AD945" s="14"/>
      <c r="AE945" s="14"/>
      <c r="AF945" s="14"/>
      <c r="AG945" s="14"/>
      <c r="AH945" s="14"/>
      <c r="AI945" s="20"/>
      <c r="AJ945" s="14"/>
      <c r="AK945" s="14"/>
      <c r="AL945" s="14"/>
      <c r="AM945" s="14"/>
      <c r="AN945" s="14"/>
      <c r="AO945" s="14"/>
      <c r="AP945" s="14"/>
      <c r="AQ945" s="14"/>
      <c r="AR945" s="14"/>
    </row>
    <row r="946" ht="22.5" customHeight="1">
      <c r="A946" s="204"/>
      <c r="B946" s="200"/>
      <c r="C946" s="20"/>
      <c r="D946" s="14"/>
      <c r="E946" s="201"/>
      <c r="F946" s="14"/>
      <c r="G946" s="154"/>
      <c r="H946" s="14"/>
      <c r="I946" s="155"/>
      <c r="J946" s="155"/>
      <c r="K946" s="202"/>
      <c r="L946" s="14" t="str">
        <f t="shared" si="30"/>
        <v>0</v>
      </c>
      <c r="M946" s="14"/>
      <c r="N946" s="14"/>
      <c r="O946" s="14"/>
      <c r="P946" s="14"/>
      <c r="Q946" s="14"/>
      <c r="R946" s="201"/>
      <c r="S946" s="14"/>
      <c r="T946" s="14"/>
      <c r="U946" s="14"/>
      <c r="V946" s="203"/>
      <c r="W946" s="14"/>
      <c r="X946" s="14"/>
      <c r="Y946" s="14"/>
      <c r="Z946" s="14"/>
      <c r="AA946" s="14"/>
      <c r="AB946" s="14"/>
      <c r="AC946" s="14"/>
      <c r="AD946" s="14"/>
      <c r="AE946" s="14"/>
      <c r="AF946" s="14"/>
      <c r="AG946" s="14"/>
      <c r="AH946" s="14"/>
      <c r="AI946" s="20"/>
      <c r="AJ946" s="14"/>
      <c r="AK946" s="14"/>
      <c r="AL946" s="14"/>
      <c r="AM946" s="14"/>
      <c r="AN946" s="14"/>
      <c r="AO946" s="14"/>
      <c r="AP946" s="14"/>
      <c r="AQ946" s="14"/>
      <c r="AR946" s="14"/>
    </row>
    <row r="947" ht="22.5" customHeight="1">
      <c r="A947" s="204"/>
      <c r="B947" s="205"/>
      <c r="C947" s="20"/>
      <c r="D947" s="14"/>
      <c r="E947" s="201"/>
      <c r="F947" s="14"/>
      <c r="G947" s="154"/>
      <c r="H947" s="14"/>
      <c r="I947" s="155"/>
      <c r="J947" s="155"/>
      <c r="K947" s="202"/>
      <c r="L947" s="14" t="str">
        <f t="shared" si="30"/>
        <v>0</v>
      </c>
      <c r="M947" s="14"/>
      <c r="N947" s="14"/>
      <c r="O947" s="14"/>
      <c r="P947" s="14"/>
      <c r="Q947" s="14"/>
      <c r="R947" s="201"/>
      <c r="S947" s="14"/>
      <c r="T947" s="14"/>
      <c r="U947" s="14"/>
      <c r="V947" s="203"/>
      <c r="W947" s="14"/>
      <c r="X947" s="14"/>
      <c r="Y947" s="14"/>
      <c r="Z947" s="14"/>
      <c r="AA947" s="14"/>
      <c r="AB947" s="14"/>
      <c r="AC947" s="14"/>
      <c r="AD947" s="14"/>
      <c r="AE947" s="14"/>
      <c r="AF947" s="14"/>
      <c r="AG947" s="14"/>
      <c r="AH947" s="14"/>
      <c r="AI947" s="20"/>
      <c r="AJ947" s="14"/>
      <c r="AK947" s="14"/>
      <c r="AL947" s="14"/>
      <c r="AM947" s="14"/>
      <c r="AN947" s="14"/>
      <c r="AO947" s="14"/>
      <c r="AP947" s="14"/>
      <c r="AQ947" s="14"/>
      <c r="AR947" s="14"/>
    </row>
    <row r="948" ht="22.5" customHeight="1">
      <c r="A948" s="204"/>
      <c r="B948" s="200"/>
      <c r="C948" s="20"/>
      <c r="D948" s="14"/>
      <c r="E948" s="201"/>
      <c r="F948" s="14"/>
      <c r="G948" s="154"/>
      <c r="H948" s="14"/>
      <c r="I948" s="155"/>
      <c r="J948" s="155"/>
      <c r="K948" s="202"/>
      <c r="L948" s="14" t="str">
        <f t="shared" si="30"/>
        <v>0</v>
      </c>
      <c r="M948" s="14"/>
      <c r="N948" s="14"/>
      <c r="O948" s="14"/>
      <c r="P948" s="14"/>
      <c r="Q948" s="14"/>
      <c r="R948" s="201"/>
      <c r="S948" s="14"/>
      <c r="T948" s="14"/>
      <c r="U948" s="14"/>
      <c r="V948" s="203"/>
      <c r="W948" s="14"/>
      <c r="X948" s="14"/>
      <c r="Y948" s="14"/>
      <c r="Z948" s="14"/>
      <c r="AA948" s="14"/>
      <c r="AB948" s="14"/>
      <c r="AC948" s="14"/>
      <c r="AD948" s="14"/>
      <c r="AE948" s="14"/>
      <c r="AF948" s="14"/>
      <c r="AG948" s="14"/>
      <c r="AH948" s="14"/>
      <c r="AI948" s="20"/>
      <c r="AJ948" s="14"/>
      <c r="AK948" s="14"/>
      <c r="AL948" s="14"/>
      <c r="AM948" s="14"/>
      <c r="AN948" s="14"/>
      <c r="AO948" s="14"/>
      <c r="AP948" s="14"/>
      <c r="AQ948" s="14"/>
      <c r="AR948" s="14"/>
    </row>
    <row r="949" ht="22.5" customHeight="1">
      <c r="A949" s="204"/>
      <c r="B949" s="205"/>
      <c r="C949" s="20"/>
      <c r="D949" s="14"/>
      <c r="E949" s="201"/>
      <c r="F949" s="14"/>
      <c r="G949" s="154"/>
      <c r="H949" s="14"/>
      <c r="I949" s="155"/>
      <c r="J949" s="155"/>
      <c r="K949" s="202"/>
      <c r="L949" s="14" t="str">
        <f t="shared" si="30"/>
        <v>0</v>
      </c>
      <c r="M949" s="14"/>
      <c r="N949" s="14"/>
      <c r="O949" s="14"/>
      <c r="P949" s="14"/>
      <c r="Q949" s="14"/>
      <c r="R949" s="201"/>
      <c r="S949" s="14"/>
      <c r="T949" s="14"/>
      <c r="U949" s="14"/>
      <c r="V949" s="203"/>
      <c r="W949" s="14"/>
      <c r="X949" s="14"/>
      <c r="Y949" s="14"/>
      <c r="Z949" s="14"/>
      <c r="AA949" s="14"/>
      <c r="AB949" s="14"/>
      <c r="AC949" s="14"/>
      <c r="AD949" s="14"/>
      <c r="AE949" s="14"/>
      <c r="AF949" s="14"/>
      <c r="AG949" s="14"/>
      <c r="AH949" s="14"/>
      <c r="AI949" s="20"/>
      <c r="AJ949" s="14"/>
      <c r="AK949" s="14"/>
      <c r="AL949" s="14"/>
      <c r="AM949" s="14"/>
      <c r="AN949" s="14"/>
      <c r="AO949" s="14"/>
      <c r="AP949" s="14"/>
      <c r="AQ949" s="14"/>
      <c r="AR949" s="14"/>
    </row>
    <row r="950" ht="22.5" customHeight="1">
      <c r="A950" s="204"/>
      <c r="B950" s="200"/>
      <c r="C950" s="20"/>
      <c r="D950" s="14"/>
      <c r="E950" s="201"/>
      <c r="F950" s="14"/>
      <c r="G950" s="154"/>
      <c r="H950" s="14"/>
      <c r="I950" s="155"/>
      <c r="J950" s="155"/>
      <c r="K950" s="202"/>
      <c r="L950" s="14" t="str">
        <f t="shared" si="30"/>
        <v>0</v>
      </c>
      <c r="M950" s="14"/>
      <c r="N950" s="14"/>
      <c r="O950" s="14"/>
      <c r="P950" s="14"/>
      <c r="Q950" s="14"/>
      <c r="R950" s="201"/>
      <c r="S950" s="14"/>
      <c r="T950" s="14"/>
      <c r="U950" s="14"/>
      <c r="V950" s="203"/>
      <c r="W950" s="14"/>
      <c r="X950" s="14"/>
      <c r="Y950" s="14"/>
      <c r="Z950" s="14"/>
      <c r="AA950" s="14"/>
      <c r="AB950" s="14"/>
      <c r="AC950" s="14"/>
      <c r="AD950" s="14"/>
      <c r="AE950" s="14"/>
      <c r="AF950" s="14"/>
      <c r="AG950" s="14"/>
      <c r="AH950" s="14"/>
      <c r="AI950" s="20"/>
      <c r="AJ950" s="14"/>
      <c r="AK950" s="14"/>
      <c r="AL950" s="14"/>
      <c r="AM950" s="14"/>
      <c r="AN950" s="14"/>
      <c r="AO950" s="14"/>
      <c r="AP950" s="14"/>
      <c r="AQ950" s="14"/>
      <c r="AR950" s="14"/>
    </row>
    <row r="951" ht="22.5" customHeight="1">
      <c r="A951" s="204"/>
      <c r="B951" s="205"/>
      <c r="C951" s="20"/>
      <c r="D951" s="14"/>
      <c r="E951" s="201"/>
      <c r="F951" s="14"/>
      <c r="G951" s="154"/>
      <c r="H951" s="14"/>
      <c r="I951" s="155"/>
      <c r="J951" s="155"/>
      <c r="K951" s="202"/>
      <c r="L951" s="14" t="str">
        <f t="shared" si="30"/>
        <v>0</v>
      </c>
      <c r="M951" s="14"/>
      <c r="N951" s="14"/>
      <c r="O951" s="14"/>
      <c r="P951" s="14"/>
      <c r="Q951" s="14"/>
      <c r="R951" s="201"/>
      <c r="S951" s="14"/>
      <c r="T951" s="14"/>
      <c r="U951" s="14"/>
      <c r="V951" s="203"/>
      <c r="W951" s="14"/>
      <c r="X951" s="14"/>
      <c r="Y951" s="14"/>
      <c r="Z951" s="14"/>
      <c r="AA951" s="14"/>
      <c r="AB951" s="14"/>
      <c r="AC951" s="14"/>
      <c r="AD951" s="14"/>
      <c r="AE951" s="14"/>
      <c r="AF951" s="14"/>
      <c r="AG951" s="14"/>
      <c r="AH951" s="14"/>
      <c r="AI951" s="20"/>
      <c r="AJ951" s="14"/>
      <c r="AK951" s="14"/>
      <c r="AL951" s="14"/>
      <c r="AM951" s="14"/>
      <c r="AN951" s="14"/>
      <c r="AO951" s="14"/>
      <c r="AP951" s="14"/>
      <c r="AQ951" s="14"/>
      <c r="AR951" s="14"/>
    </row>
    <row r="952" ht="22.5" customHeight="1">
      <c r="A952" s="204"/>
      <c r="B952" s="200"/>
      <c r="C952" s="20"/>
      <c r="D952" s="14"/>
      <c r="E952" s="201"/>
      <c r="F952" s="14"/>
      <c r="G952" s="154"/>
      <c r="H952" s="14"/>
      <c r="I952" s="155"/>
      <c r="J952" s="155"/>
      <c r="K952" s="202"/>
      <c r="L952" s="14" t="str">
        <f t="shared" si="30"/>
        <v>0</v>
      </c>
      <c r="M952" s="14"/>
      <c r="N952" s="14"/>
      <c r="O952" s="14"/>
      <c r="P952" s="14"/>
      <c r="Q952" s="14"/>
      <c r="R952" s="201"/>
      <c r="S952" s="14"/>
      <c r="T952" s="14"/>
      <c r="U952" s="14"/>
      <c r="V952" s="203"/>
      <c r="W952" s="14"/>
      <c r="X952" s="14"/>
      <c r="Y952" s="14"/>
      <c r="Z952" s="14"/>
      <c r="AA952" s="14"/>
      <c r="AB952" s="14"/>
      <c r="AC952" s="14"/>
      <c r="AD952" s="14"/>
      <c r="AE952" s="14"/>
      <c r="AF952" s="14"/>
      <c r="AG952" s="14"/>
      <c r="AH952" s="14"/>
      <c r="AI952" s="20"/>
      <c r="AJ952" s="14"/>
      <c r="AK952" s="14"/>
      <c r="AL952" s="14"/>
      <c r="AM952" s="14"/>
      <c r="AN952" s="14"/>
      <c r="AO952" s="14"/>
      <c r="AP952" s="14"/>
      <c r="AQ952" s="14"/>
      <c r="AR952" s="14"/>
    </row>
    <row r="953" ht="22.5" customHeight="1">
      <c r="A953" s="204"/>
      <c r="B953" s="205"/>
      <c r="C953" s="20"/>
      <c r="D953" s="14"/>
      <c r="E953" s="201"/>
      <c r="F953" s="14"/>
      <c r="G953" s="154"/>
      <c r="H953" s="14"/>
      <c r="I953" s="155"/>
      <c r="J953" s="155"/>
      <c r="K953" s="202"/>
      <c r="L953" s="14" t="str">
        <f t="shared" si="30"/>
        <v>0</v>
      </c>
      <c r="M953" s="14"/>
      <c r="N953" s="14"/>
      <c r="O953" s="14"/>
      <c r="P953" s="14"/>
      <c r="Q953" s="14"/>
      <c r="R953" s="201"/>
      <c r="S953" s="14"/>
      <c r="T953" s="14"/>
      <c r="U953" s="14"/>
      <c r="V953" s="203"/>
      <c r="W953" s="14"/>
      <c r="X953" s="14"/>
      <c r="Y953" s="14"/>
      <c r="Z953" s="14"/>
      <c r="AA953" s="14"/>
      <c r="AB953" s="14"/>
      <c r="AC953" s="14"/>
      <c r="AD953" s="14"/>
      <c r="AE953" s="14"/>
      <c r="AF953" s="14"/>
      <c r="AG953" s="14"/>
      <c r="AH953" s="14"/>
      <c r="AI953" s="20"/>
      <c r="AJ953" s="14"/>
      <c r="AK953" s="14"/>
      <c r="AL953" s="14"/>
      <c r="AM953" s="14"/>
      <c r="AN953" s="14"/>
      <c r="AO953" s="14"/>
      <c r="AP953" s="14"/>
      <c r="AQ953" s="14"/>
      <c r="AR953" s="14"/>
    </row>
    <row r="954" ht="22.5" customHeight="1">
      <c r="A954" s="204"/>
      <c r="B954" s="200"/>
      <c r="C954" s="20"/>
      <c r="D954" s="14"/>
      <c r="E954" s="201"/>
      <c r="F954" s="14"/>
      <c r="G954" s="154"/>
      <c r="H954" s="14"/>
      <c r="I954" s="155"/>
      <c r="J954" s="155"/>
      <c r="K954" s="202"/>
      <c r="L954" s="14" t="str">
        <f t="shared" si="30"/>
        <v>0</v>
      </c>
      <c r="M954" s="14"/>
      <c r="N954" s="14"/>
      <c r="O954" s="14"/>
      <c r="P954" s="14"/>
      <c r="Q954" s="14"/>
      <c r="R954" s="201"/>
      <c r="S954" s="14"/>
      <c r="T954" s="14"/>
      <c r="U954" s="14"/>
      <c r="V954" s="203"/>
      <c r="W954" s="14"/>
      <c r="X954" s="14"/>
      <c r="Y954" s="14"/>
      <c r="Z954" s="14"/>
      <c r="AA954" s="14"/>
      <c r="AB954" s="14"/>
      <c r="AC954" s="14"/>
      <c r="AD954" s="14"/>
      <c r="AE954" s="14"/>
      <c r="AF954" s="14"/>
      <c r="AG954" s="14"/>
      <c r="AH954" s="14"/>
      <c r="AI954" s="20"/>
      <c r="AJ954" s="14"/>
      <c r="AK954" s="14"/>
      <c r="AL954" s="14"/>
      <c r="AM954" s="14"/>
      <c r="AN954" s="14"/>
      <c r="AO954" s="14"/>
      <c r="AP954" s="14"/>
      <c r="AQ954" s="14"/>
      <c r="AR954" s="14"/>
    </row>
    <row r="955" ht="22.5" customHeight="1">
      <c r="A955" s="204"/>
      <c r="B955" s="205"/>
      <c r="C955" s="20"/>
      <c r="D955" s="14"/>
      <c r="E955" s="201"/>
      <c r="F955" s="14"/>
      <c r="G955" s="154"/>
      <c r="H955" s="14"/>
      <c r="I955" s="155"/>
      <c r="J955" s="155"/>
      <c r="K955" s="202"/>
      <c r="L955" s="14" t="str">
        <f t="shared" si="30"/>
        <v>0</v>
      </c>
      <c r="M955" s="14"/>
      <c r="N955" s="14"/>
      <c r="O955" s="14"/>
      <c r="P955" s="14"/>
      <c r="Q955" s="14"/>
      <c r="R955" s="201"/>
      <c r="S955" s="14"/>
      <c r="T955" s="14"/>
      <c r="U955" s="14"/>
      <c r="V955" s="203"/>
      <c r="W955" s="14"/>
      <c r="X955" s="14"/>
      <c r="Y955" s="14"/>
      <c r="Z955" s="14"/>
      <c r="AA955" s="14"/>
      <c r="AB955" s="14"/>
      <c r="AC955" s="14"/>
      <c r="AD955" s="14"/>
      <c r="AE955" s="14"/>
      <c r="AF955" s="14"/>
      <c r="AG955" s="14"/>
      <c r="AH955" s="14"/>
      <c r="AI955" s="20"/>
      <c r="AJ955" s="14"/>
      <c r="AK955" s="14"/>
      <c r="AL955" s="14"/>
      <c r="AM955" s="14"/>
      <c r="AN955" s="14"/>
      <c r="AO955" s="14"/>
      <c r="AP955" s="14"/>
      <c r="AQ955" s="14"/>
      <c r="AR955" s="14"/>
    </row>
    <row r="956" ht="22.5" customHeight="1">
      <c r="A956" s="204"/>
      <c r="B956" s="200"/>
      <c r="C956" s="20"/>
      <c r="D956" s="14"/>
      <c r="E956" s="201"/>
      <c r="F956" s="14"/>
      <c r="G956" s="154"/>
      <c r="H956" s="14"/>
      <c r="I956" s="155"/>
      <c r="J956" s="155"/>
      <c r="K956" s="202"/>
      <c r="L956" s="14" t="str">
        <f t="shared" si="30"/>
        <v>0</v>
      </c>
      <c r="M956" s="14"/>
      <c r="N956" s="14"/>
      <c r="O956" s="14"/>
      <c r="P956" s="14"/>
      <c r="Q956" s="14"/>
      <c r="R956" s="201"/>
      <c r="S956" s="14"/>
      <c r="T956" s="14"/>
      <c r="U956" s="14"/>
      <c r="V956" s="203"/>
      <c r="W956" s="14"/>
      <c r="X956" s="14"/>
      <c r="Y956" s="14"/>
      <c r="Z956" s="14"/>
      <c r="AA956" s="14"/>
      <c r="AB956" s="14"/>
      <c r="AC956" s="14"/>
      <c r="AD956" s="14"/>
      <c r="AE956" s="14"/>
      <c r="AF956" s="14"/>
      <c r="AG956" s="14"/>
      <c r="AH956" s="14"/>
      <c r="AI956" s="20"/>
      <c r="AJ956" s="14"/>
      <c r="AK956" s="14"/>
      <c r="AL956" s="14"/>
      <c r="AM956" s="14"/>
      <c r="AN956" s="14"/>
      <c r="AO956" s="14"/>
      <c r="AP956" s="14"/>
      <c r="AQ956" s="14"/>
      <c r="AR956" s="14"/>
    </row>
    <row r="957" ht="22.5" customHeight="1">
      <c r="A957" s="204"/>
      <c r="B957" s="205"/>
      <c r="C957" s="20"/>
      <c r="D957" s="14"/>
      <c r="E957" s="201"/>
      <c r="F957" s="14"/>
      <c r="G957" s="154"/>
      <c r="H957" s="14"/>
      <c r="I957" s="155"/>
      <c r="J957" s="155"/>
      <c r="K957" s="202"/>
      <c r="L957" s="14" t="str">
        <f t="shared" si="30"/>
        <v>0</v>
      </c>
      <c r="M957" s="14"/>
      <c r="N957" s="14"/>
      <c r="O957" s="14"/>
      <c r="P957" s="14"/>
      <c r="Q957" s="14"/>
      <c r="R957" s="201"/>
      <c r="S957" s="14"/>
      <c r="T957" s="14"/>
      <c r="U957" s="14"/>
      <c r="V957" s="203"/>
      <c r="W957" s="14"/>
      <c r="X957" s="14"/>
      <c r="Y957" s="14"/>
      <c r="Z957" s="14"/>
      <c r="AA957" s="14"/>
      <c r="AB957" s="14"/>
      <c r="AC957" s="14"/>
      <c r="AD957" s="14"/>
      <c r="AE957" s="14"/>
      <c r="AF957" s="14"/>
      <c r="AG957" s="14"/>
      <c r="AH957" s="14"/>
      <c r="AI957" s="20"/>
      <c r="AJ957" s="14"/>
      <c r="AK957" s="14"/>
      <c r="AL957" s="14"/>
      <c r="AM957" s="14"/>
      <c r="AN957" s="14"/>
      <c r="AO957" s="14"/>
      <c r="AP957" s="14"/>
      <c r="AQ957" s="14"/>
      <c r="AR957" s="14"/>
    </row>
    <row r="958" ht="22.5" customHeight="1">
      <c r="A958" s="204"/>
      <c r="B958" s="200"/>
      <c r="C958" s="20"/>
      <c r="D958" s="14"/>
      <c r="E958" s="201"/>
      <c r="F958" s="14"/>
      <c r="G958" s="154"/>
      <c r="H958" s="14"/>
      <c r="I958" s="155"/>
      <c r="J958" s="155"/>
      <c r="K958" s="202"/>
      <c r="L958" s="14" t="str">
        <f t="shared" si="30"/>
        <v>0</v>
      </c>
      <c r="M958" s="14"/>
      <c r="N958" s="14"/>
      <c r="O958" s="14"/>
      <c r="P958" s="14"/>
      <c r="Q958" s="14"/>
      <c r="R958" s="201"/>
      <c r="S958" s="14"/>
      <c r="T958" s="14"/>
      <c r="U958" s="14"/>
      <c r="V958" s="203"/>
      <c r="W958" s="14"/>
      <c r="X958" s="14"/>
      <c r="Y958" s="14"/>
      <c r="Z958" s="14"/>
      <c r="AA958" s="14"/>
      <c r="AB958" s="14"/>
      <c r="AC958" s="14"/>
      <c r="AD958" s="14"/>
      <c r="AE958" s="14"/>
      <c r="AF958" s="14"/>
      <c r="AG958" s="14"/>
      <c r="AH958" s="14"/>
      <c r="AI958" s="20"/>
      <c r="AJ958" s="14"/>
      <c r="AK958" s="14"/>
      <c r="AL958" s="14"/>
      <c r="AM958" s="14"/>
      <c r="AN958" s="14"/>
      <c r="AO958" s="14"/>
      <c r="AP958" s="14"/>
      <c r="AQ958" s="14"/>
      <c r="AR958" s="14"/>
    </row>
    <row r="959" ht="22.5" customHeight="1">
      <c r="A959" s="204"/>
      <c r="B959" s="205"/>
      <c r="C959" s="20"/>
      <c r="D959" s="14"/>
      <c r="E959" s="201"/>
      <c r="F959" s="14"/>
      <c r="G959" s="154"/>
      <c r="H959" s="14"/>
      <c r="I959" s="155"/>
      <c r="J959" s="155"/>
      <c r="K959" s="202"/>
      <c r="L959" s="14" t="str">
        <f t="shared" si="30"/>
        <v>0</v>
      </c>
      <c r="M959" s="14"/>
      <c r="N959" s="14"/>
      <c r="O959" s="14"/>
      <c r="P959" s="14"/>
      <c r="Q959" s="14"/>
      <c r="R959" s="201"/>
      <c r="S959" s="14"/>
      <c r="T959" s="14"/>
      <c r="U959" s="14"/>
      <c r="V959" s="203"/>
      <c r="W959" s="14"/>
      <c r="X959" s="14"/>
      <c r="Y959" s="14"/>
      <c r="Z959" s="14"/>
      <c r="AA959" s="14"/>
      <c r="AB959" s="14"/>
      <c r="AC959" s="14"/>
      <c r="AD959" s="14"/>
      <c r="AE959" s="14"/>
      <c r="AF959" s="14"/>
      <c r="AG959" s="14"/>
      <c r="AH959" s="14"/>
      <c r="AI959" s="20"/>
      <c r="AJ959" s="14"/>
      <c r="AK959" s="14"/>
      <c r="AL959" s="14"/>
      <c r="AM959" s="14"/>
      <c r="AN959" s="14"/>
      <c r="AO959" s="14"/>
      <c r="AP959" s="14"/>
      <c r="AQ959" s="14"/>
      <c r="AR959" s="14"/>
    </row>
    <row r="960" ht="22.5" customHeight="1">
      <c r="A960" s="204"/>
      <c r="B960" s="200"/>
      <c r="C960" s="20"/>
      <c r="D960" s="14"/>
      <c r="E960" s="201"/>
      <c r="F960" s="14"/>
      <c r="G960" s="154"/>
      <c r="H960" s="14"/>
      <c r="I960" s="155"/>
      <c r="J960" s="155"/>
      <c r="K960" s="202"/>
      <c r="L960" s="14" t="str">
        <f t="shared" si="30"/>
        <v>0</v>
      </c>
      <c r="M960" s="14"/>
      <c r="N960" s="14"/>
      <c r="O960" s="14"/>
      <c r="P960" s="14"/>
      <c r="Q960" s="14"/>
      <c r="R960" s="201"/>
      <c r="S960" s="14"/>
      <c r="T960" s="14"/>
      <c r="U960" s="14"/>
      <c r="V960" s="203"/>
      <c r="W960" s="14"/>
      <c r="X960" s="14"/>
      <c r="Y960" s="14"/>
      <c r="Z960" s="14"/>
      <c r="AA960" s="14"/>
      <c r="AB960" s="14"/>
      <c r="AC960" s="14"/>
      <c r="AD960" s="14"/>
      <c r="AE960" s="14"/>
      <c r="AF960" s="14"/>
      <c r="AG960" s="14"/>
      <c r="AH960" s="14"/>
      <c r="AI960" s="20"/>
      <c r="AJ960" s="14"/>
      <c r="AK960" s="14"/>
      <c r="AL960" s="14"/>
      <c r="AM960" s="14"/>
      <c r="AN960" s="14"/>
      <c r="AO960" s="14"/>
      <c r="AP960" s="14"/>
      <c r="AQ960" s="14"/>
      <c r="AR960" s="14"/>
    </row>
    <row r="961" ht="22.5" customHeight="1">
      <c r="A961" s="204"/>
      <c r="B961" s="205"/>
      <c r="C961" s="20"/>
      <c r="D961" s="14"/>
      <c r="E961" s="201"/>
      <c r="F961" s="14"/>
      <c r="G961" s="154"/>
      <c r="H961" s="14"/>
      <c r="I961" s="155"/>
      <c r="J961" s="155"/>
      <c r="K961" s="202"/>
      <c r="L961" s="14" t="str">
        <f t="shared" si="30"/>
        <v>0</v>
      </c>
      <c r="M961" s="14"/>
      <c r="N961" s="14"/>
      <c r="O961" s="14"/>
      <c r="P961" s="14"/>
      <c r="Q961" s="14"/>
      <c r="R961" s="201"/>
      <c r="S961" s="14"/>
      <c r="T961" s="14"/>
      <c r="U961" s="14"/>
      <c r="V961" s="203"/>
      <c r="W961" s="14"/>
      <c r="X961" s="14"/>
      <c r="Y961" s="14"/>
      <c r="Z961" s="14"/>
      <c r="AA961" s="14"/>
      <c r="AB961" s="14"/>
      <c r="AC961" s="14"/>
      <c r="AD961" s="14"/>
      <c r="AE961" s="14"/>
      <c r="AF961" s="14"/>
      <c r="AG961" s="14"/>
      <c r="AH961" s="14"/>
      <c r="AI961" s="20"/>
      <c r="AJ961" s="14"/>
      <c r="AK961" s="14"/>
      <c r="AL961" s="14"/>
      <c r="AM961" s="14"/>
      <c r="AN961" s="14"/>
      <c r="AO961" s="14"/>
      <c r="AP961" s="14"/>
      <c r="AQ961" s="14"/>
      <c r="AR961" s="14"/>
    </row>
    <row r="962" ht="22.5" customHeight="1">
      <c r="A962" s="204"/>
      <c r="B962" s="200"/>
      <c r="C962" s="20"/>
      <c r="D962" s="14"/>
      <c r="E962" s="201"/>
      <c r="F962" s="14"/>
      <c r="G962" s="154"/>
      <c r="H962" s="14"/>
      <c r="I962" s="155"/>
      <c r="J962" s="155"/>
      <c r="K962" s="202"/>
      <c r="L962" s="14" t="str">
        <f t="shared" si="30"/>
        <v>0</v>
      </c>
      <c r="M962" s="14"/>
      <c r="N962" s="14"/>
      <c r="O962" s="14"/>
      <c r="P962" s="14"/>
      <c r="Q962" s="14"/>
      <c r="R962" s="201"/>
      <c r="S962" s="14"/>
      <c r="T962" s="14"/>
      <c r="U962" s="14"/>
      <c r="V962" s="203"/>
      <c r="W962" s="14"/>
      <c r="X962" s="14"/>
      <c r="Y962" s="14"/>
      <c r="Z962" s="14"/>
      <c r="AA962" s="14"/>
      <c r="AB962" s="14"/>
      <c r="AC962" s="14"/>
      <c r="AD962" s="14"/>
      <c r="AE962" s="14"/>
      <c r="AF962" s="14"/>
      <c r="AG962" s="14"/>
      <c r="AH962" s="14"/>
      <c r="AI962" s="20"/>
      <c r="AJ962" s="14"/>
      <c r="AK962" s="14"/>
      <c r="AL962" s="14"/>
      <c r="AM962" s="14"/>
      <c r="AN962" s="14"/>
      <c r="AO962" s="14"/>
      <c r="AP962" s="14"/>
      <c r="AQ962" s="14"/>
      <c r="AR962" s="14"/>
    </row>
    <row r="963" ht="22.5" customHeight="1">
      <c r="A963" s="204"/>
      <c r="B963" s="205"/>
      <c r="C963" s="20"/>
      <c r="D963" s="14"/>
      <c r="E963" s="201"/>
      <c r="F963" s="14"/>
      <c r="G963" s="154"/>
      <c r="H963" s="14"/>
      <c r="I963" s="155"/>
      <c r="J963" s="155"/>
      <c r="K963" s="202"/>
      <c r="L963" s="14" t="str">
        <f t="shared" si="30"/>
        <v>0</v>
      </c>
      <c r="M963" s="14"/>
      <c r="N963" s="14"/>
      <c r="O963" s="14"/>
      <c r="P963" s="14"/>
      <c r="Q963" s="14"/>
      <c r="R963" s="201"/>
      <c r="S963" s="14"/>
      <c r="T963" s="14"/>
      <c r="U963" s="14"/>
      <c r="V963" s="203"/>
      <c r="W963" s="14"/>
      <c r="X963" s="14"/>
      <c r="Y963" s="14"/>
      <c r="Z963" s="14"/>
      <c r="AA963" s="14"/>
      <c r="AB963" s="14"/>
      <c r="AC963" s="14"/>
      <c r="AD963" s="14"/>
      <c r="AE963" s="14"/>
      <c r="AF963" s="14"/>
      <c r="AG963" s="14"/>
      <c r="AH963" s="14"/>
      <c r="AI963" s="20"/>
      <c r="AJ963" s="14"/>
      <c r="AK963" s="14"/>
      <c r="AL963" s="14"/>
      <c r="AM963" s="14"/>
      <c r="AN963" s="14"/>
      <c r="AO963" s="14"/>
      <c r="AP963" s="14"/>
      <c r="AQ963" s="14"/>
      <c r="AR963" s="14"/>
    </row>
    <row r="964" ht="22.5" customHeight="1">
      <c r="A964" s="204"/>
      <c r="B964" s="200"/>
      <c r="C964" s="20"/>
      <c r="D964" s="14"/>
      <c r="E964" s="201"/>
      <c r="F964" s="14"/>
      <c r="G964" s="154"/>
      <c r="H964" s="14"/>
      <c r="I964" s="155"/>
      <c r="J964" s="155"/>
      <c r="K964" s="202"/>
      <c r="L964" s="14" t="str">
        <f t="shared" si="30"/>
        <v>0</v>
      </c>
      <c r="M964" s="14"/>
      <c r="N964" s="14"/>
      <c r="O964" s="14"/>
      <c r="P964" s="14"/>
      <c r="Q964" s="14"/>
      <c r="R964" s="201"/>
      <c r="S964" s="14"/>
      <c r="T964" s="14"/>
      <c r="U964" s="14"/>
      <c r="V964" s="203"/>
      <c r="W964" s="14"/>
      <c r="X964" s="14"/>
      <c r="Y964" s="14"/>
      <c r="Z964" s="14"/>
      <c r="AA964" s="14"/>
      <c r="AB964" s="14"/>
      <c r="AC964" s="14"/>
      <c r="AD964" s="14"/>
      <c r="AE964" s="14"/>
      <c r="AF964" s="14"/>
      <c r="AG964" s="14"/>
      <c r="AH964" s="14"/>
      <c r="AI964" s="20"/>
      <c r="AJ964" s="14"/>
      <c r="AK964" s="14"/>
      <c r="AL964" s="14"/>
      <c r="AM964" s="14"/>
      <c r="AN964" s="14"/>
      <c r="AO964" s="14"/>
      <c r="AP964" s="14"/>
      <c r="AQ964" s="14"/>
      <c r="AR964" s="14"/>
    </row>
    <row r="965" ht="22.5" customHeight="1">
      <c r="A965" s="204"/>
      <c r="B965" s="205"/>
      <c r="C965" s="20"/>
      <c r="D965" s="14"/>
      <c r="E965" s="201"/>
      <c r="F965" s="14"/>
      <c r="G965" s="154"/>
      <c r="H965" s="14"/>
      <c r="I965" s="155"/>
      <c r="J965" s="155"/>
      <c r="K965" s="202"/>
      <c r="L965" s="14" t="str">
        <f t="shared" si="30"/>
        <v>0</v>
      </c>
      <c r="M965" s="14"/>
      <c r="N965" s="14"/>
      <c r="O965" s="14"/>
      <c r="P965" s="14"/>
      <c r="Q965" s="14"/>
      <c r="R965" s="201"/>
      <c r="S965" s="14"/>
      <c r="T965" s="14"/>
      <c r="U965" s="14"/>
      <c r="V965" s="203"/>
      <c r="W965" s="14"/>
      <c r="X965" s="14"/>
      <c r="Y965" s="14"/>
      <c r="Z965" s="14"/>
      <c r="AA965" s="14"/>
      <c r="AB965" s="14"/>
      <c r="AC965" s="14"/>
      <c r="AD965" s="14"/>
      <c r="AE965" s="14"/>
      <c r="AF965" s="14"/>
      <c r="AG965" s="14"/>
      <c r="AH965" s="14"/>
      <c r="AI965" s="20"/>
      <c r="AJ965" s="14"/>
      <c r="AK965" s="14"/>
      <c r="AL965" s="14"/>
      <c r="AM965" s="14"/>
      <c r="AN965" s="14"/>
      <c r="AO965" s="14"/>
      <c r="AP965" s="14"/>
      <c r="AQ965" s="14"/>
      <c r="AR965" s="14"/>
    </row>
    <row r="966" ht="22.5" customHeight="1">
      <c r="A966" s="204"/>
      <c r="B966" s="200"/>
      <c r="C966" s="20"/>
      <c r="D966" s="14"/>
      <c r="E966" s="201"/>
      <c r="F966" s="14"/>
      <c r="G966" s="154"/>
      <c r="H966" s="14"/>
      <c r="I966" s="155"/>
      <c r="J966" s="155"/>
      <c r="K966" s="202"/>
      <c r="L966" s="14" t="str">
        <f t="shared" si="30"/>
        <v>0</v>
      </c>
      <c r="M966" s="14"/>
      <c r="N966" s="14"/>
      <c r="O966" s="14"/>
      <c r="P966" s="14"/>
      <c r="Q966" s="14"/>
      <c r="R966" s="201"/>
      <c r="S966" s="14"/>
      <c r="T966" s="14"/>
      <c r="U966" s="14"/>
      <c r="V966" s="203"/>
      <c r="W966" s="14"/>
      <c r="X966" s="14"/>
      <c r="Y966" s="14"/>
      <c r="Z966" s="14"/>
      <c r="AA966" s="14"/>
      <c r="AB966" s="14"/>
      <c r="AC966" s="14"/>
      <c r="AD966" s="14"/>
      <c r="AE966" s="14"/>
      <c r="AF966" s="14"/>
      <c r="AG966" s="14"/>
      <c r="AH966" s="14"/>
      <c r="AI966" s="20"/>
      <c r="AJ966" s="14"/>
      <c r="AK966" s="14"/>
      <c r="AL966" s="14"/>
      <c r="AM966" s="14"/>
      <c r="AN966" s="14"/>
      <c r="AO966" s="14"/>
      <c r="AP966" s="14"/>
      <c r="AQ966" s="14"/>
      <c r="AR966" s="14"/>
    </row>
    <row r="967" ht="22.5" customHeight="1">
      <c r="A967" s="204"/>
      <c r="B967" s="205"/>
      <c r="C967" s="20"/>
      <c r="D967" s="14"/>
      <c r="E967" s="201"/>
      <c r="F967" s="14"/>
      <c r="G967" s="154"/>
      <c r="H967" s="14"/>
      <c r="I967" s="155"/>
      <c r="J967" s="155"/>
      <c r="K967" s="202"/>
      <c r="L967" s="14" t="str">
        <f t="shared" si="30"/>
        <v>0</v>
      </c>
      <c r="M967" s="14"/>
      <c r="N967" s="14"/>
      <c r="O967" s="14"/>
      <c r="P967" s="14"/>
      <c r="Q967" s="14"/>
      <c r="R967" s="201"/>
      <c r="S967" s="14"/>
      <c r="T967" s="14"/>
      <c r="U967" s="14"/>
      <c r="V967" s="203"/>
      <c r="W967" s="14"/>
      <c r="X967" s="14"/>
      <c r="Y967" s="14"/>
      <c r="Z967" s="14"/>
      <c r="AA967" s="14"/>
      <c r="AB967" s="14"/>
      <c r="AC967" s="14"/>
      <c r="AD967" s="14"/>
      <c r="AE967" s="14"/>
      <c r="AF967" s="14"/>
      <c r="AG967" s="14"/>
      <c r="AH967" s="14"/>
      <c r="AI967" s="20"/>
      <c r="AJ967" s="14"/>
      <c r="AK967" s="14"/>
      <c r="AL967" s="14"/>
      <c r="AM967" s="14"/>
      <c r="AN967" s="14"/>
      <c r="AO967" s="14"/>
      <c r="AP967" s="14"/>
      <c r="AQ967" s="14"/>
      <c r="AR967" s="14"/>
    </row>
    <row r="968" ht="22.5" customHeight="1">
      <c r="A968" s="204"/>
      <c r="B968" s="200"/>
      <c r="C968" s="20"/>
      <c r="D968" s="14"/>
      <c r="E968" s="201"/>
      <c r="F968" s="14"/>
      <c r="G968" s="154"/>
      <c r="H968" s="14"/>
      <c r="I968" s="155"/>
      <c r="J968" s="155"/>
      <c r="K968" s="202"/>
      <c r="L968" s="14" t="str">
        <f t="shared" si="30"/>
        <v>0</v>
      </c>
      <c r="M968" s="14"/>
      <c r="N968" s="14"/>
      <c r="O968" s="14"/>
      <c r="P968" s="14"/>
      <c r="Q968" s="14"/>
      <c r="R968" s="201"/>
      <c r="S968" s="14"/>
      <c r="T968" s="14"/>
      <c r="U968" s="14"/>
      <c r="V968" s="203"/>
      <c r="W968" s="14"/>
      <c r="X968" s="14"/>
      <c r="Y968" s="14"/>
      <c r="Z968" s="14"/>
      <c r="AA968" s="14"/>
      <c r="AB968" s="14"/>
      <c r="AC968" s="14"/>
      <c r="AD968" s="14"/>
      <c r="AE968" s="14"/>
      <c r="AF968" s="14"/>
      <c r="AG968" s="14"/>
      <c r="AH968" s="14"/>
      <c r="AI968" s="20"/>
      <c r="AJ968" s="14"/>
      <c r="AK968" s="14"/>
      <c r="AL968" s="14"/>
      <c r="AM968" s="14"/>
      <c r="AN968" s="14"/>
      <c r="AO968" s="14"/>
      <c r="AP968" s="14"/>
      <c r="AQ968" s="14"/>
      <c r="AR968" s="14"/>
    </row>
    <row r="969" ht="22.5" customHeight="1">
      <c r="A969" s="204"/>
      <c r="B969" s="205"/>
      <c r="C969" s="20"/>
      <c r="D969" s="14"/>
      <c r="E969" s="201"/>
      <c r="F969" s="14"/>
      <c r="G969" s="154"/>
      <c r="H969" s="14"/>
      <c r="I969" s="155"/>
      <c r="J969" s="155"/>
      <c r="K969" s="202"/>
      <c r="L969" s="14" t="str">
        <f t="shared" si="30"/>
        <v>0</v>
      </c>
      <c r="M969" s="14"/>
      <c r="N969" s="14"/>
      <c r="O969" s="14"/>
      <c r="P969" s="14"/>
      <c r="Q969" s="14"/>
      <c r="R969" s="201"/>
      <c r="S969" s="14"/>
      <c r="T969" s="14"/>
      <c r="U969" s="14"/>
      <c r="V969" s="203"/>
      <c r="W969" s="14"/>
      <c r="X969" s="14"/>
      <c r="Y969" s="14"/>
      <c r="Z969" s="14"/>
      <c r="AA969" s="14"/>
      <c r="AB969" s="14"/>
      <c r="AC969" s="14"/>
      <c r="AD969" s="14"/>
      <c r="AE969" s="14"/>
      <c r="AF969" s="14"/>
      <c r="AG969" s="14"/>
      <c r="AH969" s="14"/>
      <c r="AI969" s="20"/>
      <c r="AJ969" s="14"/>
      <c r="AK969" s="14"/>
      <c r="AL969" s="14"/>
      <c r="AM969" s="14"/>
      <c r="AN969" s="14"/>
      <c r="AO969" s="14"/>
      <c r="AP969" s="14"/>
      <c r="AQ969" s="14"/>
      <c r="AR969" s="14"/>
    </row>
    <row r="970" ht="22.5" customHeight="1">
      <c r="A970" s="204"/>
      <c r="B970" s="200"/>
      <c r="C970" s="20"/>
      <c r="D970" s="14"/>
      <c r="E970" s="201"/>
      <c r="F970" s="14"/>
      <c r="G970" s="154"/>
      <c r="H970" s="14"/>
      <c r="I970" s="155"/>
      <c r="J970" s="155"/>
      <c r="K970" s="202"/>
      <c r="L970" s="14" t="str">
        <f t="shared" si="30"/>
        <v>0</v>
      </c>
      <c r="M970" s="14"/>
      <c r="N970" s="14"/>
      <c r="O970" s="14"/>
      <c r="P970" s="14"/>
      <c r="Q970" s="14"/>
      <c r="R970" s="201"/>
      <c r="S970" s="14"/>
      <c r="T970" s="14"/>
      <c r="U970" s="14"/>
      <c r="V970" s="203"/>
      <c r="W970" s="14"/>
      <c r="X970" s="14"/>
      <c r="Y970" s="14"/>
      <c r="Z970" s="14"/>
      <c r="AA970" s="14"/>
      <c r="AB970" s="14"/>
      <c r="AC970" s="14"/>
      <c r="AD970" s="14"/>
      <c r="AE970" s="14"/>
      <c r="AF970" s="14"/>
      <c r="AG970" s="14"/>
      <c r="AH970" s="14"/>
      <c r="AI970" s="20"/>
      <c r="AJ970" s="14"/>
      <c r="AK970" s="14"/>
      <c r="AL970" s="14"/>
      <c r="AM970" s="14"/>
      <c r="AN970" s="14"/>
      <c r="AO970" s="14"/>
      <c r="AP970" s="14"/>
      <c r="AQ970" s="14"/>
      <c r="AR970" s="14"/>
    </row>
    <row r="971" ht="22.5" customHeight="1">
      <c r="A971" s="204"/>
      <c r="B971" s="205"/>
      <c r="C971" s="20"/>
      <c r="D971" s="14"/>
      <c r="E971" s="201"/>
      <c r="F971" s="14"/>
      <c r="G971" s="154"/>
      <c r="H971" s="14"/>
      <c r="I971" s="155"/>
      <c r="J971" s="155"/>
      <c r="K971" s="202"/>
      <c r="L971" s="14" t="str">
        <f t="shared" si="30"/>
        <v>0</v>
      </c>
      <c r="M971" s="14"/>
      <c r="N971" s="14"/>
      <c r="O971" s="14"/>
      <c r="P971" s="14"/>
      <c r="Q971" s="14"/>
      <c r="R971" s="201"/>
      <c r="S971" s="14"/>
      <c r="T971" s="14"/>
      <c r="U971" s="14"/>
      <c r="V971" s="203"/>
      <c r="W971" s="14"/>
      <c r="X971" s="14"/>
      <c r="Y971" s="14"/>
      <c r="Z971" s="14"/>
      <c r="AA971" s="14"/>
      <c r="AB971" s="14"/>
      <c r="AC971" s="14"/>
      <c r="AD971" s="14"/>
      <c r="AE971" s="14"/>
      <c r="AF971" s="14"/>
      <c r="AG971" s="14"/>
      <c r="AH971" s="14"/>
      <c r="AI971" s="20"/>
      <c r="AJ971" s="14"/>
      <c r="AK971" s="14"/>
      <c r="AL971" s="14"/>
      <c r="AM971" s="14"/>
      <c r="AN971" s="14"/>
      <c r="AO971" s="14"/>
      <c r="AP971" s="14"/>
      <c r="AQ971" s="14"/>
      <c r="AR971" s="14"/>
    </row>
    <row r="972" ht="22.5" customHeight="1">
      <c r="A972" s="204"/>
      <c r="B972" s="200"/>
      <c r="C972" s="20"/>
      <c r="D972" s="14"/>
      <c r="E972" s="201"/>
      <c r="F972" s="14"/>
      <c r="G972" s="154"/>
      <c r="H972" s="14"/>
      <c r="I972" s="155"/>
      <c r="J972" s="155"/>
      <c r="K972" s="202"/>
      <c r="L972" s="14" t="str">
        <f t="shared" si="30"/>
        <v>0</v>
      </c>
      <c r="M972" s="14"/>
      <c r="N972" s="14"/>
      <c r="O972" s="14"/>
      <c r="P972" s="14"/>
      <c r="Q972" s="14"/>
      <c r="R972" s="201"/>
      <c r="S972" s="14"/>
      <c r="T972" s="14"/>
      <c r="U972" s="14"/>
      <c r="V972" s="203"/>
      <c r="W972" s="14"/>
      <c r="X972" s="14"/>
      <c r="Y972" s="14"/>
      <c r="Z972" s="14"/>
      <c r="AA972" s="14"/>
      <c r="AB972" s="14"/>
      <c r="AC972" s="14"/>
      <c r="AD972" s="14"/>
      <c r="AE972" s="14"/>
      <c r="AF972" s="14"/>
      <c r="AG972" s="14"/>
      <c r="AH972" s="14"/>
      <c r="AI972" s="20"/>
      <c r="AJ972" s="14"/>
      <c r="AK972" s="14"/>
      <c r="AL972" s="14"/>
      <c r="AM972" s="14"/>
      <c r="AN972" s="14"/>
      <c r="AO972" s="14"/>
      <c r="AP972" s="14"/>
      <c r="AQ972" s="14"/>
      <c r="AR972" s="14"/>
    </row>
    <row r="973" ht="22.5" customHeight="1">
      <c r="A973" s="204"/>
      <c r="B973" s="205"/>
      <c r="C973" s="20"/>
      <c r="D973" s="14"/>
      <c r="E973" s="201"/>
      <c r="F973" s="14"/>
      <c r="G973" s="154"/>
      <c r="H973" s="14"/>
      <c r="I973" s="155"/>
      <c r="J973" s="155"/>
      <c r="K973" s="202"/>
      <c r="L973" s="14" t="str">
        <f t="shared" si="30"/>
        <v>0</v>
      </c>
      <c r="M973" s="14"/>
      <c r="N973" s="14"/>
      <c r="O973" s="14"/>
      <c r="P973" s="14"/>
      <c r="Q973" s="14"/>
      <c r="R973" s="201"/>
      <c r="S973" s="14"/>
      <c r="T973" s="14"/>
      <c r="U973" s="14"/>
      <c r="V973" s="203"/>
      <c r="W973" s="14"/>
      <c r="X973" s="14"/>
      <c r="Y973" s="14"/>
      <c r="Z973" s="14"/>
      <c r="AA973" s="14"/>
      <c r="AB973" s="14"/>
      <c r="AC973" s="14"/>
      <c r="AD973" s="14"/>
      <c r="AE973" s="14"/>
      <c r="AF973" s="14"/>
      <c r="AG973" s="14"/>
      <c r="AH973" s="14"/>
      <c r="AI973" s="20"/>
      <c r="AJ973" s="14"/>
      <c r="AK973" s="14"/>
      <c r="AL973" s="14"/>
      <c r="AM973" s="14"/>
      <c r="AN973" s="14"/>
      <c r="AO973" s="14"/>
      <c r="AP973" s="14"/>
      <c r="AQ973" s="14"/>
      <c r="AR973" s="14"/>
    </row>
    <row r="974" ht="22.5" customHeight="1">
      <c r="A974" s="204"/>
      <c r="B974" s="200"/>
      <c r="C974" s="20"/>
      <c r="D974" s="14"/>
      <c r="E974" s="201"/>
      <c r="F974" s="14"/>
      <c r="G974" s="154"/>
      <c r="H974" s="14"/>
      <c r="I974" s="155"/>
      <c r="J974" s="155"/>
      <c r="K974" s="202"/>
      <c r="L974" s="14" t="str">
        <f t="shared" si="30"/>
        <v>0</v>
      </c>
      <c r="M974" s="14"/>
      <c r="N974" s="14"/>
      <c r="O974" s="14"/>
      <c r="P974" s="14"/>
      <c r="Q974" s="14"/>
      <c r="R974" s="201"/>
      <c r="S974" s="14"/>
      <c r="T974" s="14"/>
      <c r="U974" s="14"/>
      <c r="V974" s="203"/>
      <c r="W974" s="14"/>
      <c r="X974" s="14"/>
      <c r="Y974" s="14"/>
      <c r="Z974" s="14"/>
      <c r="AA974" s="14"/>
      <c r="AB974" s="14"/>
      <c r="AC974" s="14"/>
      <c r="AD974" s="14"/>
      <c r="AE974" s="14"/>
      <c r="AF974" s="14"/>
      <c r="AG974" s="14"/>
      <c r="AH974" s="14"/>
      <c r="AI974" s="20"/>
      <c r="AJ974" s="14"/>
      <c r="AK974" s="14"/>
      <c r="AL974" s="14"/>
      <c r="AM974" s="14"/>
      <c r="AN974" s="14"/>
      <c r="AO974" s="14"/>
      <c r="AP974" s="14"/>
      <c r="AQ974" s="14"/>
      <c r="AR974" s="14"/>
    </row>
    <row r="975" ht="22.5" customHeight="1">
      <c r="A975" s="204"/>
      <c r="B975" s="205"/>
      <c r="C975" s="20"/>
      <c r="D975" s="14"/>
      <c r="E975" s="201"/>
      <c r="F975" s="14"/>
      <c r="G975" s="154"/>
      <c r="H975" s="14"/>
      <c r="I975" s="155"/>
      <c r="J975" s="155"/>
      <c r="K975" s="202"/>
      <c r="L975" s="14" t="str">
        <f t="shared" si="30"/>
        <v>0</v>
      </c>
      <c r="M975" s="14"/>
      <c r="N975" s="14"/>
      <c r="O975" s="14"/>
      <c r="P975" s="14"/>
      <c r="Q975" s="14"/>
      <c r="R975" s="201"/>
      <c r="S975" s="14"/>
      <c r="T975" s="14"/>
      <c r="U975" s="14"/>
      <c r="V975" s="203"/>
      <c r="W975" s="14"/>
      <c r="X975" s="14"/>
      <c r="Y975" s="14"/>
      <c r="Z975" s="14"/>
      <c r="AA975" s="14"/>
      <c r="AB975" s="14"/>
      <c r="AC975" s="14"/>
      <c r="AD975" s="14"/>
      <c r="AE975" s="14"/>
      <c r="AF975" s="14"/>
      <c r="AG975" s="14"/>
      <c r="AH975" s="14"/>
      <c r="AI975" s="20"/>
      <c r="AJ975" s="14"/>
      <c r="AK975" s="14"/>
      <c r="AL975" s="14"/>
      <c r="AM975" s="14"/>
      <c r="AN975" s="14"/>
      <c r="AO975" s="14"/>
      <c r="AP975" s="14"/>
      <c r="AQ975" s="14"/>
      <c r="AR975" s="14"/>
    </row>
    <row r="976" ht="22.5" customHeight="1">
      <c r="A976" s="204"/>
      <c r="B976" s="200"/>
      <c r="C976" s="20"/>
      <c r="D976" s="14"/>
      <c r="E976" s="201"/>
      <c r="F976" s="14"/>
      <c r="G976" s="154"/>
      <c r="H976" s="14"/>
      <c r="I976" s="155"/>
      <c r="J976" s="155"/>
      <c r="K976" s="202"/>
      <c r="L976" s="14" t="str">
        <f t="shared" si="30"/>
        <v>0</v>
      </c>
      <c r="M976" s="14"/>
      <c r="N976" s="14"/>
      <c r="O976" s="14"/>
      <c r="P976" s="14"/>
      <c r="Q976" s="14"/>
      <c r="R976" s="201"/>
      <c r="S976" s="14"/>
      <c r="T976" s="14"/>
      <c r="U976" s="14"/>
      <c r="V976" s="203"/>
      <c r="W976" s="14"/>
      <c r="X976" s="14"/>
      <c r="Y976" s="14"/>
      <c r="Z976" s="14"/>
      <c r="AA976" s="14"/>
      <c r="AB976" s="14"/>
      <c r="AC976" s="14"/>
      <c r="AD976" s="14"/>
      <c r="AE976" s="14"/>
      <c r="AF976" s="14"/>
      <c r="AG976" s="14"/>
      <c r="AH976" s="14"/>
      <c r="AI976" s="20"/>
      <c r="AJ976" s="14"/>
      <c r="AK976" s="14"/>
      <c r="AL976" s="14"/>
      <c r="AM976" s="14"/>
      <c r="AN976" s="14"/>
      <c r="AO976" s="14"/>
      <c r="AP976" s="14"/>
      <c r="AQ976" s="14"/>
      <c r="AR976" s="14"/>
    </row>
    <row r="977" ht="22.5" customHeight="1">
      <c r="A977" s="204"/>
      <c r="B977" s="205"/>
      <c r="C977" s="20"/>
      <c r="D977" s="14"/>
      <c r="E977" s="201"/>
      <c r="F977" s="14"/>
      <c r="G977" s="154"/>
      <c r="H977" s="14"/>
      <c r="I977" s="155"/>
      <c r="J977" s="155"/>
      <c r="K977" s="202"/>
      <c r="L977" s="14" t="str">
        <f t="shared" si="30"/>
        <v>0</v>
      </c>
      <c r="M977" s="14"/>
      <c r="N977" s="14"/>
      <c r="O977" s="14"/>
      <c r="P977" s="14"/>
      <c r="Q977" s="14"/>
      <c r="R977" s="201"/>
      <c r="S977" s="14"/>
      <c r="T977" s="14"/>
      <c r="U977" s="14"/>
      <c r="V977" s="203"/>
      <c r="W977" s="14"/>
      <c r="X977" s="14"/>
      <c r="Y977" s="14"/>
      <c r="Z977" s="14"/>
      <c r="AA977" s="14"/>
      <c r="AB977" s="14"/>
      <c r="AC977" s="14"/>
      <c r="AD977" s="14"/>
      <c r="AE977" s="14"/>
      <c r="AF977" s="14"/>
      <c r="AG977" s="14"/>
      <c r="AH977" s="14"/>
      <c r="AI977" s="20"/>
      <c r="AJ977" s="14"/>
      <c r="AK977" s="14"/>
      <c r="AL977" s="14"/>
      <c r="AM977" s="14"/>
      <c r="AN977" s="14"/>
      <c r="AO977" s="14"/>
      <c r="AP977" s="14"/>
      <c r="AQ977" s="14"/>
      <c r="AR977" s="14"/>
    </row>
    <row r="978" ht="22.5" customHeight="1">
      <c r="A978" s="204"/>
      <c r="B978" s="200"/>
      <c r="C978" s="20"/>
      <c r="D978" s="14"/>
      <c r="E978" s="201"/>
      <c r="F978" s="14"/>
      <c r="G978" s="154"/>
      <c r="H978" s="14"/>
      <c r="I978" s="155"/>
      <c r="J978" s="155"/>
      <c r="K978" s="202"/>
      <c r="L978" s="14" t="str">
        <f t="shared" si="30"/>
        <v>0</v>
      </c>
      <c r="M978" s="14"/>
      <c r="N978" s="14"/>
      <c r="O978" s="14"/>
      <c r="P978" s="14"/>
      <c r="Q978" s="14"/>
      <c r="R978" s="201"/>
      <c r="S978" s="14"/>
      <c r="T978" s="14"/>
      <c r="U978" s="14"/>
      <c r="V978" s="203"/>
      <c r="W978" s="14"/>
      <c r="X978" s="14"/>
      <c r="Y978" s="14"/>
      <c r="Z978" s="14"/>
      <c r="AA978" s="14"/>
      <c r="AB978" s="14"/>
      <c r="AC978" s="14"/>
      <c r="AD978" s="14"/>
      <c r="AE978" s="14"/>
      <c r="AF978" s="14"/>
      <c r="AG978" s="14"/>
      <c r="AH978" s="14"/>
      <c r="AI978" s="20"/>
      <c r="AJ978" s="14"/>
      <c r="AK978" s="14"/>
      <c r="AL978" s="14"/>
      <c r="AM978" s="14"/>
      <c r="AN978" s="14"/>
      <c r="AO978" s="14"/>
      <c r="AP978" s="14"/>
      <c r="AQ978" s="14"/>
      <c r="AR978" s="14"/>
    </row>
    <row r="979" ht="22.5" customHeight="1">
      <c r="A979" s="204"/>
      <c r="B979" s="205"/>
      <c r="C979" s="20"/>
      <c r="D979" s="14"/>
      <c r="E979" s="201"/>
      <c r="F979" s="14"/>
      <c r="G979" s="154"/>
      <c r="H979" s="14"/>
      <c r="I979" s="155"/>
      <c r="J979" s="155"/>
      <c r="K979" s="202"/>
      <c r="L979" s="14" t="str">
        <f t="shared" si="30"/>
        <v>0</v>
      </c>
      <c r="M979" s="14"/>
      <c r="N979" s="14"/>
      <c r="O979" s="14"/>
      <c r="P979" s="14"/>
      <c r="Q979" s="14"/>
      <c r="R979" s="201"/>
      <c r="S979" s="14"/>
      <c r="T979" s="14"/>
      <c r="U979" s="14"/>
      <c r="V979" s="203"/>
      <c r="W979" s="14"/>
      <c r="X979" s="14"/>
      <c r="Y979" s="14"/>
      <c r="Z979" s="14"/>
      <c r="AA979" s="14"/>
      <c r="AB979" s="14"/>
      <c r="AC979" s="14"/>
      <c r="AD979" s="14"/>
      <c r="AE979" s="14"/>
      <c r="AF979" s="14"/>
      <c r="AG979" s="14"/>
      <c r="AH979" s="14"/>
      <c r="AI979" s="20"/>
      <c r="AJ979" s="14"/>
      <c r="AK979" s="14"/>
      <c r="AL979" s="14"/>
      <c r="AM979" s="14"/>
      <c r="AN979" s="14"/>
      <c r="AO979" s="14"/>
      <c r="AP979" s="14"/>
      <c r="AQ979" s="14"/>
      <c r="AR979" s="14"/>
    </row>
    <row r="980" ht="22.5" customHeight="1">
      <c r="A980" s="204"/>
      <c r="B980" s="200"/>
      <c r="C980" s="20"/>
      <c r="D980" s="14"/>
      <c r="E980" s="201"/>
      <c r="F980" s="14"/>
      <c r="G980" s="154"/>
      <c r="H980" s="14"/>
      <c r="I980" s="155"/>
      <c r="J980" s="155"/>
      <c r="K980" s="202"/>
      <c r="L980" s="14" t="str">
        <f t="shared" si="30"/>
        <v>0</v>
      </c>
      <c r="M980" s="14"/>
      <c r="N980" s="14"/>
      <c r="O980" s="14"/>
      <c r="P980" s="14"/>
      <c r="Q980" s="14"/>
      <c r="R980" s="201"/>
      <c r="S980" s="14"/>
      <c r="T980" s="14"/>
      <c r="U980" s="14"/>
      <c r="V980" s="203"/>
      <c r="W980" s="14"/>
      <c r="X980" s="14"/>
      <c r="Y980" s="14"/>
      <c r="Z980" s="14"/>
      <c r="AA980" s="14"/>
      <c r="AB980" s="14"/>
      <c r="AC980" s="14"/>
      <c r="AD980" s="14"/>
      <c r="AE980" s="14"/>
      <c r="AF980" s="14"/>
      <c r="AG980" s="14"/>
      <c r="AH980" s="14"/>
      <c r="AI980" s="20"/>
      <c r="AJ980" s="14"/>
      <c r="AK980" s="14"/>
      <c r="AL980" s="14"/>
      <c r="AM980" s="14"/>
      <c r="AN980" s="14"/>
      <c r="AO980" s="14"/>
      <c r="AP980" s="14"/>
      <c r="AQ980" s="14"/>
      <c r="AR980" s="14"/>
    </row>
    <row r="981" ht="22.5" customHeight="1">
      <c r="A981" s="204"/>
      <c r="B981" s="205"/>
      <c r="C981" s="20"/>
      <c r="D981" s="14"/>
      <c r="E981" s="201"/>
      <c r="F981" s="14"/>
      <c r="G981" s="154"/>
      <c r="H981" s="14"/>
      <c r="I981" s="155"/>
      <c r="J981" s="155"/>
      <c r="K981" s="202"/>
      <c r="L981" s="14" t="str">
        <f t="shared" si="30"/>
        <v>0</v>
      </c>
      <c r="M981" s="14"/>
      <c r="N981" s="14"/>
      <c r="O981" s="14"/>
      <c r="P981" s="14"/>
      <c r="Q981" s="14"/>
      <c r="R981" s="201"/>
      <c r="S981" s="14"/>
      <c r="T981" s="14"/>
      <c r="U981" s="14"/>
      <c r="V981" s="203"/>
      <c r="W981" s="14"/>
      <c r="X981" s="14"/>
      <c r="Y981" s="14"/>
      <c r="Z981" s="14"/>
      <c r="AA981" s="14"/>
      <c r="AB981" s="14"/>
      <c r="AC981" s="14"/>
      <c r="AD981" s="14"/>
      <c r="AE981" s="14"/>
      <c r="AF981" s="14"/>
      <c r="AG981" s="14"/>
      <c r="AH981" s="14"/>
      <c r="AI981" s="20"/>
      <c r="AJ981" s="14"/>
      <c r="AK981" s="14"/>
      <c r="AL981" s="14"/>
      <c r="AM981" s="14"/>
      <c r="AN981" s="14"/>
      <c r="AO981" s="14"/>
      <c r="AP981" s="14"/>
      <c r="AQ981" s="14"/>
      <c r="AR981" s="14"/>
    </row>
    <row r="982" ht="22.5" customHeight="1">
      <c r="A982" s="204"/>
      <c r="B982" s="200"/>
      <c r="C982" s="20"/>
      <c r="D982" s="14"/>
      <c r="E982" s="201"/>
      <c r="F982" s="14"/>
      <c r="G982" s="154"/>
      <c r="H982" s="14"/>
      <c r="I982" s="155"/>
      <c r="J982" s="155"/>
      <c r="K982" s="202"/>
      <c r="L982" s="14" t="str">
        <f t="shared" si="30"/>
        <v>0</v>
      </c>
      <c r="M982" s="14"/>
      <c r="N982" s="14"/>
      <c r="O982" s="14"/>
      <c r="P982" s="14"/>
      <c r="Q982" s="14"/>
      <c r="R982" s="201"/>
      <c r="S982" s="14"/>
      <c r="T982" s="14"/>
      <c r="U982" s="14"/>
      <c r="V982" s="203"/>
      <c r="W982" s="14"/>
      <c r="X982" s="14"/>
      <c r="Y982" s="14"/>
      <c r="Z982" s="14"/>
      <c r="AA982" s="14"/>
      <c r="AB982" s="14"/>
      <c r="AC982" s="14"/>
      <c r="AD982" s="14"/>
      <c r="AE982" s="14"/>
      <c r="AF982" s="14"/>
      <c r="AG982" s="14"/>
      <c r="AH982" s="14"/>
      <c r="AI982" s="20"/>
      <c r="AJ982" s="14"/>
      <c r="AK982" s="14"/>
      <c r="AL982" s="14"/>
      <c r="AM982" s="14"/>
      <c r="AN982" s="14"/>
      <c r="AO982" s="14"/>
      <c r="AP982" s="14"/>
      <c r="AQ982" s="14"/>
      <c r="AR982" s="14"/>
    </row>
    <row r="983" ht="22.5" customHeight="1">
      <c r="A983" s="204"/>
      <c r="B983" s="205"/>
      <c r="C983" s="20"/>
      <c r="D983" s="14"/>
      <c r="E983" s="201"/>
      <c r="F983" s="14"/>
      <c r="G983" s="154"/>
      <c r="H983" s="14"/>
      <c r="I983" s="155"/>
      <c r="J983" s="155"/>
      <c r="K983" s="202"/>
      <c r="L983" s="14" t="str">
        <f t="shared" si="30"/>
        <v>0</v>
      </c>
      <c r="M983" s="14"/>
      <c r="N983" s="14"/>
      <c r="O983" s="14"/>
      <c r="P983" s="14"/>
      <c r="Q983" s="14"/>
      <c r="R983" s="201"/>
      <c r="S983" s="14"/>
      <c r="T983" s="14"/>
      <c r="U983" s="14"/>
      <c r="V983" s="203"/>
      <c r="W983" s="14"/>
      <c r="X983" s="14"/>
      <c r="Y983" s="14"/>
      <c r="Z983" s="14"/>
      <c r="AA983" s="14"/>
      <c r="AB983" s="14"/>
      <c r="AC983" s="14"/>
      <c r="AD983" s="14"/>
      <c r="AE983" s="14"/>
      <c r="AF983" s="14"/>
      <c r="AG983" s="14"/>
      <c r="AH983" s="14"/>
      <c r="AI983" s="20"/>
      <c r="AJ983" s="14"/>
      <c r="AK983" s="14"/>
      <c r="AL983" s="14"/>
      <c r="AM983" s="14"/>
      <c r="AN983" s="14"/>
      <c r="AO983" s="14"/>
      <c r="AP983" s="14"/>
      <c r="AQ983" s="14"/>
      <c r="AR983" s="14"/>
    </row>
    <row r="984" ht="22.5" customHeight="1">
      <c r="A984" s="204"/>
      <c r="B984" s="200"/>
      <c r="C984" s="20"/>
      <c r="D984" s="14"/>
      <c r="E984" s="201"/>
      <c r="F984" s="14"/>
      <c r="G984" s="154"/>
      <c r="H984" s="14"/>
      <c r="I984" s="155"/>
      <c r="J984" s="155"/>
      <c r="K984" s="202"/>
      <c r="L984" s="14" t="str">
        <f t="shared" si="30"/>
        <v>0</v>
      </c>
      <c r="M984" s="14"/>
      <c r="N984" s="14"/>
      <c r="O984" s="14"/>
      <c r="P984" s="14"/>
      <c r="Q984" s="14"/>
      <c r="R984" s="201"/>
      <c r="S984" s="14"/>
      <c r="T984" s="14"/>
      <c r="U984" s="14"/>
      <c r="V984" s="203"/>
      <c r="W984" s="14"/>
      <c r="X984" s="14"/>
      <c r="Y984" s="14"/>
      <c r="Z984" s="14"/>
      <c r="AA984" s="14"/>
      <c r="AB984" s="14"/>
      <c r="AC984" s="14"/>
      <c r="AD984" s="14"/>
      <c r="AE984" s="14"/>
      <c r="AF984" s="14"/>
      <c r="AG984" s="14"/>
      <c r="AH984" s="14"/>
      <c r="AI984" s="20"/>
      <c r="AJ984" s="14"/>
      <c r="AK984" s="14"/>
      <c r="AL984" s="14"/>
      <c r="AM984" s="14"/>
      <c r="AN984" s="14"/>
      <c r="AO984" s="14"/>
      <c r="AP984" s="14"/>
      <c r="AQ984" s="14"/>
      <c r="AR984" s="14"/>
    </row>
    <row r="985" ht="22.5" customHeight="1">
      <c r="A985" s="204"/>
      <c r="B985" s="205"/>
      <c r="C985" s="20"/>
      <c r="D985" s="14"/>
      <c r="E985" s="201"/>
      <c r="F985" s="14"/>
      <c r="G985" s="154"/>
      <c r="H985" s="14"/>
      <c r="I985" s="155"/>
      <c r="J985" s="155"/>
      <c r="K985" s="202"/>
      <c r="L985" s="14" t="str">
        <f t="shared" si="30"/>
        <v>0</v>
      </c>
      <c r="M985" s="14"/>
      <c r="N985" s="14"/>
      <c r="O985" s="14"/>
      <c r="P985" s="14"/>
      <c r="Q985" s="14"/>
      <c r="R985" s="201"/>
      <c r="S985" s="14"/>
      <c r="T985" s="14"/>
      <c r="U985" s="14"/>
      <c r="V985" s="203"/>
      <c r="W985" s="14"/>
      <c r="X985" s="14"/>
      <c r="Y985" s="14"/>
      <c r="Z985" s="14"/>
      <c r="AA985" s="14"/>
      <c r="AB985" s="14"/>
      <c r="AC985" s="14"/>
      <c r="AD985" s="14"/>
      <c r="AE985" s="14"/>
      <c r="AF985" s="14"/>
      <c r="AG985" s="14"/>
      <c r="AH985" s="14"/>
      <c r="AI985" s="20"/>
      <c r="AJ985" s="14"/>
      <c r="AK985" s="14"/>
      <c r="AL985" s="14"/>
      <c r="AM985" s="14"/>
      <c r="AN985" s="14"/>
      <c r="AO985" s="14"/>
      <c r="AP985" s="14"/>
      <c r="AQ985" s="14"/>
      <c r="AR985" s="14"/>
    </row>
    <row r="986" ht="22.5" customHeight="1">
      <c r="A986" s="204"/>
      <c r="B986" s="200"/>
      <c r="C986" s="20"/>
      <c r="D986" s="14"/>
      <c r="E986" s="201"/>
      <c r="F986" s="14"/>
      <c r="G986" s="154"/>
      <c r="H986" s="14"/>
      <c r="I986" s="155"/>
      <c r="J986" s="155"/>
      <c r="K986" s="202"/>
      <c r="L986" s="14" t="str">
        <f t="shared" si="30"/>
        <v>0</v>
      </c>
      <c r="M986" s="14"/>
      <c r="N986" s="14"/>
      <c r="O986" s="14"/>
      <c r="P986" s="14"/>
      <c r="Q986" s="14"/>
      <c r="R986" s="201"/>
      <c r="S986" s="14"/>
      <c r="T986" s="14"/>
      <c r="U986" s="14"/>
      <c r="V986" s="203"/>
      <c r="W986" s="14"/>
      <c r="X986" s="14"/>
      <c r="Y986" s="14"/>
      <c r="Z986" s="14"/>
      <c r="AA986" s="14"/>
      <c r="AB986" s="14"/>
      <c r="AC986" s="14"/>
      <c r="AD986" s="14"/>
      <c r="AE986" s="14"/>
      <c r="AF986" s="14"/>
      <c r="AG986" s="14"/>
      <c r="AH986" s="14"/>
      <c r="AI986" s="20"/>
      <c r="AJ986" s="14"/>
      <c r="AK986" s="14"/>
      <c r="AL986" s="14"/>
      <c r="AM986" s="14"/>
      <c r="AN986" s="14"/>
      <c r="AO986" s="14"/>
      <c r="AP986" s="14"/>
      <c r="AQ986" s="14"/>
      <c r="AR986" s="14"/>
    </row>
    <row r="987" ht="22.5" customHeight="1">
      <c r="A987" s="204"/>
      <c r="B987" s="205"/>
      <c r="C987" s="20"/>
      <c r="D987" s="14"/>
      <c r="E987" s="201"/>
      <c r="F987" s="14"/>
      <c r="G987" s="154"/>
      <c r="H987" s="14"/>
      <c r="I987" s="155"/>
      <c r="J987" s="155"/>
      <c r="K987" s="202"/>
      <c r="L987" s="14" t="str">
        <f t="shared" si="30"/>
        <v>0</v>
      </c>
      <c r="M987" s="14"/>
      <c r="N987" s="14"/>
      <c r="O987" s="14"/>
      <c r="P987" s="14"/>
      <c r="Q987" s="14"/>
      <c r="R987" s="201"/>
      <c r="S987" s="14"/>
      <c r="T987" s="14"/>
      <c r="U987" s="14"/>
      <c r="V987" s="203"/>
      <c r="W987" s="14"/>
      <c r="X987" s="14"/>
      <c r="Y987" s="14"/>
      <c r="Z987" s="14"/>
      <c r="AA987" s="14"/>
      <c r="AB987" s="14"/>
      <c r="AC987" s="14"/>
      <c r="AD987" s="14"/>
      <c r="AE987" s="14"/>
      <c r="AF987" s="14"/>
      <c r="AG987" s="14"/>
      <c r="AH987" s="14"/>
      <c r="AI987" s="20"/>
      <c r="AJ987" s="14"/>
      <c r="AK987" s="14"/>
      <c r="AL987" s="14"/>
      <c r="AM987" s="14"/>
      <c r="AN987" s="14"/>
      <c r="AO987" s="14"/>
      <c r="AP987" s="14"/>
      <c r="AQ987" s="14"/>
      <c r="AR987" s="14"/>
    </row>
    <row r="988" ht="22.5" customHeight="1">
      <c r="A988" s="204"/>
      <c r="B988" s="200"/>
      <c r="C988" s="20"/>
      <c r="D988" s="14"/>
      <c r="E988" s="201"/>
      <c r="F988" s="14"/>
      <c r="G988" s="154"/>
      <c r="H988" s="14"/>
      <c r="I988" s="155"/>
      <c r="J988" s="155"/>
      <c r="K988" s="202"/>
      <c r="L988" s="14" t="str">
        <f t="shared" si="30"/>
        <v>0</v>
      </c>
      <c r="M988" s="14"/>
      <c r="N988" s="14"/>
      <c r="O988" s="14"/>
      <c r="P988" s="14"/>
      <c r="Q988" s="14"/>
      <c r="R988" s="201"/>
      <c r="S988" s="14"/>
      <c r="T988" s="14"/>
      <c r="U988" s="14"/>
      <c r="V988" s="203"/>
      <c r="W988" s="14"/>
      <c r="X988" s="14"/>
      <c r="Y988" s="14"/>
      <c r="Z988" s="14"/>
      <c r="AA988" s="14"/>
      <c r="AB988" s="14"/>
      <c r="AC988" s="14"/>
      <c r="AD988" s="14"/>
      <c r="AE988" s="14"/>
      <c r="AF988" s="14"/>
      <c r="AG988" s="14"/>
      <c r="AH988" s="14"/>
      <c r="AI988" s="20"/>
      <c r="AJ988" s="14"/>
      <c r="AK988" s="14"/>
      <c r="AL988" s="14"/>
      <c r="AM988" s="14"/>
      <c r="AN988" s="14"/>
      <c r="AO988" s="14"/>
      <c r="AP988" s="14"/>
      <c r="AQ988" s="14"/>
      <c r="AR988" s="14"/>
    </row>
    <row r="989" ht="22.5" customHeight="1">
      <c r="A989" s="204"/>
      <c r="B989" s="205"/>
      <c r="C989" s="20"/>
      <c r="D989" s="14"/>
      <c r="E989" s="201"/>
      <c r="F989" s="14"/>
      <c r="G989" s="154"/>
      <c r="H989" s="14"/>
      <c r="I989" s="155"/>
      <c r="J989" s="155"/>
      <c r="K989" s="202"/>
      <c r="L989" s="14" t="str">
        <f t="shared" si="30"/>
        <v>0</v>
      </c>
      <c r="M989" s="14"/>
      <c r="N989" s="14"/>
      <c r="O989" s="14"/>
      <c r="P989" s="14"/>
      <c r="Q989" s="14"/>
      <c r="R989" s="201"/>
      <c r="S989" s="14"/>
      <c r="T989" s="14"/>
      <c r="U989" s="14"/>
      <c r="V989" s="203"/>
      <c r="W989" s="14"/>
      <c r="X989" s="14"/>
      <c r="Y989" s="14"/>
      <c r="Z989" s="14"/>
      <c r="AA989" s="14"/>
      <c r="AB989" s="14"/>
      <c r="AC989" s="14"/>
      <c r="AD989" s="14"/>
      <c r="AE989" s="14"/>
      <c r="AF989" s="14"/>
      <c r="AG989" s="14"/>
      <c r="AH989" s="14"/>
      <c r="AI989" s="20"/>
      <c r="AJ989" s="14"/>
      <c r="AK989" s="14"/>
      <c r="AL989" s="14"/>
      <c r="AM989" s="14"/>
      <c r="AN989" s="14"/>
      <c r="AO989" s="14"/>
      <c r="AP989" s="14"/>
      <c r="AQ989" s="14"/>
      <c r="AR989" s="14"/>
    </row>
    <row r="990" ht="22.5" customHeight="1">
      <c r="A990" s="204"/>
      <c r="B990" s="200"/>
      <c r="C990" s="20"/>
      <c r="D990" s="14"/>
      <c r="E990" s="201"/>
      <c r="F990" s="14"/>
      <c r="G990" s="154"/>
      <c r="H990" s="14"/>
      <c r="I990" s="155"/>
      <c r="J990" s="155"/>
      <c r="K990" s="202"/>
      <c r="L990" s="14" t="str">
        <f t="shared" si="30"/>
        <v>0</v>
      </c>
      <c r="M990" s="14"/>
      <c r="N990" s="14"/>
      <c r="O990" s="14"/>
      <c r="P990" s="14"/>
      <c r="Q990" s="14"/>
      <c r="R990" s="201"/>
      <c r="S990" s="14"/>
      <c r="T990" s="14"/>
      <c r="U990" s="14"/>
      <c r="V990" s="203"/>
      <c r="W990" s="14"/>
      <c r="X990" s="14"/>
      <c r="Y990" s="14"/>
      <c r="Z990" s="14"/>
      <c r="AA990" s="14"/>
      <c r="AB990" s="14"/>
      <c r="AC990" s="14"/>
      <c r="AD990" s="14"/>
      <c r="AE990" s="14"/>
      <c r="AF990" s="14"/>
      <c r="AG990" s="14"/>
      <c r="AH990" s="14"/>
      <c r="AI990" s="20"/>
      <c r="AJ990" s="14"/>
      <c r="AK990" s="14"/>
      <c r="AL990" s="14"/>
      <c r="AM990" s="14"/>
      <c r="AN990" s="14"/>
      <c r="AO990" s="14"/>
      <c r="AP990" s="14"/>
      <c r="AQ990" s="14"/>
      <c r="AR990" s="14"/>
    </row>
    <row r="991" ht="22.5" customHeight="1">
      <c r="A991" s="204"/>
      <c r="B991" s="205"/>
      <c r="C991" s="20"/>
      <c r="D991" s="14"/>
      <c r="E991" s="201"/>
      <c r="F991" s="14"/>
      <c r="G991" s="154"/>
      <c r="H991" s="14"/>
      <c r="I991" s="155"/>
      <c r="J991" s="155"/>
      <c r="K991" s="202"/>
      <c r="L991" s="14" t="str">
        <f t="shared" si="30"/>
        <v>0</v>
      </c>
      <c r="M991" s="14"/>
      <c r="N991" s="14"/>
      <c r="O991" s="14"/>
      <c r="P991" s="14"/>
      <c r="Q991" s="14"/>
      <c r="R991" s="201"/>
      <c r="S991" s="14"/>
      <c r="T991" s="14"/>
      <c r="U991" s="14"/>
      <c r="V991" s="203"/>
      <c r="W991" s="14"/>
      <c r="X991" s="14"/>
      <c r="Y991" s="14"/>
      <c r="Z991" s="14"/>
      <c r="AA991" s="14"/>
      <c r="AB991" s="14"/>
      <c r="AC991" s="14"/>
      <c r="AD991" s="14"/>
      <c r="AE991" s="14"/>
      <c r="AF991" s="14"/>
      <c r="AG991" s="14"/>
      <c r="AH991" s="14"/>
      <c r="AI991" s="20"/>
      <c r="AJ991" s="14"/>
      <c r="AK991" s="14"/>
      <c r="AL991" s="14"/>
      <c r="AM991" s="14"/>
      <c r="AN991" s="14"/>
      <c r="AO991" s="14"/>
      <c r="AP991" s="14"/>
      <c r="AQ991" s="14"/>
      <c r="AR991" s="14"/>
    </row>
    <row r="992" ht="22.5" customHeight="1">
      <c r="A992" s="204"/>
      <c r="B992" s="200"/>
      <c r="C992" s="20"/>
      <c r="D992" s="14"/>
      <c r="E992" s="201"/>
      <c r="F992" s="14"/>
      <c r="G992" s="154"/>
      <c r="H992" s="14"/>
      <c r="I992" s="155"/>
      <c r="J992" s="155"/>
      <c r="K992" s="202"/>
      <c r="L992" s="14" t="str">
        <f t="shared" si="30"/>
        <v>0</v>
      </c>
      <c r="M992" s="14"/>
      <c r="N992" s="14"/>
      <c r="O992" s="14"/>
      <c r="P992" s="14"/>
      <c r="Q992" s="14"/>
      <c r="R992" s="201"/>
      <c r="S992" s="14"/>
      <c r="T992" s="14"/>
      <c r="U992" s="14"/>
      <c r="V992" s="203"/>
      <c r="W992" s="14"/>
      <c r="X992" s="14"/>
      <c r="Y992" s="14"/>
      <c r="Z992" s="14"/>
      <c r="AA992" s="14"/>
      <c r="AB992" s="14"/>
      <c r="AC992" s="14"/>
      <c r="AD992" s="14"/>
      <c r="AE992" s="14"/>
      <c r="AF992" s="14"/>
      <c r="AG992" s="14"/>
      <c r="AH992" s="14"/>
      <c r="AI992" s="20"/>
      <c r="AJ992" s="14"/>
      <c r="AK992" s="14"/>
      <c r="AL992" s="14"/>
      <c r="AM992" s="14"/>
      <c r="AN992" s="14"/>
      <c r="AO992" s="14"/>
      <c r="AP992" s="14"/>
      <c r="AQ992" s="14"/>
      <c r="AR992" s="14"/>
    </row>
    <row r="993" ht="22.5" customHeight="1">
      <c r="A993" s="204"/>
      <c r="B993" s="205"/>
      <c r="C993" s="20"/>
      <c r="D993" s="14"/>
      <c r="E993" s="201"/>
      <c r="F993" s="14"/>
      <c r="G993" s="154"/>
      <c r="H993" s="14"/>
      <c r="I993" s="155"/>
      <c r="J993" s="155"/>
      <c r="K993" s="202"/>
      <c r="L993" s="14" t="str">
        <f t="shared" si="30"/>
        <v>0</v>
      </c>
      <c r="M993" s="14"/>
      <c r="N993" s="14"/>
      <c r="O993" s="14"/>
      <c r="P993" s="14"/>
      <c r="Q993" s="14"/>
      <c r="R993" s="201"/>
      <c r="S993" s="14"/>
      <c r="T993" s="14"/>
      <c r="U993" s="14"/>
      <c r="V993" s="203"/>
      <c r="W993" s="14"/>
      <c r="X993" s="14"/>
      <c r="Y993" s="14"/>
      <c r="Z993" s="14"/>
      <c r="AA993" s="14"/>
      <c r="AB993" s="14"/>
      <c r="AC993" s="14"/>
      <c r="AD993" s="14"/>
      <c r="AE993" s="14"/>
      <c r="AF993" s="14"/>
      <c r="AG993" s="14"/>
      <c r="AH993" s="14"/>
      <c r="AI993" s="20"/>
      <c r="AJ993" s="14"/>
      <c r="AK993" s="14"/>
      <c r="AL993" s="14"/>
      <c r="AM993" s="14"/>
      <c r="AN993" s="14"/>
      <c r="AO993" s="14"/>
      <c r="AP993" s="14"/>
      <c r="AQ993" s="14"/>
      <c r="AR993" s="14"/>
    </row>
    <row r="994" ht="22.5" customHeight="1">
      <c r="A994" s="204"/>
      <c r="B994" s="200"/>
      <c r="C994" s="20"/>
      <c r="D994" s="14"/>
      <c r="E994" s="201"/>
      <c r="F994" s="14"/>
      <c r="G994" s="154"/>
      <c r="H994" s="14"/>
      <c r="I994" s="155"/>
      <c r="J994" s="155"/>
      <c r="K994" s="202"/>
      <c r="L994" s="14" t="str">
        <f t="shared" si="30"/>
        <v>0</v>
      </c>
      <c r="M994" s="14"/>
      <c r="N994" s="14"/>
      <c r="O994" s="14"/>
      <c r="P994" s="14"/>
      <c r="Q994" s="14"/>
      <c r="R994" s="201"/>
      <c r="S994" s="14"/>
      <c r="T994" s="14"/>
      <c r="U994" s="14"/>
      <c r="V994" s="203"/>
      <c r="W994" s="14"/>
      <c r="X994" s="14"/>
      <c r="Y994" s="14"/>
      <c r="Z994" s="14"/>
      <c r="AA994" s="14"/>
      <c r="AB994" s="14"/>
      <c r="AC994" s="14"/>
      <c r="AD994" s="14"/>
      <c r="AE994" s="14"/>
      <c r="AF994" s="14"/>
      <c r="AG994" s="14"/>
      <c r="AH994" s="14"/>
      <c r="AI994" s="20"/>
      <c r="AJ994" s="14"/>
      <c r="AK994" s="14"/>
      <c r="AL994" s="14"/>
      <c r="AM994" s="14"/>
      <c r="AN994" s="14"/>
      <c r="AO994" s="14"/>
      <c r="AP994" s="14"/>
      <c r="AQ994" s="14"/>
      <c r="AR994" s="14"/>
    </row>
    <row r="995" ht="22.5" customHeight="1">
      <c r="A995" s="204"/>
      <c r="B995" s="205"/>
      <c r="C995" s="20"/>
      <c r="D995" s="14"/>
      <c r="E995" s="201"/>
      <c r="F995" s="14"/>
      <c r="G995" s="154"/>
      <c r="H995" s="14"/>
      <c r="I995" s="155"/>
      <c r="J995" s="155"/>
      <c r="K995" s="202"/>
      <c r="L995" s="14" t="str">
        <f t="shared" si="30"/>
        <v>0</v>
      </c>
      <c r="M995" s="14"/>
      <c r="N995" s="14"/>
      <c r="O995" s="14"/>
      <c r="P995" s="14"/>
      <c r="Q995" s="14"/>
      <c r="R995" s="201"/>
      <c r="S995" s="14"/>
      <c r="T995" s="14"/>
      <c r="U995" s="14"/>
      <c r="V995" s="203"/>
      <c r="W995" s="14"/>
      <c r="X995" s="14"/>
      <c r="Y995" s="14"/>
      <c r="Z995" s="14"/>
      <c r="AA995" s="14"/>
      <c r="AB995" s="14"/>
      <c r="AC995" s="14"/>
      <c r="AD995" s="14"/>
      <c r="AE995" s="14"/>
      <c r="AF995" s="14"/>
      <c r="AG995" s="14"/>
      <c r="AH995" s="14"/>
      <c r="AI995" s="20"/>
      <c r="AJ995" s="14"/>
      <c r="AK995" s="14"/>
      <c r="AL995" s="14"/>
      <c r="AM995" s="14"/>
      <c r="AN995" s="14"/>
      <c r="AO995" s="14"/>
      <c r="AP995" s="14"/>
      <c r="AQ995" s="14"/>
      <c r="AR995" s="14"/>
    </row>
    <row r="996" ht="22.5" customHeight="1">
      <c r="A996" s="204"/>
      <c r="B996" s="200"/>
      <c r="C996" s="20"/>
      <c r="D996" s="14"/>
      <c r="E996" s="201"/>
      <c r="F996" s="14"/>
      <c r="G996" s="154"/>
      <c r="H996" s="14"/>
      <c r="I996" s="155"/>
      <c r="J996" s="155"/>
      <c r="K996" s="202"/>
      <c r="L996" s="14" t="str">
        <f t="shared" si="30"/>
        <v>0</v>
      </c>
      <c r="M996" s="14"/>
      <c r="N996" s="14"/>
      <c r="O996" s="14"/>
      <c r="P996" s="14"/>
      <c r="Q996" s="14"/>
      <c r="R996" s="201"/>
      <c r="S996" s="14"/>
      <c r="T996" s="14"/>
      <c r="U996" s="14"/>
      <c r="V996" s="203"/>
      <c r="W996" s="14"/>
      <c r="X996" s="14"/>
      <c r="Y996" s="14"/>
      <c r="Z996" s="14"/>
      <c r="AA996" s="14"/>
      <c r="AB996" s="14"/>
      <c r="AC996" s="14"/>
      <c r="AD996" s="14"/>
      <c r="AE996" s="14"/>
      <c r="AF996" s="14"/>
      <c r="AG996" s="14"/>
      <c r="AH996" s="14"/>
      <c r="AI996" s="20"/>
      <c r="AJ996" s="14"/>
      <c r="AK996" s="14"/>
      <c r="AL996" s="14"/>
      <c r="AM996" s="14"/>
      <c r="AN996" s="14"/>
      <c r="AO996" s="14"/>
      <c r="AP996" s="14"/>
      <c r="AQ996" s="14"/>
      <c r="AR996" s="14"/>
    </row>
    <row r="997" ht="22.5" customHeight="1">
      <c r="A997" s="204"/>
      <c r="B997" s="205"/>
      <c r="C997" s="20"/>
      <c r="D997" s="14"/>
      <c r="E997" s="201"/>
      <c r="F997" s="14"/>
      <c r="G997" s="154"/>
      <c r="H997" s="14"/>
      <c r="I997" s="155"/>
      <c r="J997" s="155"/>
      <c r="K997" s="202"/>
      <c r="L997" s="14" t="str">
        <f t="shared" si="30"/>
        <v>0</v>
      </c>
      <c r="M997" s="14"/>
      <c r="N997" s="14"/>
      <c r="O997" s="14"/>
      <c r="P997" s="14"/>
      <c r="Q997" s="14"/>
      <c r="R997" s="201"/>
      <c r="S997" s="14"/>
      <c r="T997" s="14"/>
      <c r="U997" s="14"/>
      <c r="V997" s="203"/>
      <c r="W997" s="14"/>
      <c r="X997" s="14"/>
      <c r="Y997" s="14"/>
      <c r="Z997" s="14"/>
      <c r="AA997" s="14"/>
      <c r="AB997" s="14"/>
      <c r="AC997" s="14"/>
      <c r="AD997" s="14"/>
      <c r="AE997" s="14"/>
      <c r="AF997" s="14"/>
      <c r="AG997" s="14"/>
      <c r="AH997" s="14"/>
      <c r="AI997" s="20"/>
      <c r="AJ997" s="14"/>
      <c r="AK997" s="14"/>
      <c r="AL997" s="14"/>
      <c r="AM997" s="14"/>
      <c r="AN997" s="14"/>
      <c r="AO997" s="14"/>
      <c r="AP997" s="14"/>
      <c r="AQ997" s="14"/>
      <c r="AR997" s="14"/>
    </row>
    <row r="998" ht="22.5" customHeight="1">
      <c r="A998" s="204"/>
      <c r="B998" s="200"/>
      <c r="C998" s="20"/>
      <c r="D998" s="14"/>
      <c r="E998" s="201"/>
      <c r="F998" s="14"/>
      <c r="G998" s="154"/>
      <c r="H998" s="14"/>
      <c r="I998" s="155"/>
      <c r="J998" s="155"/>
      <c r="K998" s="202"/>
      <c r="L998" s="14" t="str">
        <f t="shared" si="30"/>
        <v>0</v>
      </c>
      <c r="M998" s="14"/>
      <c r="N998" s="14"/>
      <c r="O998" s="14"/>
      <c r="P998" s="14"/>
      <c r="Q998" s="14"/>
      <c r="R998" s="201"/>
      <c r="S998" s="14"/>
      <c r="T998" s="14"/>
      <c r="U998" s="14"/>
      <c r="V998" s="203"/>
      <c r="W998" s="14"/>
      <c r="X998" s="14"/>
      <c r="Y998" s="14"/>
      <c r="Z998" s="14"/>
      <c r="AA998" s="14"/>
      <c r="AB998" s="14"/>
      <c r="AC998" s="14"/>
      <c r="AD998" s="14"/>
      <c r="AE998" s="14"/>
      <c r="AF998" s="14"/>
      <c r="AG998" s="14"/>
      <c r="AH998" s="14"/>
      <c r="AI998" s="20"/>
      <c r="AJ998" s="14"/>
      <c r="AK998" s="14"/>
      <c r="AL998" s="14"/>
      <c r="AM998" s="14"/>
      <c r="AN998" s="14"/>
      <c r="AO998" s="14"/>
      <c r="AP998" s="14"/>
      <c r="AQ998" s="14"/>
      <c r="AR998" s="14"/>
    </row>
    <row r="999" ht="22.5" customHeight="1">
      <c r="A999" s="204"/>
      <c r="B999" s="205"/>
      <c r="C999" s="20"/>
      <c r="D999" s="14"/>
      <c r="E999" s="201"/>
      <c r="F999" s="14"/>
      <c r="G999" s="154"/>
      <c r="H999" s="14"/>
      <c r="I999" s="155"/>
      <c r="J999" s="155"/>
      <c r="K999" s="202"/>
      <c r="L999" s="14" t="str">
        <f t="shared" si="30"/>
        <v>0</v>
      </c>
      <c r="M999" s="14"/>
      <c r="N999" s="14"/>
      <c r="O999" s="14"/>
      <c r="P999" s="14"/>
      <c r="Q999" s="14"/>
      <c r="R999" s="201"/>
      <c r="S999" s="14"/>
      <c r="T999" s="14"/>
      <c r="U999" s="14"/>
      <c r="V999" s="203"/>
      <c r="W999" s="14"/>
      <c r="X999" s="14"/>
      <c r="Y999" s="14"/>
      <c r="Z999" s="14"/>
      <c r="AA999" s="14"/>
      <c r="AB999" s="14"/>
      <c r="AC999" s="14"/>
      <c r="AD999" s="14"/>
      <c r="AE999" s="14"/>
      <c r="AF999" s="14"/>
      <c r="AG999" s="14"/>
      <c r="AH999" s="14"/>
      <c r="AI999" s="20"/>
      <c r="AJ999" s="14"/>
      <c r="AK999" s="14"/>
      <c r="AL999" s="14"/>
      <c r="AM999" s="14"/>
      <c r="AN999" s="14"/>
      <c r="AO999" s="14"/>
      <c r="AP999" s="14"/>
      <c r="AQ999" s="14"/>
      <c r="AR999" s="14"/>
    </row>
    <row r="1000" ht="22.5" customHeight="1">
      <c r="A1000" s="204"/>
      <c r="B1000" s="200"/>
      <c r="C1000" s="20"/>
      <c r="D1000" s="14"/>
      <c r="E1000" s="201"/>
      <c r="F1000" s="14"/>
      <c r="G1000" s="154"/>
      <c r="H1000" s="14"/>
      <c r="I1000" s="155"/>
      <c r="J1000" s="155"/>
      <c r="K1000" s="202"/>
      <c r="L1000" s="14" t="str">
        <f t="shared" si="30"/>
        <v>0</v>
      </c>
      <c r="M1000" s="14"/>
      <c r="N1000" s="14"/>
      <c r="O1000" s="14"/>
      <c r="P1000" s="14"/>
      <c r="Q1000" s="14"/>
      <c r="R1000" s="201"/>
      <c r="S1000" s="14"/>
      <c r="T1000" s="14"/>
      <c r="U1000" s="14"/>
      <c r="V1000" s="203"/>
      <c r="W1000" s="14"/>
      <c r="X1000" s="14"/>
      <c r="Y1000" s="14"/>
      <c r="Z1000" s="14"/>
      <c r="AA1000" s="14"/>
      <c r="AB1000" s="14"/>
      <c r="AC1000" s="14"/>
      <c r="AD1000" s="14"/>
      <c r="AE1000" s="14"/>
      <c r="AF1000" s="14"/>
      <c r="AG1000" s="14"/>
      <c r="AH1000" s="14"/>
      <c r="AI1000" s="20"/>
      <c r="AJ1000" s="14"/>
      <c r="AK1000" s="14"/>
      <c r="AL1000" s="14"/>
      <c r="AM1000" s="14"/>
      <c r="AN1000" s="14"/>
      <c r="AO1000" s="14"/>
      <c r="AP1000" s="14"/>
      <c r="AQ1000" s="14"/>
      <c r="AR1000" s="14"/>
    </row>
    <row r="1001" ht="22.5" customHeight="1">
      <c r="A1001" s="204"/>
      <c r="B1001" s="205"/>
      <c r="C1001" s="20"/>
      <c r="D1001" s="14"/>
      <c r="E1001" s="201"/>
      <c r="F1001" s="14"/>
      <c r="G1001" s="154"/>
      <c r="H1001" s="14"/>
      <c r="I1001" s="155"/>
      <c r="J1001" s="155"/>
      <c r="K1001" s="202"/>
      <c r="L1001" s="14" t="str">
        <f t="shared" si="30"/>
        <v>0</v>
      </c>
      <c r="M1001" s="14"/>
      <c r="N1001" s="14"/>
      <c r="O1001" s="14"/>
      <c r="P1001" s="14"/>
      <c r="Q1001" s="14"/>
      <c r="R1001" s="201"/>
      <c r="S1001" s="14"/>
      <c r="T1001" s="14"/>
      <c r="U1001" s="14"/>
      <c r="V1001" s="203"/>
      <c r="W1001" s="14"/>
      <c r="X1001" s="14"/>
      <c r="Y1001" s="14"/>
      <c r="Z1001" s="14"/>
      <c r="AA1001" s="14"/>
      <c r="AB1001" s="14"/>
      <c r="AC1001" s="14"/>
      <c r="AD1001" s="14"/>
      <c r="AE1001" s="14"/>
      <c r="AF1001" s="14"/>
      <c r="AG1001" s="14"/>
      <c r="AH1001" s="14"/>
      <c r="AI1001" s="20"/>
      <c r="AJ1001" s="14"/>
      <c r="AK1001" s="14"/>
      <c r="AL1001" s="14"/>
      <c r="AM1001" s="14"/>
      <c r="AN1001" s="14"/>
      <c r="AO1001" s="14"/>
      <c r="AP1001" s="14"/>
      <c r="AQ1001" s="14"/>
      <c r="AR1001" s="14"/>
    </row>
    <row r="1002" ht="22.5" customHeight="1">
      <c r="A1002" s="204"/>
      <c r="B1002" s="200"/>
      <c r="C1002" s="20"/>
      <c r="D1002" s="14"/>
      <c r="E1002" s="201"/>
      <c r="F1002" s="14"/>
      <c r="G1002" s="154"/>
      <c r="H1002" s="14"/>
      <c r="I1002" s="155"/>
      <c r="J1002" s="155"/>
      <c r="K1002" s="202"/>
      <c r="L1002" s="14" t="str">
        <f t="shared" si="30"/>
        <v>0</v>
      </c>
      <c r="M1002" s="14"/>
      <c r="N1002" s="14"/>
      <c r="O1002" s="14"/>
      <c r="P1002" s="14"/>
      <c r="Q1002" s="14"/>
      <c r="R1002" s="201"/>
      <c r="S1002" s="14"/>
      <c r="T1002" s="14"/>
      <c r="U1002" s="14"/>
      <c r="V1002" s="203"/>
      <c r="W1002" s="14"/>
      <c r="X1002" s="14"/>
      <c r="Y1002" s="14"/>
      <c r="Z1002" s="14"/>
      <c r="AA1002" s="14"/>
      <c r="AB1002" s="14"/>
      <c r="AC1002" s="14"/>
      <c r="AD1002" s="14"/>
      <c r="AE1002" s="14"/>
      <c r="AF1002" s="14"/>
      <c r="AG1002" s="14"/>
      <c r="AH1002" s="14"/>
      <c r="AI1002" s="20"/>
      <c r="AJ1002" s="14"/>
      <c r="AK1002" s="14"/>
      <c r="AL1002" s="14"/>
      <c r="AM1002" s="14"/>
      <c r="AN1002" s="14"/>
      <c r="AO1002" s="14"/>
      <c r="AP1002" s="14"/>
      <c r="AQ1002" s="14"/>
      <c r="AR1002" s="14"/>
    </row>
    <row r="1003" ht="22.5" customHeight="1">
      <c r="A1003" s="204"/>
      <c r="B1003" s="205"/>
      <c r="C1003" s="20"/>
      <c r="D1003" s="14"/>
      <c r="E1003" s="201"/>
      <c r="F1003" s="14"/>
      <c r="G1003" s="154"/>
      <c r="H1003" s="14"/>
      <c r="I1003" s="155"/>
      <c r="J1003" s="155"/>
      <c r="K1003" s="202"/>
      <c r="L1003" s="14" t="str">
        <f t="shared" si="30"/>
        <v>0</v>
      </c>
      <c r="M1003" s="14"/>
      <c r="N1003" s="14"/>
      <c r="O1003" s="14"/>
      <c r="P1003" s="14"/>
      <c r="Q1003" s="14"/>
      <c r="R1003" s="201"/>
      <c r="S1003" s="14"/>
      <c r="T1003" s="14"/>
      <c r="U1003" s="14"/>
      <c r="V1003" s="203"/>
      <c r="W1003" s="14"/>
      <c r="X1003" s="14"/>
      <c r="Y1003" s="14"/>
      <c r="Z1003" s="14"/>
      <c r="AA1003" s="14"/>
      <c r="AB1003" s="14"/>
      <c r="AC1003" s="14"/>
      <c r="AD1003" s="14"/>
      <c r="AE1003" s="14"/>
      <c r="AF1003" s="14"/>
      <c r="AG1003" s="14"/>
      <c r="AH1003" s="14"/>
      <c r="AI1003" s="20"/>
      <c r="AJ1003" s="14"/>
      <c r="AK1003" s="14"/>
      <c r="AL1003" s="14"/>
      <c r="AM1003" s="14"/>
      <c r="AN1003" s="14"/>
      <c r="AO1003" s="14"/>
      <c r="AP1003" s="14"/>
      <c r="AQ1003" s="14"/>
      <c r="AR1003" s="14"/>
    </row>
    <row r="1004" ht="22.5" customHeight="1">
      <c r="A1004" s="204"/>
      <c r="B1004" s="206"/>
      <c r="C1004" s="20"/>
      <c r="D1004" s="14"/>
      <c r="E1004" s="201"/>
      <c r="F1004" s="14"/>
      <c r="G1004" s="154"/>
      <c r="H1004" s="14"/>
      <c r="I1004" s="155"/>
      <c r="J1004" s="155"/>
      <c r="K1004" s="202"/>
      <c r="L1004" s="14" t="str">
        <f t="shared" si="30"/>
        <v>0</v>
      </c>
      <c r="M1004" s="14"/>
      <c r="N1004" s="14"/>
      <c r="O1004" s="14"/>
      <c r="P1004" s="14"/>
      <c r="Q1004" s="14"/>
      <c r="R1004" s="201"/>
      <c r="S1004" s="14"/>
      <c r="T1004" s="14"/>
      <c r="U1004" s="14"/>
      <c r="V1004" s="203"/>
      <c r="W1004" s="14"/>
      <c r="X1004" s="14"/>
      <c r="Y1004" s="14"/>
      <c r="Z1004" s="14"/>
      <c r="AA1004" s="14"/>
      <c r="AB1004" s="14"/>
      <c r="AC1004" s="14"/>
      <c r="AD1004" s="14"/>
      <c r="AE1004" s="14"/>
      <c r="AF1004" s="14"/>
      <c r="AG1004" s="14"/>
      <c r="AH1004" s="14"/>
      <c r="AI1004" s="20"/>
      <c r="AJ1004" s="14"/>
      <c r="AK1004" s="14"/>
      <c r="AL1004" s="14"/>
      <c r="AM1004" s="14"/>
      <c r="AN1004" s="14"/>
      <c r="AO1004" s="14"/>
      <c r="AP1004" s="14"/>
      <c r="AQ1004" s="14"/>
      <c r="AR1004" s="14"/>
    </row>
    <row r="1005" ht="22.5" customHeight="1">
      <c r="A1005" s="207"/>
      <c r="B1005" s="207"/>
      <c r="C1005" s="9" t="s">
        <v>309</v>
      </c>
      <c r="D1005" s="208"/>
      <c r="E1005" s="208"/>
      <c r="F1005" s="208"/>
      <c r="G1005" s="208"/>
      <c r="H1005" s="208"/>
      <c r="I1005" s="208"/>
      <c r="J1005" s="208"/>
      <c r="K1005" s="208"/>
      <c r="L1005" s="208"/>
      <c r="M1005" s="208"/>
      <c r="N1005" s="208"/>
      <c r="O1005" s="208"/>
      <c r="P1005" s="208"/>
      <c r="Q1005" s="208"/>
      <c r="R1005" s="9"/>
      <c r="S1005" s="208"/>
      <c r="T1005" s="208"/>
      <c r="U1005" s="208"/>
      <c r="V1005" s="208"/>
      <c r="W1005" s="208"/>
      <c r="X1005" s="208"/>
      <c r="Y1005" s="9"/>
      <c r="Z1005" s="208"/>
      <c r="AA1005" s="208"/>
      <c r="AB1005" s="208"/>
      <c r="AC1005" s="208"/>
      <c r="AD1005" s="208"/>
      <c r="AE1005" s="208"/>
      <c r="AF1005" s="208"/>
      <c r="AG1005" s="208"/>
      <c r="AH1005" s="208"/>
      <c r="AI1005" s="208"/>
      <c r="AJ1005" s="208"/>
      <c r="AK1005" s="208"/>
      <c r="AL1005" s="208"/>
      <c r="AM1005" s="208"/>
      <c r="AN1005" s="208"/>
      <c r="AO1005" s="208"/>
      <c r="AP1005" s="208"/>
      <c r="AQ1005" s="208"/>
      <c r="AR1005" s="208"/>
    </row>
  </sheetData>
  <customSheetViews>
    <customSheetView guid="{CAD78B9C-1BFD-4B5F-BD6B-652BF94B0155}" filter="1" showAutoFilter="1">
      <autoFilter ref="$A$1:$AR$1005"/>
    </customSheetView>
    <customSheetView guid="{62741777-ED0F-410E-B423-36A65B9E39FD}" filter="1" showAutoFilter="1">
      <autoFilter ref="$A$1:$AR$1005">
        <filterColumn colId="2">
          <filters>
            <filter val="madhumitha.sonnakula@capsdelivery.com"/>
          </filters>
        </filterColumn>
        <filterColumn colId="19">
          <filters blank="1">
            <filter val="Hangout Hospilatities@gmail.com"/>
            <filter val="Umadevi Alampally"/>
            <filter val="Yelgani sai kumar goud"/>
            <filter val="Venu prakash gunda"/>
            <filter val="not mentioned"/>
            <filter val="Madhapur Bawarchi"/>
            <filter val="Invences foods"/>
            <filter val="Annam Parabrahma"/>
            <filter val="Dasari kiran (Gani)"/>
            <filter val="srinuvasulu reddy vada"/>
            <filter val="Second wife C/O Gunthur"/>
            <filter val="Paruchuri foods"/>
            <filter val="Pedamallu dinesh sai"/>
            <filter val="Niraj"/>
            <filter val="B.soni"/>
            <filter val="Syed ali"/>
            <filter val="Raju gari sruthi"/>
            <filter val="KURUKUTI RAM PRASAD"/>
            <filter val="Yanugunti Akhil"/>
            <filter val="Gunji chndra shekhar"/>
            <filter val="Al Ameen Shawarma"/>
            <filter val="Mohammed Khaleel"/>
            <filter val="Ch Ramesh kumar"/>
            <filter val="Candella heights LLP"/>
            <filter val="methri mallesh"/>
            <filter val="Evuri manikanteswara reddy"/>
            <filter val="Vinayanka Dileep varma kosuri"/>
            <filter val="Sugathi Homestays"/>
            <filter val="For Poojas dine IN"/>
            <filter val="Anu archana kitchen"/>
            <filter val="P.SRINIVASHULU"/>
            <filter val="Nayan mitra"/>
            <filter val="Bejam Harika"/>
            <filter val="Krilaba gana sathvikam"/>
            <filter val="Avhllp kokapet"/>
            <filter val="Telugu patnam ruchulu"/>
            <filter val="sweet dude signature PVT . LTD"/>
            <filter val="Veeramma gari vantillu"/>
            <filter val="Yummy foods"/>
            <filter val="Not mentioned"/>
            <filter val="Menday Vamshi"/>
            <filter val="Sindhu sha"/>
            <filter val="Aahar vilas"/>
            <filter val="Kottu Adiwarayana"/>
            <filter val="Padavala Rama lakshmi"/>
            <filter val="caffine hub"/>
            <filter val="Naidu Food Court"/>
            <filter val="Madaram Shailaja"/>
            <filter val="Madduri Ravindhar Reddy"/>
            <filter val="chinthamani pulaous"/>
            <filter val="kanchu musthyam"/>
            <filter val="Sammidi Ranjith reddy"/>
            <filter val="srinivasulu"/>
            <filter val="Polu Vasanthi"/>
            <filter val="Prabhakar"/>
            <filter val="Mayabazaar"/>
            <filter val="Sudarshan reddy"/>
            <filter val="Venkateshwara Rao"/>
            <filter val="Chalavadi pavan Kalyan"/>
            <filter val="Gunji Shekar"/>
            <filter val="Imtiaz alam"/>
            <filter val="Ulavapudu Biryani and Pulaos"/>
            <filter val="Shravan Kumar Kale"/>
            <filter val="Thota abhilash"/>
            <filter val="Akshaya Bhojanam"/>
            <filter val="For aarav sunrise hospitalitfes"/>
            <filter val="Mandala Rama krishna reddy"/>
            <filter val="Lalu Sekhar Gudavalli"/>
            <filter val="G Hitech Bawarchi food court"/>
            <filter val="Padmavathi vessam"/>
            <filter val="Momi Gupta"/>
            <filter val="syed shahed"/>
            <filter val="Yakkanti Jahnavi"/>
            <filter val="Vikram talasila"/>
            <filter val="Biryani Mandirr"/>
            <filter val="open heart restaurant"/>
            <filter val="cake corner bakers confectioners"/>
            <filter val="castal kitchen"/>
            <filter val="Hamdan Bin Masood"/>
            <filter val="Adbutaha Tiffins"/>
            <filter val="SNAKING CAFE PVT.LTD"/>
            <filter val="Palapiltta Ruchulu"/>
            <filter val="East and west kitchen"/>
            <filter val="sambasiva rao kethineni"/>
            <filter val="Mohammed ishaq"/>
            <filter val="Eden industries"/>
            <filter val="Mr. Mohd wajid ali khan"/>
            <filter val="alkemy"/>
            <filter val="Anji Tiffins and meals"/>
            <filter val="M.gopinath"/>
            <filter val="Rambabu"/>
            <filter val="Aripelli VInesh"/>
            <filter val="Hydes Diner"/>
            <filter val="Burra Rakesh Gound"/>
            <filter val="D Indra"/>
            <filter val="V.Ravi Kumar"/>
            <filter val="Rayalaseema spice Restaurant"/>
            <filter val="B.Raja yashwanth kumar"/>
            <filter val="Mohd Shoieb"/>
            <filter val="Muni Ragavendra gandavadi"/>
            <filter val="Dinesh kumar"/>
            <filter val="Nandini Talluru"/>
            <filter val="kolli tirunala ravindra"/>
            <filter val="Chemmala Rajender"/>
            <filter val="5ves restaurant"/>
            <filter val="J Manikanth"/>
            <filter val="Md.Khairuddin"/>
            <filter val="Kandavelli Siva Rama Krishna"/>
            <filter val="mohammed froz"/>
            <filter val="shaik sartaz ali"/>
            <filter val="Snack Bite"/>
            <filter val="Mattaparthi Durga"/>
            <filter val="Mohammed minhaj uddin"/>
            <filter val="Kathmandu Momos"/>
            <filter val="Anandobrahma"/>
            <filter val="Sandeep"/>
            <filter val="Megha vath venkatesh"/>
            <filter val="Zamindar's Cafe"/>
            <filter val="V6 ventures LLP"/>
            <filter val="Thirumala Reddy Balashow reddy"/>
            <filter val="Tea time"/>
            <filter val="Mr.N Gopichand and Mr.Mekala shesidhar reddy"/>
            <filter val="Om Vaishnav Enterprise"/>
            <filter val="Balaram Khuntia"/>
            <filter val="Divya"/>
            <filter val="Kondapalli vijay kumar"/>
            <filter val="sonali avinash jadhav"/>
            <filter val="The Boat House"/>
            <filter val="Pendyala teja arun kumar"/>
            <filter val="Darapuneni stores and Bakery"/>
            <filter val="Ashish kumar"/>
            <filter val="Dodda krupakar"/>
            <filter val="SNS bakehouse bakery and cafe"/>
            <filter val="srikanth charan"/>
            <filter val="Sri Vigneshwara Aaha biryani"/>
            <filter val="Pranay kumar"/>
            <filter val="shiv kumar patil"/>
            <filter val="Sapan kumar jena"/>
            <filter val="Paul kumar rapaka"/>
            <filter val="Snamk Hospitality"/>
            <filter val="Therala kartheek"/>
            <filter val="Ahladha kitchen"/>
            <filter val="Shailaja reddy"/>
            <filter val="Sri sai and co."/>
            <filter val="Veedulakanty Sravan Kumar"/>
            <filter val="Sri Vengamamba Deluxe mess"/>
            <filter val="Vidhusekhara pizzeria private limited"/>
            <filter val="Shaik janbee"/>
            <filter val="Hanuman Juice and salad"/>
            <filter val="Avhllp sambal"/>
            <filter val="Shiva karthik"/>
            <filter val="Puli Pradeep"/>
            <filter val="K. Naga Bhushan Rao"/>
            <filter val="Mammu's kitchen"/>
            <filter val="S P Enterprises"/>
            <filter val="Mohammed masoor"/>
            <filter val="Exotica slice and sauce private limited"/>
            <filter val="Shivananda"/>
            <filter val="Ravindra babu tadiboyina"/>
            <filter val="Mohammed Zahera Begum"/>
            <filter val="padmavathi food court"/>
            <filter val="Biradar Pradeep"/>
            <filter val="Chai kaburlu"/>
            <filter val="Ravi kumar"/>
            <filter val="Peddi naveen"/>
            <filter val="Gali Anjaneya Reddy"/>
            <filter val="Mamatha budhani"/>
            <filter val="Rambala sanjay"/>
            <filter val="Oldendays Tiffins"/>
            <filter val="Rajkiran Darshan"/>
            <filter val="The Tasty Chapter"/>
            <filter val="Good sparrow foods private limited"/>
            <filter val="Sri Venkateshwara Hospitality"/>
            <filter val="The Bakely"/>
            <filter val="N.Gopichand"/>
            <filter val="Made in Andhra"/>
            <filter val="Vinod Kumar"/>
            <filter val="santhakam Ruchulu"/>
            <filter val="Sri saravana food and Beverages"/>
            <filter val="Brew commune cafe and bistro"/>
            <filter val="P Satya sai"/>
            <filter val="Alankrutha multi cuisine Restaurant"/>
            <filter val="Al-Aadaab Arabian mandi Restaurant"/>
            <filter val="arukha flavours"/>
            <filter val="K.Kailash"/>
            <filter val="Monica surana"/>
            <filter val="Wasim Akram"/>
            <filter val="Mutta Gopal Ramakrishna"/>
            <filter val="paka niharika"/>
            <filter val="Sreejas Home foods"/>
            <filter val="Kolkata food plaza"/>
            <filter val="Hunan chinese cuisine"/>
            <filter val="Times tiffins and Meals"/>
            <filter val="Prashanth"/>
            <filter val="sekh raphik"/>
            <filter val="Arm coffee place"/>
            <filter val="Dontham mahesh"/>
            <filter val="Arua bhavan udipi veg"/>
            <filter val="zamin ali"/>
            <filter val="Gunda Ajay kumar"/>
            <filter val="SYED Haji Ali"/>
            <filter val="Syed Hissam Uddin"/>
            <filter val="Nandha kishore"/>
            <filter val="classic crown restaurant"/>
            <filter val="SK Shabbir"/>
            <filter val="Zafaron food court"/>
            <filter val="Bulliabbai kodi palau"/>
            <filter val="sekh jani bakes"/>
            <filter val="Sri lakshmi Enterprises"/>
            <filter val="Bhavani Mess"/>
            <filter val="Gottipati military hotel"/>
            <filter val="Amulya Abhiruchi"/>
            <filter val="Sri sai rama tiffins"/>
            <filter val="Shriman Hotels LLP"/>
            <filter val="A Balaji family dhaba"/>
            <filter val="MM cake factory and bakers"/>
            <filter val="Sunil Gowtham"/>
            <filter val="MD.Ghouse"/>
            <filter val="Fusion@49"/>
            <filter val="Gangan Preet Monga"/>
            <filter val="S.Ravi"/>
            <filter val="sharat chandra chennuri"/>
            <filter val="Bhanu Food Hub"/>
            <filter val="SYVM hospitality"/>
            <filter val="Eastin hotels and resorts"/>
            <filter val="Tahaan foods private limited"/>
            <filter val="Brew and bloom heaven coffee shop"/>
            <filter val="Gold kumar"/>
            <filter val="Chopsticks"/>
            <filter val="Gardas saritha"/>
            <filter val="VJ food prenures"/>
            <filter val="Akshaya patra"/>
            <filter val="Al saba Restaurant"/>
            <filter val="Sindhu tiffins and meals"/>
            <filter val="Ichirakau ramen house"/>
            <filter val="Saraswati Biswas"/>
            <filter val="Dwarakamayee Tiffins Centre"/>
            <filter val="Mrs. Madaram Shailaja"/>
            <filter val="Mohammed Ibrahim"/>
            <filter val="Uday Bhaskar"/>
            <filter val="The boat house"/>
            <filter val="Oye punjabi"/>
            <filter val="Mohammed yasar"/>
            <filter val="Gogineni v j sudheer kumar"/>
            <filter val="Lucky multi cuisine Restaurant"/>
            <filter val="Zyras Biryani house"/>
            <filter val="Anand Bhavan mess"/>
            <filter val="Avhllp military hotel"/>
            <filter val="Sri Bhimanaram Thali/Tangella Ravali"/>
            <filter val="Mucch kota Ramesh"/>
            <filter val="Gondi Amerendra Naidu"/>
            <filter val="Spice theory"/>
            <filter val="Alnkarutha multicusine Restaurant"/>
            <filter val="Ajay Kumar"/>
            <filter val="N.Rajesh kumar"/>
            <filter val="V.Meghana"/>
            <filter val="laxmi shailaja sutrave"/>
            <filter val="Peram sai manikanta reddy"/>
            <filter val="Mohammed Bin Mansoor Al Jabri"/>
            <filter val="Kommula Krishna Nihar"/>
            <filter val="Fahad Mon Kalathingal"/>
            <filter val="Kings M Biryani Adda"/>
            <filter val="Muisyle Elite Hospitality"/>
            <filter val="Deepak"/>
            <filter val="Ravi kiran"/>
            <filter val="Fawwwaz Enterprises"/>
          </filters>
        </filterColumn>
      </autoFilter>
    </customSheetView>
    <customSheetView guid="{928D8FC0-B501-44EB-BE18-A9C82CF80C1D}" filter="1" showAutoFilter="1">
      <autoFilter ref="$A$1:$AR$1005">
        <filterColumn colId="2">
          <filters>
            <filter val="manasa.chigurupati@capsdelivery.com"/>
          </filters>
        </filterColumn>
        <filterColumn colId="4">
          <filters blank="1">
            <filter val="sai raghava enclave,beside vijetha,super market,ameenapur,chandanagar,selingampally"/>
            <filter val="shop no.3,996V+nf5,kismatpur road,banglaguda jagir,telangana"/>
            <filter val="plot no.16/B,Addagutta,beside arjun theatre,jKPHB,kukatpally circle no.24,hyd"/>
            <filter val="not mentioned"/>
            <filter val="will- Mallipaathi po -malipathi, 210-C Sri Ram Kondapur"/>
            <filter val="plot no.1452/p venkata ramana colony,gokul plots circle no21-hyderabad 500049"/>
            <filter val="somajiguda, jumaaldinne laxmi,shop no 7, H.no 6-3-650"/>
            <filter val="1-59/8/A,miyapur PS,serlingampally circle no.20,hyderabad,Telangana"/>
            <filter val="plot no.13,bandlaguda jagir,rajendra nagar circle no.11,hyd,telangana"/>
            <filter val="H.no:4-229 and 230,plot no.227,sy no.78-93,Raja rajeshwara nagar,kondapur,selingampally circle"/>
            <filter val="survey no.37,himayath sagar village,gandipet mandal,rangareddy district,telangana"/>
            <filter val="plot no.8-2/19/2,beside SBI Bank,Rampally village,keesara,medchal,malkajgiri,telangana"/>
            <filter val="H.no:37/4,near malaysian township,kphb colony,kukatpally circle no.24,hyd"/>
            <filter val="plot no.1031,matrusri nagar colony,miyapur,hyd"/>
            <filter val="Rd.1 kukatpallly housing board colony,phase 1,kukatpally,hyd"/>
            <filter val="H.no:15-31-2L-1-5/275/3,lig-5/2,phase-3,kphb colony,kukatpally,hyd"/>
            <filter val="Seeramnagar colony,puppalguda village and G.P,rajendranagar mandal,puppalguda"/>
            <filter val="138/1,flat no 45, sham apts, secunderabad,sindhi colony pg road"/>
            <filter val="plot no 34 &amp; 5 park KFC lane near jv colony jubilee hills circle no 18,hyderabad telangana"/>
            <filter val="Door No, 2-41/11/10/, G3, Sri sai residancy prashanth nagar, kothaguda"/>
            <filter val="1-19,narayankhed,abenda,narayankhed,pragathi nagar,kukatpally"/>
            <filter val="shop no.101 plot no.36 st.mincheals colony,banglaguda,gandipet"/>
            <filter val="Ramya Ground RD,beside mad over maggi near vinayaka temple,kukatpally housing board"/>
            <filter val="kedarisetty veera venta satya,MIG-264,shop no.3,road no.4,near apollo,kphb,kukatpally"/>
            <filter val="Door no.6-MIG-82,Tanisha nagar huda layout manikonda,rajendra nagar,ranga reddy,telangana,"/>
            <filter val="plot no.38,padmaja colony,chandanagar,hyderabad,telangana"/>
            <filter val="8-3-228/678/1398,sri ram nagar,near syedna omar masjid,yousufguda circel no.19,telangana"/>
            <filter val="6-1-69/1,plot no.68,street no.7,bhagyalaxmi colony,manikonda,telangana"/>
            <filter val="H.NO:2-35,neknampur village,manikonda,gandipet mandal, R.R district"/>
            <filter val="plot no.64,opp HP petrol pump,peeramchervu,Gandhamguda,Bandlaguda jagir,hyd"/>
            <filter val="Door no.6-3-1089/f/3/3 somajiguda,hyd,telangana"/>
            <filter val="h.no: 6-13/MIG, bhagyalakshmi colony, tanasha nagar, manikonda, telangana, 500089"/>
            <filter val="Moosepet Tanjayab nagar,mossapet,hyd,pillar no.891"/>
            <filter val="Kismatpur road adjustent to vidyapeet school ,bhavani colony,velly viewen clave,Bandlaguda jagir,"/>
            <filter val="SY NO-78, KOLAN RAGHAVAREDDY FUNCTION HALL COMPLEX, HYDER NAGAR , NIZAMPET, Kukatpally Circle No 24, Hyderabad, Telangana - 500090"/>
            <filter val="H.NO:2-3-406/12/part,plot no.7,road no.2,Tulasinagar,near M2m jeans,kukatpally circle no.24"/>
            <filter val="road opposite LV prasad eye institute abhyudaya nagar,dargha khaliz khan,kismatpur"/>
            <filter val="8-3-222/8/72,G-4,madhuranagar,yousufguda,hyd circel no.19,hyd"/>
            <filter val="12-2-417/46/9,sharada nagarn colony gudimalk"/>
            <filter val="Ragiv gandhi nagar,langarhouz,hyderabad,telangana"/>
            <filter val="h.no 1-90/c/8, inside sri krishna food court, hudo techno enclave, opp LP tower, vittalrao nagar, hitech city"/>
            <filter val="plot no.22,MIG,KPHB phase 15,kukatpally,moosapet circle no.23,500072"/>
            <filter val="7-1-282/C sriram nagar colony, Balkampet , hyd 500018, Begumpet circle NO 30"/>
            <filter val="sy no.259,263,264,plot no.199,198,chandanagar,reddy colony,sangareddy"/>
            <filter val="1-98/2,durgam chervu,inorbit mall rd, hyd"/>
            <filter val="Plot no: 1271, opp bharath petrol bunk road no:63, checkpost, Jubilee hills , hyderabad - 500033, jubilee hills, circle no: 18, hyd"/>
            <filter val="shop no.5, Manjira plaza,opposite Aadithya trade centre,near maithrivanam road,srinivas nagar,ameerpet,hyd,telangana"/>
            <filter val="1-21/1 Madhapur,hyd,circle no.20,serlingampally"/>
            <filter val="plot no.82/c road no.3,shutter no.1,Addaguta society,kukatpally,hyd"/>
            <filter val="138/1,flat no 45 sham apt,secunderabad 138/1,flat no 45 shama apt sindi colony pg road 500003"/>
            <filter val="H.NO:13-6-815/A/2,ground floor,langarhouz,hyderabad karwan circle no.13,hyd"/>
            <filter val="H.no:KIGH 145,KPHB 7th phase,opposite to GHMC basketball ground,kukatpally,moosapet circle no.23"/>
            <filter val="H.NO:1-90/7/B/126,P.no:53A,street-1,patrika nagar,madhapur"/>
            <filter val="shop no.3,H.no:5-3/12,plot no.12,sai tulsai enclave,rattinagulapally,gandipet(19),ranga reddy"/>
            <filter val="plot no 16, 13-5-162/11/nr ramarao nagar, moosapet,hyderabad,moosapet circle no 23 - 500018"/>
            <filter val="11-1-12751B,new bhoiguda,afzal sagar,goshamahal circle no.14,hyd,telangana"/>
            <filter val="h.no:8-1-284/ou/152,ou colony,shaikpet,jubilee hills circle no.18,hyd,telangana"/>
            <filter val="sy no. 54,58,59 plot no 1,part gb guttala begumpet madhapur road"/>
            <filter val="plot no 419,  j-heights, TNGO's colony, financial district, gachibowli,manikonda, rajendra nagar"/>
            <filter val="4-17-12,hitech city santosh residency,beside farmaish Restaurant,gandamguda,hyd"/>
            <filter val="8-3-222/8/76/G2, Madhura nagar, Circle No/17 hyderabad  HYD"/>
            <filter val="h.no:8-228/b/b/b,rd no.3,banjara hills,jubliee hills circle no.18,hyderabad"/>
            <filter val="beside feather n splash, kukutpally housing board colony, hafeezpet, telangana - 500085"/>
            <filter val="H.no: 1-8-153/2, shop no-1 ground floor pg road, paradise, secunderbad"/>
            <filter val="plot no.21A,sy no.12,whitefeilds,opposite,divya shree omega,kondapur,hyderabad,selingampally circle no&gt;20,hyd"/>
            <filter val="KPHB colony,kukatpally circle no.24,hyd"/>
            <filter val="h.no:2-41/5/A,3rd street,police colony,hanuman nagar,kondapur"/>
            <filter val="8-3-228/A/12,RRV apartments,opposite srisalam yadav"/>
            <filter val="kavya deluxe apartment,lata enclave,madhuranagar,hyderabad"/>
            <filter val="plot no. 501,sy no.11/14.11/15,11/16,khanamet village ayyappa society,htd"/>
            <filter val="h.no:- 6-2-967/b/a/6, fateh man zil, khairatabad circle no - 17, hyderabad, telangana - 500004"/>
            <filter val="plot no.03-805,shop no.2 ground floor M and M elite home,sri swamy ayyappa co-op Hs madhapur,hyd"/>
            <filter val="H.no:2-106/9/1,krisat colony,phase-4,gangaram chandanagar"/>
            <filter val="Serlingampally circle no.20,hyd,telangana"/>
            <filter val="gate no 4,toulichowki gate no4,paramount colony near toulichowki"/>
            <filter val="8-3-6333/82/1,ali nagar, tawwal nagar,yella reddy,hyd,telangana"/>
            <filter val="c/o diyi satanayan plot no 151 h no 20-151 , surabhi colony, lingampally, lingampally, kv reddy, serlingampally"/>
            <filter val="floor no:ground floor,building no.1,d.no:1-98/90c beside durgamma temple,ayyappa society road"/>
            <filter val="8-1-284/472,ou colony,shaikpet,hyderabad,jubliee hills circle shop no.18"/>
            <filter val="House No. 5-1-119 Shop No. 4 Ground floor bus Stop Pillar No. A815 Kukatpally, Hyd - 500072"/>
            <filter val="32B,Opposite,Community Hall,SR Nagar,Hyderabad,Khairthabad circle no.17,Hyd,Telangana"/>
            <filter val="plot no. 14, HIG 15, sy no. 4, tanasha residental complex,pokalwada , village, manikonda"/>
            <filter val="H.no:25-35/4,plot no land 2 KN complex,survey no.167,ramachandra reddy nagar"/>
            <filter val="6-73/241,Bayuth colony,alkapur road,hyd,khairtabad circle no.17"/>
            <filter val="plot no.2/a,whitefeilds,kondapur,serlingampally circle no 20,hyd"/>
            <filter val="sai gayathri towers finacial district Nanakramguda,Telangana"/>
            <filter val="7-1-455/12 opposite Bata showroom, Balkampet road,Ameerpet Hyd"/>
            <filter val="H.no:7-1-455/23/12,Ameerpet gurudwara road, telangana,"/>
            <filter val="Plot No 1, Amrutha Enclave, Gandipet, Bandlaguda Jagir Rajendranagar, rangareddy, Telangana - 500086"/>
            <filter val="plot 5-327, sree ram nagar colony, puppalguda rajendra nagar mandal, rangareddy district"/>
            <filter val="shopon plot no.2a in sy no 2a in sy no.12, situated at 500084"/>
            <filter val="2-94-,youth colony,beside flyover,opposite genpact,old hafeezpet, hyd ,telangana"/>
            <filter val="Raidurga panmaktha near TCS , building madhapur, serlingampally circle no-2 , hyderabad"/>
            <filter val="h.no:2-92/32,shop no.4,kondapur whitefields,selingampally circle no.20,hyd,telangana"/>
            <filter val="Plot No. 7, Near Crayon Hospital, Prasanth Nagar Colony, Bandlaguda (Jagir),Rajendranagar, Rangareddy, Telangana -500091"/>
            <filter val="sy no.38,39,40,khanmet village,serlingampally circle no.20,hyd"/>
            <filter val="Cfrp+M7h pg road sappu bagh apartement sindi colony,begumpet hyd"/>
            <filter val="Attapur, Hyderabad"/>
            <filter val="H.no:8-2-248,shop no.G4,lumbini amrutha chambers,road no.3,banjara hills,hyd,telangana"/>
            <filter val="h.no:8-3-229/D175,ventatagiri,yousufguda,hyd,telangana"/>
            <filter val="H.no: 4/1 Mig, ground floor , kphb colony, kukatpally,hyd"/>
            <filter val="plot no.22,part 1,amartahanda nagar,new hafeezpet,miyapur,selingampally,hyd"/>
            <filter val="C9VV+26,megha hills,madhapur,telangana"/>
            <filter val="sy no.-78,kolan raghavareddy function hall complex,hyder nagar,nizampet,kukatpally"/>
            <filter val="1-27-356,Bapuji nagar,content munt aua except csds cantonment secunderabad,tealngana"/>
            <filter val="5-5-69 &amp; 70 Opp Jain Apartment, Gandipet, Rangareddi, Telangana"/>
            <filter val="sutter no.3, plot no .2a sy no.12,kondapur serlingampally circle no.20 hyd"/>
            <filter val="H.NO:10-31-IX-H5,phase9,KPHB colony,kukatpally,moosapet circele no.23"/>
            <filter val="12-2-486,4/7,Tappa Chabutra rd, asif nagar"/>
            <filter val="D&gt;NO:1-11/A/81,Plot no.81,gopal reddy nagar,opposite RTA office,kondapur,hyd"/>
            <filter val="7-1-621/289/5/A,Bapu Nagar,SR Nagar,hyderabad,telangana"/>
            <filter val="Sy No. 183, maseed banda kondapur, serlingampally circle NO 20. Telangana - 500084"/>
            <filter val="plot no.491,near monkey center,madhapur nagar,pragathi nagar,hyd,telangana"/>
            <filter val="shop no.1,D.no:8-1-28/ou/448,Dream vally rd,ou colony,shaikpet,hyd"/>
            <filter val="Banglaguda plot no 13/a bandlaguda,rahendranagar"/>
            <filter val="8-3-6338/82/1,ali nagar,yella reddy,hyd,telangana"/>
            <filter val="P.no:7/3/4,sector-03,huda technoE,madhapur,serlingampally circle no.20,hyderabad,telangana"/>
            <filter val="Plot no.149,opposite shivalaram main road ou, shaikpet,jubliee hills circle no.18"/>
            <filter val="mumtaz hno 6-3-1090/a/2 circle no 20 opp katarya hotel towers, e, rajbhavan road, somajiguda, 500082"/>
            <filter val="plot no.145,babu khan line,PJR nagar,Gachibowli,serlingampally circle no.20,hyd"/>
            <filter val="h.no:3-3/55,tulja bhavani nilayam vinay aka nagar colony,banglaguda jagir,rajendra nagar"/>
            <filter val="plot no.111,60ft road swamy ayyappa society,megha hills,khanamet,madhapur,hyd"/>
            <filter val="plot number 828,venkata ramana colony ,gokul plots hyderabad -500072"/>
            <filter val="13-6-815/13/1 ambedkar nagar langr house mehdipatnam circle no 12, hyderabad"/>
            <filter val="plot no.212,Tngo's colony,wipro circle,near appolo pharmacy,circle no.20,hyd"/>
            <filter val="Plot no, 1618, Radha krishna rd, Venkat a rammana rd hyderabad telangana,"/>
            <filter val="plot no 122, venkateshwara colony oppo hospital kistmapur, rangareddy telangana"/>
            <filter val="Road no.5,KPHB opposite punjabi national bank,kukatpally,hyd"/>
            <filter val="h.no:5-6,beside veterinary hospital,narsinginii"/>
            <filter val="H.No-3/14/15, plot No 141 eg. No. 222, sai Tulasi enclave -1, Vallinagulapath, village, Narsingi."/>
            <filter val="Rayankathishravankumar,survey no.957,ICRISAT colony,Beeramguda 100feet road,502032"/>
            <filter val="syapu kiran babu,plot no.782,seven hills,driveinn,gopal nagar,hafeezpet"/>
            <filter val="H.NO:HIG 65 3rd phase near manjeera water tank kayaka parameshwari temple road,Kphb"/>
            <filter val="plot no.822,100 feet road,ayyappa society,madhapur,hyd,telangana"/>
            <filter val="shop no 7 first floor,plot no 2-56/11/53/a survey no 11/6 telangana"/>
            <filter val="plot no-1206,madhapur,kondukur,rangareddy,telangana"/>
            <filter val="plot no.420,sy no.78-93,raja rajeswara nagar,kondapur,serlingampally circle no.20"/>
            <filter val="shop no.S-8,block-A,pagadala pride,house no.6-250024,survey no.60,Bachupally"/>
            <filter val="plot no.82/c,road no.3,shutter no.1,addaguta society,kukatpally"/>
            <filter val="H.no:1-8-125/1/ g-2, shop no.2 , shop no.3 Aman arcade pg road, secundarabad, no. 129, hyderabad telangana"/>
            <filter val="plot no.41/A,Ameetpet road,opposite trends showroon,chandangar circle no.21,hyd,telangana"/>
            <filter val="plot no.105/LIG plhase -XV KPHB colony,kukatpally circle no.24,hyd,"/>
            <filter val="Nallagandla, Tellapur,setlingampally circle no.20,hyd,telangana"/>
            <filter val="survey no.82,raidurg,panmaktha,serllingampally circle no.20,Hyd,telangana"/>
            <filter val="Q city road,near US consultancy,serlingampally circle no.20,hyd,telangana"/>
            <filter val="plot no.91/part,sy.no.11/19,11/20 and 11/21,khanamet,madhapur,chandanagar circle no.21,hyd"/>
            <filter val="sy no.106/P,107/1,Gulmohar park colony,tara nagar serlingampally telangana,hyd"/>
            <filter val="H.NO:8-3-214/54/1/B-3,Madhaura nagar,Ameerpet,hyderbad,telangana"/>
            <filter val="sy no-192, Camelot layout, kondapur, sangareddy, Telangana"/>
            <filter val="Aroma,HIG,phase 9,kphb colony,kukatapally, moosapet circle no.23,500072"/>
            <filter val="1-55/196 and 199A botanical garden road,serilingampally circle co 20"/>
            <filter val="shop no.6,partika nagar,madhapur,serlingampally circle"/>
            <filter val="High tension,line rd,raghavendra colony,kondapur,telangana"/>
            <filter val="H NO 1-31/A SRI RAMNA ARCADE KONDAPUR, Serlingampally Circle No 20,Hyderabad, Telangana - 500084"/>
            <filter val="plot no.9,ground floor,shiva bhagh,Ameerpet,hyd"/>
            <filter val="D.no:2-22-134/A/1,vijaya nagar colony,opposite,patel kunta huda park,kukatpally,hyd"/>
            <filter val="sy no.203, to 210p1,Tngo colony,backside Q city,gachibowli,selingampally,circle no 20"/>
            <filter val="shutter no-1,first floor,h.no:2/17,satya towers,opposite,hanuman mandir,kothguda,hyd"/>
            <filter val="secunderbad circle 138/1,flat no 45 sham apt,secunderabad"/>
            <filter val="Jsr mall,vidia colony,madeenaguda,near allywn x road,miyapur"/>
            <filter val="H.NO:7-1-632/17,Bapu nagar,sanjeeva reddy nagar,Khairthabad circle no.17,hyderabad"/>
            <filter val="bilwa 36,5th floor,plot no.1101,road no.36,next to IDBI bank,cbi colony,jubliee hills,hyd"/>
            <filter val="sri ram nagar colony,serlingampally circle no.20,hyd"/>
            <filter val="plot no.1,dargakhaliz khan,LV prasad eye instituation,h.no:14,,kismatpur,"/>
            <filter val="Raja rajeshwarangar,GF9C4+2x9,kondapur,gachibowli,telangana"/>
            <filter val="plot no.220,mushak mahal residential, attapur,hyd"/>
            <filter val="survey 176,plot no c,addagutta housing society,circle no.24,kukatpally,hyderabad"/>
            <filter val="manikonda, ayyappa society"/>
            <filter val="D.no:7-1-419/9/MS/1-C,opposite prime hospital,manjeera square,ameerpet"/>
            <filter val="Flat no.909,block-A,Raghavendra's Mirra Pan chajan,Miyapur,AS Raj Miyapur,serlingampally circle no.20"/>
            <filter val="sy no.13 and 16,Bandlaguda jagir,gandipet mandal,rangareddy district,telangana"/>
            <filter val="himyathnagar"/>
            <filter val="Gudimalkapur, hyderabad 13-6-460/112, mahesh nagar gudimalkapur"/>
            <filter val="CRQR+ PJ. hyderabad, near lotus community srinivas nagar, madhura nagar"/>
            <filter val="plot no.899,sy no.11/4 to 11/18,ayyappa society,khanamet,chandanagar circle no.1 500081"/>
            <filter val="plot no.212,prashanth nagar,kothaguda kondapur"/>
            <filter val="Plot No:- 7, Near Crayon Hospital, Prasanth nagar colony Bandlaguda Jagir, Rajendranagar, Rangareddy, Telangana - 500091"/>
            <filter val="plot no.897,SS Drive in,S.A society,khanamet,madhapur,serlingampally circle no.20,hyd ,telangana,500081"/>
            <filter val="plot no.41,opposite rajendra reddy nagar colony,chandnagar"/>
            <filter val="h.no:5-68,shantinagar,hydershakote,banglaguda(jagir),rajendranagar"/>
            <filter val="plot no:- 17,8-2-350/1, road no:- 2, banjara hills, hyderabad, jubilee hills circle no - 18, hyderabad,telangana - 500034"/>
            <filter val="LIG:35/3,3rd phase,kphb colony,hyd,kukatpally circle no.24,hyd,telangana"/>
            <filter val="H.no:B/22,23,24,vengal rao nagar,khairtabad circle no.17,hyd.telangana"/>
            <filter val="Door no.B-43,Journallist colony,Jubliee hills circle no.18,Hyd,telangana"/>
            <filter val="Hno:- 8-46/p, 1st floor, swaran arcade, sai ram nagar, colony, bandlaguda jagir, rangareddy, telangana 500086"/>
            <filter val="plot no.744,road no.40,Ayyappa society,madhapur,hyderabad,telangana"/>
            <filter val="Plot No 20/9, SY NO 1009, 1st floor, 6th phase KPHB colony, Moosapet circle No 23, Hyderabad, Telangana"/>
            <filter val="Anuhav Art of Irumy road no.25,alkaprui township,manikonda,rajendra nagar"/>
            <filter val="10-4-3,afia plaxa,near NMDC-vijay nagar colony,masab tank,hyd,telangana"/>
            <filter val="KSR Enclave beside ayappa swamy temple,chandanagar,shop no.6,hyd,telangana"/>
            <filter val="shop no.8,kk towers,yousufguda main road,engineers colony,telangana"/>
            <filter val="plot no 51 khanamet,attapur,chandanagar,circle no2 hyd"/>
            <filter val="8-1-398/ PM/175, paramount colony telangana - 500008 gate no. - 3, jubliee hill circle no. 18, hyd."/>
            <filter val="8-3-235,yousufguda,hyd,khairthabad,circle no.17,hyderabad"/>
            <filter val="p.no 30 &amp;31, s y no 167, villa no 5, wonder cherish villas, masjid banda, kondapur, HYD,Telangana"/>
            <filter val="plot no.16,madinaguda main road,chandanagar,hyderabad,chandanagar circle no.21,hyd,madinaguda"/>
            <filter val="plot no.1774/1784/1,Incoyis circle,pragathi nagar road,3rd layout,a leap Industrial,telangana"/>
            <filter val="tngo'S colony,phase 2,gachibowli"/>
            <filter val="shop no.1,JSR classic,vijetha super market,pragathi nagar,nizampet"/>
            <filter val="plot no.242,bayuth colony,pippalaguda,manikonda,Rajendra nagar,rangareddy"/>
            <filter val="hno- 6-2-967/b/a/6, fatch manzil, khairathabad circle no - 17, hyderabad, telangana"/>
            <filter val="HIG 41/1,9th phase rd,kphb phase 6,kukatpally,hyderabad,telangana"/>
            <filter val="138/1,flat no 45 sham apt,secunderabad 138/1,flat no 45 shama apt sindi colony pg road"/>
            <filter val="8-4-549/26,netaji nagar,erragada,yousuf guda circle no.19,hyd,"/>
            <filter val="Sy no.177/P,Anjamma residency,alkapur,township road,pupaalaguda,gandipet mandal"/>
            <filter val="plot no.11-12,block-f2, sainnath enclave, venkatramana colony, gokul plots, kphb, kukatpally"/>
            <filter val="Gandipet no.75,76,77,dwauaka nagar main road"/>
            <filter val="p.no:897,ss drive in,S.A society,khanamet,madhapur,serlingampally circle no.20,hyderabad"/>
            <filter val="h.no 1-57, serlingampally, circle no 20, hyd, telangana"/>
            <filter val="plot no.35,khanmet,chandanagar circle no.21"/>
            <filter val="plot no - 149, kismatpur road, near velly view enclave bandlaguda, hyderabad"/>
            <filter val="sri laxmi nagar colony,manikonda,hyd"/>
            <filter val="6-58,dargha khaliz khan,kismatpur,rajendranagar,rangareddy"/>
            <filter val="9-1-364/G/1, Bapu ghat,langarlouz,hyd,500008,karwan circle no.13,hyd,telangana"/>
            <filter val="plot no.2A,opposite,divya shree,kondapur,hyd,serlingampally circle no.20,hyd,telangana"/>
            <filter val="Manikonda,nanakramguda,selingampally circle no.20,hyd,telangana"/>
            <filter val="H.no:2-41/1 kothaguda,prashanth nagar colony,kondapur,serlingampally circle no .20,hyd"/>
            <filter val="Anjanaya nagar,moosapet circle no.23,Hyderabad,telangana,500018"/>
            <filter val="12-1-486/b/2/5 krishan nagar,Tappachabuta"/>
            <filter val="DROPPED"/>
            <filter val="Rajendra nagar,hyderabad,1-224,kistmathpur,rajendra nagar"/>
            <filter val="Langarhouz"/>
            <filter val="plot no.146,beside dry fruit shop srinagar colony,main road hyderabad circle no.17"/>
            <filter val="Addagutta ,hmt sathavahana nagar,kukatpally,hyd,telangana"/>
            <filter val="1-90/2/E/A,sri sai nilayam,vinyaka nagar colony,madhapur,hyd"/>
            <filter val="B41/f5 shop no.3 ps nagar,vijay nagar"/>
            <filter val="8-3-228/1280/46,jawahar nagar,yousufguda,hyd"/>
            <filter val="Hakeem shah colony,tolichowki,hyderabad"/>
            <filter val="osman sagar, kokapet gandipet, hyd,telangana"/>
            <filter val="5-12A,darga khaliz,khaan guda,telangana"/>
            <filter val="KSR Enclave beside ayappa swamy temple,chandanagar,shop no.3,hyd,telangana"/>
            <filter val="tngo'S colony,phase 2,gachibowli,Hyderabad"/>
            <filter val="G1 Anusha Enclave Golden Temple, Rd, Secretariat  colony, Sri ram nagar colony,"/>
            <filter val="plot no.27,khanmet village,Hitech city,,serlingampally near on the way driven in,hyd,chandanagar"/>
            <filter val="12-19-46/2,kukatpally circle no.24,hyderabad,telangana"/>
            <filter val="Puppalguda, Alkarpur township, 500089 Alwal circle No.23, hyderabad"/>
            <filter val="H.no:6-3-347/9/4/c, dwarakapuri colony,panjagutta,khairatabad circle, hyderabad,telangana"/>
            <filter val="h.no:1-98/6a/14,plot no 42 road no.3, patrikanagar hitech city,madhapur, hitech city"/>
            <filter val="plot no.2,ganesh nagar,kismatpur,gandiper,rangareddy,telangana"/>
            <filter val="Innu ringroad ground floor 3-4-104/1/,hyderguda 404 road attapur,hyd"/>
            <filter val="D.no:7-1-645/A/1/E,Erragada,yousufguda circle no.19,hyderabad,telangana"/>
            <filter val="G2 beside,baskin robbins, smr vinay hiland,miyapur,hyderabad"/>
            <filter val="MIG-42/1-6,kukatpally hosing board colony,phase3 hyd"/>
            <filter val="100feet road, madhapur"/>
            <filter val="H.NO:7-1-209,Sy No.153,Sanjeeva Reddy Nagar,Ameerpet,Hyderabad,Telanagana"/>
            <filter val="plot no.o1,first floor survey no,12 kondapur village serlingampally circle"/>
            <filter val="HNO No. 2-41/11/10/11, G3, Sri sai shanti residency prashanth nagar, kothaguda circle"/>
            <filter val="h.no:1-26,survey no.61,ground floor and first floor road no.36 old road guttala begumpet,madhapur"/>
            <filter val="7-1-399/ameetpet,sr nagar main road,near police station,srinivas nagar,hyd,telangana"/>
            <filter val="p.no.4(a),1-89/8/4, madhapur ,hyd,telangana"/>
            <filter val="plot no.84/1,miyapur,chandanagar circle no.21,hyd,telangana"/>
            <filter val="R/O plot no B3,Kundacottage,madhura nagar,Ameerpet,hyderabad,telangana"/>
            <filter val="CCPQ+HH8,yousufguda main road,lata enclave,besides,rayalavari ruchulu,madhura nagar,hyd,telangana"/>
            <filter val="shop no.6,badam sohana apartment,3-1085,Raj bhavan rd,somajiguda,hyd,telangana"/>
            <filter val="Building no/flat no.8-1-284/ou/307,OU colony,shaikpet,hyd"/>
            <filter val="momi gupta, plot no 111, sunrise colony, sajjan singh layout, narsingi, gandipet, mandar, r.r  dist"/>
            <filter val="plot no.50,sri laxmi nagar colony,manikonda,hyd,telangana"/>
            <filter val="H.no:LIG 145,KPHB 7th phase,road,qutubullapur,telangana"/>
            <filter val="6-3-598/5 ground floor,venkataramana colony,khairatabad circle  no.17,hyd,telangana"/>
            <filter val="TNGO's colony, phase-2 , gachibowli, hyderabad"/>
            <filter val="plot no.156,part 1,narsingini,manikonda,rajendra nagar,rangareddy"/>
            <filter val="6-1-964,shop no 2, khairthabad circel, no.17"/>
            <filter val="H.no:2-27/7,vinayak nagar,gachibowlli,hyd,telagana"/>
            <filter val="x road, royal colony,mehidpatnam"/>
            <filter val="KPHB colony,temple bus stop,opposite mammus kitchen"/>
            <filter val="SHOP NO:10, Abhuyudaya Nagar-Anandh nagar colony-Himayathsagar village),Gandipet, Rangareddy, Telangana -500075"/>
            <filter val="H.no:325/2rt,sanjeev reddy nagar,umeshchandra statue"/>
            <filter val="7-4-413/11 ASR nagar east ameerpet, amberpet circle no. 16, hyderabad, telangana,"/>
            <filter val="prashanth nagar,kukatpally,hyd"/>
            <filter val="8-1-293/4,situated at dwaraka nagar colony,shaikpet,jubliee hills circle no.18"/>
            <filter val="6-1-9,shop no.47,savinagar,pottisree Ramulu maig,khairtabad circle no.17,hyd,telangana"/>
            <filter val="Plot No. 35, khampet , Hitech city, Chandanagar circle No. 21, Hyderbad"/>
            <filter val="H.no:7-1-304/2/64,BK guda,SR nagar,khairthabad circle no.17,hyd,telangana"/>
            <filter val="8-3-96019, sri nagar colony main rd, opp bank of baroda, yella reddy guda, telangana - 500073"/>
            <filter val="h.no:1-72/3, p no.7,sy no.18,gachibowli village,serlingampally mandal,rangareddy"/>
            <filter val="H. No 4-188, premnagar, hafeezpet, chandanagar  hafeezpeyt, chandanagar, circle no 21, hyderabad - 500049"/>
            <filter val="RHS-R6-UE, Near Nift college, Hitech city metro chanda nagar Circle No 21, HYD"/>
            <filter val="H.no:6-3-902/2and3,first floor,raj bhavan road,somajiguda,hyd,telangana"/>
            <filter val="plot no.691,692,OU colony main road,near dream valley villas, tanasha nagar"/>
            <filter val="sy no.20/AA western colony,gandhmguda,banglaguda,telangana,gandipet"/>
            <filter val="sy no.104,beside vaishnavi oasis,bandlaguda jagir,kismatpur road"/>
            <filter val="plot no.1208,g1andg2,ground floor,ayyappa society,madhapur,hyd,telangan"/>
            <filter val="H.no:1-98/9/3/74/2,R L raidurg,jai hind enclave,seasons pool, madhapur,hyd"/>
            <filter val="flat no.G2,mythri bhavan,veshweshwara nagar,madinaguda,serlingampally circle no.20,hyd"/>
            <filter val="5-3/37/6,SR enclave,manjeera pipeline road,opposite raycon residency,mandinaguda,hyd,telangana"/>
            <filter val="plot no.1 and 2,padmaja colony,chandanagar,hyderabad,telangana"/>
            <filter val="H.no:1-8-155/A 1st floor, pg road, secunderabad,begumpet circle no.30 Hyd, telangana"/>
            <filter val="20/10,6 phase Kphb, Kukatpally Circle NO 24, Hyderabad, Telangana"/>
            <filter val="chitari sai bhuvan p-no.879,ss drive in S.A society khan amet,madhapur,serlingampally"/>
            <filter val="Tngo's colony,plot no.243,phase 1,kv ranga rao circle no.20"/>
            <filter val="jap  hind gandhi road near ayyappa society hyd telangana"/>
            <filter val="MIG-264,shop no.3,road no.4,near apollo,kphb,kukatpally"/>
            <filter val="5-69 and 70/2 opposite,ratanadeep,select market westend colony,bangladuga jagir,hyd"/>
            <filter val="Road no.5 KPHB kukatpally opposite punjab national bank beside american tourister, Kukatpally"/>
            <filter val="Rs complex vijayanagar colony near anjuman deendar back gate,masab tank,hyd"/>
            <filter val="plot no 749, sy no 61, sri ramnagar colony, gandipet, rangareddy, telangana"/>
            <filter val="h.no:33-a,aphb colony,indira nagar,gachibowli,serlingampally circle no-20,hyd"/>
            <filter val="plot no 202, beside kamadhenu jewellers, TNGO's colony, gachibowli, hyderabad,telangana"/>
            <filter val="23-83, BESIDE CMR SHOPPING MALL, BHEL, CHANDA NAGAR, HYDERABAD -500050, Chandanagar circle No 21, Hyderabad, Telangana-"/>
            <filter val="plot no.103 KSR, Enclave beside ayyappa swamy temple,chandanagar"/>
            <filter val="16-31-245, KPHB, 6th PHASE Opp Bluedart, HYD 500072"/>
            <filter val="11-05-167/2,bhavani nagar,near pochamma temple,moosapet,hyd"/>
            <filter val="2-91/14/8,whitefeilds,kondapur,hitech city,serlingampally circle no.20,telangana"/>
            <filter val="LIG 22/2,ramya grounds road,3rd phase KPHB,moosapet circle"/>
            <filter val="7-1-403,balkampet road,ameerpet,khairtabad circle no.17,hyd,telangana"/>
            <filter val="h.no:8/1,in sector-2 of hudo techno enclave,madhapur,seringampally,rangareddy"/>
            <filter val="shop no.1,patrika nagar,SLR guest house,selingampally circle no.20,hyd"/>
            <filter val="h.no:1-59/8/2, nandi co-operative society,miyapur,serlingampally ranga reddy district hyd"/>
            <filter val="2-52/1/3 hitech city rd,phase 2,kaveri hills madhapur,hyd"/>
            <filter val="shop no.4,plot no.897,ss drive in,ayappa society,madhapur,chandanagar,circle no.2,hyd,telangana"/>
            <filter val="Plot No. 279 27/a, khanamet village, Hi-tech city. Seringampally near SSR on the way drive in , Seringampally"/>
            <filter val="MIG-154,gachibowli,selingampally circle-20,hyderabad,telangana"/>
            <filter val="sy no.104-106,beside vaishnavi oasis,bandlaguda jagir,kismatpur road"/>
            <filter val="Baditha priyanka,plot no.782,seven hills driven,gopal nagar,Hafeezper,hyd"/>
            <filter val="S.R ecclave,5-3/37/6,manjeera pipelane rd,oppsite,raycon residency,mvtri nagar,phase-3,miyapur"/>
            <filter val="(pratap ward) d.no:1-140/3/7/h/p2,Huda techno enclave sector,madhapur,serlingampally circle no.20"/>
            <filter val="Gudi malkapur,12-2-417/46/9,sharada nagar colony gudimalk"/>
            <filter val="sri sai arcade,beside prince biryani point,khairatabad circle no.17 hyd"/>
            <filter val="ground floor, H.no:7-14/32/2b/g-01,Rajendra nagar,R.R dist"/>
            <filter val="ground flor, razzak mazil G6, ambedkar colony, khairatabad, hyderabad,telangana"/>
            <filter val="H.no:4-28 plot no.28,dwauak nagar colony,banglaguda jagir,rajendra nagar"/>
            <filter val="plot no.31 and 32, KSR layout,PJR colony,serlingampally,chandanagar circle no.21,hyd,telangana"/>
            <filter val="Yadagiri nagar rd,Jawahar nagar,yousfguda,khairthabad circle no.17,hyd"/>
            <filter val="Gaulidoddi , Gachibowli, Plot no 18919 sai tulasi Enclave-1, gandipet, Rangareddy, Telangana -500075"/>
            <filter val="B007,riddhis grand eur,neknampur road,manikonda,gandipet,rangareddy,telangana"/>
            <filter val="H.no:2-23-310/83C ground floor,Addagutta society,pragthi road kukatpally,hyd"/>
            <filter val="8-3-228/678/1395,sri ram nagar,yousufguda circle no.19,hyderabad"/>
            <filter val="13-6-798/1/1,bapughat langa howz circle,13 hyd"/>
            <filter val="13-1-1234,salum nasseb complex a/1,tappa"/>
            <filter val="plot no.13,sipa paradise,pragathi nagar"/>
            <filter val="D.no:6-3-1192/1/G/8,white house,G4,kundanbagh,begumpet,hyd,telangana"/>
            <filter val="plot no 7,syno 17 ground floor R.R district 500047"/>
            <filter val="D.no:2-46/1,plot no 33/a megha hills cahndanagar circle,hyd,Telangana"/>
            <filter val="8-3/633/82/1,ali nagar,tawak kal, vellareddy guda,khairthabad circle no.17 hyd"/>
            <filter val="Villa 05, Wonder Cherish Villas, Masjid Banda,, Serlingampally Circle No 20,Hyderabad, Telangana - 500084"/>
            <filter val="sy no.88/9,h.no:1-85/5/A,old hafeezpet,miyapur,hyd circle no.12,"/>
            <filter val="plot no.1206,madhapur,kandukur,rangareddy, telangana"/>
            <filter val="plot no:1449,sy no.78,gokul plots,venkata ramana colony,hyderabad"/>
            <filter val="Villa 05, Wonder cherish villas, masjid banda, hyd, telangana"/>
            <filter val="H.NO P-13/B,Addagutta society,backside vishwanth theatre,kukatpally"/>
            <filter val="8-4-548/s 116/1,sanathnagar,erragada,hyd"/>
            <filter val="H.no:1-72/3/316/27,plot no.27 and 37,gachibowli,serlingampally circle no.20"/>
            <filter val="shop no.3,h.no:6-94/17/1,MIG-101,Noorjahan complex,huda colony,chandanagar,hyd"/>
            <filter val="shop no.2,stilt floor,puppalaguda,rangareddy"/>
            <filter val="H.no:1-90/7/b/173,plot no.5,madhapur,selingampally circle no.20,hyd, telangana"/>
            <filter val="shop no.5 and 6 suitated opposite pochama galli dusakot village,gandipet"/>
            <filter val="plot no.410,raja reshwara nagar,kondapur,serlingampally"/>
            <filter val="sy no.274(a) aparnahills park, commerical buildings behind gangaram lake, chanda nagar"/>
            <filter val="sr.botanical garden road,hyd,kondapur,telangana"/>
            <filter val="L135/3 3rd phase,bsnl road,temple,bus stand,kphb colony,kukatpally circle"/>
            <filter val="no. 4/5/6, shop no.2, kismatpur,shivasai colony, kismatpur, rajendranagar, rangareddy, telangana, 500030"/>
            <filter val="plot no 19, kismatpur road behind HP petrol bunk, sri venkateswara colony, 500086"/>
            <filter val="h.no:7-1-621/269,S R nagar,khairthabad circle no.17,hyderabad,Telangana"/>
            <filter val="suryarao gonthireddy,h.no:5-3-37/B,madinaguda,chandanagar circle no.21,hyd,telangana"/>
            <filter val="51/b  vengal rao nagar,hyd,yousufguda circel no.19,hyd,telangana"/>
            <filter val="5-5-35/18,amma mess road beside canara bank,prashant nagar,kukatpally circle no.24"/>
            <filter val="Door No, 2-41/11/10/, G3, Sri sai residancy prashanth nagar, kothaguda circle"/>
            <filter val="H.NO.:1-110/MN/18/RER. Marthand nagar, new hafeezpet, chandanagar circle No 21, Hyderabad Telangana 500049"/>
            <filter val="h 6-3-1247/237, rajbhavan road, rajnagar somajiguda, hyderabad"/>
            <filter val="P SATYA SAI, MIGH-574, H.No.15-25-574, Ground Floor, Road No.1, KPHB Colony, Kukatpally, Hyderabad, Moosapet Circle No 23, Hyderabad, Telangana - 500072"/>
            <filter val="plot no.87,swamy ayyappa society,madhapur,hyd"/>
            <filter val="plot no 68,shop no 5,Ayyappa society main road,madhapur,serlingampally circle no20 hyd"/>
            <filter val="LIG 222,7th phase,kukatpally circle no.24,hyd,telangana"/>
            <filter val="Ground flooor, plot no 84 sy no.11 swamy apyyappa housing society khanamet,hyd"/>
            <filter val="mk plaza, marthanda nagar, new hafeezpet, telangana - 500049"/>
            <filter val="Plot no.1,Bandlaguda jagir,rajendra nagar,rangareddy,telangana,500091"/>
            <filter val="Two shutter no.1 and 2, in h.no:8-3-318/6/3/13/1/18,ali nagar,tella reddy guda,yousufguda circle no.19,hyd"/>
            <filter val="16-31-390/2/NR,shop no.2,ground gloor,pranita residency,phase-6,KPHB colony,moosepet circle"/>
            <filter val="kokkigaddam prema raju plot no.897,Ayyappa society,madhapur,chandanagar"/>
            <filter val="H.no:32-556/18,sai nagar X road kkukatpally circle no.24,hyderabad"/>
            <filter val="plot no  -199,TNGO's colony, financial district, rajendra nagar"/>
            <filter val="Twilight, Road number 1, Neknampur Rd,Puppalguda, Rajendranagar, Rangareddy,Telangana - 500089"/>
            <filter val="P.no.14/part,sy no.2,PJR enclave road,opposite gonguras restaurant,chandanagar"/>
            <filter val="hyderabad bucket and kunda biryani,2,bus stop,15-25-890/3,temple beside vijetha super market,kphb phase 1,kukatpally"/>
            <filter val="plot no.51,serimallegardens attapur,mehadipatnam circle no.12,hyd"/>
            <filter val="SY NO-78, KOLAN Rangareddy Function Hall Complex, Hyder Nagar, Nizampet, Kukatpally"/>
            <filter val="h.no:8-3-222/c/1/12,ground floor,madhura nagar,yousufnagar,hyd,telangana"/>
            <filter val="C9XR+F87,Ayyappa society main road,megha hills,sri sai nagar.madhapur,hyd"/>
            <filter val="6-1-82 and 83/gf/1,ground floor ssr chambers,lakdikapool,hyderabad,khairthabad circle no.17"/>
            <filter val="h.no:8-3-228/678/140,sri ram nagar,moti nagar,yousufguda circle no.19,hyd,telangana"/>
            <filter val="12-1-486/b/4 krishan nagar"/>
            <filter val="h.no 5-3/12, plot no 12, phase-I, sai tulasi enclave, vattinagullapally,rajendranagar"/>
            <filter val="f908+gjh,shop no.1,siddhiq kebab centre dhaba, kondapur lane,gachibowli"/>
            <filter val="369,swathi avenu,ameerpet,khairtabad circle no.17,hyd,telangana"/>
            <filter val="beside hyderabad golf club, near banjara darwaza, golconda, fort road,tolichowki,hyderabad"/>
            <filter val="H.no:1-2-33/VP/76,Hydernagar,Balaji hills road,Ram naresh colony,Chandanagar circle no.24,hyd,telangana"/>
            <filter val="Pendyala teja arun kumar,plot no-2,survey no.155,to 165(p),vasavi co-operative housing,pragathi nagar"/>
            <filter val="PT.NO.52,SY.103/2,Jayabhari enclave,hyderabad"/>
            <filter val="7-18-25/27/101,plot no.25,26,27,Alkapur,Ranga Reddy,Telangana"/>
            <filter val="Road no.30,alkapoori township,hyd,rangareddy district"/>
          </filters>
        </filterColumn>
      </autoFilter>
    </customSheetView>
  </customSheetViews>
  <dataValidations>
    <dataValidation type="custom" allowBlank="1" showDropDown="1" sqref="A2:A1004">
      <formula1>OR(NOT(ISERROR(DATEVALUE(A2))), AND(ISNUMBER(A2), LEFT(CELL("format", A2))="D"))</formula1>
    </dataValidation>
    <dataValidation type="list" allowBlank="1" sqref="AI2:AI1004">
      <formula1>"No Access,Not Uploaded"</formula1>
    </dataValidation>
    <dataValidation type="custom" allowBlank="1" showDropDown="1" sqref="G2:G1004 K2:K1004 V2:V1004">
      <formula1>AND(ISNUMBER(G2),(NOT(OR(NOT(ISERROR(DATEVALUE(G2))), AND(ISNUMBER(G2), LEFT(CELL("format", G2))="D")))))</formula1>
    </dataValidation>
    <dataValidation type="list" allowBlank="1" sqref="C2:C1004">
      <formula1>"chanakya.inugala@capsdelivery.com,parthive.maganti@capsdelivery.com,sumadhur.mummadi@capsdelivery.com,greeshma.vanneldas@capsdelivery.com,madhumitha.sonnakula@capsdelivery.com,akhila.narra@capsdelivery.com,manasa.chigurupati@capsdelivery.com,ankitha.baske"&amp;"@capsdelivery.com,moin.khan@capsdelivery.com,nitya.akshara@capsdelivery.com,Srivani.reddy@capsdelivery.com,anisha.poddar@capsdelivery.com"</formula1>
    </dataValidation>
    <dataValidation type="list" allowBlank="1" showErrorMessage="1" sqref="Y2:AD349 Y351:AD1004">
      <formula1>"Yes,No,NA"</formula1>
    </dataValidation>
    <dataValidation allowBlank="1" showDropDown="1" sqref="E2:E1004 R2:R1004"/>
  </dataValidations>
  <hyperlinks>
    <hyperlink r:id="rId1" ref="AE3"/>
    <hyperlink r:id="rId2" ref="AE5"/>
    <hyperlink r:id="rId3" ref="AE6"/>
    <hyperlink r:id="rId4" ref="AE7"/>
    <hyperlink r:id="rId5" ref="AE8"/>
    <hyperlink r:id="rId6" ref="AE9"/>
    <hyperlink r:id="rId7" ref="AE10"/>
    <hyperlink r:id="rId8" ref="AF11"/>
    <hyperlink r:id="rId9" ref="E12"/>
    <hyperlink r:id="rId10" ref="AE12"/>
    <hyperlink r:id="rId11" ref="AE13"/>
    <hyperlink r:id="rId12" ref="AE14"/>
    <hyperlink r:id="rId13" ref="AE15"/>
    <hyperlink r:id="rId14" ref="AF15"/>
    <hyperlink r:id="rId15" ref="E16"/>
    <hyperlink r:id="rId16" ref="AE17"/>
    <hyperlink r:id="rId17" ref="AE18"/>
    <hyperlink r:id="rId18" ref="E19"/>
    <hyperlink r:id="rId19" ref="AE19"/>
    <hyperlink r:id="rId20" ref="AF19"/>
    <hyperlink r:id="rId21" ref="AE21"/>
    <hyperlink r:id="rId22" ref="AE22"/>
    <hyperlink r:id="rId23" ref="AE23"/>
    <hyperlink r:id="rId24" ref="S27"/>
    <hyperlink r:id="rId25" ref="AE27"/>
    <hyperlink r:id="rId26" ref="E30"/>
    <hyperlink r:id="rId27" ref="AE32"/>
    <hyperlink r:id="rId28" ref="E33"/>
    <hyperlink r:id="rId29" ref="AE33"/>
    <hyperlink r:id="rId30" ref="AE36"/>
    <hyperlink r:id="rId31" ref="AE40"/>
    <hyperlink r:id="rId32" ref="AE41"/>
    <hyperlink r:id="rId33" ref="AE42"/>
    <hyperlink r:id="rId34" ref="AE44"/>
    <hyperlink r:id="rId35" ref="AE46"/>
    <hyperlink r:id="rId36" ref="E47"/>
    <hyperlink r:id="rId37" ref="P47"/>
    <hyperlink r:id="rId38" ref="AF47"/>
    <hyperlink r:id="rId39" ref="E49"/>
    <hyperlink r:id="rId40" ref="AE49"/>
    <hyperlink r:id="rId41" ref="E52"/>
    <hyperlink r:id="rId42" ref="P52"/>
    <hyperlink r:id="rId43" ref="AE52"/>
    <hyperlink r:id="rId44" ref="AE53"/>
    <hyperlink r:id="rId45" ref="AE54"/>
    <hyperlink r:id="rId46" ref="AE55"/>
    <hyperlink r:id="rId47" ref="P58"/>
    <hyperlink r:id="rId48" ref="AE58"/>
    <hyperlink r:id="rId49" ref="AF58"/>
    <hyperlink r:id="rId50" ref="AE59"/>
    <hyperlink r:id="rId51" ref="AE60"/>
    <hyperlink r:id="rId52" ref="E61"/>
    <hyperlink r:id="rId53" ref="AE63"/>
    <hyperlink r:id="rId54" ref="AE64"/>
    <hyperlink r:id="rId55" ref="E65"/>
    <hyperlink r:id="rId56" ref="AE65"/>
    <hyperlink r:id="rId57" ref="AE66"/>
    <hyperlink r:id="rId58" ref="E67"/>
    <hyperlink r:id="rId59" ref="AE67"/>
    <hyperlink r:id="rId60" ref="AE68"/>
    <hyperlink r:id="rId61" ref="AE69"/>
    <hyperlink r:id="rId62" ref="AF69"/>
    <hyperlink r:id="rId63" ref="AE70"/>
    <hyperlink r:id="rId64" ref="AF70"/>
    <hyperlink r:id="rId65" ref="AE71"/>
    <hyperlink r:id="rId66" ref="AE73"/>
    <hyperlink r:id="rId67" ref="AE75"/>
    <hyperlink r:id="rId68" ref="AF75"/>
    <hyperlink r:id="rId69" ref="AE76"/>
    <hyperlink r:id="rId70" ref="AF76"/>
    <hyperlink r:id="rId71" ref="AE77"/>
    <hyperlink r:id="rId72" ref="AF77"/>
    <hyperlink r:id="rId73" ref="E78"/>
    <hyperlink r:id="rId74" ref="AE78"/>
    <hyperlink r:id="rId75" ref="E79"/>
    <hyperlink r:id="rId76" ref="P79"/>
    <hyperlink r:id="rId77" ref="AE79"/>
    <hyperlink r:id="rId78" ref="AE80"/>
    <hyperlink r:id="rId79" ref="AE81"/>
    <hyperlink r:id="rId80" ref="AE82"/>
    <hyperlink r:id="rId81" ref="E85"/>
    <hyperlink r:id="rId82" ref="AF85"/>
    <hyperlink r:id="rId83" ref="AE86"/>
    <hyperlink r:id="rId84" ref="AE87"/>
    <hyperlink r:id="rId85" ref="AE88"/>
    <hyperlink r:id="rId86" ref="E89"/>
    <hyperlink r:id="rId87" ref="AE89"/>
    <hyperlink r:id="rId88" ref="AE90"/>
    <hyperlink r:id="rId89" ref="E91"/>
    <hyperlink r:id="rId90" ref="E92"/>
    <hyperlink r:id="rId91" ref="AE92"/>
    <hyperlink r:id="rId92" ref="E93"/>
    <hyperlink r:id="rId93" ref="AE93"/>
    <hyperlink r:id="rId94" ref="AF93"/>
    <hyperlink r:id="rId95" ref="AE94"/>
    <hyperlink r:id="rId96" ref="AF94"/>
    <hyperlink r:id="rId97" ref="AE95"/>
    <hyperlink r:id="rId98" ref="AF95"/>
    <hyperlink r:id="rId99" ref="AE96"/>
    <hyperlink r:id="rId100" ref="AE97"/>
    <hyperlink r:id="rId101" ref="AF97"/>
    <hyperlink r:id="rId102" ref="AE98"/>
    <hyperlink r:id="rId103" ref="AF98"/>
    <hyperlink r:id="rId104" ref="AE99"/>
    <hyperlink r:id="rId105" ref="P100"/>
    <hyperlink r:id="rId106" ref="AE100"/>
    <hyperlink r:id="rId107" ref="AE102"/>
    <hyperlink r:id="rId108" ref="AF102"/>
    <hyperlink r:id="rId109" ref="AE103"/>
    <hyperlink r:id="rId110" ref="AF103"/>
    <hyperlink r:id="rId111" ref="E104"/>
    <hyperlink r:id="rId112" ref="AE104"/>
    <hyperlink r:id="rId113" ref="AF104"/>
    <hyperlink r:id="rId114" ref="E106"/>
    <hyperlink r:id="rId115" ref="P106"/>
    <hyperlink r:id="rId116" ref="AE106"/>
    <hyperlink r:id="rId117" ref="P107"/>
    <hyperlink r:id="rId118" ref="AE107"/>
    <hyperlink r:id="rId119" ref="AE108"/>
    <hyperlink r:id="rId120" ref="E109"/>
    <hyperlink r:id="rId121" ref="P109"/>
    <hyperlink r:id="rId122" ref="AE110"/>
    <hyperlink r:id="rId123" ref="E111"/>
    <hyperlink r:id="rId124" ref="P112"/>
    <hyperlink r:id="rId125" ref="AE113"/>
    <hyperlink r:id="rId126" ref="AF113"/>
    <hyperlink r:id="rId127" ref="AE114"/>
    <hyperlink r:id="rId128" ref="E115"/>
    <hyperlink r:id="rId129" ref="AE115"/>
    <hyperlink r:id="rId130" ref="AE116"/>
    <hyperlink r:id="rId131" ref="AE117"/>
    <hyperlink r:id="rId132" ref="AE118"/>
    <hyperlink r:id="rId133" ref="AE119"/>
    <hyperlink r:id="rId134" ref="E120"/>
    <hyperlink r:id="rId135" ref="P120"/>
    <hyperlink r:id="rId136" ref="AE120"/>
    <hyperlink r:id="rId137" ref="AE122"/>
    <hyperlink r:id="rId138" ref="AF122"/>
    <hyperlink r:id="rId139" ref="AE123"/>
    <hyperlink r:id="rId140" ref="AF123"/>
    <hyperlink r:id="rId141" ref="AE124"/>
    <hyperlink r:id="rId142" ref="AE125"/>
    <hyperlink r:id="rId143" ref="AE126"/>
    <hyperlink r:id="rId144" ref="AE127"/>
    <hyperlink r:id="rId145" ref="E128"/>
    <hyperlink r:id="rId146" ref="AE128"/>
    <hyperlink r:id="rId147" ref="AE129"/>
    <hyperlink r:id="rId148" ref="E130"/>
    <hyperlink r:id="rId149" ref="P130"/>
    <hyperlink r:id="rId150" ref="AE130"/>
    <hyperlink r:id="rId151" ref="AE131"/>
    <hyperlink r:id="rId152" ref="AF131"/>
    <hyperlink r:id="rId153" ref="AE132"/>
    <hyperlink r:id="rId154" ref="AF132"/>
    <hyperlink r:id="rId155" ref="AE133"/>
    <hyperlink r:id="rId156" ref="AF133"/>
    <hyperlink r:id="rId157" ref="AE134"/>
    <hyperlink r:id="rId158" ref="E135"/>
    <hyperlink r:id="rId159" ref="AE135"/>
    <hyperlink r:id="rId160" ref="AE136"/>
    <hyperlink r:id="rId161" ref="AE137"/>
    <hyperlink r:id="rId162" ref="AE138"/>
    <hyperlink r:id="rId163" ref="AF138"/>
    <hyperlink r:id="rId164" ref="AE139"/>
    <hyperlink r:id="rId165" ref="AE141"/>
    <hyperlink r:id="rId166" ref="AF141"/>
    <hyperlink r:id="rId167" ref="AE142"/>
    <hyperlink r:id="rId168" ref="E143"/>
    <hyperlink r:id="rId169" ref="AE143"/>
    <hyperlink r:id="rId170" ref="AE144"/>
    <hyperlink r:id="rId171" ref="E145"/>
    <hyperlink r:id="rId172" ref="AE145"/>
    <hyperlink r:id="rId173" ref="AE147"/>
    <hyperlink r:id="rId174" ref="AF147"/>
    <hyperlink r:id="rId175" ref="E148"/>
    <hyperlink r:id="rId176" ref="P148"/>
    <hyperlink r:id="rId177" ref="AE148"/>
    <hyperlink r:id="rId178" ref="AF148"/>
    <hyperlink r:id="rId179" ref="AE149"/>
    <hyperlink r:id="rId180" ref="AE151"/>
    <hyperlink r:id="rId181" ref="AE152"/>
    <hyperlink r:id="rId182" ref="E153"/>
    <hyperlink r:id="rId183" ref="AE153"/>
    <hyperlink r:id="rId184" ref="AE154"/>
    <hyperlink r:id="rId185" ref="AE155"/>
    <hyperlink r:id="rId186" ref="AF155"/>
    <hyperlink r:id="rId187" ref="E157"/>
    <hyperlink r:id="rId188" ref="AE157"/>
    <hyperlink r:id="rId189" ref="AF157"/>
    <hyperlink r:id="rId190" ref="AE158"/>
    <hyperlink r:id="rId191" ref="AE159"/>
    <hyperlink r:id="rId192" ref="AF159"/>
    <hyperlink r:id="rId193" ref="AE160"/>
    <hyperlink r:id="rId194" ref="AF160"/>
    <hyperlink r:id="rId195" ref="AE161"/>
    <hyperlink r:id="rId196" ref="E162"/>
    <hyperlink r:id="rId197" ref="AE162"/>
    <hyperlink r:id="rId198" ref="AE163"/>
    <hyperlink r:id="rId199" ref="AF163"/>
    <hyperlink r:id="rId200" ref="AE164"/>
    <hyperlink r:id="rId201" ref="AE165"/>
    <hyperlink r:id="rId202" ref="AF165"/>
    <hyperlink r:id="rId203" ref="AE167"/>
    <hyperlink r:id="rId204" ref="E168"/>
    <hyperlink r:id="rId205" ref="AE168"/>
    <hyperlink r:id="rId206" ref="E169"/>
    <hyperlink r:id="rId207" ref="AE169"/>
    <hyperlink r:id="rId208" ref="AE172"/>
    <hyperlink r:id="rId209" ref="AE174"/>
    <hyperlink r:id="rId210" ref="P176"/>
    <hyperlink r:id="rId211" ref="AE176"/>
    <hyperlink r:id="rId212" ref="AE179"/>
    <hyperlink r:id="rId213" ref="E180"/>
    <hyperlink r:id="rId214" ref="P180"/>
    <hyperlink r:id="rId215" ref="AE180"/>
    <hyperlink r:id="rId216" ref="E182"/>
    <hyperlink r:id="rId217" ref="P182"/>
    <hyperlink r:id="rId218" ref="AE182"/>
    <hyperlink r:id="rId219" ref="P183"/>
    <hyperlink r:id="rId220" ref="AE183"/>
    <hyperlink r:id="rId221" ref="E184"/>
    <hyperlink r:id="rId222" ref="P184"/>
    <hyperlink r:id="rId223" ref="AE184"/>
    <hyperlink r:id="rId224" ref="AE185"/>
    <hyperlink r:id="rId225" ref="AE186"/>
    <hyperlink r:id="rId226" ref="AE187"/>
    <hyperlink r:id="rId227" ref="E188"/>
    <hyperlink r:id="rId228" ref="P188"/>
    <hyperlink r:id="rId229" ref="AE189"/>
    <hyperlink r:id="rId230" ref="AE191"/>
    <hyperlink r:id="rId231" ref="AE192"/>
    <hyperlink r:id="rId232" ref="AE193"/>
    <hyperlink r:id="rId233" ref="AE194"/>
    <hyperlink r:id="rId234" ref="AE195"/>
    <hyperlink r:id="rId235" ref="AE196"/>
    <hyperlink r:id="rId236" ref="S197"/>
    <hyperlink r:id="rId237" ref="AE197"/>
    <hyperlink r:id="rId238" ref="AE198"/>
    <hyperlink r:id="rId239" ref="AE199"/>
    <hyperlink r:id="rId240" ref="AE202"/>
    <hyperlink r:id="rId241" ref="AE203"/>
    <hyperlink r:id="rId242" ref="AE204"/>
    <hyperlink r:id="rId243" ref="AE205"/>
    <hyperlink r:id="rId244" ref="AE206"/>
    <hyperlink r:id="rId245" ref="AF206"/>
    <hyperlink r:id="rId246" ref="AE208"/>
    <hyperlink r:id="rId247" ref="AE209"/>
    <hyperlink r:id="rId248" ref="AF209"/>
    <hyperlink r:id="rId249" ref="AE210"/>
    <hyperlink r:id="rId250" ref="AF210"/>
    <hyperlink r:id="rId251" ref="AE212"/>
    <hyperlink r:id="rId252" ref="AE213"/>
    <hyperlink r:id="rId253" ref="AE214"/>
    <hyperlink r:id="rId254" ref="E215"/>
    <hyperlink r:id="rId255" ref="P215"/>
    <hyperlink r:id="rId256" ref="AE215"/>
    <hyperlink r:id="rId257" ref="AE216"/>
    <hyperlink r:id="rId258" ref="AF216"/>
    <hyperlink r:id="rId259" ref="E217"/>
    <hyperlink r:id="rId260" ref="AE217"/>
    <hyperlink r:id="rId261" ref="AF217"/>
    <hyperlink r:id="rId262" ref="E219"/>
    <hyperlink r:id="rId263" ref="P219"/>
    <hyperlink r:id="rId264" ref="AE219"/>
    <hyperlink r:id="rId265" ref="AF219"/>
    <hyperlink r:id="rId266" ref="E221"/>
    <hyperlink r:id="rId267" ref="P221"/>
    <hyperlink r:id="rId268" ref="AE221"/>
    <hyperlink r:id="rId269" ref="AE222"/>
    <hyperlink r:id="rId270" ref="E223"/>
    <hyperlink r:id="rId271" ref="P223"/>
    <hyperlink r:id="rId272" ref="AE223"/>
    <hyperlink r:id="rId273" ref="AE225"/>
    <hyperlink r:id="rId274" ref="AE230"/>
    <hyperlink r:id="rId275" ref="AE232"/>
    <hyperlink r:id="rId276" ref="AF232"/>
    <hyperlink r:id="rId277" ref="E233"/>
    <hyperlink r:id="rId278" ref="AE234"/>
    <hyperlink r:id="rId279" ref="AE235"/>
    <hyperlink r:id="rId280" ref="AE236"/>
    <hyperlink r:id="rId281" ref="AE237"/>
    <hyperlink r:id="rId282" ref="AF237"/>
    <hyperlink r:id="rId283" ref="AE238"/>
    <hyperlink r:id="rId284" ref="AF238"/>
    <hyperlink r:id="rId285" ref="AE239"/>
    <hyperlink r:id="rId286" ref="AF239"/>
    <hyperlink r:id="rId287" ref="AE240"/>
    <hyperlink r:id="rId288" ref="AF240"/>
    <hyperlink r:id="rId289" ref="AE242"/>
    <hyperlink r:id="rId290" ref="AE244"/>
    <hyperlink r:id="rId291" ref="AE250"/>
    <hyperlink r:id="rId292" ref="E251"/>
    <hyperlink r:id="rId293" ref="P251"/>
    <hyperlink r:id="rId294" ref="AE251"/>
    <hyperlink r:id="rId295" ref="AE253"/>
    <hyperlink r:id="rId296" ref="AE257"/>
    <hyperlink r:id="rId297" ref="AF257"/>
    <hyperlink r:id="rId298" ref="AE258"/>
    <hyperlink r:id="rId299" ref="AF258"/>
    <hyperlink r:id="rId300" ref="AE259"/>
    <hyperlink r:id="rId301" ref="AF259"/>
    <hyperlink r:id="rId302" ref="E261"/>
    <hyperlink r:id="rId303" ref="P261"/>
    <hyperlink r:id="rId304" ref="AE261"/>
    <hyperlink r:id="rId305" ref="AE262"/>
    <hyperlink r:id="rId306" ref="AF262"/>
    <hyperlink r:id="rId307" ref="AE263"/>
    <hyperlink r:id="rId308" ref="AE264"/>
    <hyperlink r:id="rId309" ref="E265"/>
    <hyperlink r:id="rId310" ref="AE265"/>
    <hyperlink r:id="rId311" ref="AF265"/>
    <hyperlink r:id="rId312" ref="E266"/>
    <hyperlink r:id="rId313" ref="AE266"/>
    <hyperlink r:id="rId314" ref="AF266"/>
    <hyperlink r:id="rId315" ref="AE267"/>
    <hyperlink r:id="rId316" ref="AF267"/>
    <hyperlink r:id="rId317" ref="AE268"/>
    <hyperlink r:id="rId318" ref="AE269"/>
    <hyperlink r:id="rId319" ref="AF269"/>
    <hyperlink r:id="rId320" ref="AE270"/>
    <hyperlink r:id="rId321" ref="AE271"/>
    <hyperlink r:id="rId322" ref="AE272"/>
    <hyperlink r:id="rId323" ref="AE273"/>
    <hyperlink r:id="rId324" ref="E274"/>
    <hyperlink r:id="rId325" ref="P274"/>
    <hyperlink r:id="rId326" ref="AE275"/>
    <hyperlink r:id="rId327" ref="AE278"/>
    <hyperlink r:id="rId328" ref="AE279"/>
    <hyperlink r:id="rId329" ref="AE280"/>
    <hyperlink r:id="rId330" ref="AE281"/>
    <hyperlink r:id="rId331" ref="AE282"/>
    <hyperlink r:id="rId332" ref="AF282"/>
    <hyperlink r:id="rId333" ref="AE283"/>
    <hyperlink r:id="rId334" ref="AF283"/>
    <hyperlink r:id="rId335" ref="AE284"/>
    <hyperlink r:id="rId336" ref="AF284"/>
    <hyperlink r:id="rId337" ref="E285"/>
    <hyperlink r:id="rId338" ref="E286"/>
    <hyperlink r:id="rId339" ref="AE287"/>
    <hyperlink r:id="rId340" ref="AE288"/>
    <hyperlink r:id="rId341" ref="AE289"/>
    <hyperlink r:id="rId342" ref="AF289"/>
    <hyperlink r:id="rId343" ref="AE290"/>
    <hyperlink r:id="rId344" ref="AE291"/>
    <hyperlink r:id="rId345" ref="AF291"/>
    <hyperlink r:id="rId346" ref="AE293"/>
    <hyperlink r:id="rId347" ref="AE294"/>
    <hyperlink r:id="rId348" ref="AE295"/>
    <hyperlink r:id="rId349" ref="AE296"/>
    <hyperlink r:id="rId350" ref="AE297"/>
    <hyperlink r:id="rId351" ref="AF297"/>
    <hyperlink r:id="rId352" ref="AE298"/>
    <hyperlink r:id="rId353" ref="AE299"/>
    <hyperlink r:id="rId354" ref="AE300"/>
    <hyperlink r:id="rId355" ref="AE301"/>
    <hyperlink r:id="rId356" ref="AE302"/>
    <hyperlink r:id="rId357" ref="AE303"/>
    <hyperlink r:id="rId358" ref="E305"/>
    <hyperlink r:id="rId359" ref="P305"/>
    <hyperlink r:id="rId360" ref="AE305"/>
    <hyperlink r:id="rId361" ref="AF305"/>
    <hyperlink r:id="rId362" ref="AE306"/>
    <hyperlink r:id="rId363" ref="AE307"/>
    <hyperlink r:id="rId364" ref="AE309"/>
    <hyperlink r:id="rId365" ref="E310"/>
    <hyperlink r:id="rId366" ref="AE310"/>
    <hyperlink r:id="rId367" ref="AF310"/>
    <hyperlink r:id="rId368" ref="E311"/>
    <hyperlink r:id="rId369" ref="AE311"/>
    <hyperlink r:id="rId370" ref="AF311"/>
    <hyperlink r:id="rId371" ref="E312"/>
    <hyperlink r:id="rId372" ref="AE312"/>
    <hyperlink r:id="rId373" ref="AF312"/>
    <hyperlink r:id="rId374" ref="E313"/>
    <hyperlink r:id="rId375" ref="AE313"/>
    <hyperlink r:id="rId376" ref="AF313"/>
    <hyperlink r:id="rId377" ref="E314"/>
    <hyperlink r:id="rId378" ref="AE314"/>
    <hyperlink r:id="rId379" ref="AF314"/>
    <hyperlink r:id="rId380" ref="AE315"/>
    <hyperlink r:id="rId381" ref="AF315"/>
    <hyperlink r:id="rId382" ref="AE316"/>
    <hyperlink r:id="rId383" ref="AF316"/>
    <hyperlink r:id="rId384" ref="AE317"/>
    <hyperlink r:id="rId385" ref="AF317"/>
    <hyperlink r:id="rId386" ref="AE318"/>
    <hyperlink r:id="rId387" ref="AE319"/>
    <hyperlink r:id="rId388" ref="AF319"/>
    <hyperlink r:id="rId389" ref="AE320"/>
    <hyperlink r:id="rId390" ref="AF320"/>
    <hyperlink r:id="rId391" ref="AE321"/>
    <hyperlink r:id="rId392" ref="AF321"/>
    <hyperlink r:id="rId393" ref="AE326"/>
    <hyperlink r:id="rId394" ref="AE327"/>
    <hyperlink r:id="rId395" ref="AE330"/>
    <hyperlink r:id="rId396" ref="AE331"/>
    <hyperlink r:id="rId397" ref="AE333"/>
    <hyperlink r:id="rId398" ref="AE334"/>
    <hyperlink r:id="rId399" ref="AE335"/>
    <hyperlink r:id="rId400" ref="AE336"/>
    <hyperlink r:id="rId401" ref="AE337"/>
    <hyperlink r:id="rId402" ref="AE338"/>
    <hyperlink r:id="rId403" ref="AE340"/>
    <hyperlink r:id="rId404" ref="AE341"/>
    <hyperlink r:id="rId405" ref="AE343"/>
    <hyperlink r:id="rId406" ref="AE345"/>
    <hyperlink r:id="rId407" ref="AE346"/>
    <hyperlink r:id="rId408" ref="AE347"/>
    <hyperlink r:id="rId409" ref="AE348"/>
    <hyperlink r:id="rId410" ref="AE349"/>
    <hyperlink r:id="rId411" ref="AE350"/>
    <hyperlink r:id="rId412" ref="AE351"/>
    <hyperlink r:id="rId413" ref="AE352"/>
    <hyperlink r:id="rId414" ref="AE353"/>
    <hyperlink r:id="rId415" ref="AE354"/>
    <hyperlink r:id="rId416" ref="AE361"/>
    <hyperlink r:id="rId417" ref="AE362"/>
    <hyperlink r:id="rId418" ref="AF362"/>
    <hyperlink r:id="rId419" ref="AE363"/>
    <hyperlink r:id="rId420" ref="AF363"/>
    <hyperlink r:id="rId421" ref="AE365"/>
    <hyperlink r:id="rId422" ref="AE366"/>
    <hyperlink r:id="rId423" ref="E369"/>
    <hyperlink r:id="rId424" ref="P369"/>
    <hyperlink r:id="rId425" ref="AE369"/>
    <hyperlink r:id="rId426" ref="AE370"/>
    <hyperlink r:id="rId427" ref="AE371"/>
    <hyperlink r:id="rId428" ref="AE372"/>
    <hyperlink r:id="rId429" ref="E376"/>
    <hyperlink r:id="rId430" ref="AE376"/>
    <hyperlink r:id="rId431" ref="AF376"/>
    <hyperlink r:id="rId432" ref="E378"/>
    <hyperlink r:id="rId433" ref="AE378"/>
    <hyperlink r:id="rId434" ref="AE379"/>
    <hyperlink r:id="rId435" ref="AE380"/>
    <hyperlink r:id="rId436" ref="AE381"/>
    <hyperlink r:id="rId437" ref="AF381"/>
    <hyperlink r:id="rId438" ref="AE382"/>
    <hyperlink r:id="rId439" ref="AF382"/>
    <hyperlink r:id="rId440" ref="AE383"/>
    <hyperlink r:id="rId441" ref="AE384"/>
    <hyperlink r:id="rId442" ref="AE385"/>
    <hyperlink r:id="rId443" ref="AE389"/>
    <hyperlink r:id="rId444" ref="AF389"/>
    <hyperlink r:id="rId445" ref="AE390"/>
    <hyperlink r:id="rId446" ref="AF390"/>
    <hyperlink r:id="rId447" ref="AE391"/>
    <hyperlink r:id="rId448" ref="AF391"/>
    <hyperlink r:id="rId449" ref="AE392"/>
    <hyperlink r:id="rId450" ref="AF392"/>
    <hyperlink r:id="rId451" ref="AE393"/>
    <hyperlink r:id="rId452" ref="AF393"/>
    <hyperlink r:id="rId453" ref="E394"/>
    <hyperlink r:id="rId454" ref="P394"/>
    <hyperlink r:id="rId455" ref="AE394"/>
    <hyperlink r:id="rId456" ref="E395"/>
    <hyperlink r:id="rId457" ref="P395"/>
    <hyperlink r:id="rId458" ref="AE395"/>
    <hyperlink r:id="rId459" ref="E396"/>
    <hyperlink r:id="rId460" ref="AE397"/>
    <hyperlink r:id="rId461" ref="E398"/>
    <hyperlink r:id="rId462" ref="AE398"/>
    <hyperlink r:id="rId463" ref="AF398"/>
    <hyperlink r:id="rId464" ref="E399"/>
    <hyperlink r:id="rId465" ref="AE399"/>
    <hyperlink r:id="rId466" ref="E400"/>
    <hyperlink r:id="rId467" ref="AE400"/>
    <hyperlink r:id="rId468" ref="AE401"/>
    <hyperlink r:id="rId469" ref="AF401"/>
    <hyperlink r:id="rId470" ref="AE402"/>
    <hyperlink r:id="rId471" ref="AF402"/>
    <hyperlink r:id="rId472" ref="P403"/>
    <hyperlink r:id="rId473" ref="AE403"/>
    <hyperlink r:id="rId474" ref="AF403"/>
    <hyperlink r:id="rId475" ref="P404"/>
    <hyperlink r:id="rId476" ref="AE404"/>
    <hyperlink r:id="rId477" ref="AF404"/>
    <hyperlink r:id="rId478" ref="P405"/>
    <hyperlink r:id="rId479" ref="AE405"/>
    <hyperlink r:id="rId480" ref="AF405"/>
    <hyperlink r:id="rId481" ref="AE406"/>
    <hyperlink r:id="rId482" ref="AF406"/>
    <hyperlink r:id="rId483" ref="AE407"/>
    <hyperlink r:id="rId484" ref="AF407"/>
    <hyperlink r:id="rId485" ref="AE408"/>
    <hyperlink r:id="rId486" ref="AE409"/>
    <hyperlink r:id="rId487" ref="AE410"/>
    <hyperlink r:id="rId488" ref="AE411"/>
    <hyperlink r:id="rId489" ref="AE412"/>
    <hyperlink r:id="rId490" ref="AE413"/>
    <hyperlink r:id="rId491" ref="AE414"/>
    <hyperlink r:id="rId492" ref="E415"/>
    <hyperlink r:id="rId493" ref="P415"/>
    <hyperlink r:id="rId494" ref="AE415"/>
    <hyperlink r:id="rId495" ref="AE416"/>
    <hyperlink r:id="rId496" ref="AE417"/>
    <hyperlink r:id="rId497" ref="E418"/>
    <hyperlink r:id="rId498" ref="P418"/>
    <hyperlink r:id="rId499" ref="AE418"/>
    <hyperlink r:id="rId500" ref="AE419"/>
    <hyperlink r:id="rId501" ref="AE420"/>
    <hyperlink r:id="rId502" ref="AE421"/>
    <hyperlink r:id="rId503" ref="AE422"/>
    <hyperlink r:id="rId504" ref="AE423"/>
    <hyperlink r:id="rId505" ref="AE424"/>
    <hyperlink r:id="rId506" ref="AE425"/>
    <hyperlink r:id="rId507" ref="E431"/>
    <hyperlink r:id="rId508" ref="P431"/>
    <hyperlink r:id="rId509" ref="AE431"/>
    <hyperlink r:id="rId510" ref="E437"/>
    <hyperlink r:id="rId511" ref="P437"/>
    <hyperlink r:id="rId512" ref="AE437"/>
    <hyperlink r:id="rId513" ref="AE438"/>
    <hyperlink r:id="rId514" ref="E439"/>
    <hyperlink r:id="rId515" ref="P439"/>
    <hyperlink r:id="rId516" ref="AE439"/>
    <hyperlink r:id="rId517" ref="AE441"/>
    <hyperlink r:id="rId518" ref="E444"/>
    <hyperlink r:id="rId519" ref="P444"/>
    <hyperlink r:id="rId520" ref="AE444"/>
    <hyperlink r:id="rId521" ref="AE445"/>
    <hyperlink r:id="rId522" ref="AE446"/>
    <hyperlink r:id="rId523" ref="AE447"/>
    <hyperlink r:id="rId524" ref="E448"/>
    <hyperlink r:id="rId525" ref="AE448"/>
    <hyperlink r:id="rId526" ref="E449"/>
    <hyperlink r:id="rId527" ref="AE449"/>
    <hyperlink r:id="rId528" ref="E450"/>
    <hyperlink r:id="rId529" ref="P450"/>
    <hyperlink r:id="rId530" ref="AE450"/>
    <hyperlink r:id="rId531" ref="E451"/>
    <hyperlink r:id="rId532" ref="P451"/>
    <hyperlink r:id="rId533" ref="AE452"/>
    <hyperlink r:id="rId534" ref="E453"/>
    <hyperlink r:id="rId535" ref="AE453"/>
    <hyperlink r:id="rId536" ref="AE454"/>
    <hyperlink r:id="rId537" ref="AE455"/>
    <hyperlink r:id="rId538" ref="AE456"/>
    <hyperlink r:id="rId539" ref="AE457"/>
    <hyperlink r:id="rId540" ref="AE458"/>
    <hyperlink r:id="rId541" ref="AE459"/>
    <hyperlink r:id="rId542" ref="AE462"/>
    <hyperlink r:id="rId543" ref="AE463"/>
    <hyperlink r:id="rId544" ref="E464"/>
    <hyperlink r:id="rId545" ref="P464"/>
    <hyperlink r:id="rId546" ref="AE464"/>
    <hyperlink r:id="rId547" ref="E465"/>
    <hyperlink r:id="rId548" ref="P465"/>
    <hyperlink r:id="rId549" ref="AE465"/>
    <hyperlink r:id="rId550" ref="AE466"/>
    <hyperlink r:id="rId551" ref="AE467"/>
    <hyperlink r:id="rId552" ref="AE468"/>
    <hyperlink r:id="rId553" ref="AE469"/>
    <hyperlink r:id="rId554" ref="AE470"/>
    <hyperlink r:id="rId555" ref="AE471"/>
    <hyperlink r:id="rId556" ref="AE472"/>
    <hyperlink r:id="rId557" ref="AE473"/>
    <hyperlink r:id="rId558" ref="E474"/>
    <hyperlink r:id="rId559" ref="P474"/>
    <hyperlink r:id="rId560" ref="AE474"/>
    <hyperlink r:id="rId561" ref="AE475"/>
    <hyperlink r:id="rId562" ref="AF475"/>
    <hyperlink r:id="rId563" ref="E477"/>
    <hyperlink r:id="rId564" ref="AE477"/>
    <hyperlink r:id="rId565" ref="AE479"/>
    <hyperlink r:id="rId566" ref="AE480"/>
    <hyperlink r:id="rId567" ref="AE482"/>
    <hyperlink r:id="rId568" ref="E483"/>
    <hyperlink r:id="rId569" ref="AE483"/>
    <hyperlink r:id="rId570" ref="E484"/>
    <hyperlink r:id="rId571" ref="AE484"/>
    <hyperlink r:id="rId572" ref="AE485"/>
    <hyperlink r:id="rId573" ref="E486"/>
    <hyperlink r:id="rId574" ref="P486"/>
    <hyperlink r:id="rId575" ref="AE486"/>
    <hyperlink r:id="rId576" ref="AE487"/>
    <hyperlink r:id="rId577" ref="AE488"/>
    <hyperlink r:id="rId578" ref="AE489"/>
    <hyperlink r:id="rId579" ref="AE490"/>
    <hyperlink r:id="rId580" ref="AE491"/>
    <hyperlink r:id="rId581" ref="AE492"/>
    <hyperlink r:id="rId582" ref="AE493"/>
    <hyperlink r:id="rId583" ref="AE494"/>
    <hyperlink r:id="rId584" ref="AE495"/>
    <hyperlink r:id="rId585" ref="AF495"/>
    <hyperlink r:id="rId586" ref="AE496"/>
    <hyperlink r:id="rId587" ref="AE497"/>
    <hyperlink r:id="rId588" ref="AE498"/>
    <hyperlink r:id="rId589" ref="E499"/>
    <hyperlink r:id="rId590" ref="AE499"/>
    <hyperlink r:id="rId591" ref="E500"/>
    <hyperlink r:id="rId592" ref="AE500"/>
    <hyperlink r:id="rId593" ref="E501"/>
    <hyperlink r:id="rId594" ref="AE501"/>
    <hyperlink r:id="rId595" ref="E502"/>
    <hyperlink r:id="rId596" ref="AE502"/>
    <hyperlink r:id="rId597" ref="E503"/>
    <hyperlink r:id="rId598" ref="AE503"/>
    <hyperlink r:id="rId599" ref="E504"/>
    <hyperlink r:id="rId600" ref="AE504"/>
    <hyperlink r:id="rId601" ref="E505"/>
    <hyperlink r:id="rId602" ref="AE505"/>
    <hyperlink r:id="rId603" ref="E506"/>
    <hyperlink r:id="rId604" ref="AE506"/>
    <hyperlink r:id="rId605" ref="E507"/>
    <hyperlink r:id="rId606" ref="AE507"/>
    <hyperlink r:id="rId607" ref="E508"/>
    <hyperlink r:id="rId608" ref="AE508"/>
    <hyperlink r:id="rId609" ref="AE509"/>
    <hyperlink r:id="rId610" ref="AE510"/>
    <hyperlink r:id="rId611" ref="AE511"/>
    <hyperlink r:id="rId612" ref="AE512"/>
    <hyperlink r:id="rId613" ref="AE513"/>
    <hyperlink r:id="rId614" ref="AE514"/>
    <hyperlink r:id="rId615" ref="AE515"/>
    <hyperlink r:id="rId616" ref="AE516"/>
    <hyperlink r:id="rId617" ref="E517"/>
    <hyperlink r:id="rId618" ref="AE517"/>
    <hyperlink r:id="rId619" ref="AE518"/>
    <hyperlink r:id="rId620" ref="AE519"/>
    <hyperlink r:id="rId621" ref="E520"/>
    <hyperlink r:id="rId622" ref="AE520"/>
    <hyperlink r:id="rId623" ref="AF520"/>
    <hyperlink r:id="rId624" ref="E521"/>
    <hyperlink r:id="rId625" ref="AE521"/>
    <hyperlink r:id="rId626" ref="E522"/>
    <hyperlink r:id="rId627" ref="AE522"/>
    <hyperlink r:id="rId628" ref="E523"/>
    <hyperlink r:id="rId629" ref="AE523"/>
    <hyperlink r:id="rId630" ref="E524"/>
    <hyperlink r:id="rId631" ref="AE524"/>
    <hyperlink r:id="rId632" ref="AE525"/>
    <hyperlink r:id="rId633" ref="AE526"/>
    <hyperlink r:id="rId634" ref="AF526"/>
    <hyperlink r:id="rId635" ref="AE527"/>
    <hyperlink r:id="rId636" ref="P529"/>
    <hyperlink r:id="rId637" ref="AE529"/>
    <hyperlink r:id="rId638" ref="AE530"/>
    <hyperlink r:id="rId639" ref="AE531"/>
    <hyperlink r:id="rId640" ref="AE532"/>
    <hyperlink r:id="rId641" ref="E533"/>
    <hyperlink r:id="rId642" ref="P533"/>
    <hyperlink r:id="rId643" ref="AE533"/>
    <hyperlink r:id="rId644" ref="E534"/>
    <hyperlink r:id="rId645" ref="P534"/>
    <hyperlink r:id="rId646" ref="E535"/>
    <hyperlink r:id="rId647" ref="P535"/>
    <hyperlink r:id="rId648" ref="AE535"/>
    <hyperlink r:id="rId649" ref="AE536"/>
    <hyperlink r:id="rId650" ref="AF536"/>
    <hyperlink r:id="rId651" ref="E537"/>
    <hyperlink r:id="rId652" ref="P537"/>
    <hyperlink r:id="rId653" ref="AE537"/>
    <hyperlink r:id="rId654" ref="AE539"/>
    <hyperlink r:id="rId655" ref="AE541"/>
    <hyperlink r:id="rId656" ref="AE542"/>
    <hyperlink r:id="rId657" ref="E543"/>
    <hyperlink r:id="rId658" ref="P543"/>
    <hyperlink r:id="rId659" ref="AE543"/>
    <hyperlink r:id="rId660" ref="AE544"/>
    <hyperlink r:id="rId661" ref="AF544"/>
    <hyperlink r:id="rId662" ref="AE545"/>
    <hyperlink r:id="rId663" ref="AF545"/>
    <hyperlink r:id="rId664" ref="AE548"/>
    <hyperlink r:id="rId665" ref="E549"/>
    <hyperlink r:id="rId666" ref="AE549"/>
    <hyperlink r:id="rId667" ref="AE550"/>
    <hyperlink r:id="rId668" ref="AE551"/>
    <hyperlink r:id="rId669" ref="AF551"/>
    <hyperlink r:id="rId670" ref="AE552"/>
    <hyperlink r:id="rId671" ref="AF552"/>
    <hyperlink r:id="rId672" ref="E553"/>
    <hyperlink r:id="rId673" ref="P553"/>
    <hyperlink r:id="rId674" ref="AE553"/>
    <hyperlink r:id="rId675" ref="E554"/>
    <hyperlink r:id="rId676" ref="P554"/>
    <hyperlink r:id="rId677" ref="AE554"/>
    <hyperlink r:id="rId678" ref="E555"/>
    <hyperlink r:id="rId679" ref="P555"/>
    <hyperlink r:id="rId680" ref="S555"/>
    <hyperlink r:id="rId681" ref="AE555"/>
    <hyperlink r:id="rId682" ref="AF555"/>
    <hyperlink r:id="rId683" ref="S556"/>
    <hyperlink r:id="rId684" ref="AE556"/>
    <hyperlink r:id="rId685" ref="AF556"/>
    <hyperlink r:id="rId686" ref="S557"/>
    <hyperlink r:id="rId687" ref="AE557"/>
    <hyperlink r:id="rId688" ref="AF557"/>
    <hyperlink r:id="rId689" ref="S558"/>
    <hyperlink r:id="rId690" ref="AE558"/>
    <hyperlink r:id="rId691" ref="AF558"/>
    <hyperlink r:id="rId692" ref="S559"/>
    <hyperlink r:id="rId693" ref="AE559"/>
    <hyperlink r:id="rId694" ref="AF559"/>
    <hyperlink r:id="rId695" ref="E560"/>
    <hyperlink r:id="rId696" ref="P560"/>
    <hyperlink r:id="rId697" ref="AE560"/>
    <hyperlink r:id="rId698" ref="AE561"/>
    <hyperlink r:id="rId699" ref="AE562"/>
    <hyperlink r:id="rId700" ref="E563"/>
    <hyperlink r:id="rId701" ref="P563"/>
    <hyperlink r:id="rId702" ref="E565"/>
    <hyperlink r:id="rId703" ref="P565"/>
    <hyperlink r:id="rId704" ref="E570"/>
    <hyperlink r:id="rId705" ref="P570"/>
    <hyperlink r:id="rId706" ref="E571"/>
    <hyperlink r:id="rId707" ref="P571"/>
  </hyperlinks>
  <drawing r:id="rId708"/>
  <tableParts count="1">
    <tablePart r:id="rId7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27.5"/>
    <col customWidth="1" min="3" max="3" width="13.88"/>
    <col customWidth="1" min="7" max="7" width="40.13"/>
    <col customWidth="1" min="8" max="8" width="15.13"/>
    <col customWidth="1" min="9" max="9" width="14.25"/>
    <col customWidth="1" min="10" max="10" width="12.5"/>
  </cols>
  <sheetData>
    <row r="1" ht="22.5" customHeight="1">
      <c r="A1" s="209" t="s">
        <v>0</v>
      </c>
      <c r="B1" s="209" t="s">
        <v>3825</v>
      </c>
      <c r="C1" s="209" t="s">
        <v>3826</v>
      </c>
      <c r="D1" s="209" t="s">
        <v>3827</v>
      </c>
      <c r="E1" s="209" t="s">
        <v>3828</v>
      </c>
      <c r="F1" s="209" t="s">
        <v>3829</v>
      </c>
      <c r="G1" s="210" t="s">
        <v>3830</v>
      </c>
      <c r="H1" s="211" t="s">
        <v>3831</v>
      </c>
      <c r="I1" s="211" t="s">
        <v>3832</v>
      </c>
      <c r="J1" s="210" t="s">
        <v>3833</v>
      </c>
      <c r="K1" s="210" t="s">
        <v>3834</v>
      </c>
      <c r="L1" s="210" t="s">
        <v>3835</v>
      </c>
      <c r="M1" s="210" t="s">
        <v>3836</v>
      </c>
      <c r="N1" s="210" t="s">
        <v>3837</v>
      </c>
      <c r="O1" s="210" t="s">
        <v>3838</v>
      </c>
      <c r="P1" s="210" t="s">
        <v>3839</v>
      </c>
      <c r="Q1" s="210" t="s">
        <v>3840</v>
      </c>
      <c r="R1" s="210" t="s">
        <v>3841</v>
      </c>
      <c r="S1" s="210" t="s">
        <v>3842</v>
      </c>
      <c r="T1" s="210" t="s">
        <v>3843</v>
      </c>
      <c r="U1" s="210" t="s">
        <v>3844</v>
      </c>
      <c r="V1" s="210" t="s">
        <v>3845</v>
      </c>
      <c r="W1" s="210" t="s">
        <v>3846</v>
      </c>
      <c r="X1" s="210" t="s">
        <v>3847</v>
      </c>
      <c r="Y1" s="210" t="s">
        <v>3848</v>
      </c>
      <c r="Z1" s="210" t="s">
        <v>3849</v>
      </c>
    </row>
    <row r="2" ht="22.5" customHeight="1">
      <c r="A2" s="212">
        <v>46062.0</v>
      </c>
      <c r="B2" s="15" t="s">
        <v>3850</v>
      </c>
      <c r="C2" s="15" t="s">
        <v>3851</v>
      </c>
      <c r="D2" s="15" t="s">
        <v>3852</v>
      </c>
      <c r="E2" s="213">
        <v>7.98119498E9</v>
      </c>
      <c r="F2" s="55" t="s">
        <v>3853</v>
      </c>
      <c r="G2" s="9" t="s">
        <v>3854</v>
      </c>
      <c r="H2" s="61"/>
      <c r="J2" s="14"/>
      <c r="K2" s="14"/>
      <c r="L2" s="14"/>
      <c r="M2" s="14"/>
      <c r="N2" s="14"/>
      <c r="O2" s="14"/>
      <c r="P2" s="14"/>
      <c r="Q2" s="14"/>
      <c r="R2" s="14"/>
      <c r="S2" s="14"/>
      <c r="T2" s="14"/>
      <c r="U2" s="14"/>
      <c r="V2" s="14"/>
      <c r="W2" s="14"/>
      <c r="X2" s="14"/>
      <c r="Y2" s="14"/>
      <c r="Z2" s="14"/>
    </row>
    <row r="3" ht="22.5" customHeight="1">
      <c r="A3" s="212">
        <v>46062.0</v>
      </c>
      <c r="B3" s="15" t="s">
        <v>3855</v>
      </c>
      <c r="D3" s="15" t="s">
        <v>3856</v>
      </c>
      <c r="E3" s="213">
        <v>7.992492924E9</v>
      </c>
      <c r="F3" s="55" t="s">
        <v>3857</v>
      </c>
      <c r="G3" s="9" t="s">
        <v>3858</v>
      </c>
      <c r="H3" s="61"/>
      <c r="J3" s="14"/>
      <c r="K3" s="14"/>
      <c r="L3" s="14"/>
      <c r="M3" s="14"/>
      <c r="N3" s="14"/>
      <c r="O3" s="14"/>
      <c r="P3" s="14"/>
      <c r="Q3" s="14"/>
      <c r="R3" s="14"/>
      <c r="S3" s="14"/>
      <c r="T3" s="14"/>
      <c r="U3" s="14"/>
      <c r="V3" s="14"/>
      <c r="W3" s="14"/>
      <c r="X3" s="14"/>
      <c r="Y3" s="14"/>
      <c r="Z3" s="14"/>
    </row>
    <row r="4" ht="22.5" customHeight="1">
      <c r="A4" s="212">
        <v>46062.0</v>
      </c>
      <c r="B4" s="15" t="s">
        <v>3859</v>
      </c>
      <c r="C4" s="15" t="s">
        <v>203</v>
      </c>
      <c r="E4" s="213">
        <v>8.712274005E9</v>
      </c>
      <c r="F4" s="55" t="s">
        <v>3853</v>
      </c>
      <c r="G4" s="9" t="s">
        <v>3860</v>
      </c>
      <c r="H4" s="61"/>
      <c r="J4" s="14"/>
      <c r="K4" s="14"/>
      <c r="L4" s="14"/>
      <c r="M4" s="14"/>
      <c r="N4" s="14"/>
      <c r="O4" s="14"/>
      <c r="P4" s="14"/>
      <c r="Q4" s="14"/>
      <c r="R4" s="14"/>
      <c r="S4" s="14"/>
      <c r="T4" s="14"/>
      <c r="U4" s="14"/>
      <c r="V4" s="14"/>
      <c r="W4" s="14"/>
      <c r="X4" s="14"/>
      <c r="Y4" s="14"/>
      <c r="Z4" s="14"/>
    </row>
    <row r="5" ht="22.5" customHeight="1">
      <c r="A5" s="212">
        <v>46062.0</v>
      </c>
      <c r="B5" s="15" t="s">
        <v>3861</v>
      </c>
      <c r="E5" s="214"/>
      <c r="F5" s="55" t="s">
        <v>73</v>
      </c>
      <c r="G5" s="9" t="s">
        <v>3862</v>
      </c>
      <c r="H5" s="61"/>
      <c r="J5" s="14"/>
      <c r="K5" s="14"/>
      <c r="L5" s="14"/>
      <c r="M5" s="14"/>
      <c r="N5" s="14"/>
      <c r="O5" s="14"/>
      <c r="P5" s="14"/>
      <c r="Q5" s="14"/>
      <c r="R5" s="14"/>
      <c r="S5" s="14"/>
      <c r="T5" s="14"/>
      <c r="U5" s="14"/>
      <c r="V5" s="14"/>
      <c r="W5" s="14"/>
      <c r="X5" s="14"/>
      <c r="Y5" s="14"/>
      <c r="Z5" s="14"/>
    </row>
    <row r="6" ht="22.5" customHeight="1">
      <c r="A6" s="212">
        <v>46062.0</v>
      </c>
      <c r="B6" s="15" t="s">
        <v>3863</v>
      </c>
      <c r="C6" s="15" t="s">
        <v>690</v>
      </c>
      <c r="E6" s="214"/>
      <c r="F6" s="55" t="s">
        <v>96</v>
      </c>
      <c r="G6" s="9" t="s">
        <v>3862</v>
      </c>
      <c r="H6" s="61"/>
      <c r="J6" s="14"/>
      <c r="K6" s="14"/>
      <c r="L6" s="14"/>
      <c r="M6" s="14"/>
      <c r="N6" s="14"/>
      <c r="O6" s="14"/>
      <c r="P6" s="14"/>
      <c r="Q6" s="14"/>
      <c r="R6" s="14"/>
      <c r="S6" s="14"/>
      <c r="T6" s="14"/>
      <c r="U6" s="14"/>
      <c r="V6" s="14"/>
      <c r="W6" s="14"/>
      <c r="X6" s="14"/>
      <c r="Y6" s="14"/>
      <c r="Z6" s="14"/>
    </row>
    <row r="7" ht="22.5" customHeight="1">
      <c r="A7" s="212">
        <v>46062.0</v>
      </c>
      <c r="B7" s="15" t="s">
        <v>3864</v>
      </c>
      <c r="E7" s="214"/>
      <c r="F7" s="55" t="s">
        <v>60</v>
      </c>
      <c r="G7" s="9" t="s">
        <v>3865</v>
      </c>
      <c r="H7" s="61"/>
      <c r="J7" s="14"/>
      <c r="K7" s="14"/>
      <c r="L7" s="14"/>
      <c r="M7" s="14"/>
      <c r="N7" s="14"/>
      <c r="O7" s="14"/>
      <c r="P7" s="14"/>
      <c r="Q7" s="14"/>
      <c r="R7" s="14"/>
      <c r="S7" s="14"/>
      <c r="T7" s="14"/>
      <c r="U7" s="14"/>
      <c r="V7" s="14"/>
      <c r="W7" s="14"/>
      <c r="X7" s="14"/>
      <c r="Y7" s="14"/>
      <c r="Z7" s="14"/>
    </row>
    <row r="8" ht="22.5" customHeight="1">
      <c r="A8" s="212">
        <v>46062.0</v>
      </c>
      <c r="B8" s="15" t="s">
        <v>3866</v>
      </c>
      <c r="C8" s="15" t="s">
        <v>610</v>
      </c>
      <c r="E8" s="214"/>
      <c r="F8" s="55" t="s">
        <v>73</v>
      </c>
      <c r="G8" s="9" t="s">
        <v>3867</v>
      </c>
      <c r="H8" s="61"/>
      <c r="J8" s="14"/>
      <c r="K8" s="14"/>
      <c r="L8" s="14"/>
      <c r="M8" s="14"/>
      <c r="N8" s="14"/>
      <c r="O8" s="14"/>
      <c r="P8" s="14"/>
      <c r="Q8" s="14"/>
      <c r="R8" s="14"/>
      <c r="S8" s="14"/>
      <c r="T8" s="14"/>
      <c r="U8" s="14"/>
      <c r="V8" s="14"/>
      <c r="W8" s="14"/>
      <c r="X8" s="14"/>
      <c r="Y8" s="14"/>
      <c r="Z8" s="14"/>
    </row>
    <row r="9" ht="22.5" customHeight="1">
      <c r="A9" s="212">
        <v>46062.0</v>
      </c>
      <c r="B9" s="15" t="s">
        <v>3868</v>
      </c>
      <c r="C9" s="15"/>
      <c r="E9" s="214"/>
      <c r="F9" s="55" t="s">
        <v>96</v>
      </c>
      <c r="G9" s="9" t="s">
        <v>3869</v>
      </c>
      <c r="H9" s="61"/>
      <c r="J9" s="14"/>
      <c r="K9" s="14"/>
      <c r="L9" s="14"/>
      <c r="M9" s="14"/>
      <c r="N9" s="14"/>
      <c r="O9" s="14"/>
      <c r="P9" s="14"/>
      <c r="Q9" s="14"/>
      <c r="R9" s="14"/>
      <c r="S9" s="14"/>
      <c r="T9" s="14"/>
      <c r="U9" s="14"/>
      <c r="V9" s="14"/>
      <c r="W9" s="14"/>
      <c r="X9" s="14"/>
      <c r="Y9" s="14"/>
      <c r="Z9" s="14"/>
    </row>
    <row r="10" ht="22.5" customHeight="1">
      <c r="A10" s="212">
        <v>46062.0</v>
      </c>
      <c r="B10" s="15" t="s">
        <v>3870</v>
      </c>
      <c r="D10" s="15" t="s">
        <v>3871</v>
      </c>
      <c r="E10" s="213">
        <v>9.05981013E9</v>
      </c>
      <c r="F10" s="55" t="s">
        <v>144</v>
      </c>
      <c r="G10" s="9" t="s">
        <v>3872</v>
      </c>
      <c r="H10" s="61"/>
      <c r="J10" s="14"/>
      <c r="K10" s="14"/>
      <c r="L10" s="14"/>
      <c r="M10" s="14"/>
      <c r="N10" s="14"/>
      <c r="O10" s="14"/>
      <c r="P10" s="14"/>
      <c r="Q10" s="14"/>
      <c r="R10" s="14"/>
      <c r="S10" s="14"/>
      <c r="T10" s="14"/>
      <c r="U10" s="14"/>
      <c r="V10" s="14"/>
      <c r="W10" s="14"/>
      <c r="X10" s="14"/>
      <c r="Y10" s="14"/>
      <c r="Z10" s="14"/>
    </row>
    <row r="11" ht="22.5" customHeight="1">
      <c r="A11" s="212">
        <v>46062.0</v>
      </c>
      <c r="B11" s="15" t="s">
        <v>3873</v>
      </c>
      <c r="C11" s="15" t="s">
        <v>610</v>
      </c>
      <c r="E11" s="214"/>
      <c r="F11" s="55" t="s">
        <v>73</v>
      </c>
      <c r="G11" s="9" t="s">
        <v>3874</v>
      </c>
      <c r="H11" s="61"/>
      <c r="J11" s="14"/>
      <c r="K11" s="14"/>
      <c r="L11" s="14"/>
      <c r="M11" s="14"/>
      <c r="N11" s="14"/>
      <c r="O11" s="14"/>
      <c r="P11" s="14"/>
      <c r="Q11" s="14"/>
      <c r="R11" s="14"/>
      <c r="S11" s="14"/>
      <c r="T11" s="14"/>
      <c r="U11" s="14"/>
      <c r="V11" s="14"/>
      <c r="W11" s="14"/>
      <c r="X11" s="14"/>
      <c r="Y11" s="14"/>
      <c r="Z11" s="14"/>
    </row>
    <row r="12" ht="22.5" customHeight="1">
      <c r="A12" s="212">
        <v>46062.0</v>
      </c>
      <c r="B12" s="15" t="s">
        <v>3875</v>
      </c>
      <c r="C12" s="15" t="s">
        <v>203</v>
      </c>
      <c r="E12" s="213">
        <v>9.985559231E9</v>
      </c>
      <c r="F12" s="55" t="s">
        <v>3853</v>
      </c>
      <c r="G12" s="9" t="s">
        <v>3860</v>
      </c>
      <c r="H12" s="61"/>
      <c r="J12" s="14"/>
      <c r="K12" s="14"/>
      <c r="L12" s="14"/>
      <c r="M12" s="14"/>
      <c r="N12" s="14"/>
      <c r="O12" s="14"/>
      <c r="P12" s="14"/>
      <c r="Q12" s="14"/>
      <c r="R12" s="14"/>
      <c r="S12" s="14"/>
      <c r="T12" s="14"/>
      <c r="U12" s="14"/>
      <c r="V12" s="14"/>
      <c r="W12" s="14"/>
      <c r="X12" s="14"/>
      <c r="Y12" s="14"/>
      <c r="Z12" s="14"/>
    </row>
    <row r="13" ht="22.5" customHeight="1">
      <c r="A13" s="212">
        <v>46062.0</v>
      </c>
      <c r="B13" s="15" t="s">
        <v>3876</v>
      </c>
      <c r="D13" s="15" t="s">
        <v>3877</v>
      </c>
      <c r="E13" s="214"/>
      <c r="F13" s="55" t="s">
        <v>144</v>
      </c>
      <c r="G13" s="9" t="s">
        <v>3878</v>
      </c>
      <c r="H13" s="61"/>
      <c r="J13" s="14"/>
      <c r="K13" s="14"/>
      <c r="L13" s="14"/>
      <c r="M13" s="14"/>
      <c r="N13" s="14"/>
      <c r="O13" s="14"/>
      <c r="P13" s="14"/>
      <c r="Q13" s="14"/>
      <c r="R13" s="14"/>
      <c r="S13" s="14"/>
      <c r="T13" s="14"/>
      <c r="U13" s="14"/>
      <c r="V13" s="14"/>
      <c r="W13" s="14"/>
      <c r="X13" s="14"/>
      <c r="Y13" s="14"/>
      <c r="Z13" s="14"/>
    </row>
    <row r="14" ht="22.5" customHeight="1">
      <c r="A14" s="212">
        <v>46062.0</v>
      </c>
      <c r="B14" s="15" t="s">
        <v>3879</v>
      </c>
      <c r="D14" s="15" t="s">
        <v>3880</v>
      </c>
      <c r="E14" s="213">
        <v>9.70526974E8</v>
      </c>
      <c r="F14" s="55" t="s">
        <v>248</v>
      </c>
      <c r="G14" s="9" t="s">
        <v>3881</v>
      </c>
      <c r="H14" s="61"/>
      <c r="J14" s="14"/>
      <c r="K14" s="14"/>
      <c r="L14" s="14"/>
      <c r="M14" s="14"/>
      <c r="N14" s="14"/>
      <c r="O14" s="14"/>
      <c r="P14" s="14"/>
      <c r="Q14" s="14"/>
      <c r="R14" s="14"/>
      <c r="S14" s="14"/>
      <c r="T14" s="14"/>
      <c r="U14" s="14"/>
      <c r="V14" s="14"/>
      <c r="W14" s="14"/>
      <c r="X14" s="14"/>
      <c r="Y14" s="14"/>
      <c r="Z14" s="14"/>
    </row>
    <row r="15" ht="22.5" customHeight="1">
      <c r="A15" s="212">
        <v>46062.0</v>
      </c>
      <c r="B15" s="15" t="s">
        <v>3882</v>
      </c>
      <c r="C15" s="15" t="s">
        <v>3883</v>
      </c>
      <c r="E15" s="214"/>
      <c r="F15" s="55" t="s">
        <v>186</v>
      </c>
      <c r="G15" s="9" t="s">
        <v>3884</v>
      </c>
      <c r="H15" s="61"/>
      <c r="J15" s="14"/>
      <c r="K15" s="14"/>
      <c r="L15" s="14"/>
      <c r="M15" s="14"/>
      <c r="N15" s="14"/>
      <c r="O15" s="14"/>
      <c r="P15" s="14"/>
      <c r="Q15" s="14"/>
      <c r="R15" s="14"/>
      <c r="S15" s="14"/>
      <c r="T15" s="14"/>
      <c r="U15" s="14"/>
      <c r="V15" s="14"/>
      <c r="W15" s="14"/>
      <c r="X15" s="14"/>
      <c r="Y15" s="14"/>
      <c r="Z15" s="14"/>
    </row>
    <row r="16" ht="22.5" customHeight="1">
      <c r="A16" s="212">
        <v>46062.0</v>
      </c>
      <c r="B16" s="15" t="s">
        <v>3377</v>
      </c>
      <c r="D16" s="15" t="s">
        <v>3885</v>
      </c>
      <c r="E16" s="214"/>
      <c r="F16" s="55" t="s">
        <v>144</v>
      </c>
      <c r="G16" s="9" t="s">
        <v>3886</v>
      </c>
      <c r="H16" s="61"/>
      <c r="J16" s="14"/>
      <c r="K16" s="14"/>
      <c r="L16" s="14"/>
      <c r="M16" s="14"/>
      <c r="N16" s="14"/>
      <c r="O16" s="14"/>
      <c r="P16" s="14"/>
      <c r="Q16" s="14"/>
      <c r="R16" s="14"/>
      <c r="S16" s="14"/>
      <c r="T16" s="14"/>
      <c r="U16" s="14"/>
      <c r="V16" s="14"/>
      <c r="W16" s="14"/>
      <c r="X16" s="14"/>
      <c r="Y16" s="14"/>
      <c r="Z16" s="14"/>
    </row>
    <row r="17" ht="22.5" customHeight="1">
      <c r="A17" s="212">
        <v>46062.0</v>
      </c>
      <c r="B17" s="15" t="s">
        <v>3887</v>
      </c>
      <c r="E17" s="214"/>
      <c r="F17" s="55" t="s">
        <v>60</v>
      </c>
      <c r="G17" s="9" t="s">
        <v>3888</v>
      </c>
      <c r="H17" s="61"/>
      <c r="J17" s="14"/>
      <c r="K17" s="14"/>
      <c r="L17" s="14"/>
      <c r="M17" s="14"/>
      <c r="N17" s="14"/>
      <c r="O17" s="14"/>
      <c r="P17" s="14"/>
      <c r="Q17" s="14"/>
      <c r="R17" s="14"/>
      <c r="S17" s="14"/>
      <c r="T17" s="14"/>
      <c r="U17" s="14"/>
      <c r="V17" s="14"/>
      <c r="W17" s="14"/>
      <c r="X17" s="14"/>
      <c r="Y17" s="14"/>
      <c r="Z17" s="14"/>
    </row>
    <row r="18" ht="22.5" customHeight="1">
      <c r="A18" s="212">
        <v>46062.0</v>
      </c>
      <c r="B18" s="15" t="s">
        <v>607</v>
      </c>
      <c r="C18" s="15" t="s">
        <v>610</v>
      </c>
      <c r="E18" s="214"/>
      <c r="F18" s="55" t="s">
        <v>73</v>
      </c>
      <c r="G18" s="9" t="s">
        <v>3862</v>
      </c>
      <c r="H18" s="61"/>
      <c r="J18" s="14"/>
      <c r="K18" s="14"/>
      <c r="L18" s="14"/>
      <c r="M18" s="14"/>
      <c r="N18" s="14"/>
      <c r="O18" s="14"/>
      <c r="P18" s="14"/>
      <c r="Q18" s="14"/>
      <c r="R18" s="14"/>
      <c r="S18" s="14"/>
      <c r="T18" s="14"/>
      <c r="U18" s="14"/>
      <c r="V18" s="14"/>
      <c r="W18" s="14"/>
      <c r="X18" s="14"/>
      <c r="Y18" s="14"/>
      <c r="Z18" s="14"/>
    </row>
    <row r="19" ht="22.5" customHeight="1">
      <c r="A19" s="212">
        <v>46062.0</v>
      </c>
      <c r="B19" s="15" t="s">
        <v>3889</v>
      </c>
      <c r="D19" s="15" t="s">
        <v>3628</v>
      </c>
      <c r="E19" s="213">
        <v>8.121020121E9</v>
      </c>
      <c r="F19" s="55" t="s">
        <v>248</v>
      </c>
      <c r="G19" s="9" t="s">
        <v>3890</v>
      </c>
      <c r="H19" s="61"/>
      <c r="J19" s="14"/>
      <c r="K19" s="14"/>
      <c r="L19" s="14"/>
      <c r="M19" s="14"/>
      <c r="N19" s="14"/>
      <c r="O19" s="14"/>
      <c r="P19" s="14"/>
      <c r="Q19" s="14"/>
      <c r="R19" s="14"/>
      <c r="S19" s="14"/>
      <c r="T19" s="14"/>
      <c r="U19" s="14"/>
      <c r="V19" s="14"/>
      <c r="W19" s="14"/>
      <c r="X19" s="14"/>
      <c r="Y19" s="14"/>
      <c r="Z19" s="14"/>
    </row>
    <row r="20" ht="22.5" customHeight="1">
      <c r="A20" s="212">
        <v>46062.0</v>
      </c>
      <c r="B20" s="15" t="s">
        <v>563</v>
      </c>
      <c r="C20" s="15" t="s">
        <v>203</v>
      </c>
      <c r="E20" s="214"/>
      <c r="F20" s="55" t="s">
        <v>3853</v>
      </c>
      <c r="G20" s="9" t="s">
        <v>3862</v>
      </c>
      <c r="H20" s="61"/>
      <c r="J20" s="14"/>
      <c r="K20" s="14"/>
      <c r="L20" s="14"/>
      <c r="M20" s="14"/>
      <c r="N20" s="14"/>
      <c r="O20" s="14"/>
      <c r="P20" s="14"/>
      <c r="Q20" s="14"/>
      <c r="R20" s="14"/>
      <c r="S20" s="14"/>
      <c r="T20" s="14"/>
      <c r="U20" s="14"/>
      <c r="V20" s="14"/>
      <c r="W20" s="14"/>
      <c r="X20" s="14"/>
      <c r="Y20" s="14"/>
      <c r="Z20" s="14"/>
    </row>
    <row r="21" ht="22.5" customHeight="1">
      <c r="A21" s="212">
        <v>46062.0</v>
      </c>
      <c r="B21" s="15" t="s">
        <v>3891</v>
      </c>
      <c r="C21" s="15"/>
      <c r="E21" s="214"/>
      <c r="F21" s="55" t="s">
        <v>96</v>
      </c>
      <c r="G21" s="9" t="s">
        <v>3892</v>
      </c>
      <c r="H21" s="61"/>
      <c r="J21" s="14"/>
      <c r="K21" s="14"/>
      <c r="L21" s="14"/>
      <c r="M21" s="14"/>
      <c r="N21" s="14"/>
      <c r="O21" s="14"/>
      <c r="P21" s="14"/>
      <c r="Q21" s="14"/>
      <c r="R21" s="14"/>
      <c r="S21" s="14"/>
      <c r="T21" s="14"/>
      <c r="U21" s="14"/>
      <c r="V21" s="14"/>
      <c r="W21" s="14"/>
      <c r="X21" s="14"/>
      <c r="Y21" s="14"/>
      <c r="Z21" s="14"/>
    </row>
    <row r="22" ht="22.5" customHeight="1">
      <c r="A22" s="212">
        <v>46062.0</v>
      </c>
      <c r="B22" s="15" t="s">
        <v>3893</v>
      </c>
      <c r="E22" s="214"/>
      <c r="F22" s="55" t="s">
        <v>60</v>
      </c>
      <c r="G22" s="9" t="s">
        <v>3894</v>
      </c>
      <c r="H22" s="61"/>
      <c r="J22" s="14"/>
      <c r="K22" s="14"/>
      <c r="L22" s="14"/>
      <c r="M22" s="14"/>
      <c r="N22" s="14"/>
      <c r="O22" s="14"/>
      <c r="P22" s="14"/>
      <c r="Q22" s="14"/>
      <c r="R22" s="14"/>
      <c r="S22" s="14"/>
      <c r="T22" s="14"/>
      <c r="U22" s="14"/>
      <c r="V22" s="14"/>
      <c r="W22" s="14"/>
      <c r="X22" s="14"/>
      <c r="Y22" s="14"/>
      <c r="Z22" s="14"/>
    </row>
    <row r="23" ht="22.5" customHeight="1">
      <c r="A23" s="212">
        <v>46062.0</v>
      </c>
      <c r="B23" s="15" t="s">
        <v>3895</v>
      </c>
      <c r="C23" s="15" t="s">
        <v>3896</v>
      </c>
      <c r="E23" s="214"/>
      <c r="F23" s="55" t="s">
        <v>200</v>
      </c>
      <c r="G23" s="9" t="s">
        <v>3897</v>
      </c>
      <c r="H23" s="61"/>
      <c r="J23" s="14"/>
      <c r="K23" s="14"/>
      <c r="L23" s="14"/>
      <c r="M23" s="14"/>
      <c r="N23" s="14"/>
      <c r="O23" s="14"/>
      <c r="P23" s="14"/>
      <c r="Q23" s="14"/>
      <c r="R23" s="14"/>
      <c r="S23" s="14"/>
      <c r="T23" s="14"/>
      <c r="U23" s="14"/>
      <c r="V23" s="14"/>
      <c r="W23" s="14"/>
      <c r="X23" s="14"/>
      <c r="Y23" s="14"/>
      <c r="Z23" s="14"/>
    </row>
    <row r="24" ht="22.5" customHeight="1">
      <c r="A24" s="212">
        <v>46062.0</v>
      </c>
      <c r="B24" s="15" t="s">
        <v>3898</v>
      </c>
      <c r="E24" s="214"/>
      <c r="F24" s="55" t="s">
        <v>96</v>
      </c>
      <c r="G24" s="9" t="s">
        <v>3899</v>
      </c>
      <c r="H24" s="61"/>
      <c r="J24" s="14"/>
      <c r="K24" s="14"/>
      <c r="L24" s="14"/>
      <c r="M24" s="14"/>
      <c r="N24" s="14"/>
      <c r="O24" s="14"/>
      <c r="P24" s="14"/>
      <c r="Q24" s="14"/>
      <c r="R24" s="14"/>
      <c r="S24" s="14"/>
      <c r="T24" s="14"/>
      <c r="U24" s="14"/>
      <c r="V24" s="14"/>
      <c r="W24" s="14"/>
      <c r="X24" s="14"/>
      <c r="Y24" s="14"/>
      <c r="Z24" s="14"/>
    </row>
    <row r="25" ht="22.5" customHeight="1">
      <c r="A25" s="212">
        <v>46062.0</v>
      </c>
      <c r="B25" s="15" t="s">
        <v>3900</v>
      </c>
      <c r="E25" s="214"/>
      <c r="F25" s="55" t="s">
        <v>96</v>
      </c>
      <c r="G25" s="9" t="s">
        <v>3901</v>
      </c>
      <c r="H25" s="61"/>
      <c r="J25" s="14"/>
      <c r="K25" s="14"/>
      <c r="L25" s="14"/>
      <c r="M25" s="14"/>
      <c r="N25" s="14"/>
      <c r="O25" s="14"/>
      <c r="P25" s="14"/>
      <c r="Q25" s="14"/>
      <c r="R25" s="14"/>
      <c r="S25" s="14"/>
      <c r="T25" s="14"/>
      <c r="U25" s="14"/>
      <c r="V25" s="14"/>
      <c r="W25" s="14"/>
      <c r="X25" s="14"/>
      <c r="Y25" s="14"/>
      <c r="Z25" s="14"/>
    </row>
    <row r="26" ht="22.5" customHeight="1">
      <c r="A26" s="212">
        <v>46062.0</v>
      </c>
      <c r="B26" s="15" t="s">
        <v>607</v>
      </c>
      <c r="C26" s="15" t="s">
        <v>610</v>
      </c>
      <c r="E26" s="214"/>
      <c r="F26" s="55" t="s">
        <v>73</v>
      </c>
      <c r="G26" s="9" t="s">
        <v>3902</v>
      </c>
      <c r="H26" s="61"/>
      <c r="J26" s="14"/>
      <c r="K26" s="14"/>
      <c r="L26" s="14"/>
      <c r="M26" s="14"/>
      <c r="N26" s="14"/>
      <c r="O26" s="14"/>
      <c r="P26" s="14"/>
      <c r="Q26" s="14"/>
      <c r="R26" s="14"/>
      <c r="S26" s="14"/>
      <c r="T26" s="14"/>
      <c r="U26" s="14"/>
      <c r="V26" s="14"/>
      <c r="W26" s="14"/>
      <c r="X26" s="14"/>
      <c r="Y26" s="14"/>
      <c r="Z26" s="14"/>
    </row>
    <row r="27" ht="22.5" customHeight="1">
      <c r="A27" s="212">
        <v>46062.0</v>
      </c>
      <c r="B27" s="15" t="s">
        <v>3903</v>
      </c>
      <c r="E27" s="213">
        <v>9.985800031E9</v>
      </c>
      <c r="F27" s="55" t="s">
        <v>96</v>
      </c>
      <c r="G27" s="9" t="s">
        <v>3904</v>
      </c>
      <c r="H27" s="61"/>
      <c r="J27" s="14"/>
      <c r="K27" s="14"/>
      <c r="L27" s="14"/>
      <c r="M27" s="14"/>
      <c r="N27" s="14"/>
      <c r="O27" s="14"/>
      <c r="P27" s="14"/>
      <c r="Q27" s="14"/>
      <c r="R27" s="14"/>
      <c r="S27" s="14"/>
      <c r="T27" s="14"/>
      <c r="U27" s="14"/>
      <c r="V27" s="14"/>
      <c r="W27" s="14"/>
      <c r="X27" s="14"/>
      <c r="Y27" s="14"/>
      <c r="Z27" s="14"/>
    </row>
    <row r="28" ht="22.5" customHeight="1">
      <c r="A28" s="212">
        <v>46062.0</v>
      </c>
      <c r="B28" s="15" t="s">
        <v>3905</v>
      </c>
      <c r="C28" s="15" t="s">
        <v>610</v>
      </c>
      <c r="D28" s="15" t="s">
        <v>1985</v>
      </c>
      <c r="E28" s="213">
        <v>7.077577025E9</v>
      </c>
      <c r="F28" s="55" t="s">
        <v>73</v>
      </c>
      <c r="G28" s="9" t="s">
        <v>3906</v>
      </c>
      <c r="H28" s="61"/>
      <c r="J28" s="14"/>
      <c r="K28" s="14"/>
      <c r="L28" s="14"/>
      <c r="M28" s="14"/>
      <c r="N28" s="14"/>
      <c r="O28" s="14"/>
      <c r="P28" s="14"/>
      <c r="Q28" s="14"/>
      <c r="R28" s="14"/>
      <c r="S28" s="14"/>
      <c r="T28" s="14"/>
      <c r="U28" s="14"/>
      <c r="V28" s="14"/>
      <c r="W28" s="14"/>
      <c r="X28" s="14"/>
      <c r="Y28" s="14"/>
      <c r="Z28" s="14"/>
    </row>
    <row r="29" ht="22.5" customHeight="1">
      <c r="A29" s="212">
        <v>46062.0</v>
      </c>
      <c r="B29" s="15" t="s">
        <v>3907</v>
      </c>
      <c r="E29" s="214"/>
      <c r="F29" s="55" t="s">
        <v>96</v>
      </c>
      <c r="G29" s="9" t="s">
        <v>3908</v>
      </c>
      <c r="H29" s="61"/>
      <c r="J29" s="14"/>
      <c r="K29" s="14"/>
      <c r="L29" s="14"/>
      <c r="M29" s="14"/>
      <c r="N29" s="14"/>
      <c r="O29" s="14"/>
      <c r="P29" s="14"/>
      <c r="Q29" s="14"/>
      <c r="R29" s="14"/>
      <c r="S29" s="14"/>
      <c r="T29" s="14"/>
      <c r="U29" s="14"/>
      <c r="V29" s="14"/>
      <c r="W29" s="14"/>
      <c r="X29" s="14"/>
      <c r="Y29" s="14"/>
      <c r="Z29" s="14"/>
    </row>
    <row r="30" ht="22.5" customHeight="1">
      <c r="A30" s="212">
        <v>46062.0</v>
      </c>
      <c r="B30" s="15" t="s">
        <v>3909</v>
      </c>
      <c r="C30" s="15" t="s">
        <v>1165</v>
      </c>
      <c r="E30" s="214"/>
      <c r="F30" s="55" t="s">
        <v>60</v>
      </c>
      <c r="G30" s="9" t="s">
        <v>3862</v>
      </c>
      <c r="H30" s="61"/>
      <c r="J30" s="14"/>
      <c r="K30" s="14"/>
      <c r="L30" s="14"/>
      <c r="M30" s="14"/>
      <c r="N30" s="14"/>
      <c r="O30" s="14"/>
      <c r="P30" s="14"/>
      <c r="Q30" s="14"/>
      <c r="R30" s="14"/>
      <c r="S30" s="14"/>
      <c r="T30" s="14"/>
      <c r="U30" s="14"/>
      <c r="V30" s="14"/>
      <c r="W30" s="14"/>
      <c r="X30" s="14"/>
      <c r="Y30" s="14"/>
      <c r="Z30" s="14"/>
    </row>
    <row r="31" ht="22.5" customHeight="1">
      <c r="A31" s="212">
        <v>46062.0</v>
      </c>
      <c r="B31" s="15" t="s">
        <v>3910</v>
      </c>
      <c r="E31" s="213">
        <v>8.886904546E9</v>
      </c>
      <c r="F31" s="55" t="s">
        <v>144</v>
      </c>
      <c r="G31" s="9" t="s">
        <v>3911</v>
      </c>
      <c r="H31" s="61"/>
      <c r="J31" s="14"/>
      <c r="K31" s="14"/>
      <c r="L31" s="14"/>
      <c r="M31" s="14"/>
      <c r="N31" s="14"/>
      <c r="O31" s="14"/>
      <c r="P31" s="14"/>
      <c r="Q31" s="14"/>
      <c r="R31" s="14"/>
      <c r="S31" s="14"/>
      <c r="T31" s="14"/>
      <c r="U31" s="14"/>
      <c r="V31" s="14"/>
      <c r="W31" s="14"/>
      <c r="X31" s="14"/>
      <c r="Y31" s="14"/>
      <c r="Z31" s="14"/>
    </row>
    <row r="32" ht="22.5" customHeight="1">
      <c r="A32" s="212">
        <v>46062.0</v>
      </c>
      <c r="B32" s="15" t="s">
        <v>3912</v>
      </c>
      <c r="E32" s="214"/>
      <c r="F32" s="55" t="s">
        <v>60</v>
      </c>
      <c r="G32" s="9" t="s">
        <v>3913</v>
      </c>
      <c r="H32" s="61"/>
      <c r="J32" s="14"/>
      <c r="K32" s="14"/>
      <c r="L32" s="14"/>
      <c r="M32" s="14"/>
      <c r="N32" s="14"/>
      <c r="O32" s="14"/>
      <c r="P32" s="14"/>
      <c r="Q32" s="14"/>
      <c r="R32" s="14"/>
      <c r="S32" s="14"/>
      <c r="T32" s="14"/>
      <c r="U32" s="14"/>
      <c r="V32" s="14"/>
      <c r="W32" s="14"/>
      <c r="X32" s="14"/>
      <c r="Y32" s="14"/>
      <c r="Z32" s="14"/>
    </row>
    <row r="33" ht="22.5" customHeight="1">
      <c r="A33" s="212">
        <v>46062.0</v>
      </c>
      <c r="B33" s="15" t="s">
        <v>3914</v>
      </c>
      <c r="E33" s="214"/>
      <c r="F33" s="55" t="s">
        <v>73</v>
      </c>
      <c r="G33" s="9" t="s">
        <v>3862</v>
      </c>
      <c r="H33" s="61"/>
      <c r="J33" s="14"/>
      <c r="K33" s="14"/>
      <c r="L33" s="14"/>
      <c r="M33" s="14"/>
      <c r="N33" s="14"/>
      <c r="O33" s="14"/>
      <c r="P33" s="14"/>
      <c r="Q33" s="14"/>
      <c r="R33" s="14"/>
      <c r="S33" s="14"/>
      <c r="T33" s="14"/>
      <c r="U33" s="14"/>
      <c r="V33" s="14"/>
      <c r="W33" s="14"/>
      <c r="X33" s="14"/>
      <c r="Y33" s="14"/>
      <c r="Z33" s="14"/>
    </row>
    <row r="34" ht="22.5" customHeight="1">
      <c r="A34" s="212">
        <v>46062.0</v>
      </c>
      <c r="B34" s="15" t="s">
        <v>3915</v>
      </c>
      <c r="C34" s="15" t="s">
        <v>203</v>
      </c>
      <c r="E34" s="213">
        <v>9.94925629E9</v>
      </c>
      <c r="F34" s="55" t="s">
        <v>3853</v>
      </c>
      <c r="G34" s="9" t="s">
        <v>3916</v>
      </c>
      <c r="H34" s="61"/>
      <c r="J34" s="14"/>
      <c r="K34" s="14"/>
      <c r="L34" s="14"/>
      <c r="M34" s="14"/>
      <c r="N34" s="14"/>
      <c r="O34" s="14"/>
      <c r="P34" s="14"/>
      <c r="Q34" s="14"/>
      <c r="R34" s="14"/>
      <c r="S34" s="14"/>
      <c r="T34" s="14"/>
      <c r="U34" s="14"/>
      <c r="V34" s="14"/>
      <c r="W34" s="14"/>
      <c r="X34" s="14"/>
      <c r="Y34" s="14"/>
      <c r="Z34" s="14"/>
    </row>
    <row r="35" ht="22.5" customHeight="1">
      <c r="A35" s="212">
        <v>46062.0</v>
      </c>
      <c r="B35" s="15" t="s">
        <v>620</v>
      </c>
      <c r="C35" s="15" t="s">
        <v>389</v>
      </c>
      <c r="E35" s="214"/>
      <c r="F35" s="55" t="s">
        <v>186</v>
      </c>
      <c r="G35" s="9" t="s">
        <v>3862</v>
      </c>
      <c r="H35" s="61"/>
      <c r="J35" s="14"/>
      <c r="K35" s="14"/>
      <c r="L35" s="14"/>
      <c r="M35" s="14"/>
      <c r="N35" s="14"/>
      <c r="O35" s="14"/>
      <c r="P35" s="14"/>
      <c r="Q35" s="14"/>
      <c r="R35" s="14"/>
      <c r="S35" s="14"/>
      <c r="T35" s="14"/>
      <c r="U35" s="14"/>
      <c r="V35" s="14"/>
      <c r="W35" s="14"/>
      <c r="X35" s="14"/>
      <c r="Y35" s="14"/>
      <c r="Z35" s="14"/>
    </row>
    <row r="36" ht="22.5" customHeight="1">
      <c r="A36" s="212">
        <v>46062.0</v>
      </c>
      <c r="B36" s="15" t="s">
        <v>3917</v>
      </c>
      <c r="C36" s="15" t="s">
        <v>389</v>
      </c>
      <c r="E36" s="214"/>
      <c r="F36" s="55" t="s">
        <v>186</v>
      </c>
      <c r="G36" s="9" t="s">
        <v>3862</v>
      </c>
      <c r="H36" s="61"/>
      <c r="J36" s="14"/>
      <c r="K36" s="14"/>
      <c r="L36" s="14"/>
      <c r="M36" s="14"/>
      <c r="N36" s="14"/>
      <c r="O36" s="14"/>
      <c r="P36" s="14"/>
      <c r="Q36" s="14"/>
      <c r="R36" s="14"/>
      <c r="S36" s="14"/>
      <c r="T36" s="14"/>
      <c r="U36" s="14"/>
      <c r="V36" s="14"/>
      <c r="W36" s="14"/>
      <c r="X36" s="14"/>
      <c r="Y36" s="14"/>
      <c r="Z36" s="14"/>
    </row>
    <row r="37" ht="22.5" customHeight="1">
      <c r="A37" s="212">
        <v>46062.0</v>
      </c>
      <c r="B37" s="15" t="s">
        <v>3918</v>
      </c>
      <c r="E37" s="214"/>
      <c r="F37" s="55" t="s">
        <v>200</v>
      </c>
      <c r="G37" s="9" t="s">
        <v>3919</v>
      </c>
      <c r="H37" s="61"/>
      <c r="J37" s="14"/>
      <c r="K37" s="14"/>
      <c r="L37" s="14"/>
      <c r="M37" s="14"/>
      <c r="N37" s="14"/>
      <c r="O37" s="14"/>
      <c r="P37" s="14"/>
      <c r="Q37" s="14"/>
      <c r="R37" s="14"/>
      <c r="S37" s="14"/>
      <c r="T37" s="14"/>
      <c r="U37" s="14"/>
      <c r="V37" s="14"/>
      <c r="W37" s="14"/>
      <c r="X37" s="14"/>
      <c r="Y37" s="14"/>
      <c r="Z37" s="14"/>
    </row>
    <row r="38" ht="22.5" customHeight="1">
      <c r="A38" s="212">
        <v>46062.0</v>
      </c>
      <c r="B38" s="15" t="s">
        <v>3920</v>
      </c>
      <c r="C38" s="15" t="s">
        <v>389</v>
      </c>
      <c r="E38" s="214"/>
      <c r="F38" s="55" t="s">
        <v>186</v>
      </c>
      <c r="G38" s="9" t="s">
        <v>3921</v>
      </c>
      <c r="H38" s="61"/>
      <c r="J38" s="14"/>
      <c r="K38" s="14"/>
      <c r="L38" s="14"/>
      <c r="M38" s="14"/>
      <c r="N38" s="14"/>
      <c r="O38" s="14"/>
      <c r="P38" s="14"/>
      <c r="Q38" s="14"/>
      <c r="R38" s="14"/>
      <c r="S38" s="14"/>
      <c r="T38" s="14"/>
      <c r="U38" s="14"/>
      <c r="V38" s="14"/>
      <c r="W38" s="14"/>
      <c r="X38" s="14"/>
      <c r="Y38" s="14"/>
      <c r="Z38" s="14"/>
    </row>
    <row r="39" ht="22.5" customHeight="1">
      <c r="A39" s="212">
        <v>46062.0</v>
      </c>
      <c r="B39" s="15" t="s">
        <v>3922</v>
      </c>
      <c r="C39" s="15" t="s">
        <v>203</v>
      </c>
      <c r="E39" s="214"/>
      <c r="F39" s="55" t="s">
        <v>3853</v>
      </c>
      <c r="G39" s="9" t="s">
        <v>3923</v>
      </c>
      <c r="H39" s="61"/>
      <c r="J39" s="14"/>
      <c r="K39" s="14"/>
      <c r="L39" s="14"/>
      <c r="M39" s="14"/>
      <c r="N39" s="14"/>
      <c r="O39" s="14"/>
      <c r="P39" s="14"/>
      <c r="Q39" s="14"/>
      <c r="R39" s="14"/>
      <c r="S39" s="14"/>
      <c r="T39" s="14"/>
      <c r="U39" s="14"/>
      <c r="V39" s="14"/>
      <c r="W39" s="14"/>
      <c r="X39" s="14"/>
      <c r="Y39" s="14"/>
      <c r="Z39" s="14"/>
    </row>
    <row r="40" ht="22.5" customHeight="1">
      <c r="A40" s="212">
        <v>46062.0</v>
      </c>
      <c r="B40" s="9" t="s">
        <v>3924</v>
      </c>
      <c r="C40" s="9" t="s">
        <v>203</v>
      </c>
      <c r="D40" s="14"/>
      <c r="E40" s="215"/>
      <c r="F40" s="8" t="s">
        <v>3853</v>
      </c>
      <c r="G40" s="9" t="s">
        <v>3925</v>
      </c>
      <c r="H40" s="61"/>
      <c r="J40" s="14"/>
      <c r="K40" s="14"/>
      <c r="L40" s="14"/>
      <c r="M40" s="14"/>
      <c r="N40" s="14"/>
      <c r="O40" s="14"/>
      <c r="P40" s="14"/>
      <c r="Q40" s="14"/>
      <c r="R40" s="14"/>
      <c r="S40" s="14"/>
      <c r="T40" s="14"/>
      <c r="U40" s="14"/>
      <c r="V40" s="14"/>
      <c r="W40" s="14"/>
      <c r="X40" s="14"/>
      <c r="Y40" s="14"/>
      <c r="Z40" s="14"/>
    </row>
    <row r="41" ht="22.5" customHeight="1">
      <c r="A41" s="212">
        <v>46062.0</v>
      </c>
      <c r="B41" s="9" t="s">
        <v>3926</v>
      </c>
      <c r="C41" s="9" t="s">
        <v>203</v>
      </c>
      <c r="D41" s="14"/>
      <c r="E41" s="215"/>
      <c r="F41" s="8" t="s">
        <v>3853</v>
      </c>
      <c r="G41" s="9" t="s">
        <v>3927</v>
      </c>
      <c r="H41" s="61"/>
      <c r="J41" s="14"/>
      <c r="K41" s="14"/>
      <c r="L41" s="14"/>
      <c r="M41" s="14"/>
      <c r="N41" s="14"/>
      <c r="O41" s="14"/>
      <c r="P41" s="14"/>
      <c r="Q41" s="14"/>
      <c r="R41" s="14"/>
      <c r="S41" s="14"/>
      <c r="T41" s="14"/>
      <c r="U41" s="14"/>
      <c r="V41" s="14"/>
      <c r="W41" s="14"/>
      <c r="X41" s="14"/>
      <c r="Y41" s="14"/>
      <c r="Z41" s="14"/>
    </row>
    <row r="42" ht="22.5" customHeight="1">
      <c r="A42" s="212">
        <v>46062.0</v>
      </c>
      <c r="B42" s="9" t="s">
        <v>3928</v>
      </c>
      <c r="C42" s="9"/>
      <c r="D42" s="14"/>
      <c r="E42" s="216">
        <v>9.908662728E9</v>
      </c>
      <c r="F42" s="8" t="s">
        <v>144</v>
      </c>
      <c r="G42" s="9" t="s">
        <v>3929</v>
      </c>
      <c r="H42" s="61"/>
      <c r="J42" s="14"/>
      <c r="K42" s="14"/>
      <c r="L42" s="14"/>
      <c r="M42" s="14"/>
      <c r="N42" s="14"/>
      <c r="O42" s="14"/>
      <c r="P42" s="14"/>
      <c r="Q42" s="14"/>
      <c r="R42" s="14"/>
      <c r="S42" s="14"/>
      <c r="T42" s="14"/>
      <c r="U42" s="14"/>
      <c r="V42" s="14"/>
      <c r="W42" s="14"/>
      <c r="X42" s="14"/>
      <c r="Y42" s="14"/>
      <c r="Z42" s="14"/>
    </row>
    <row r="43" ht="22.5" customHeight="1">
      <c r="A43" s="212">
        <v>46062.0</v>
      </c>
      <c r="B43" s="9" t="s">
        <v>3930</v>
      </c>
      <c r="C43" s="9"/>
      <c r="D43" s="9" t="s">
        <v>3931</v>
      </c>
      <c r="E43" s="216"/>
      <c r="F43" s="8" t="s">
        <v>248</v>
      </c>
      <c r="G43" s="9" t="s">
        <v>3881</v>
      </c>
      <c r="H43" s="61"/>
      <c r="J43" s="14"/>
      <c r="K43" s="14"/>
      <c r="L43" s="14"/>
      <c r="M43" s="14"/>
      <c r="N43" s="14"/>
      <c r="O43" s="14"/>
      <c r="P43" s="14"/>
      <c r="Q43" s="14"/>
      <c r="R43" s="14"/>
      <c r="S43" s="14"/>
      <c r="T43" s="14"/>
      <c r="U43" s="14"/>
      <c r="V43" s="14"/>
      <c r="W43" s="14"/>
      <c r="X43" s="14"/>
      <c r="Y43" s="14"/>
      <c r="Z43" s="14"/>
    </row>
    <row r="44" ht="22.5" customHeight="1">
      <c r="A44" s="212">
        <v>46062.0</v>
      </c>
      <c r="B44" s="9" t="s">
        <v>3932</v>
      </c>
      <c r="C44" s="9"/>
      <c r="D44" s="9"/>
      <c r="E44" s="216"/>
      <c r="F44" s="8" t="s">
        <v>96</v>
      </c>
      <c r="G44" s="9" t="s">
        <v>3862</v>
      </c>
      <c r="H44" s="61"/>
      <c r="J44" s="14"/>
      <c r="K44" s="14"/>
      <c r="L44" s="14"/>
      <c r="M44" s="14"/>
      <c r="N44" s="14"/>
      <c r="O44" s="14"/>
      <c r="P44" s="14"/>
      <c r="Q44" s="14"/>
      <c r="R44" s="14"/>
      <c r="S44" s="14"/>
      <c r="T44" s="14"/>
      <c r="U44" s="14"/>
      <c r="V44" s="14"/>
      <c r="W44" s="14"/>
      <c r="X44" s="14"/>
      <c r="Y44" s="14"/>
      <c r="Z44" s="14"/>
    </row>
    <row r="45" ht="22.5" customHeight="1">
      <c r="A45" s="212">
        <v>46062.0</v>
      </c>
      <c r="B45" s="9" t="s">
        <v>3933</v>
      </c>
      <c r="C45" s="9"/>
      <c r="D45" s="9"/>
      <c r="E45" s="216"/>
      <c r="F45" s="8" t="s">
        <v>96</v>
      </c>
      <c r="G45" s="9" t="s">
        <v>3862</v>
      </c>
      <c r="H45" s="61"/>
      <c r="J45" s="14"/>
      <c r="K45" s="14"/>
      <c r="L45" s="14"/>
      <c r="M45" s="14"/>
      <c r="N45" s="14"/>
      <c r="O45" s="14"/>
      <c r="P45" s="14"/>
      <c r="Q45" s="14"/>
      <c r="R45" s="14"/>
      <c r="S45" s="14"/>
      <c r="T45" s="14"/>
      <c r="U45" s="14"/>
      <c r="V45" s="14"/>
      <c r="W45" s="14"/>
      <c r="X45" s="14"/>
      <c r="Y45" s="14"/>
      <c r="Z45" s="14"/>
    </row>
    <row r="46" ht="22.5" customHeight="1">
      <c r="A46" s="212">
        <v>46062.0</v>
      </c>
      <c r="B46" s="9" t="s">
        <v>3934</v>
      </c>
      <c r="C46" s="9"/>
      <c r="D46" s="9"/>
      <c r="E46" s="216"/>
      <c r="F46" s="8" t="s">
        <v>96</v>
      </c>
      <c r="G46" s="9" t="s">
        <v>3862</v>
      </c>
      <c r="H46" s="61"/>
      <c r="J46" s="14"/>
      <c r="K46" s="14"/>
      <c r="L46" s="14"/>
      <c r="M46" s="14"/>
      <c r="N46" s="14"/>
      <c r="O46" s="14"/>
      <c r="P46" s="14"/>
      <c r="Q46" s="14"/>
      <c r="R46" s="14"/>
      <c r="S46" s="14"/>
      <c r="T46" s="14"/>
      <c r="U46" s="14"/>
      <c r="V46" s="14"/>
      <c r="W46" s="14"/>
      <c r="X46" s="14"/>
      <c r="Y46" s="14"/>
      <c r="Z46" s="14"/>
    </row>
    <row r="47" ht="22.5" customHeight="1">
      <c r="A47" s="212">
        <v>46062.0</v>
      </c>
      <c r="B47" s="9" t="s">
        <v>3935</v>
      </c>
      <c r="C47" s="9"/>
      <c r="D47" s="9"/>
      <c r="E47" s="216"/>
      <c r="F47" s="8" t="s">
        <v>200</v>
      </c>
      <c r="G47" s="9" t="s">
        <v>3862</v>
      </c>
      <c r="H47" s="61"/>
      <c r="J47" s="14"/>
      <c r="K47" s="14"/>
      <c r="L47" s="14"/>
      <c r="M47" s="14"/>
      <c r="N47" s="14"/>
      <c r="O47" s="14"/>
      <c r="P47" s="14"/>
      <c r="Q47" s="14"/>
      <c r="R47" s="14"/>
      <c r="S47" s="14"/>
      <c r="T47" s="14"/>
      <c r="U47" s="14"/>
      <c r="V47" s="14"/>
      <c r="W47" s="14"/>
      <c r="X47" s="14"/>
      <c r="Y47" s="14"/>
      <c r="Z47" s="14"/>
    </row>
    <row r="48" ht="22.5" customHeight="1">
      <c r="A48" s="212">
        <v>46062.0</v>
      </c>
      <c r="B48" s="9" t="s">
        <v>3936</v>
      </c>
      <c r="C48" s="9"/>
      <c r="D48" s="9"/>
      <c r="E48" s="216"/>
      <c r="F48" s="8" t="s">
        <v>200</v>
      </c>
      <c r="G48" s="9" t="s">
        <v>3862</v>
      </c>
      <c r="H48" s="61"/>
      <c r="J48" s="14"/>
      <c r="K48" s="14"/>
      <c r="L48" s="14"/>
      <c r="M48" s="14"/>
      <c r="N48" s="14"/>
      <c r="O48" s="14"/>
      <c r="P48" s="14"/>
      <c r="Q48" s="14"/>
      <c r="R48" s="14"/>
      <c r="S48" s="14"/>
      <c r="T48" s="14"/>
      <c r="U48" s="14"/>
      <c r="V48" s="14"/>
      <c r="W48" s="14"/>
      <c r="X48" s="14"/>
      <c r="Y48" s="14"/>
      <c r="Z48" s="14"/>
    </row>
    <row r="49" ht="22.5" customHeight="1">
      <c r="A49" s="212">
        <v>46062.0</v>
      </c>
      <c r="B49" s="9" t="s">
        <v>665</v>
      </c>
      <c r="C49" s="9"/>
      <c r="D49" s="9"/>
      <c r="E49" s="216"/>
      <c r="F49" s="8" t="s">
        <v>241</v>
      </c>
      <c r="G49" s="9" t="s">
        <v>3862</v>
      </c>
      <c r="H49" s="61"/>
      <c r="J49" s="14"/>
      <c r="K49" s="14"/>
      <c r="L49" s="14"/>
      <c r="M49" s="14"/>
      <c r="N49" s="14"/>
      <c r="O49" s="14"/>
      <c r="P49" s="14"/>
      <c r="Q49" s="14"/>
      <c r="R49" s="14"/>
      <c r="S49" s="14"/>
      <c r="T49" s="14"/>
      <c r="U49" s="14"/>
      <c r="V49" s="14"/>
      <c r="W49" s="14"/>
      <c r="X49" s="14"/>
      <c r="Y49" s="14"/>
      <c r="Z49" s="14"/>
    </row>
    <row r="50" ht="22.5" customHeight="1">
      <c r="A50" s="212">
        <v>46062.0</v>
      </c>
      <c r="B50" s="9" t="s">
        <v>3937</v>
      </c>
      <c r="C50" s="9"/>
      <c r="D50" s="9"/>
      <c r="E50" s="216"/>
      <c r="F50" s="8" t="s">
        <v>241</v>
      </c>
      <c r="G50" s="9" t="s">
        <v>3862</v>
      </c>
      <c r="H50" s="61"/>
      <c r="J50" s="14"/>
      <c r="K50" s="14"/>
      <c r="L50" s="14"/>
      <c r="M50" s="14"/>
      <c r="N50" s="14"/>
      <c r="O50" s="14"/>
      <c r="P50" s="14"/>
      <c r="Q50" s="14"/>
      <c r="R50" s="14"/>
      <c r="S50" s="14"/>
      <c r="T50" s="14"/>
      <c r="U50" s="14"/>
      <c r="V50" s="14"/>
      <c r="W50" s="14"/>
      <c r="X50" s="14"/>
      <c r="Y50" s="14"/>
      <c r="Z50" s="14"/>
    </row>
    <row r="51" ht="22.5" customHeight="1">
      <c r="A51" s="212">
        <v>46062.0</v>
      </c>
      <c r="B51" s="9" t="s">
        <v>3938</v>
      </c>
      <c r="C51" s="9"/>
      <c r="D51" s="9"/>
      <c r="E51" s="216"/>
      <c r="F51" s="8" t="s">
        <v>241</v>
      </c>
      <c r="G51" s="9" t="s">
        <v>3862</v>
      </c>
      <c r="H51" s="61"/>
      <c r="J51" s="14"/>
      <c r="K51" s="14"/>
      <c r="L51" s="14"/>
      <c r="M51" s="14"/>
      <c r="N51" s="14"/>
      <c r="O51" s="14"/>
      <c r="P51" s="14"/>
      <c r="Q51" s="14"/>
      <c r="R51" s="14"/>
      <c r="S51" s="14"/>
      <c r="T51" s="14"/>
      <c r="U51" s="14"/>
      <c r="V51" s="14"/>
      <c r="W51" s="14"/>
      <c r="X51" s="14"/>
      <c r="Y51" s="14"/>
      <c r="Z51" s="14"/>
    </row>
    <row r="52" ht="22.5" customHeight="1">
      <c r="A52" s="212">
        <v>46062.0</v>
      </c>
      <c r="B52" s="9" t="s">
        <v>3939</v>
      </c>
      <c r="C52" s="9"/>
      <c r="D52" s="9"/>
      <c r="E52" s="216"/>
      <c r="F52" s="8" t="s">
        <v>241</v>
      </c>
      <c r="G52" s="9" t="s">
        <v>3862</v>
      </c>
      <c r="H52" s="61"/>
      <c r="J52" s="14"/>
      <c r="K52" s="14"/>
      <c r="L52" s="14"/>
      <c r="M52" s="14"/>
      <c r="N52" s="14"/>
      <c r="O52" s="14"/>
      <c r="P52" s="14"/>
      <c r="Q52" s="14"/>
      <c r="R52" s="14"/>
      <c r="S52" s="14"/>
      <c r="T52" s="14"/>
      <c r="U52" s="14"/>
      <c r="V52" s="14"/>
      <c r="W52" s="14"/>
      <c r="X52" s="14"/>
      <c r="Y52" s="14"/>
      <c r="Z52" s="14"/>
    </row>
    <row r="53" ht="22.5" customHeight="1">
      <c r="A53" s="212">
        <v>46062.0</v>
      </c>
      <c r="B53" s="9" t="s">
        <v>3940</v>
      </c>
      <c r="C53" s="9"/>
      <c r="D53" s="9"/>
      <c r="E53" s="216"/>
      <c r="F53" s="8" t="s">
        <v>96</v>
      </c>
      <c r="G53" s="9" t="s">
        <v>3862</v>
      </c>
      <c r="H53" s="61"/>
      <c r="J53" s="14"/>
      <c r="K53" s="14"/>
      <c r="L53" s="14"/>
      <c r="M53" s="14"/>
      <c r="N53" s="14"/>
      <c r="O53" s="14"/>
      <c r="P53" s="14"/>
      <c r="Q53" s="14"/>
      <c r="R53" s="14"/>
      <c r="S53" s="14"/>
      <c r="T53" s="14"/>
      <c r="U53" s="14"/>
      <c r="V53" s="14"/>
      <c r="W53" s="14"/>
      <c r="X53" s="14"/>
      <c r="Y53" s="14"/>
      <c r="Z53" s="14"/>
    </row>
    <row r="54" ht="22.5" customHeight="1">
      <c r="A54" s="212">
        <v>46062.0</v>
      </c>
      <c r="B54" s="9" t="s">
        <v>3941</v>
      </c>
      <c r="C54" s="9"/>
      <c r="D54" s="9" t="s">
        <v>765</v>
      </c>
      <c r="E54" s="216"/>
      <c r="F54" s="8" t="s">
        <v>248</v>
      </c>
      <c r="G54" s="9" t="s">
        <v>3942</v>
      </c>
      <c r="H54" s="61"/>
      <c r="J54" s="14"/>
      <c r="K54" s="14"/>
      <c r="L54" s="14"/>
      <c r="M54" s="14"/>
      <c r="N54" s="14"/>
      <c r="O54" s="14"/>
      <c r="P54" s="14"/>
      <c r="Q54" s="14"/>
      <c r="R54" s="14"/>
      <c r="S54" s="14"/>
      <c r="T54" s="14"/>
      <c r="U54" s="14"/>
      <c r="V54" s="14"/>
      <c r="W54" s="14"/>
      <c r="X54" s="14"/>
      <c r="Y54" s="14"/>
      <c r="Z54" s="14"/>
    </row>
    <row r="55" ht="22.5" customHeight="1">
      <c r="A55" s="212">
        <v>46062.0</v>
      </c>
      <c r="B55" s="9" t="s">
        <v>3943</v>
      </c>
      <c r="C55" s="9"/>
      <c r="D55" s="9" t="s">
        <v>585</v>
      </c>
      <c r="E55" s="216">
        <v>9.676945646E9</v>
      </c>
      <c r="F55" s="8" t="s">
        <v>144</v>
      </c>
      <c r="G55" s="9" t="s">
        <v>3862</v>
      </c>
      <c r="H55" s="61"/>
      <c r="J55" s="14"/>
      <c r="K55" s="14"/>
      <c r="L55" s="14"/>
      <c r="M55" s="14"/>
      <c r="N55" s="14"/>
      <c r="O55" s="14"/>
      <c r="P55" s="14"/>
      <c r="Q55" s="14"/>
      <c r="R55" s="14"/>
      <c r="S55" s="14"/>
      <c r="T55" s="14"/>
      <c r="U55" s="14"/>
      <c r="V55" s="14"/>
      <c r="W55" s="14"/>
      <c r="X55" s="14"/>
      <c r="Y55" s="14"/>
      <c r="Z55" s="14"/>
    </row>
    <row r="56" ht="22.5" customHeight="1">
      <c r="A56" s="212">
        <v>46062.0</v>
      </c>
      <c r="B56" s="9" t="s">
        <v>3944</v>
      </c>
      <c r="C56" s="9"/>
      <c r="D56" s="9" t="s">
        <v>3945</v>
      </c>
      <c r="E56" s="216">
        <v>6.281845369E9</v>
      </c>
      <c r="F56" s="8" t="s">
        <v>248</v>
      </c>
      <c r="G56" s="9" t="s">
        <v>3946</v>
      </c>
      <c r="H56" s="61"/>
      <c r="J56" s="14"/>
      <c r="K56" s="14"/>
      <c r="L56" s="14"/>
      <c r="M56" s="14"/>
      <c r="N56" s="14"/>
      <c r="O56" s="14"/>
      <c r="P56" s="14"/>
      <c r="Q56" s="14"/>
      <c r="R56" s="14"/>
      <c r="S56" s="14"/>
      <c r="T56" s="14"/>
      <c r="U56" s="14"/>
      <c r="V56" s="14"/>
      <c r="W56" s="14"/>
      <c r="X56" s="14"/>
      <c r="Y56" s="14"/>
      <c r="Z56" s="14"/>
    </row>
    <row r="57" ht="22.5" customHeight="1">
      <c r="A57" s="212">
        <v>46062.0</v>
      </c>
      <c r="B57" s="9" t="s">
        <v>3947</v>
      </c>
      <c r="C57" s="9"/>
      <c r="D57" s="9" t="s">
        <v>765</v>
      </c>
      <c r="E57" s="216">
        <v>9.849108337E9</v>
      </c>
      <c r="F57" s="8" t="s">
        <v>248</v>
      </c>
      <c r="G57" s="9" t="s">
        <v>3948</v>
      </c>
      <c r="H57" s="61"/>
      <c r="J57" s="14"/>
      <c r="K57" s="14"/>
      <c r="L57" s="14"/>
      <c r="M57" s="14"/>
      <c r="N57" s="14"/>
      <c r="O57" s="14"/>
      <c r="P57" s="14"/>
      <c r="Q57" s="14"/>
      <c r="R57" s="14"/>
      <c r="S57" s="14"/>
      <c r="T57" s="14"/>
      <c r="U57" s="14"/>
      <c r="V57" s="14"/>
      <c r="W57" s="14"/>
      <c r="X57" s="14"/>
      <c r="Y57" s="14"/>
      <c r="Z57" s="14"/>
    </row>
    <row r="58" ht="22.5" customHeight="1">
      <c r="A58" s="217">
        <v>46063.0</v>
      </c>
      <c r="B58" s="218" t="s">
        <v>3949</v>
      </c>
      <c r="C58" s="218" t="s">
        <v>64</v>
      </c>
      <c r="D58" s="219" t="s">
        <v>3950</v>
      </c>
      <c r="E58" s="220">
        <v>6.30252957E9</v>
      </c>
      <c r="F58" s="221" t="s">
        <v>248</v>
      </c>
      <c r="G58" s="218" t="s">
        <v>3951</v>
      </c>
      <c r="H58" s="61"/>
      <c r="J58" s="14"/>
      <c r="K58" s="14"/>
      <c r="L58" s="14"/>
      <c r="M58" s="14"/>
      <c r="N58" s="14"/>
      <c r="O58" s="14"/>
      <c r="P58" s="14"/>
      <c r="Q58" s="14"/>
      <c r="R58" s="14"/>
      <c r="S58" s="14"/>
      <c r="T58" s="14"/>
      <c r="U58" s="14"/>
      <c r="V58" s="14"/>
      <c r="W58" s="14"/>
      <c r="X58" s="14"/>
      <c r="Y58" s="14"/>
      <c r="Z58" s="14"/>
    </row>
    <row r="59" ht="22.5" customHeight="1">
      <c r="A59" s="217">
        <v>46063.0</v>
      </c>
      <c r="B59" s="218" t="s">
        <v>3952</v>
      </c>
      <c r="C59" s="218" t="s">
        <v>3953</v>
      </c>
      <c r="D59" s="219" t="s">
        <v>3954</v>
      </c>
      <c r="E59" s="220"/>
      <c r="F59" s="221" t="s">
        <v>241</v>
      </c>
      <c r="G59" s="218" t="s">
        <v>3955</v>
      </c>
      <c r="H59" s="61"/>
      <c r="J59" s="14"/>
      <c r="K59" s="14"/>
      <c r="L59" s="14"/>
      <c r="M59" s="14"/>
      <c r="N59" s="14"/>
      <c r="O59" s="14"/>
      <c r="P59" s="14"/>
      <c r="Q59" s="14"/>
      <c r="R59" s="14"/>
      <c r="S59" s="14"/>
      <c r="T59" s="14"/>
      <c r="U59" s="14"/>
      <c r="V59" s="14"/>
      <c r="W59" s="14"/>
      <c r="X59" s="14"/>
      <c r="Y59" s="14"/>
      <c r="Z59" s="14"/>
    </row>
    <row r="60" ht="22.5" customHeight="1">
      <c r="A60" s="217">
        <v>46063.0</v>
      </c>
      <c r="B60" s="218" t="s">
        <v>3956</v>
      </c>
      <c r="C60" s="218"/>
      <c r="D60" s="219"/>
      <c r="E60" s="220"/>
      <c r="F60" s="221" t="s">
        <v>144</v>
      </c>
      <c r="G60" s="218" t="s">
        <v>3957</v>
      </c>
      <c r="H60" s="61"/>
      <c r="J60" s="14"/>
      <c r="K60" s="14"/>
      <c r="L60" s="14"/>
      <c r="M60" s="14"/>
      <c r="N60" s="14"/>
      <c r="O60" s="14"/>
      <c r="P60" s="14"/>
      <c r="Q60" s="14"/>
      <c r="R60" s="14"/>
      <c r="S60" s="14"/>
      <c r="T60" s="14"/>
      <c r="U60" s="14"/>
      <c r="V60" s="14"/>
      <c r="W60" s="14"/>
      <c r="X60" s="14"/>
      <c r="Y60" s="14"/>
      <c r="Z60" s="14"/>
    </row>
    <row r="61" ht="22.5" customHeight="1">
      <c r="A61" s="217">
        <v>46063.0</v>
      </c>
      <c r="B61" s="218" t="s">
        <v>3958</v>
      </c>
      <c r="C61" s="218"/>
      <c r="D61" s="219" t="s">
        <v>3959</v>
      </c>
      <c r="E61" s="220"/>
      <c r="F61" s="221" t="s">
        <v>200</v>
      </c>
      <c r="G61" s="218" t="s">
        <v>3960</v>
      </c>
      <c r="H61" s="61"/>
      <c r="J61" s="14"/>
      <c r="K61" s="14"/>
      <c r="L61" s="14"/>
      <c r="M61" s="14"/>
      <c r="N61" s="14"/>
      <c r="O61" s="14"/>
      <c r="P61" s="14"/>
      <c r="Q61" s="14"/>
      <c r="R61" s="14"/>
      <c r="S61" s="14"/>
      <c r="T61" s="14"/>
      <c r="U61" s="14"/>
      <c r="V61" s="14"/>
      <c r="W61" s="14"/>
      <c r="X61" s="14"/>
      <c r="Y61" s="14"/>
      <c r="Z61" s="14"/>
    </row>
    <row r="62" ht="22.5" customHeight="1">
      <c r="A62" s="217">
        <v>46063.0</v>
      </c>
      <c r="B62" s="218" t="s">
        <v>3961</v>
      </c>
      <c r="C62" s="218"/>
      <c r="D62" s="219" t="s">
        <v>3959</v>
      </c>
      <c r="E62" s="220"/>
      <c r="F62" s="221" t="s">
        <v>200</v>
      </c>
      <c r="G62" s="218" t="s">
        <v>3960</v>
      </c>
      <c r="H62" s="61"/>
      <c r="J62" s="14"/>
      <c r="K62" s="14"/>
      <c r="L62" s="14"/>
      <c r="M62" s="14"/>
      <c r="N62" s="14"/>
      <c r="O62" s="14"/>
      <c r="P62" s="14"/>
      <c r="Q62" s="14"/>
      <c r="R62" s="14"/>
      <c r="S62" s="14"/>
      <c r="T62" s="14"/>
      <c r="U62" s="14"/>
      <c r="V62" s="14"/>
      <c r="W62" s="14"/>
      <c r="X62" s="14"/>
      <c r="Y62" s="14"/>
      <c r="Z62" s="14"/>
    </row>
    <row r="63" ht="22.5" customHeight="1">
      <c r="A63" s="217">
        <v>46063.0</v>
      </c>
      <c r="B63" s="218" t="s">
        <v>3962</v>
      </c>
      <c r="C63" s="218"/>
      <c r="D63" s="219" t="s">
        <v>3959</v>
      </c>
      <c r="E63" s="220"/>
      <c r="F63" s="221" t="s">
        <v>200</v>
      </c>
      <c r="G63" s="218" t="s">
        <v>3960</v>
      </c>
      <c r="H63" s="61"/>
      <c r="J63" s="14"/>
      <c r="K63" s="14"/>
      <c r="L63" s="14"/>
      <c r="M63" s="14"/>
      <c r="N63" s="14"/>
      <c r="O63" s="14"/>
      <c r="P63" s="14"/>
      <c r="Q63" s="14"/>
      <c r="R63" s="14"/>
      <c r="S63" s="14"/>
      <c r="T63" s="14"/>
      <c r="U63" s="14"/>
      <c r="V63" s="14"/>
      <c r="W63" s="14"/>
      <c r="X63" s="14"/>
      <c r="Y63" s="14"/>
      <c r="Z63" s="14"/>
    </row>
    <row r="64" ht="22.5" customHeight="1">
      <c r="A64" s="217">
        <v>46063.0</v>
      </c>
      <c r="B64" s="218" t="s">
        <v>3963</v>
      </c>
      <c r="C64" s="218" t="s">
        <v>64</v>
      </c>
      <c r="D64" s="219" t="s">
        <v>3964</v>
      </c>
      <c r="E64" s="220">
        <v>6.303246535E9</v>
      </c>
      <c r="F64" s="221" t="s">
        <v>248</v>
      </c>
      <c r="G64" s="218" t="s">
        <v>3965</v>
      </c>
      <c r="H64" s="61"/>
      <c r="J64" s="14"/>
      <c r="K64" s="14"/>
      <c r="L64" s="14"/>
      <c r="M64" s="14"/>
      <c r="N64" s="14"/>
      <c r="O64" s="14"/>
      <c r="P64" s="14"/>
      <c r="Q64" s="14"/>
      <c r="R64" s="14"/>
      <c r="S64" s="14"/>
      <c r="T64" s="14"/>
      <c r="U64" s="14"/>
      <c r="V64" s="14"/>
      <c r="W64" s="14"/>
      <c r="X64" s="14"/>
      <c r="Y64" s="14"/>
      <c r="Z64" s="14"/>
    </row>
    <row r="65" ht="22.5" customHeight="1">
      <c r="A65" s="217">
        <v>46063.0</v>
      </c>
      <c r="B65" s="218" t="s">
        <v>3966</v>
      </c>
      <c r="C65" s="218"/>
      <c r="D65" s="219" t="s">
        <v>3967</v>
      </c>
      <c r="E65" s="220">
        <v>8.985607723E9</v>
      </c>
      <c r="F65" s="221" t="s">
        <v>73</v>
      </c>
      <c r="G65" s="218" t="s">
        <v>3968</v>
      </c>
      <c r="H65" s="61"/>
      <c r="J65" s="14"/>
      <c r="K65" s="14"/>
      <c r="L65" s="14"/>
      <c r="M65" s="14"/>
      <c r="N65" s="14"/>
      <c r="O65" s="14"/>
      <c r="P65" s="14"/>
      <c r="Q65" s="14"/>
      <c r="R65" s="14"/>
      <c r="S65" s="14"/>
      <c r="T65" s="14"/>
      <c r="U65" s="14"/>
      <c r="V65" s="14"/>
      <c r="W65" s="14"/>
      <c r="X65" s="14"/>
      <c r="Y65" s="14"/>
      <c r="Z65" s="14"/>
    </row>
    <row r="66" ht="22.5" customHeight="1">
      <c r="A66" s="217">
        <v>46063.0</v>
      </c>
      <c r="B66" s="218" t="s">
        <v>3969</v>
      </c>
      <c r="C66" s="218"/>
      <c r="D66" s="219" t="s">
        <v>2104</v>
      </c>
      <c r="E66" s="220">
        <v>9.398881323E9</v>
      </c>
      <c r="F66" s="221" t="s">
        <v>241</v>
      </c>
      <c r="G66" s="218" t="s">
        <v>3970</v>
      </c>
      <c r="H66" s="61"/>
      <c r="J66" s="14"/>
      <c r="K66" s="14"/>
      <c r="L66" s="14"/>
      <c r="M66" s="14"/>
      <c r="N66" s="14"/>
      <c r="O66" s="14"/>
      <c r="P66" s="14"/>
      <c r="Q66" s="14"/>
      <c r="R66" s="14"/>
      <c r="S66" s="14"/>
      <c r="T66" s="14"/>
      <c r="U66" s="14"/>
      <c r="V66" s="14"/>
      <c r="W66" s="14"/>
      <c r="X66" s="14"/>
      <c r="Y66" s="14"/>
      <c r="Z66" s="14"/>
    </row>
    <row r="67" ht="22.5" customHeight="1">
      <c r="A67" s="217">
        <v>46063.0</v>
      </c>
      <c r="B67" s="218" t="s">
        <v>3971</v>
      </c>
      <c r="C67" s="218"/>
      <c r="D67" s="219" t="s">
        <v>3972</v>
      </c>
      <c r="E67" s="220">
        <v>9.493932004E9</v>
      </c>
      <c r="F67" s="221" t="s">
        <v>73</v>
      </c>
      <c r="G67" s="218" t="s">
        <v>3973</v>
      </c>
      <c r="H67" s="61"/>
      <c r="J67" s="14"/>
      <c r="K67" s="14"/>
      <c r="L67" s="14"/>
      <c r="M67" s="14"/>
      <c r="N67" s="14"/>
      <c r="O67" s="14"/>
      <c r="P67" s="14"/>
      <c r="Q67" s="14"/>
      <c r="R67" s="14"/>
      <c r="S67" s="14"/>
      <c r="T67" s="14"/>
      <c r="U67" s="14"/>
      <c r="V67" s="14"/>
      <c r="W67" s="14"/>
      <c r="X67" s="14"/>
      <c r="Y67" s="14"/>
      <c r="Z67" s="14"/>
    </row>
    <row r="68" ht="22.5" customHeight="1">
      <c r="A68" s="217">
        <v>46063.0</v>
      </c>
      <c r="B68" s="218" t="s">
        <v>3974</v>
      </c>
      <c r="C68" s="218"/>
      <c r="D68" s="219" t="s">
        <v>3975</v>
      </c>
      <c r="E68" s="220">
        <v>8.885294412E9</v>
      </c>
      <c r="F68" s="221" t="s">
        <v>45</v>
      </c>
      <c r="G68" s="218" t="s">
        <v>3976</v>
      </c>
      <c r="H68" s="61"/>
      <c r="J68" s="14"/>
      <c r="K68" s="14"/>
      <c r="L68" s="14"/>
      <c r="M68" s="14"/>
      <c r="N68" s="14"/>
      <c r="O68" s="14"/>
      <c r="P68" s="14"/>
      <c r="Q68" s="14"/>
      <c r="R68" s="14"/>
      <c r="S68" s="14"/>
      <c r="T68" s="14"/>
      <c r="U68" s="14"/>
      <c r="V68" s="14"/>
      <c r="W68" s="14"/>
      <c r="X68" s="14"/>
      <c r="Y68" s="14"/>
      <c r="Z68" s="14"/>
    </row>
    <row r="69" ht="22.5" customHeight="1">
      <c r="A69" s="217">
        <v>46063.0</v>
      </c>
      <c r="B69" s="218" t="s">
        <v>3977</v>
      </c>
      <c r="C69" s="218" t="s">
        <v>203</v>
      </c>
      <c r="D69" s="219"/>
      <c r="E69" s="220"/>
      <c r="F69" s="221" t="s">
        <v>3853</v>
      </c>
      <c r="G69" s="218" t="s">
        <v>3978</v>
      </c>
      <c r="H69" s="61"/>
      <c r="J69" s="14"/>
      <c r="K69" s="14"/>
      <c r="L69" s="14"/>
      <c r="M69" s="14"/>
      <c r="N69" s="14"/>
      <c r="O69" s="14"/>
      <c r="P69" s="14"/>
      <c r="Q69" s="14"/>
      <c r="R69" s="14"/>
      <c r="S69" s="14"/>
      <c r="T69" s="14"/>
      <c r="U69" s="14"/>
      <c r="V69" s="14"/>
      <c r="W69" s="14"/>
      <c r="X69" s="14"/>
      <c r="Y69" s="14"/>
      <c r="Z69" s="14"/>
    </row>
    <row r="70" ht="22.5" customHeight="1">
      <c r="A70" s="217">
        <v>46063.0</v>
      </c>
      <c r="B70" s="218" t="s">
        <v>3979</v>
      </c>
      <c r="C70" s="218" t="s">
        <v>203</v>
      </c>
      <c r="D70" s="219" t="s">
        <v>3980</v>
      </c>
      <c r="E70" s="220">
        <v>9.381887842E9</v>
      </c>
      <c r="F70" s="221" t="s">
        <v>3853</v>
      </c>
      <c r="G70" s="218" t="s">
        <v>3981</v>
      </c>
      <c r="H70" s="61"/>
      <c r="J70" s="14"/>
      <c r="K70" s="14"/>
      <c r="L70" s="14"/>
      <c r="M70" s="14"/>
      <c r="N70" s="14"/>
      <c r="O70" s="14"/>
      <c r="P70" s="14"/>
      <c r="Q70" s="14"/>
      <c r="R70" s="14"/>
      <c r="S70" s="14"/>
      <c r="T70" s="14"/>
      <c r="U70" s="14"/>
      <c r="V70" s="14"/>
      <c r="W70" s="14"/>
      <c r="X70" s="14"/>
      <c r="Y70" s="14"/>
      <c r="Z70" s="14"/>
    </row>
    <row r="71" ht="22.5" customHeight="1">
      <c r="A71" s="217">
        <v>46063.0</v>
      </c>
      <c r="B71" s="218" t="s">
        <v>3982</v>
      </c>
      <c r="C71" s="218"/>
      <c r="D71" s="219" t="s">
        <v>1180</v>
      </c>
      <c r="E71" s="220">
        <v>9.045779674E9</v>
      </c>
      <c r="F71" s="221" t="s">
        <v>144</v>
      </c>
      <c r="G71" s="218" t="s">
        <v>3983</v>
      </c>
      <c r="H71" s="61"/>
      <c r="J71" s="14"/>
      <c r="K71" s="14"/>
      <c r="L71" s="14"/>
      <c r="M71" s="14"/>
      <c r="N71" s="14"/>
      <c r="O71" s="14"/>
      <c r="P71" s="14"/>
      <c r="Q71" s="14"/>
      <c r="R71" s="14"/>
      <c r="S71" s="14"/>
      <c r="T71" s="14"/>
      <c r="U71" s="14"/>
      <c r="V71" s="14"/>
      <c r="W71" s="14"/>
      <c r="X71" s="14"/>
      <c r="Y71" s="14"/>
      <c r="Z71" s="14"/>
    </row>
    <row r="72" ht="22.5" customHeight="1">
      <c r="A72" s="217">
        <v>46063.0</v>
      </c>
      <c r="B72" s="218" t="s">
        <v>3984</v>
      </c>
      <c r="C72" s="218"/>
      <c r="D72" s="219" t="s">
        <v>3985</v>
      </c>
      <c r="E72" s="220">
        <v>6.300797895E9</v>
      </c>
      <c r="F72" s="221" t="s">
        <v>96</v>
      </c>
      <c r="G72" s="218" t="s">
        <v>3986</v>
      </c>
      <c r="H72" s="61"/>
      <c r="J72" s="14"/>
      <c r="K72" s="14"/>
      <c r="L72" s="14"/>
      <c r="M72" s="14"/>
      <c r="N72" s="14"/>
      <c r="O72" s="14"/>
      <c r="P72" s="14"/>
      <c r="Q72" s="14"/>
      <c r="R72" s="14"/>
      <c r="S72" s="14"/>
      <c r="T72" s="14"/>
      <c r="U72" s="14"/>
      <c r="V72" s="14"/>
      <c r="W72" s="14"/>
      <c r="X72" s="14"/>
      <c r="Y72" s="14"/>
      <c r="Z72" s="14"/>
    </row>
    <row r="73" ht="22.5" customHeight="1">
      <c r="A73" s="217">
        <v>46063.0</v>
      </c>
      <c r="B73" s="218" t="s">
        <v>3987</v>
      </c>
      <c r="C73" s="218" t="s">
        <v>203</v>
      </c>
      <c r="D73" s="219"/>
      <c r="E73" s="220">
        <v>9.014249702E9</v>
      </c>
      <c r="F73" s="221" t="s">
        <v>3853</v>
      </c>
      <c r="G73" s="218" t="s">
        <v>3988</v>
      </c>
      <c r="H73" s="61"/>
      <c r="J73" s="14"/>
      <c r="K73" s="14"/>
      <c r="L73" s="14"/>
      <c r="M73" s="14"/>
      <c r="N73" s="14"/>
      <c r="O73" s="14"/>
      <c r="P73" s="14"/>
      <c r="Q73" s="14"/>
      <c r="R73" s="14"/>
      <c r="S73" s="14"/>
      <c r="T73" s="14"/>
      <c r="U73" s="14"/>
      <c r="V73" s="14"/>
      <c r="W73" s="14"/>
      <c r="X73" s="14"/>
      <c r="Y73" s="14"/>
      <c r="Z73" s="14"/>
    </row>
    <row r="74" ht="22.5" customHeight="1">
      <c r="A74" s="217">
        <v>46063.0</v>
      </c>
      <c r="B74" s="218" t="s">
        <v>3989</v>
      </c>
      <c r="C74" s="218" t="s">
        <v>203</v>
      </c>
      <c r="D74" s="219"/>
      <c r="E74" s="220"/>
      <c r="F74" s="221" t="s">
        <v>3853</v>
      </c>
      <c r="G74" s="218" t="s">
        <v>3990</v>
      </c>
      <c r="H74" s="61"/>
      <c r="J74" s="14"/>
      <c r="K74" s="14"/>
      <c r="L74" s="14"/>
      <c r="M74" s="14"/>
      <c r="N74" s="14"/>
      <c r="O74" s="14"/>
      <c r="P74" s="14"/>
      <c r="Q74" s="14"/>
      <c r="R74" s="14"/>
      <c r="S74" s="14"/>
      <c r="T74" s="14"/>
      <c r="U74" s="14"/>
      <c r="V74" s="14"/>
      <c r="W74" s="14"/>
      <c r="X74" s="14"/>
      <c r="Y74" s="14"/>
      <c r="Z74" s="14"/>
    </row>
    <row r="75" ht="22.5" customHeight="1">
      <c r="A75" s="217">
        <v>46063.0</v>
      </c>
      <c r="B75" s="218" t="s">
        <v>3991</v>
      </c>
      <c r="C75" s="218"/>
      <c r="D75" s="219" t="s">
        <v>3992</v>
      </c>
      <c r="E75" s="220">
        <v>9.032515133E9</v>
      </c>
      <c r="F75" s="221" t="s">
        <v>73</v>
      </c>
      <c r="G75" s="218" t="s">
        <v>3993</v>
      </c>
      <c r="H75" s="61"/>
      <c r="J75" s="14"/>
      <c r="K75" s="14"/>
      <c r="L75" s="14"/>
      <c r="M75" s="14"/>
      <c r="N75" s="14"/>
      <c r="O75" s="14"/>
      <c r="P75" s="14"/>
      <c r="Q75" s="14"/>
      <c r="R75" s="14"/>
      <c r="S75" s="14"/>
      <c r="T75" s="14"/>
      <c r="U75" s="14"/>
      <c r="V75" s="14"/>
      <c r="W75" s="14"/>
      <c r="X75" s="14"/>
      <c r="Y75" s="14"/>
      <c r="Z75" s="14"/>
    </row>
    <row r="76" ht="22.5" customHeight="1">
      <c r="A76" s="217">
        <v>46063.0</v>
      </c>
      <c r="B76" s="218" t="s">
        <v>3994</v>
      </c>
      <c r="C76" s="218"/>
      <c r="D76" s="219" t="s">
        <v>3995</v>
      </c>
      <c r="E76" s="220">
        <v>7.739656963E9</v>
      </c>
      <c r="F76" s="221" t="s">
        <v>241</v>
      </c>
      <c r="G76" s="218" t="s">
        <v>3996</v>
      </c>
      <c r="H76" s="61"/>
      <c r="J76" s="14"/>
      <c r="K76" s="14"/>
      <c r="L76" s="14"/>
      <c r="M76" s="14"/>
      <c r="N76" s="14"/>
      <c r="O76" s="14"/>
      <c r="P76" s="14"/>
      <c r="Q76" s="14"/>
      <c r="R76" s="14"/>
      <c r="S76" s="14"/>
      <c r="T76" s="14"/>
      <c r="U76" s="14"/>
      <c r="V76" s="14"/>
      <c r="W76" s="14"/>
      <c r="X76" s="14"/>
      <c r="Y76" s="14"/>
      <c r="Z76" s="14"/>
    </row>
    <row r="77" ht="22.5" customHeight="1">
      <c r="A77" s="217">
        <v>46063.0</v>
      </c>
      <c r="B77" s="218" t="s">
        <v>3997</v>
      </c>
      <c r="C77" s="218"/>
      <c r="D77" s="219" t="s">
        <v>3998</v>
      </c>
      <c r="E77" s="220">
        <v>8.985909898E9</v>
      </c>
      <c r="F77" s="221" t="s">
        <v>144</v>
      </c>
      <c r="G77" s="218" t="s">
        <v>3999</v>
      </c>
      <c r="H77" s="61"/>
      <c r="J77" s="14"/>
      <c r="K77" s="14"/>
      <c r="L77" s="14"/>
      <c r="M77" s="14"/>
      <c r="N77" s="14"/>
      <c r="O77" s="14"/>
      <c r="P77" s="14"/>
      <c r="Q77" s="14"/>
      <c r="R77" s="14"/>
      <c r="S77" s="14"/>
      <c r="T77" s="14"/>
      <c r="U77" s="14"/>
      <c r="V77" s="14"/>
      <c r="W77" s="14"/>
      <c r="X77" s="14"/>
      <c r="Y77" s="14"/>
      <c r="Z77" s="14"/>
    </row>
    <row r="78" ht="22.5" customHeight="1">
      <c r="A78" s="217">
        <v>46063.0</v>
      </c>
      <c r="B78" s="218" t="s">
        <v>4000</v>
      </c>
      <c r="C78" s="218" t="s">
        <v>203</v>
      </c>
      <c r="D78" s="219"/>
      <c r="E78" s="220">
        <v>9.951122214E9</v>
      </c>
      <c r="F78" s="221" t="s">
        <v>3853</v>
      </c>
      <c r="G78" s="218" t="s">
        <v>4001</v>
      </c>
      <c r="H78" s="61"/>
      <c r="J78" s="14"/>
      <c r="K78" s="14"/>
      <c r="L78" s="14"/>
      <c r="M78" s="14"/>
      <c r="N78" s="14"/>
      <c r="O78" s="14"/>
      <c r="P78" s="14"/>
      <c r="Q78" s="14"/>
      <c r="R78" s="14"/>
      <c r="S78" s="14"/>
      <c r="T78" s="14"/>
      <c r="U78" s="14"/>
      <c r="V78" s="14"/>
      <c r="W78" s="14"/>
      <c r="X78" s="14"/>
      <c r="Y78" s="14"/>
      <c r="Z78" s="14"/>
    </row>
    <row r="79" ht="22.5" customHeight="1">
      <c r="A79" s="217">
        <v>46063.0</v>
      </c>
      <c r="B79" s="218" t="s">
        <v>4002</v>
      </c>
      <c r="C79" s="218"/>
      <c r="D79" s="219" t="s">
        <v>4003</v>
      </c>
      <c r="E79" s="220"/>
      <c r="F79" s="221" t="s">
        <v>45</v>
      </c>
      <c r="G79" s="218" t="s">
        <v>4004</v>
      </c>
      <c r="H79" s="61"/>
      <c r="J79" s="14"/>
      <c r="K79" s="14"/>
      <c r="L79" s="14"/>
      <c r="M79" s="14"/>
      <c r="N79" s="14"/>
      <c r="O79" s="14"/>
      <c r="P79" s="14"/>
      <c r="Q79" s="14"/>
      <c r="R79" s="14"/>
      <c r="S79" s="14"/>
      <c r="T79" s="14"/>
      <c r="U79" s="14"/>
      <c r="V79" s="14"/>
      <c r="W79" s="14"/>
      <c r="X79" s="14"/>
      <c r="Y79" s="14"/>
      <c r="Z79" s="14"/>
    </row>
    <row r="80" ht="22.5" customHeight="1">
      <c r="A80" s="217">
        <v>46063.0</v>
      </c>
      <c r="B80" s="218" t="s">
        <v>4005</v>
      </c>
      <c r="C80" s="218" t="s">
        <v>2522</v>
      </c>
      <c r="D80" s="219" t="s">
        <v>4006</v>
      </c>
      <c r="E80" s="220">
        <v>9.581749555E9</v>
      </c>
      <c r="F80" s="221" t="s">
        <v>248</v>
      </c>
      <c r="G80" s="218" t="s">
        <v>4007</v>
      </c>
      <c r="H80" s="61"/>
      <c r="J80" s="14"/>
      <c r="K80" s="14"/>
      <c r="L80" s="14"/>
      <c r="M80" s="14"/>
      <c r="N80" s="14"/>
      <c r="O80" s="14"/>
      <c r="P80" s="14"/>
      <c r="Q80" s="14"/>
      <c r="R80" s="14"/>
      <c r="S80" s="14"/>
      <c r="T80" s="14"/>
      <c r="U80" s="14"/>
      <c r="V80" s="14"/>
      <c r="W80" s="14"/>
      <c r="X80" s="14"/>
      <c r="Y80" s="14"/>
      <c r="Z80" s="14"/>
    </row>
    <row r="81" ht="22.5" customHeight="1">
      <c r="A81" s="217">
        <v>46063.0</v>
      </c>
      <c r="B81" s="218" t="s">
        <v>4008</v>
      </c>
      <c r="C81" s="218"/>
      <c r="D81" s="219" t="s">
        <v>4009</v>
      </c>
      <c r="E81" s="220">
        <v>9.949429494E9</v>
      </c>
      <c r="F81" s="221" t="s">
        <v>144</v>
      </c>
      <c r="G81" s="218" t="s">
        <v>4010</v>
      </c>
      <c r="H81" s="61"/>
      <c r="J81" s="14"/>
      <c r="K81" s="14"/>
      <c r="L81" s="14"/>
      <c r="M81" s="14"/>
      <c r="N81" s="14"/>
      <c r="O81" s="14"/>
      <c r="P81" s="14"/>
      <c r="Q81" s="14"/>
      <c r="R81" s="14"/>
      <c r="S81" s="14"/>
      <c r="T81" s="14"/>
      <c r="U81" s="14"/>
      <c r="V81" s="14"/>
      <c r="W81" s="14"/>
      <c r="X81" s="14"/>
      <c r="Y81" s="14"/>
      <c r="Z81" s="14"/>
    </row>
    <row r="82" ht="22.5" customHeight="1">
      <c r="A82" s="217">
        <v>46063.0</v>
      </c>
      <c r="B82" s="218" t="s">
        <v>4011</v>
      </c>
      <c r="C82" s="218"/>
      <c r="D82" s="219" t="s">
        <v>4012</v>
      </c>
      <c r="E82" s="220">
        <v>7.977757237E9</v>
      </c>
      <c r="F82" s="221" t="s">
        <v>45</v>
      </c>
      <c r="G82" s="218" t="s">
        <v>4013</v>
      </c>
      <c r="H82" s="61"/>
      <c r="J82" s="14"/>
      <c r="K82" s="14"/>
      <c r="L82" s="14"/>
      <c r="M82" s="14"/>
      <c r="N82" s="14"/>
      <c r="O82" s="14"/>
      <c r="P82" s="14"/>
      <c r="Q82" s="14"/>
      <c r="R82" s="14"/>
      <c r="S82" s="14"/>
      <c r="T82" s="14"/>
      <c r="U82" s="14"/>
      <c r="V82" s="14"/>
      <c r="W82" s="14"/>
      <c r="X82" s="14"/>
      <c r="Y82" s="14"/>
      <c r="Z82" s="14"/>
    </row>
    <row r="83" ht="22.5" customHeight="1">
      <c r="A83" s="217">
        <v>46063.0</v>
      </c>
      <c r="B83" s="218" t="s">
        <v>4014</v>
      </c>
      <c r="C83" s="218"/>
      <c r="D83" s="219"/>
      <c r="E83" s="220">
        <v>8.096999908E9</v>
      </c>
      <c r="F83" s="221" t="s">
        <v>144</v>
      </c>
      <c r="G83" s="218" t="s">
        <v>4015</v>
      </c>
      <c r="H83" s="61"/>
      <c r="J83" s="14"/>
      <c r="K83" s="14"/>
      <c r="L83" s="14"/>
      <c r="M83" s="14"/>
      <c r="N83" s="14"/>
      <c r="O83" s="14"/>
      <c r="P83" s="14"/>
      <c r="Q83" s="14"/>
      <c r="R83" s="14"/>
      <c r="S83" s="14"/>
      <c r="T83" s="14"/>
      <c r="U83" s="14"/>
      <c r="V83" s="14"/>
      <c r="W83" s="14"/>
      <c r="X83" s="14"/>
      <c r="Y83" s="14"/>
      <c r="Z83" s="14"/>
    </row>
    <row r="84" ht="22.5" customHeight="1">
      <c r="A84" s="217">
        <v>46063.0</v>
      </c>
      <c r="B84" s="218" t="s">
        <v>4016</v>
      </c>
      <c r="C84" s="218"/>
      <c r="D84" s="219" t="s">
        <v>4017</v>
      </c>
      <c r="E84" s="220">
        <v>7.396422628E9</v>
      </c>
      <c r="F84" s="221" t="s">
        <v>241</v>
      </c>
      <c r="G84" s="218" t="s">
        <v>4018</v>
      </c>
      <c r="H84" s="61"/>
      <c r="J84" s="14"/>
      <c r="K84" s="14"/>
      <c r="L84" s="14"/>
      <c r="M84" s="14"/>
      <c r="N84" s="14"/>
      <c r="O84" s="14"/>
      <c r="P84" s="14"/>
      <c r="Q84" s="14"/>
      <c r="R84" s="14"/>
      <c r="S84" s="14"/>
      <c r="T84" s="14"/>
      <c r="U84" s="14"/>
      <c r="V84" s="14"/>
      <c r="W84" s="14"/>
      <c r="X84" s="14"/>
      <c r="Y84" s="14"/>
      <c r="Z84" s="14"/>
    </row>
    <row r="85" ht="22.5" customHeight="1">
      <c r="A85" s="217">
        <v>46063.0</v>
      </c>
      <c r="B85" s="218" t="s">
        <v>4019</v>
      </c>
      <c r="C85" s="218" t="s">
        <v>203</v>
      </c>
      <c r="D85" s="219"/>
      <c r="E85" s="220"/>
      <c r="F85" s="221" t="s">
        <v>3853</v>
      </c>
      <c r="G85" s="218" t="s">
        <v>4020</v>
      </c>
      <c r="H85" s="61"/>
      <c r="J85" s="14"/>
      <c r="K85" s="14"/>
      <c r="L85" s="14"/>
      <c r="M85" s="14"/>
      <c r="N85" s="14"/>
      <c r="O85" s="14"/>
      <c r="P85" s="14"/>
      <c r="Q85" s="14"/>
      <c r="R85" s="14"/>
      <c r="S85" s="14"/>
      <c r="T85" s="14"/>
      <c r="U85" s="14"/>
      <c r="V85" s="14"/>
      <c r="W85" s="14"/>
      <c r="X85" s="14"/>
      <c r="Y85" s="14"/>
      <c r="Z85" s="14"/>
    </row>
    <row r="86" ht="22.5" customHeight="1">
      <c r="A86" s="217">
        <v>46063.0</v>
      </c>
      <c r="B86" s="218" t="s">
        <v>4021</v>
      </c>
      <c r="C86" s="218"/>
      <c r="D86" s="219" t="s">
        <v>4022</v>
      </c>
      <c r="E86" s="220">
        <v>9.676583099E9</v>
      </c>
      <c r="F86" s="221" t="s">
        <v>144</v>
      </c>
      <c r="G86" s="218" t="s">
        <v>4023</v>
      </c>
      <c r="H86" s="61"/>
      <c r="J86" s="14"/>
      <c r="K86" s="14"/>
      <c r="L86" s="14"/>
      <c r="M86" s="14"/>
      <c r="N86" s="14"/>
      <c r="O86" s="14"/>
      <c r="P86" s="14"/>
      <c r="Q86" s="14"/>
      <c r="R86" s="14"/>
      <c r="S86" s="14"/>
      <c r="T86" s="14"/>
      <c r="U86" s="14"/>
      <c r="V86" s="14"/>
      <c r="W86" s="14"/>
      <c r="X86" s="14"/>
      <c r="Y86" s="14"/>
      <c r="Z86" s="14"/>
    </row>
    <row r="87" ht="22.5" customHeight="1">
      <c r="A87" s="217">
        <v>46063.0</v>
      </c>
      <c r="B87" s="218" t="s">
        <v>4024</v>
      </c>
      <c r="C87" s="218"/>
      <c r="D87" s="219"/>
      <c r="E87" s="220"/>
      <c r="F87" s="221" t="s">
        <v>45</v>
      </c>
      <c r="G87" s="218" t="s">
        <v>4025</v>
      </c>
      <c r="H87" s="61"/>
      <c r="J87" s="14"/>
      <c r="K87" s="14"/>
      <c r="L87" s="14"/>
      <c r="M87" s="14"/>
      <c r="N87" s="14"/>
      <c r="O87" s="14"/>
      <c r="P87" s="14"/>
      <c r="Q87" s="14"/>
      <c r="R87" s="14"/>
      <c r="S87" s="14"/>
      <c r="T87" s="14"/>
      <c r="U87" s="14"/>
      <c r="V87" s="14"/>
      <c r="W87" s="14"/>
      <c r="X87" s="14"/>
      <c r="Y87" s="14"/>
      <c r="Z87" s="14"/>
    </row>
    <row r="88" ht="22.5" customHeight="1">
      <c r="A88" s="217">
        <v>46063.0</v>
      </c>
      <c r="B88" s="218" t="s">
        <v>4026</v>
      </c>
      <c r="C88" s="218" t="s">
        <v>3851</v>
      </c>
      <c r="D88" s="219"/>
      <c r="E88" s="220"/>
      <c r="F88" s="221" t="s">
        <v>3853</v>
      </c>
      <c r="G88" s="218" t="s">
        <v>4027</v>
      </c>
      <c r="H88" s="61"/>
      <c r="J88" s="14"/>
      <c r="K88" s="14"/>
      <c r="L88" s="14"/>
      <c r="M88" s="14"/>
      <c r="N88" s="14"/>
      <c r="O88" s="14"/>
      <c r="P88" s="14"/>
      <c r="Q88" s="14"/>
      <c r="R88" s="14"/>
      <c r="S88" s="14"/>
      <c r="T88" s="14"/>
      <c r="U88" s="14"/>
      <c r="V88" s="14"/>
      <c r="W88" s="14"/>
      <c r="X88" s="14"/>
      <c r="Y88" s="14"/>
      <c r="Z88" s="14"/>
    </row>
    <row r="89" ht="22.5" customHeight="1">
      <c r="A89" s="217">
        <v>46063.0</v>
      </c>
      <c r="B89" s="218" t="s">
        <v>4028</v>
      </c>
      <c r="C89" s="218"/>
      <c r="D89" s="219" t="s">
        <v>4029</v>
      </c>
      <c r="E89" s="220">
        <v>9.986998503E9</v>
      </c>
      <c r="F89" s="221" t="s">
        <v>241</v>
      </c>
      <c r="G89" s="218" t="s">
        <v>4030</v>
      </c>
      <c r="H89" s="61"/>
      <c r="J89" s="14"/>
      <c r="K89" s="14"/>
      <c r="L89" s="14"/>
      <c r="M89" s="14"/>
      <c r="N89" s="14"/>
      <c r="O89" s="14"/>
      <c r="P89" s="14"/>
      <c r="Q89" s="14"/>
      <c r="R89" s="14"/>
      <c r="S89" s="14"/>
      <c r="T89" s="14"/>
      <c r="U89" s="14"/>
      <c r="V89" s="14"/>
      <c r="W89" s="14"/>
      <c r="X89" s="14"/>
      <c r="Y89" s="14"/>
      <c r="Z89" s="14"/>
    </row>
    <row r="90" ht="22.5" customHeight="1">
      <c r="A90" s="217">
        <v>46063.0</v>
      </c>
      <c r="B90" s="218" t="s">
        <v>4031</v>
      </c>
      <c r="C90" s="218"/>
      <c r="D90" s="219" t="s">
        <v>4032</v>
      </c>
      <c r="E90" s="220">
        <v>9.866402028E9</v>
      </c>
      <c r="F90" s="221" t="s">
        <v>144</v>
      </c>
      <c r="G90" s="218" t="s">
        <v>4033</v>
      </c>
      <c r="H90" s="61"/>
      <c r="J90" s="14"/>
      <c r="K90" s="14"/>
      <c r="L90" s="14"/>
      <c r="M90" s="14"/>
      <c r="N90" s="14"/>
      <c r="O90" s="14"/>
      <c r="P90" s="14"/>
      <c r="Q90" s="14"/>
      <c r="R90" s="14"/>
      <c r="S90" s="14"/>
      <c r="T90" s="14"/>
      <c r="U90" s="14"/>
      <c r="V90" s="14"/>
      <c r="W90" s="14"/>
      <c r="X90" s="14"/>
      <c r="Y90" s="14"/>
      <c r="Z90" s="14"/>
    </row>
    <row r="91" ht="22.5" customHeight="1">
      <c r="A91" s="217">
        <v>46063.0</v>
      </c>
      <c r="B91" s="218" t="s">
        <v>4034</v>
      </c>
      <c r="C91" s="218"/>
      <c r="D91" s="219"/>
      <c r="E91" s="220">
        <v>6.281162645E9</v>
      </c>
      <c r="F91" s="221" t="s">
        <v>45</v>
      </c>
      <c r="G91" s="218" t="s">
        <v>4013</v>
      </c>
      <c r="H91" s="61"/>
      <c r="J91" s="14"/>
      <c r="K91" s="14"/>
      <c r="L91" s="14"/>
      <c r="M91" s="14"/>
      <c r="N91" s="14"/>
      <c r="O91" s="14"/>
      <c r="P91" s="14"/>
      <c r="Q91" s="14"/>
      <c r="R91" s="14"/>
      <c r="S91" s="14"/>
      <c r="T91" s="14"/>
      <c r="U91" s="14"/>
      <c r="V91" s="14"/>
      <c r="W91" s="14"/>
      <c r="X91" s="14"/>
      <c r="Y91" s="14"/>
      <c r="Z91" s="14"/>
    </row>
    <row r="92" ht="22.5" customHeight="1">
      <c r="A92" s="217">
        <v>46063.0</v>
      </c>
      <c r="B92" s="218" t="s">
        <v>4035</v>
      </c>
      <c r="C92" s="218"/>
      <c r="D92" s="219" t="s">
        <v>4036</v>
      </c>
      <c r="E92" s="220">
        <v>7.977765789E9</v>
      </c>
      <c r="F92" s="221" t="s">
        <v>73</v>
      </c>
      <c r="G92" s="218" t="s">
        <v>4037</v>
      </c>
      <c r="H92" s="61"/>
      <c r="J92" s="14"/>
      <c r="K92" s="14"/>
      <c r="L92" s="14"/>
      <c r="M92" s="14"/>
      <c r="N92" s="14"/>
      <c r="O92" s="14"/>
      <c r="P92" s="14"/>
      <c r="Q92" s="14"/>
      <c r="R92" s="14"/>
      <c r="S92" s="14"/>
      <c r="T92" s="14"/>
      <c r="U92" s="14"/>
      <c r="V92" s="14"/>
      <c r="W92" s="14"/>
      <c r="X92" s="14"/>
      <c r="Y92" s="14"/>
      <c r="Z92" s="14"/>
    </row>
    <row r="93" ht="22.5" customHeight="1">
      <c r="A93" s="217">
        <v>46063.0</v>
      </c>
      <c r="B93" s="218" t="s">
        <v>4038</v>
      </c>
      <c r="C93" s="218" t="s">
        <v>4039</v>
      </c>
      <c r="D93" s="219" t="s">
        <v>4040</v>
      </c>
      <c r="E93" s="220">
        <v>9.769343996E9</v>
      </c>
      <c r="F93" s="221" t="s">
        <v>241</v>
      </c>
      <c r="G93" s="218" t="s">
        <v>4041</v>
      </c>
      <c r="H93" s="61"/>
      <c r="J93" s="14"/>
      <c r="K93" s="14"/>
      <c r="L93" s="14"/>
      <c r="M93" s="14"/>
      <c r="N93" s="14"/>
      <c r="O93" s="14"/>
      <c r="P93" s="14"/>
      <c r="Q93" s="14"/>
      <c r="R93" s="14"/>
      <c r="S93" s="14"/>
      <c r="T93" s="14"/>
      <c r="U93" s="14"/>
      <c r="V93" s="14"/>
      <c r="W93" s="14"/>
      <c r="X93" s="14"/>
      <c r="Y93" s="14"/>
      <c r="Z93" s="14"/>
    </row>
    <row r="94" ht="22.5" customHeight="1">
      <c r="A94" s="217">
        <v>46063.0</v>
      </c>
      <c r="B94" s="218" t="s">
        <v>4042</v>
      </c>
      <c r="C94" s="218"/>
      <c r="D94" s="219"/>
      <c r="E94" s="220"/>
      <c r="F94" s="221" t="s">
        <v>96</v>
      </c>
      <c r="G94" s="218" t="s">
        <v>4043</v>
      </c>
      <c r="H94" s="61"/>
      <c r="J94" s="14"/>
      <c r="K94" s="14"/>
      <c r="L94" s="14"/>
      <c r="M94" s="14"/>
      <c r="N94" s="14"/>
      <c r="O94" s="14"/>
      <c r="P94" s="14"/>
      <c r="Q94" s="14"/>
      <c r="R94" s="14"/>
      <c r="S94" s="14"/>
      <c r="T94" s="14"/>
      <c r="U94" s="14"/>
      <c r="V94" s="14"/>
      <c r="W94" s="14"/>
      <c r="X94" s="14"/>
      <c r="Y94" s="14"/>
      <c r="Z94" s="14"/>
    </row>
    <row r="95" ht="22.5" customHeight="1">
      <c r="A95" s="217">
        <v>46063.0</v>
      </c>
      <c r="B95" s="218" t="s">
        <v>4044</v>
      </c>
      <c r="C95" s="218"/>
      <c r="D95" s="219" t="s">
        <v>4045</v>
      </c>
      <c r="E95" s="220"/>
      <c r="F95" s="221" t="s">
        <v>73</v>
      </c>
      <c r="G95" s="218" t="s">
        <v>4046</v>
      </c>
      <c r="H95" s="61"/>
      <c r="J95" s="14"/>
      <c r="K95" s="14"/>
      <c r="L95" s="14"/>
      <c r="M95" s="14"/>
      <c r="N95" s="14"/>
      <c r="O95" s="14"/>
      <c r="P95" s="14"/>
      <c r="Q95" s="14"/>
      <c r="R95" s="14"/>
      <c r="S95" s="14"/>
      <c r="T95" s="14"/>
      <c r="U95" s="14"/>
      <c r="V95" s="14"/>
      <c r="W95" s="14"/>
      <c r="X95" s="14"/>
      <c r="Y95" s="14"/>
      <c r="Z95" s="14"/>
    </row>
    <row r="96" ht="22.5" customHeight="1">
      <c r="A96" s="217">
        <v>46063.0</v>
      </c>
      <c r="B96" s="218" t="s">
        <v>4047</v>
      </c>
      <c r="C96" s="218"/>
      <c r="D96" s="219" t="s">
        <v>4048</v>
      </c>
      <c r="E96" s="220">
        <v>9.959160354E9</v>
      </c>
      <c r="F96" s="221" t="s">
        <v>241</v>
      </c>
      <c r="G96" s="218" t="s">
        <v>4049</v>
      </c>
      <c r="H96" s="61"/>
      <c r="J96" s="14"/>
      <c r="K96" s="14"/>
      <c r="L96" s="14"/>
      <c r="M96" s="14"/>
      <c r="N96" s="14"/>
      <c r="O96" s="14"/>
      <c r="P96" s="14"/>
      <c r="Q96" s="14"/>
      <c r="R96" s="14"/>
      <c r="S96" s="14"/>
      <c r="T96" s="14"/>
      <c r="U96" s="14"/>
      <c r="V96" s="14"/>
      <c r="W96" s="14"/>
      <c r="X96" s="14"/>
      <c r="Y96" s="14"/>
      <c r="Z96" s="14"/>
    </row>
    <row r="97" ht="22.5" customHeight="1">
      <c r="A97" s="217">
        <v>46063.0</v>
      </c>
      <c r="B97" s="218" t="s">
        <v>4050</v>
      </c>
      <c r="C97" s="218"/>
      <c r="D97" s="219"/>
      <c r="E97" s="220"/>
      <c r="F97" s="221" t="s">
        <v>73</v>
      </c>
      <c r="G97" s="218" t="s">
        <v>4051</v>
      </c>
      <c r="H97" s="61"/>
      <c r="J97" s="14"/>
      <c r="K97" s="14"/>
      <c r="L97" s="14"/>
      <c r="M97" s="14"/>
      <c r="N97" s="14"/>
      <c r="O97" s="14"/>
      <c r="P97" s="14"/>
      <c r="Q97" s="14"/>
      <c r="R97" s="14"/>
      <c r="S97" s="14"/>
      <c r="T97" s="14"/>
      <c r="U97" s="14"/>
      <c r="V97" s="14"/>
      <c r="W97" s="14"/>
      <c r="X97" s="14"/>
      <c r="Y97" s="14"/>
      <c r="Z97" s="14"/>
    </row>
    <row r="98" ht="22.5" customHeight="1">
      <c r="A98" s="222">
        <v>46063.0</v>
      </c>
      <c r="B98" s="144" t="s">
        <v>4052</v>
      </c>
      <c r="C98" s="144" t="s">
        <v>147</v>
      </c>
      <c r="D98" s="144"/>
      <c r="E98" s="223"/>
      <c r="F98" s="143" t="s">
        <v>186</v>
      </c>
      <c r="G98" s="144" t="s">
        <v>4053</v>
      </c>
      <c r="H98" s="61"/>
      <c r="J98" s="14"/>
      <c r="K98" s="14"/>
      <c r="L98" s="14"/>
      <c r="M98" s="14"/>
      <c r="N98" s="14"/>
      <c r="O98" s="14"/>
      <c r="P98" s="14"/>
      <c r="Q98" s="14"/>
      <c r="R98" s="14"/>
      <c r="S98" s="14"/>
      <c r="T98" s="14"/>
      <c r="U98" s="14"/>
      <c r="V98" s="14"/>
      <c r="W98" s="14"/>
      <c r="X98" s="14"/>
      <c r="Y98" s="14"/>
      <c r="Z98" s="14"/>
    </row>
    <row r="99" ht="22.5" customHeight="1">
      <c r="A99" s="217">
        <v>46063.0</v>
      </c>
      <c r="B99" s="218" t="s">
        <v>4054</v>
      </c>
      <c r="C99" s="218"/>
      <c r="D99" s="219" t="s">
        <v>4055</v>
      </c>
      <c r="E99" s="220">
        <v>9.392055514E9</v>
      </c>
      <c r="F99" s="221" t="s">
        <v>248</v>
      </c>
      <c r="G99" s="218" t="s">
        <v>4056</v>
      </c>
      <c r="H99" s="61"/>
      <c r="J99" s="14"/>
      <c r="K99" s="14"/>
      <c r="L99" s="14"/>
      <c r="M99" s="14"/>
      <c r="N99" s="14"/>
      <c r="O99" s="14"/>
      <c r="P99" s="14"/>
      <c r="Q99" s="14"/>
      <c r="R99" s="14"/>
      <c r="S99" s="14"/>
      <c r="T99" s="14"/>
      <c r="U99" s="14"/>
      <c r="V99" s="14"/>
      <c r="W99" s="14"/>
      <c r="X99" s="14"/>
      <c r="Y99" s="14"/>
      <c r="Z99" s="14"/>
    </row>
    <row r="100" ht="22.5" customHeight="1">
      <c r="A100" s="217">
        <v>46063.0</v>
      </c>
      <c r="B100" s="218" t="s">
        <v>4057</v>
      </c>
      <c r="C100" s="218"/>
      <c r="D100" s="219" t="s">
        <v>4058</v>
      </c>
      <c r="E100" s="220">
        <v>9.059435788E9</v>
      </c>
      <c r="F100" s="221" t="s">
        <v>60</v>
      </c>
      <c r="G100" s="218" t="s">
        <v>4059</v>
      </c>
      <c r="H100" s="61"/>
      <c r="J100" s="14"/>
      <c r="K100" s="14"/>
      <c r="L100" s="14"/>
      <c r="M100" s="14"/>
      <c r="N100" s="14"/>
      <c r="O100" s="14"/>
      <c r="P100" s="14"/>
      <c r="Q100" s="14"/>
      <c r="R100" s="14"/>
      <c r="S100" s="14"/>
      <c r="T100" s="14"/>
      <c r="U100" s="14"/>
      <c r="V100" s="14"/>
      <c r="W100" s="14"/>
      <c r="X100" s="14"/>
      <c r="Y100" s="14"/>
      <c r="Z100" s="14"/>
    </row>
    <row r="101" ht="22.5" customHeight="1">
      <c r="A101" s="217">
        <v>46063.0</v>
      </c>
      <c r="B101" s="218" t="s">
        <v>4060</v>
      </c>
      <c r="C101" s="218"/>
      <c r="D101" s="219"/>
      <c r="E101" s="220"/>
      <c r="F101" s="221" t="s">
        <v>45</v>
      </c>
      <c r="G101" s="218" t="s">
        <v>4053</v>
      </c>
      <c r="H101" s="61"/>
      <c r="J101" s="14"/>
      <c r="K101" s="14"/>
      <c r="L101" s="14"/>
      <c r="M101" s="14"/>
      <c r="N101" s="14"/>
      <c r="O101" s="14"/>
      <c r="P101" s="14"/>
      <c r="Q101" s="14"/>
      <c r="R101" s="14"/>
      <c r="S101" s="14"/>
      <c r="T101" s="14"/>
      <c r="U101" s="14"/>
      <c r="V101" s="14"/>
      <c r="W101" s="14"/>
      <c r="X101" s="14"/>
      <c r="Y101" s="14"/>
      <c r="Z101" s="14"/>
    </row>
    <row r="102" ht="22.5" customHeight="1">
      <c r="A102" s="217">
        <v>46063.0</v>
      </c>
      <c r="B102" s="218" t="s">
        <v>4061</v>
      </c>
      <c r="C102" s="218" t="s">
        <v>3851</v>
      </c>
      <c r="D102" s="219"/>
      <c r="E102" s="220"/>
      <c r="F102" s="221" t="s">
        <v>3853</v>
      </c>
      <c r="G102" s="218" t="s">
        <v>4062</v>
      </c>
      <c r="H102" s="61"/>
      <c r="J102" s="14"/>
      <c r="K102" s="14"/>
      <c r="L102" s="14"/>
      <c r="M102" s="14"/>
      <c r="N102" s="14"/>
      <c r="O102" s="14"/>
      <c r="P102" s="14"/>
      <c r="Q102" s="14"/>
      <c r="R102" s="14"/>
      <c r="S102" s="14"/>
      <c r="T102" s="14"/>
      <c r="U102" s="14"/>
      <c r="V102" s="14"/>
      <c r="W102" s="14"/>
      <c r="X102" s="14"/>
      <c r="Y102" s="14"/>
      <c r="Z102" s="14"/>
    </row>
    <row r="103" ht="22.5" customHeight="1">
      <c r="A103" s="217">
        <v>46063.0</v>
      </c>
      <c r="B103" s="218" t="s">
        <v>4063</v>
      </c>
      <c r="C103" s="218"/>
      <c r="D103" s="219"/>
      <c r="E103" s="220">
        <v>7.33700104E8</v>
      </c>
      <c r="F103" s="221" t="s">
        <v>96</v>
      </c>
      <c r="G103" s="218" t="s">
        <v>4064</v>
      </c>
      <c r="H103" s="61"/>
      <c r="J103" s="14"/>
      <c r="K103" s="14"/>
      <c r="L103" s="14"/>
      <c r="M103" s="14"/>
      <c r="N103" s="14"/>
      <c r="O103" s="14"/>
      <c r="P103" s="14"/>
      <c r="Q103" s="14"/>
      <c r="R103" s="14"/>
      <c r="S103" s="14"/>
      <c r="T103" s="14"/>
      <c r="U103" s="14"/>
      <c r="V103" s="14"/>
      <c r="W103" s="14"/>
      <c r="X103" s="14"/>
      <c r="Y103" s="14"/>
      <c r="Z103" s="14"/>
    </row>
    <row r="104" ht="22.5" customHeight="1">
      <c r="A104" s="217">
        <v>46063.0</v>
      </c>
      <c r="B104" s="218" t="s">
        <v>4065</v>
      </c>
      <c r="C104" s="218"/>
      <c r="D104" s="219" t="s">
        <v>4066</v>
      </c>
      <c r="E104" s="220">
        <v>7.00363664E9</v>
      </c>
      <c r="F104" s="221" t="s">
        <v>73</v>
      </c>
      <c r="G104" s="218" t="s">
        <v>4067</v>
      </c>
      <c r="H104" s="61"/>
      <c r="J104" s="14"/>
      <c r="K104" s="14"/>
      <c r="L104" s="14"/>
      <c r="M104" s="14"/>
      <c r="N104" s="14"/>
      <c r="O104" s="14"/>
      <c r="P104" s="14"/>
      <c r="Q104" s="14"/>
      <c r="R104" s="14"/>
      <c r="S104" s="14"/>
      <c r="T104" s="14"/>
      <c r="U104" s="14"/>
      <c r="V104" s="14"/>
      <c r="W104" s="14"/>
      <c r="X104" s="14"/>
      <c r="Y104" s="14"/>
      <c r="Z104" s="14"/>
    </row>
    <row r="105" ht="22.5" customHeight="1">
      <c r="A105" s="217">
        <v>46063.0</v>
      </c>
      <c r="B105" s="218" t="s">
        <v>4068</v>
      </c>
      <c r="C105" s="218"/>
      <c r="D105" s="219" t="s">
        <v>4069</v>
      </c>
      <c r="E105" s="220">
        <v>8.886767272E9</v>
      </c>
      <c r="F105" s="221" t="s">
        <v>248</v>
      </c>
      <c r="G105" s="218" t="s">
        <v>4070</v>
      </c>
      <c r="H105" s="61"/>
      <c r="J105" s="14"/>
      <c r="K105" s="14"/>
      <c r="L105" s="14"/>
      <c r="M105" s="14"/>
      <c r="N105" s="14"/>
      <c r="O105" s="14"/>
      <c r="P105" s="14"/>
      <c r="Q105" s="14"/>
      <c r="R105" s="14"/>
      <c r="S105" s="14"/>
      <c r="T105" s="14"/>
      <c r="U105" s="14"/>
      <c r="V105" s="14"/>
      <c r="W105" s="14"/>
      <c r="X105" s="14"/>
      <c r="Y105" s="14"/>
      <c r="Z105" s="14"/>
    </row>
    <row r="106" ht="22.5" customHeight="1">
      <c r="A106" s="217">
        <v>46063.0</v>
      </c>
      <c r="B106" s="218" t="s">
        <v>4071</v>
      </c>
      <c r="C106" s="218"/>
      <c r="D106" s="219" t="s">
        <v>4072</v>
      </c>
      <c r="E106" s="220">
        <v>8.074932383E9</v>
      </c>
      <c r="F106" s="221" t="s">
        <v>144</v>
      </c>
      <c r="G106" s="218" t="s">
        <v>4073</v>
      </c>
      <c r="H106" s="61"/>
      <c r="J106" s="14"/>
      <c r="K106" s="14"/>
      <c r="L106" s="14"/>
      <c r="M106" s="14"/>
      <c r="N106" s="14"/>
      <c r="O106" s="14"/>
      <c r="P106" s="14"/>
      <c r="Q106" s="14"/>
      <c r="R106" s="14"/>
      <c r="S106" s="14"/>
      <c r="T106" s="14"/>
      <c r="U106" s="14"/>
      <c r="V106" s="14"/>
      <c r="W106" s="14"/>
      <c r="X106" s="14"/>
      <c r="Y106" s="14"/>
      <c r="Z106" s="14"/>
    </row>
    <row r="107" ht="22.5" customHeight="1">
      <c r="A107" s="217">
        <v>46063.0</v>
      </c>
      <c r="B107" s="218" t="s">
        <v>4074</v>
      </c>
      <c r="C107" s="218"/>
      <c r="D107" s="219"/>
      <c r="E107" s="220"/>
      <c r="F107" s="221" t="s">
        <v>241</v>
      </c>
      <c r="G107" s="218" t="s">
        <v>4075</v>
      </c>
      <c r="H107" s="61"/>
      <c r="J107" s="14"/>
      <c r="K107" s="14"/>
      <c r="L107" s="14"/>
      <c r="M107" s="14"/>
      <c r="N107" s="14"/>
      <c r="O107" s="14"/>
      <c r="P107" s="14"/>
      <c r="Q107" s="14"/>
      <c r="R107" s="14"/>
      <c r="S107" s="14"/>
      <c r="T107" s="14"/>
      <c r="U107" s="14"/>
      <c r="V107" s="14"/>
      <c r="W107" s="14"/>
      <c r="X107" s="14"/>
      <c r="Y107" s="14"/>
      <c r="Z107" s="14"/>
    </row>
    <row r="108" ht="22.5" customHeight="1">
      <c r="A108" s="217">
        <v>46063.0</v>
      </c>
      <c r="B108" s="218" t="s">
        <v>4076</v>
      </c>
      <c r="C108" s="218"/>
      <c r="D108" s="219"/>
      <c r="E108" s="220"/>
      <c r="F108" s="221" t="s">
        <v>73</v>
      </c>
      <c r="G108" s="218" t="s">
        <v>4077</v>
      </c>
      <c r="H108" s="61"/>
      <c r="J108" s="14"/>
      <c r="K108" s="14"/>
      <c r="L108" s="14"/>
      <c r="M108" s="14"/>
      <c r="N108" s="14"/>
      <c r="O108" s="14"/>
      <c r="P108" s="14"/>
      <c r="Q108" s="14"/>
      <c r="R108" s="14"/>
      <c r="S108" s="14"/>
      <c r="T108" s="14"/>
      <c r="U108" s="14"/>
      <c r="V108" s="14"/>
      <c r="W108" s="14"/>
      <c r="X108" s="14"/>
      <c r="Y108" s="14"/>
      <c r="Z108" s="14"/>
    </row>
    <row r="109" ht="22.5" customHeight="1">
      <c r="A109" s="217">
        <v>46063.0</v>
      </c>
      <c r="B109" s="218" t="s">
        <v>4078</v>
      </c>
      <c r="C109" s="218" t="s">
        <v>203</v>
      </c>
      <c r="D109" s="219"/>
      <c r="E109" s="220"/>
      <c r="F109" s="221" t="s">
        <v>3853</v>
      </c>
      <c r="G109" s="218" t="s">
        <v>4079</v>
      </c>
      <c r="H109" s="61"/>
      <c r="J109" s="14"/>
      <c r="K109" s="14"/>
      <c r="L109" s="14"/>
      <c r="M109" s="14"/>
      <c r="N109" s="14"/>
      <c r="O109" s="14"/>
      <c r="P109" s="14"/>
      <c r="Q109" s="14"/>
      <c r="R109" s="14"/>
      <c r="S109" s="14"/>
      <c r="T109" s="14"/>
      <c r="U109" s="14"/>
      <c r="V109" s="14"/>
      <c r="W109" s="14"/>
      <c r="X109" s="14"/>
      <c r="Y109" s="14"/>
      <c r="Z109" s="14"/>
    </row>
    <row r="110" ht="22.5" customHeight="1">
      <c r="A110" s="217">
        <v>46063.0</v>
      </c>
      <c r="B110" s="218" t="s">
        <v>4080</v>
      </c>
      <c r="C110" s="218"/>
      <c r="D110" s="219"/>
      <c r="E110" s="220"/>
      <c r="F110" s="221" t="s">
        <v>248</v>
      </c>
      <c r="G110" s="218" t="s">
        <v>4081</v>
      </c>
      <c r="H110" s="61"/>
      <c r="J110" s="14"/>
      <c r="K110" s="14"/>
      <c r="L110" s="14"/>
      <c r="M110" s="14"/>
      <c r="N110" s="14"/>
      <c r="O110" s="14"/>
      <c r="P110" s="14"/>
      <c r="Q110" s="14"/>
      <c r="R110" s="14"/>
      <c r="S110" s="14"/>
      <c r="T110" s="14"/>
      <c r="U110" s="14"/>
      <c r="V110" s="14"/>
      <c r="W110" s="14"/>
      <c r="X110" s="14"/>
      <c r="Y110" s="14"/>
      <c r="Z110" s="14"/>
    </row>
    <row r="111" ht="22.5" customHeight="1">
      <c r="A111" s="217">
        <v>46063.0</v>
      </c>
      <c r="B111" s="218" t="s">
        <v>4082</v>
      </c>
      <c r="C111" s="218"/>
      <c r="D111" s="219" t="s">
        <v>4083</v>
      </c>
      <c r="E111" s="220">
        <v>7.618754404E9</v>
      </c>
      <c r="F111" s="221" t="s">
        <v>144</v>
      </c>
      <c r="G111" s="218" t="s">
        <v>4084</v>
      </c>
      <c r="H111" s="61"/>
      <c r="J111" s="14"/>
      <c r="K111" s="14"/>
      <c r="L111" s="14"/>
      <c r="M111" s="14"/>
      <c r="N111" s="14"/>
      <c r="O111" s="14"/>
      <c r="P111" s="14"/>
      <c r="Q111" s="14"/>
      <c r="R111" s="14"/>
      <c r="S111" s="14"/>
      <c r="T111" s="14"/>
      <c r="U111" s="14"/>
      <c r="V111" s="14"/>
      <c r="W111" s="14"/>
      <c r="X111" s="14"/>
      <c r="Y111" s="14"/>
      <c r="Z111" s="14"/>
    </row>
    <row r="112" ht="22.5" customHeight="1">
      <c r="A112" s="217">
        <v>46063.0</v>
      </c>
      <c r="B112" s="218" t="s">
        <v>4085</v>
      </c>
      <c r="C112" s="218" t="s">
        <v>2722</v>
      </c>
      <c r="D112" s="219" t="s">
        <v>4086</v>
      </c>
      <c r="E112" s="220">
        <v>9.140523292E9</v>
      </c>
      <c r="F112" s="221" t="s">
        <v>241</v>
      </c>
      <c r="G112" s="218" t="s">
        <v>4087</v>
      </c>
      <c r="H112" s="61"/>
      <c r="J112" s="14"/>
      <c r="K112" s="14"/>
      <c r="L112" s="14"/>
      <c r="M112" s="14"/>
      <c r="N112" s="14"/>
      <c r="O112" s="14"/>
      <c r="P112" s="14"/>
      <c r="Q112" s="14"/>
      <c r="R112" s="14"/>
      <c r="S112" s="14"/>
      <c r="T112" s="14"/>
      <c r="U112" s="14"/>
      <c r="V112" s="14"/>
      <c r="W112" s="14"/>
      <c r="X112" s="14"/>
      <c r="Y112" s="14"/>
      <c r="Z112" s="14"/>
    </row>
    <row r="113" ht="22.5" customHeight="1">
      <c r="A113" s="217">
        <v>46063.0</v>
      </c>
      <c r="B113" s="218" t="s">
        <v>4088</v>
      </c>
      <c r="C113" s="218"/>
      <c r="D113" s="219" t="s">
        <v>4089</v>
      </c>
      <c r="E113" s="220">
        <v>9.95902031E9</v>
      </c>
      <c r="F113" s="221" t="s">
        <v>60</v>
      </c>
      <c r="G113" s="218" t="s">
        <v>4090</v>
      </c>
      <c r="H113" s="61"/>
      <c r="J113" s="14"/>
      <c r="K113" s="14"/>
      <c r="L113" s="14"/>
      <c r="M113" s="14"/>
      <c r="N113" s="14"/>
      <c r="O113" s="14"/>
      <c r="P113" s="14"/>
      <c r="Q113" s="14"/>
      <c r="R113" s="14"/>
      <c r="S113" s="14"/>
      <c r="T113" s="14"/>
      <c r="U113" s="14"/>
      <c r="V113" s="14"/>
      <c r="W113" s="14"/>
      <c r="X113" s="14"/>
      <c r="Y113" s="14"/>
      <c r="Z113" s="14"/>
    </row>
    <row r="114" ht="22.5" customHeight="1">
      <c r="A114" s="217">
        <v>46063.0</v>
      </c>
      <c r="B114" s="218" t="s">
        <v>4091</v>
      </c>
      <c r="C114" s="218"/>
      <c r="D114" s="219" t="s">
        <v>4092</v>
      </c>
      <c r="E114" s="220">
        <v>7.075777491E9</v>
      </c>
      <c r="F114" s="221" t="s">
        <v>73</v>
      </c>
      <c r="G114" s="218" t="s">
        <v>4093</v>
      </c>
      <c r="H114" s="61"/>
      <c r="J114" s="14"/>
      <c r="K114" s="14"/>
      <c r="L114" s="14"/>
      <c r="M114" s="14"/>
      <c r="N114" s="14"/>
      <c r="O114" s="14"/>
      <c r="P114" s="14"/>
      <c r="Q114" s="14"/>
      <c r="R114" s="14"/>
      <c r="S114" s="14"/>
      <c r="T114" s="14"/>
      <c r="U114" s="14"/>
      <c r="V114" s="14"/>
      <c r="W114" s="14"/>
      <c r="X114" s="14"/>
      <c r="Y114" s="14"/>
      <c r="Z114" s="14"/>
    </row>
    <row r="115" ht="22.5" customHeight="1">
      <c r="A115" s="217">
        <v>46063.0</v>
      </c>
      <c r="B115" s="218" t="s">
        <v>4094</v>
      </c>
      <c r="C115" s="218" t="s">
        <v>4095</v>
      </c>
      <c r="D115" s="219" t="s">
        <v>4096</v>
      </c>
      <c r="E115" s="220">
        <v>9.052878671E9</v>
      </c>
      <c r="F115" s="221" t="s">
        <v>248</v>
      </c>
      <c r="G115" s="218" t="s">
        <v>4097</v>
      </c>
      <c r="H115" s="61"/>
      <c r="J115" s="14"/>
      <c r="K115" s="14"/>
      <c r="L115" s="14"/>
      <c r="M115" s="14"/>
      <c r="N115" s="14"/>
      <c r="O115" s="14"/>
      <c r="P115" s="14"/>
      <c r="Q115" s="14"/>
      <c r="R115" s="14"/>
      <c r="S115" s="14"/>
      <c r="T115" s="14"/>
      <c r="U115" s="14"/>
      <c r="V115" s="14"/>
      <c r="W115" s="14"/>
      <c r="X115" s="14"/>
      <c r="Y115" s="14"/>
      <c r="Z115" s="14"/>
    </row>
    <row r="116" ht="22.5" customHeight="1">
      <c r="A116" s="217">
        <v>46063.0</v>
      </c>
      <c r="B116" s="218" t="s">
        <v>4098</v>
      </c>
      <c r="C116" s="218"/>
      <c r="D116" s="219"/>
      <c r="E116" s="220">
        <v>9.704025498E9</v>
      </c>
      <c r="F116" s="221" t="s">
        <v>73</v>
      </c>
      <c r="G116" s="218" t="s">
        <v>4099</v>
      </c>
      <c r="H116" s="224"/>
      <c r="J116" s="14"/>
      <c r="K116" s="14"/>
      <c r="L116" s="14"/>
      <c r="M116" s="14"/>
      <c r="N116" s="14"/>
      <c r="O116" s="14"/>
      <c r="P116" s="14"/>
      <c r="Q116" s="14"/>
      <c r="R116" s="14"/>
      <c r="S116" s="14"/>
      <c r="T116" s="14"/>
      <c r="U116" s="14"/>
      <c r="V116" s="14"/>
      <c r="W116" s="14"/>
      <c r="X116" s="14"/>
      <c r="Y116" s="14"/>
      <c r="Z116" s="14"/>
    </row>
    <row r="117" ht="22.5" customHeight="1">
      <c r="A117" s="217">
        <v>46063.0</v>
      </c>
      <c r="B117" s="218" t="s">
        <v>4100</v>
      </c>
      <c r="C117" s="218"/>
      <c r="D117" s="219" t="s">
        <v>4101</v>
      </c>
      <c r="E117" s="220">
        <v>9.392857604E9</v>
      </c>
      <c r="F117" s="221" t="s">
        <v>241</v>
      </c>
      <c r="G117" s="218" t="s">
        <v>4051</v>
      </c>
      <c r="H117" s="224"/>
      <c r="I117" s="225"/>
      <c r="J117" s="18"/>
      <c r="K117" s="18"/>
      <c r="L117" s="18"/>
      <c r="M117" s="18"/>
      <c r="N117" s="18"/>
      <c r="O117" s="18"/>
      <c r="P117" s="18"/>
      <c r="Q117" s="18"/>
      <c r="R117" s="18"/>
      <c r="S117" s="18"/>
      <c r="T117" s="18"/>
      <c r="U117" s="18"/>
      <c r="V117" s="18"/>
      <c r="W117" s="18"/>
      <c r="X117" s="18"/>
      <c r="Y117" s="18"/>
      <c r="Z117" s="18"/>
    </row>
    <row r="118" ht="22.5" customHeight="1">
      <c r="A118" s="217">
        <v>46063.0</v>
      </c>
      <c r="B118" s="218" t="s">
        <v>4102</v>
      </c>
      <c r="C118" s="218" t="s">
        <v>203</v>
      </c>
      <c r="D118" s="219" t="s">
        <v>4103</v>
      </c>
      <c r="E118" s="220">
        <v>7.991231238E9</v>
      </c>
      <c r="F118" s="221" t="s">
        <v>3853</v>
      </c>
      <c r="G118" s="218" t="s">
        <v>4104</v>
      </c>
      <c r="H118" s="61"/>
      <c r="J118" s="14"/>
      <c r="K118" s="14"/>
      <c r="L118" s="14"/>
      <c r="M118" s="14"/>
      <c r="N118" s="14"/>
      <c r="O118" s="14"/>
      <c r="P118" s="14"/>
      <c r="Q118" s="14"/>
      <c r="R118" s="14"/>
      <c r="S118" s="14"/>
      <c r="T118" s="14"/>
      <c r="U118" s="14"/>
      <c r="V118" s="14"/>
      <c r="W118" s="14"/>
      <c r="X118" s="14"/>
      <c r="Y118" s="14"/>
      <c r="Z118" s="14"/>
    </row>
    <row r="119" ht="22.5" customHeight="1">
      <c r="A119" s="217">
        <v>46063.0</v>
      </c>
      <c r="B119" s="218" t="s">
        <v>4105</v>
      </c>
      <c r="C119" s="218"/>
      <c r="D119" s="219"/>
      <c r="E119" s="220"/>
      <c r="F119" s="221" t="s">
        <v>45</v>
      </c>
      <c r="G119" s="218" t="s">
        <v>4053</v>
      </c>
      <c r="H119" s="61"/>
      <c r="J119" s="14"/>
      <c r="K119" s="14"/>
      <c r="L119" s="14"/>
      <c r="M119" s="14"/>
      <c r="N119" s="14"/>
      <c r="O119" s="14"/>
      <c r="P119" s="14"/>
      <c r="Q119" s="14"/>
      <c r="R119" s="14"/>
      <c r="S119" s="14"/>
      <c r="T119" s="14"/>
      <c r="U119" s="14"/>
      <c r="V119" s="14"/>
      <c r="W119" s="14"/>
      <c r="X119" s="14"/>
      <c r="Y119" s="14"/>
      <c r="Z119" s="14"/>
    </row>
    <row r="120" ht="22.5" customHeight="1">
      <c r="A120" s="217">
        <v>46063.0</v>
      </c>
      <c r="B120" s="218" t="s">
        <v>4106</v>
      </c>
      <c r="C120" s="218" t="s">
        <v>203</v>
      </c>
      <c r="D120" s="219" t="s">
        <v>328</v>
      </c>
      <c r="E120" s="220">
        <v>8.328599288E9</v>
      </c>
      <c r="F120" s="221" t="s">
        <v>3853</v>
      </c>
      <c r="G120" s="218" t="s">
        <v>4107</v>
      </c>
      <c r="H120" s="61"/>
      <c r="J120" s="14"/>
      <c r="K120" s="14"/>
      <c r="L120" s="14"/>
      <c r="M120" s="14"/>
      <c r="N120" s="14"/>
      <c r="O120" s="14"/>
      <c r="P120" s="14"/>
      <c r="Q120" s="14"/>
      <c r="R120" s="14"/>
      <c r="S120" s="14"/>
      <c r="T120" s="14"/>
      <c r="U120" s="14"/>
      <c r="V120" s="14"/>
      <c r="W120" s="14"/>
      <c r="X120" s="14"/>
      <c r="Y120" s="14"/>
      <c r="Z120" s="14"/>
    </row>
    <row r="121" ht="22.5" customHeight="1">
      <c r="A121" s="217">
        <v>46063.0</v>
      </c>
      <c r="B121" s="218" t="s">
        <v>4108</v>
      </c>
      <c r="C121" s="218"/>
      <c r="D121" s="219" t="s">
        <v>4109</v>
      </c>
      <c r="E121" s="220">
        <v>9.88586813E9</v>
      </c>
      <c r="F121" s="221" t="s">
        <v>144</v>
      </c>
      <c r="G121" s="218" t="s">
        <v>4053</v>
      </c>
      <c r="H121" s="61"/>
      <c r="J121" s="14"/>
      <c r="K121" s="14"/>
      <c r="L121" s="14"/>
      <c r="M121" s="14"/>
      <c r="N121" s="14"/>
      <c r="O121" s="14"/>
      <c r="P121" s="14"/>
      <c r="Q121" s="14"/>
      <c r="R121" s="14"/>
      <c r="S121" s="14"/>
      <c r="T121" s="14"/>
      <c r="U121" s="14"/>
      <c r="V121" s="14"/>
      <c r="W121" s="14"/>
      <c r="X121" s="14"/>
      <c r="Y121" s="14"/>
      <c r="Z121" s="14"/>
    </row>
    <row r="122" ht="22.5" customHeight="1">
      <c r="A122" s="217">
        <v>46063.0</v>
      </c>
      <c r="B122" s="218" t="s">
        <v>4110</v>
      </c>
      <c r="C122" s="218" t="s">
        <v>203</v>
      </c>
      <c r="D122" s="219"/>
      <c r="E122" s="220"/>
      <c r="F122" s="221" t="s">
        <v>3853</v>
      </c>
      <c r="G122" s="218" t="s">
        <v>4111</v>
      </c>
      <c r="H122" s="61"/>
      <c r="J122" s="14"/>
      <c r="K122" s="14"/>
      <c r="L122" s="14"/>
      <c r="M122" s="14"/>
      <c r="N122" s="14"/>
      <c r="O122" s="14"/>
      <c r="P122" s="14"/>
      <c r="Q122" s="14"/>
      <c r="R122" s="14"/>
      <c r="S122" s="14"/>
      <c r="T122" s="14"/>
      <c r="U122" s="14"/>
      <c r="V122" s="14"/>
      <c r="W122" s="14"/>
      <c r="X122" s="14"/>
      <c r="Y122" s="14"/>
      <c r="Z122" s="14"/>
    </row>
    <row r="123" ht="22.5" customHeight="1">
      <c r="A123" s="217">
        <v>46063.0</v>
      </c>
      <c r="B123" s="218" t="s">
        <v>4112</v>
      </c>
      <c r="C123" s="218" t="s">
        <v>4113</v>
      </c>
      <c r="D123" s="219" t="s">
        <v>4114</v>
      </c>
      <c r="E123" s="220">
        <v>9.849510284E9</v>
      </c>
      <c r="F123" s="221" t="s">
        <v>248</v>
      </c>
      <c r="G123" s="218" t="s">
        <v>4115</v>
      </c>
      <c r="H123" s="61"/>
      <c r="J123" s="14"/>
      <c r="K123" s="14"/>
      <c r="L123" s="14"/>
      <c r="M123" s="14"/>
      <c r="N123" s="14"/>
      <c r="O123" s="14"/>
      <c r="P123" s="14"/>
      <c r="Q123" s="14"/>
      <c r="R123" s="14"/>
      <c r="S123" s="14"/>
      <c r="T123" s="14"/>
      <c r="U123" s="14"/>
      <c r="V123" s="14"/>
      <c r="W123" s="14"/>
      <c r="X123" s="14"/>
      <c r="Y123" s="14"/>
      <c r="Z123" s="14"/>
    </row>
    <row r="124" ht="22.5" customHeight="1">
      <c r="A124" s="226">
        <v>46064.0</v>
      </c>
      <c r="B124" s="218" t="s">
        <v>4116</v>
      </c>
      <c r="C124" s="218" t="s">
        <v>4117</v>
      </c>
      <c r="D124" s="219" t="s">
        <v>4118</v>
      </c>
      <c r="E124" s="220">
        <v>9.866847607E9</v>
      </c>
      <c r="F124" s="221" t="s">
        <v>248</v>
      </c>
      <c r="G124" s="218" t="s">
        <v>4119</v>
      </c>
      <c r="H124" s="61"/>
      <c r="J124" s="14"/>
      <c r="K124" s="14"/>
      <c r="L124" s="14"/>
      <c r="M124" s="14"/>
      <c r="N124" s="14"/>
      <c r="O124" s="14"/>
      <c r="P124" s="14"/>
      <c r="Q124" s="14"/>
      <c r="R124" s="14"/>
      <c r="S124" s="14"/>
      <c r="T124" s="14"/>
      <c r="U124" s="14"/>
      <c r="V124" s="14"/>
      <c r="W124" s="14"/>
      <c r="X124" s="14"/>
      <c r="Y124" s="14"/>
      <c r="Z124" s="14"/>
    </row>
    <row r="125" ht="22.5" customHeight="1">
      <c r="A125" s="226">
        <v>46064.0</v>
      </c>
      <c r="B125" s="218" t="s">
        <v>4120</v>
      </c>
      <c r="C125" s="218"/>
      <c r="D125" s="219" t="s">
        <v>4121</v>
      </c>
      <c r="E125" s="220">
        <v>7.396769261E9</v>
      </c>
      <c r="F125" s="221" t="s">
        <v>241</v>
      </c>
      <c r="G125" s="218" t="s">
        <v>4122</v>
      </c>
      <c r="H125" s="61"/>
      <c r="J125" s="14"/>
      <c r="K125" s="14"/>
      <c r="L125" s="14"/>
      <c r="M125" s="14"/>
      <c r="N125" s="14"/>
      <c r="O125" s="14"/>
      <c r="P125" s="14"/>
      <c r="Q125" s="14"/>
      <c r="R125" s="14"/>
      <c r="S125" s="14"/>
      <c r="T125" s="14"/>
      <c r="U125" s="14"/>
      <c r="V125" s="14"/>
      <c r="W125" s="14"/>
      <c r="X125" s="14"/>
      <c r="Y125" s="14"/>
      <c r="Z125" s="14"/>
    </row>
    <row r="126" ht="22.5" customHeight="1">
      <c r="A126" s="226">
        <v>46064.0</v>
      </c>
      <c r="B126" s="218" t="s">
        <v>4123</v>
      </c>
      <c r="C126" s="218"/>
      <c r="D126" s="219"/>
      <c r="E126" s="220"/>
      <c r="F126" s="221" t="s">
        <v>73</v>
      </c>
      <c r="G126" s="218" t="s">
        <v>3862</v>
      </c>
      <c r="H126" s="61"/>
      <c r="J126" s="14"/>
      <c r="K126" s="14"/>
      <c r="L126" s="14"/>
      <c r="M126" s="14"/>
      <c r="N126" s="14"/>
      <c r="O126" s="14"/>
      <c r="P126" s="14"/>
      <c r="Q126" s="14"/>
      <c r="R126" s="14"/>
      <c r="S126" s="14"/>
      <c r="T126" s="14"/>
      <c r="U126" s="14"/>
      <c r="V126" s="14"/>
      <c r="W126" s="14"/>
      <c r="X126" s="14"/>
      <c r="Y126" s="14"/>
      <c r="Z126" s="14"/>
    </row>
    <row r="127" ht="22.5" customHeight="1">
      <c r="A127" s="226">
        <v>46064.0</v>
      </c>
      <c r="B127" s="218" t="s">
        <v>4124</v>
      </c>
      <c r="C127" s="218"/>
      <c r="D127" s="219" t="s">
        <v>4125</v>
      </c>
      <c r="E127" s="220"/>
      <c r="F127" s="221" t="s">
        <v>241</v>
      </c>
      <c r="G127" s="218" t="s">
        <v>4126</v>
      </c>
      <c r="H127" s="61"/>
      <c r="J127" s="14"/>
      <c r="K127" s="14"/>
      <c r="L127" s="14"/>
      <c r="M127" s="14"/>
      <c r="N127" s="14"/>
      <c r="O127" s="14"/>
      <c r="P127" s="14"/>
      <c r="Q127" s="14"/>
      <c r="R127" s="14"/>
      <c r="S127" s="14"/>
      <c r="T127" s="14"/>
      <c r="U127" s="14"/>
      <c r="V127" s="14"/>
      <c r="W127" s="14"/>
      <c r="X127" s="14"/>
      <c r="Y127" s="14"/>
      <c r="Z127" s="14"/>
    </row>
    <row r="128" ht="22.5" customHeight="1">
      <c r="A128" s="226">
        <v>46064.0</v>
      </c>
      <c r="B128" s="218" t="s">
        <v>4127</v>
      </c>
      <c r="C128" s="218"/>
      <c r="D128" s="219" t="s">
        <v>4128</v>
      </c>
      <c r="E128" s="220">
        <v>7.893777231E9</v>
      </c>
      <c r="F128" s="221" t="s">
        <v>45</v>
      </c>
      <c r="G128" s="218" t="s">
        <v>4129</v>
      </c>
      <c r="H128" s="61"/>
      <c r="J128" s="14"/>
      <c r="K128" s="14"/>
      <c r="L128" s="14"/>
      <c r="M128" s="14"/>
      <c r="N128" s="14"/>
      <c r="O128" s="14"/>
      <c r="P128" s="14"/>
      <c r="Q128" s="14"/>
      <c r="R128" s="14"/>
      <c r="S128" s="14"/>
      <c r="T128" s="14"/>
      <c r="U128" s="14"/>
      <c r="V128" s="14"/>
      <c r="W128" s="14"/>
      <c r="X128" s="14"/>
      <c r="Y128" s="14"/>
      <c r="Z128" s="14"/>
    </row>
    <row r="129" ht="22.5" customHeight="1">
      <c r="A129" s="226">
        <v>46064.0</v>
      </c>
      <c r="B129" s="218" t="s">
        <v>4130</v>
      </c>
      <c r="C129" s="218"/>
      <c r="D129" s="219"/>
      <c r="E129" s="220">
        <v>9.959244406E9</v>
      </c>
      <c r="F129" s="221" t="s">
        <v>144</v>
      </c>
      <c r="G129" s="218" t="s">
        <v>4131</v>
      </c>
      <c r="H129" s="61"/>
      <c r="J129" s="14"/>
      <c r="K129" s="14"/>
      <c r="L129" s="14"/>
      <c r="M129" s="14"/>
      <c r="N129" s="14"/>
      <c r="O129" s="14"/>
      <c r="P129" s="14"/>
      <c r="Q129" s="14"/>
      <c r="R129" s="14"/>
      <c r="S129" s="14"/>
      <c r="T129" s="14"/>
      <c r="U129" s="14"/>
      <c r="V129" s="14"/>
      <c r="W129" s="14"/>
      <c r="X129" s="14"/>
      <c r="Y129" s="14"/>
      <c r="Z129" s="14"/>
    </row>
    <row r="130" ht="22.5" customHeight="1">
      <c r="A130" s="226">
        <v>46064.0</v>
      </c>
      <c r="B130" s="218" t="s">
        <v>4132</v>
      </c>
      <c r="C130" s="218"/>
      <c r="D130" s="219" t="s">
        <v>4133</v>
      </c>
      <c r="E130" s="220">
        <v>9.10044213E9</v>
      </c>
      <c r="F130" s="221" t="s">
        <v>73</v>
      </c>
      <c r="G130" s="218" t="s">
        <v>4134</v>
      </c>
      <c r="H130" s="61"/>
      <c r="J130" s="14"/>
      <c r="K130" s="14"/>
      <c r="L130" s="14"/>
      <c r="M130" s="14"/>
      <c r="N130" s="14"/>
      <c r="O130" s="14"/>
      <c r="P130" s="14"/>
      <c r="Q130" s="14"/>
      <c r="R130" s="14"/>
      <c r="S130" s="14"/>
      <c r="T130" s="14"/>
      <c r="U130" s="14"/>
      <c r="V130" s="14"/>
      <c r="W130" s="14"/>
      <c r="X130" s="14"/>
      <c r="Y130" s="14"/>
      <c r="Z130" s="14"/>
    </row>
    <row r="131" ht="22.5" customHeight="1">
      <c r="A131" s="226">
        <v>46064.0</v>
      </c>
      <c r="B131" s="218" t="s">
        <v>4135</v>
      </c>
      <c r="C131" s="218"/>
      <c r="D131" s="219"/>
      <c r="E131" s="220"/>
      <c r="F131" s="221" t="s">
        <v>60</v>
      </c>
      <c r="G131" s="218" t="s">
        <v>4136</v>
      </c>
      <c r="H131" s="61"/>
      <c r="J131" s="14"/>
      <c r="K131" s="14"/>
      <c r="L131" s="14"/>
      <c r="M131" s="14"/>
      <c r="N131" s="14"/>
      <c r="O131" s="14"/>
      <c r="P131" s="14"/>
      <c r="Q131" s="14"/>
      <c r="R131" s="14"/>
      <c r="S131" s="14"/>
      <c r="T131" s="14"/>
      <c r="U131" s="14"/>
      <c r="V131" s="14"/>
      <c r="W131" s="14"/>
      <c r="X131" s="14"/>
      <c r="Y131" s="14"/>
      <c r="Z131" s="14"/>
    </row>
    <row r="132" ht="22.5" customHeight="1">
      <c r="A132" s="226">
        <v>46064.0</v>
      </c>
      <c r="B132" s="218" t="s">
        <v>732</v>
      </c>
      <c r="C132" s="218"/>
      <c r="D132" s="219"/>
      <c r="E132" s="220">
        <v>9.989071021E9</v>
      </c>
      <c r="F132" s="221" t="s">
        <v>144</v>
      </c>
      <c r="G132" s="218" t="s">
        <v>3862</v>
      </c>
      <c r="H132" s="61"/>
      <c r="J132" s="14"/>
      <c r="K132" s="14"/>
      <c r="L132" s="14"/>
      <c r="M132" s="14"/>
      <c r="N132" s="14"/>
      <c r="O132" s="14"/>
      <c r="P132" s="14"/>
      <c r="Q132" s="14"/>
      <c r="R132" s="14"/>
      <c r="S132" s="14"/>
      <c r="T132" s="14"/>
      <c r="U132" s="14"/>
      <c r="V132" s="14"/>
      <c r="W132" s="14"/>
      <c r="X132" s="14"/>
      <c r="Y132" s="14"/>
      <c r="Z132" s="14"/>
    </row>
    <row r="133" ht="22.5" customHeight="1">
      <c r="A133" s="226">
        <v>46064.0</v>
      </c>
      <c r="B133" s="218" t="s">
        <v>4137</v>
      </c>
      <c r="C133" s="218"/>
      <c r="D133" s="219" t="s">
        <v>3171</v>
      </c>
      <c r="E133" s="220">
        <v>9.704228899E9</v>
      </c>
      <c r="F133" s="221" t="s">
        <v>73</v>
      </c>
      <c r="G133" s="218" t="s">
        <v>4138</v>
      </c>
      <c r="H133" s="61"/>
      <c r="J133" s="14"/>
      <c r="K133" s="14"/>
      <c r="L133" s="14"/>
      <c r="M133" s="14"/>
      <c r="N133" s="14"/>
      <c r="O133" s="14"/>
      <c r="P133" s="14"/>
      <c r="Q133" s="14"/>
      <c r="R133" s="14"/>
      <c r="S133" s="14"/>
      <c r="T133" s="14"/>
      <c r="U133" s="14"/>
      <c r="V133" s="14"/>
      <c r="W133" s="14"/>
      <c r="X133" s="14"/>
      <c r="Y133" s="14"/>
      <c r="Z133" s="14"/>
    </row>
    <row r="134" ht="22.5" customHeight="1">
      <c r="A134" s="226">
        <v>46064.0</v>
      </c>
      <c r="B134" s="218" t="s">
        <v>4139</v>
      </c>
      <c r="C134" s="218"/>
      <c r="D134" s="219" t="s">
        <v>4140</v>
      </c>
      <c r="E134" s="220">
        <v>8.438457084E9</v>
      </c>
      <c r="F134" s="221" t="s">
        <v>241</v>
      </c>
      <c r="G134" s="218" t="s">
        <v>4141</v>
      </c>
      <c r="H134" s="61"/>
      <c r="J134" s="14"/>
      <c r="K134" s="14"/>
      <c r="L134" s="14"/>
      <c r="M134" s="14"/>
      <c r="N134" s="14"/>
      <c r="O134" s="14"/>
      <c r="P134" s="14"/>
      <c r="Q134" s="14"/>
      <c r="R134" s="14"/>
      <c r="S134" s="14"/>
      <c r="T134" s="14"/>
      <c r="U134" s="14"/>
      <c r="V134" s="14"/>
      <c r="W134" s="14"/>
      <c r="X134" s="14"/>
      <c r="Y134" s="14"/>
      <c r="Z134" s="14"/>
    </row>
    <row r="135" ht="22.5" customHeight="1">
      <c r="A135" s="226">
        <v>46064.0</v>
      </c>
      <c r="B135" s="218" t="s">
        <v>4142</v>
      </c>
      <c r="C135" s="218" t="s">
        <v>4143</v>
      </c>
      <c r="D135" s="219" t="s">
        <v>4144</v>
      </c>
      <c r="E135" s="220">
        <v>9.86666778E8</v>
      </c>
      <c r="F135" s="221" t="s">
        <v>200</v>
      </c>
      <c r="G135" s="218" t="s">
        <v>4145</v>
      </c>
      <c r="H135" s="61"/>
      <c r="J135" s="14"/>
      <c r="K135" s="14"/>
      <c r="L135" s="14"/>
      <c r="M135" s="14"/>
      <c r="N135" s="14"/>
      <c r="O135" s="14"/>
      <c r="P135" s="14"/>
      <c r="Q135" s="14"/>
      <c r="R135" s="14"/>
      <c r="S135" s="14"/>
      <c r="T135" s="14"/>
      <c r="U135" s="14"/>
      <c r="V135" s="14"/>
      <c r="W135" s="14"/>
      <c r="X135" s="14"/>
      <c r="Y135" s="14"/>
      <c r="Z135" s="14"/>
    </row>
    <row r="136" ht="22.5" customHeight="1">
      <c r="A136" s="226">
        <v>46064.0</v>
      </c>
      <c r="B136" s="218" t="s">
        <v>4146</v>
      </c>
      <c r="C136" s="218" t="s">
        <v>4143</v>
      </c>
      <c r="D136" s="219" t="s">
        <v>4147</v>
      </c>
      <c r="E136" s="220">
        <v>9.86666778E8</v>
      </c>
      <c r="F136" s="221" t="s">
        <v>200</v>
      </c>
      <c r="G136" s="218" t="s">
        <v>4145</v>
      </c>
      <c r="H136" s="61"/>
      <c r="J136" s="14"/>
      <c r="K136" s="14"/>
      <c r="L136" s="14"/>
      <c r="M136" s="14"/>
      <c r="N136" s="14"/>
      <c r="O136" s="14"/>
      <c r="P136" s="14"/>
      <c r="Q136" s="14"/>
      <c r="R136" s="14"/>
      <c r="S136" s="14"/>
      <c r="T136" s="14"/>
      <c r="U136" s="14"/>
      <c r="V136" s="14"/>
      <c r="W136" s="14"/>
      <c r="X136" s="14"/>
      <c r="Y136" s="14"/>
      <c r="Z136" s="14"/>
    </row>
    <row r="137" ht="22.5" customHeight="1">
      <c r="A137" s="226">
        <v>46064.0</v>
      </c>
      <c r="B137" s="218" t="s">
        <v>4148</v>
      </c>
      <c r="C137" s="218" t="s">
        <v>4143</v>
      </c>
      <c r="D137" s="219" t="s">
        <v>4147</v>
      </c>
      <c r="E137" s="220">
        <v>9.86666778E8</v>
      </c>
      <c r="F137" s="221" t="s">
        <v>200</v>
      </c>
      <c r="G137" s="218" t="s">
        <v>4145</v>
      </c>
      <c r="H137" s="61"/>
      <c r="J137" s="14"/>
      <c r="K137" s="14"/>
      <c r="L137" s="14"/>
      <c r="M137" s="14"/>
      <c r="N137" s="14"/>
      <c r="O137" s="14"/>
      <c r="P137" s="14"/>
      <c r="Q137" s="14"/>
      <c r="R137" s="14"/>
      <c r="S137" s="14"/>
      <c r="T137" s="14"/>
      <c r="U137" s="14"/>
      <c r="V137" s="14"/>
      <c r="W137" s="14"/>
      <c r="X137" s="14"/>
      <c r="Y137" s="14"/>
      <c r="Z137" s="14"/>
    </row>
    <row r="138" ht="22.5" customHeight="1">
      <c r="A138" s="226">
        <v>46064.0</v>
      </c>
      <c r="B138" s="218" t="s">
        <v>4149</v>
      </c>
      <c r="C138" s="218"/>
      <c r="D138" s="219" t="s">
        <v>4150</v>
      </c>
      <c r="E138" s="220">
        <v>9.966660134E9</v>
      </c>
      <c r="F138" s="221" t="s">
        <v>73</v>
      </c>
      <c r="G138" s="218" t="s">
        <v>4151</v>
      </c>
      <c r="H138" s="61"/>
      <c r="J138" s="14"/>
      <c r="K138" s="14"/>
      <c r="L138" s="14"/>
      <c r="M138" s="14"/>
      <c r="N138" s="14"/>
      <c r="O138" s="14"/>
      <c r="P138" s="14"/>
      <c r="Q138" s="14"/>
      <c r="R138" s="14"/>
      <c r="S138" s="14"/>
      <c r="T138" s="14"/>
      <c r="U138" s="14"/>
      <c r="V138" s="14"/>
      <c r="W138" s="14"/>
      <c r="X138" s="14"/>
      <c r="Y138" s="14"/>
      <c r="Z138" s="14"/>
    </row>
    <row r="139" ht="22.5" customHeight="1">
      <c r="A139" s="226">
        <v>46064.0</v>
      </c>
      <c r="B139" s="218" t="s">
        <v>4152</v>
      </c>
      <c r="C139" s="218"/>
      <c r="D139" s="219"/>
      <c r="E139" s="220">
        <v>9.052253253E9</v>
      </c>
      <c r="F139" s="221" t="s">
        <v>73</v>
      </c>
      <c r="G139" s="218" t="s">
        <v>4153</v>
      </c>
      <c r="H139" s="61"/>
      <c r="J139" s="14"/>
      <c r="K139" s="14"/>
      <c r="L139" s="14"/>
      <c r="M139" s="14"/>
      <c r="N139" s="14"/>
      <c r="O139" s="14"/>
      <c r="P139" s="14"/>
      <c r="Q139" s="14"/>
      <c r="R139" s="14"/>
      <c r="S139" s="14"/>
      <c r="T139" s="14"/>
      <c r="U139" s="14"/>
      <c r="V139" s="14"/>
      <c r="W139" s="14"/>
      <c r="X139" s="14"/>
      <c r="Y139" s="14"/>
      <c r="Z139" s="14"/>
    </row>
    <row r="140" ht="22.5" customHeight="1">
      <c r="A140" s="226">
        <v>46064.0</v>
      </c>
      <c r="B140" s="9" t="s">
        <v>3944</v>
      </c>
      <c r="C140" s="9"/>
      <c r="D140" s="9" t="s">
        <v>3945</v>
      </c>
      <c r="E140" s="216">
        <v>6.281845369E9</v>
      </c>
      <c r="F140" s="8" t="s">
        <v>248</v>
      </c>
      <c r="G140" s="9" t="s">
        <v>4154</v>
      </c>
      <c r="H140" s="61"/>
      <c r="J140" s="14"/>
      <c r="K140" s="14"/>
      <c r="L140" s="14"/>
      <c r="M140" s="14"/>
      <c r="N140" s="14"/>
      <c r="O140" s="14"/>
      <c r="P140" s="14"/>
      <c r="Q140" s="14"/>
      <c r="R140" s="14"/>
      <c r="S140" s="14"/>
      <c r="T140" s="14"/>
      <c r="U140" s="14"/>
      <c r="V140" s="14"/>
      <c r="W140" s="14"/>
      <c r="X140" s="14"/>
      <c r="Y140" s="14"/>
      <c r="Z140" s="14"/>
    </row>
    <row r="141" ht="22.5" customHeight="1">
      <c r="A141" s="226">
        <v>46064.0</v>
      </c>
      <c r="B141" s="9" t="s">
        <v>4155</v>
      </c>
      <c r="C141" s="9"/>
      <c r="D141" s="9" t="s">
        <v>4156</v>
      </c>
      <c r="E141" s="216">
        <v>9.550402185E9</v>
      </c>
      <c r="F141" s="8" t="s">
        <v>241</v>
      </c>
      <c r="G141" s="9" t="s">
        <v>4157</v>
      </c>
      <c r="H141" s="61"/>
      <c r="J141" s="14"/>
      <c r="K141" s="14"/>
      <c r="L141" s="14"/>
      <c r="M141" s="14"/>
      <c r="N141" s="14"/>
      <c r="O141" s="14"/>
      <c r="P141" s="14"/>
      <c r="Q141" s="14"/>
      <c r="R141" s="14"/>
      <c r="S141" s="14"/>
      <c r="T141" s="14"/>
      <c r="U141" s="14"/>
      <c r="V141" s="14"/>
      <c r="W141" s="14"/>
      <c r="X141" s="14"/>
      <c r="Y141" s="14"/>
      <c r="Z141" s="14"/>
    </row>
    <row r="142" ht="22.5" customHeight="1">
      <c r="A142" s="226">
        <v>46064.0</v>
      </c>
      <c r="B142" s="9" t="s">
        <v>4158</v>
      </c>
      <c r="C142" s="9"/>
      <c r="D142" s="9" t="s">
        <v>4159</v>
      </c>
      <c r="E142" s="216">
        <v>9.059036521E9</v>
      </c>
      <c r="F142" s="8" t="s">
        <v>73</v>
      </c>
      <c r="G142" s="9" t="s">
        <v>4160</v>
      </c>
      <c r="H142" s="61"/>
      <c r="J142" s="14"/>
      <c r="K142" s="14"/>
      <c r="L142" s="14"/>
      <c r="M142" s="14"/>
      <c r="N142" s="14"/>
      <c r="O142" s="14"/>
      <c r="P142" s="14"/>
      <c r="Q142" s="14"/>
      <c r="R142" s="14"/>
      <c r="S142" s="14"/>
      <c r="T142" s="14"/>
      <c r="U142" s="14"/>
      <c r="V142" s="14"/>
      <c r="W142" s="14"/>
      <c r="X142" s="14"/>
      <c r="Y142" s="14"/>
      <c r="Z142" s="14"/>
    </row>
    <row r="143" ht="22.5" customHeight="1">
      <c r="A143" s="226">
        <v>46064.0</v>
      </c>
      <c r="B143" s="9" t="s">
        <v>4161</v>
      </c>
      <c r="C143" s="9"/>
      <c r="D143" s="9" t="s">
        <v>4162</v>
      </c>
      <c r="E143" s="216">
        <v>8.374447297E9</v>
      </c>
      <c r="F143" s="8" t="s">
        <v>241</v>
      </c>
      <c r="G143" s="9" t="s">
        <v>4163</v>
      </c>
      <c r="H143" s="61"/>
      <c r="J143" s="14"/>
      <c r="K143" s="14"/>
      <c r="L143" s="14"/>
      <c r="M143" s="14"/>
      <c r="N143" s="14"/>
      <c r="O143" s="14"/>
      <c r="P143" s="14"/>
      <c r="Q143" s="14"/>
      <c r="R143" s="14"/>
      <c r="S143" s="14"/>
      <c r="T143" s="14"/>
      <c r="U143" s="14"/>
      <c r="V143" s="14"/>
      <c r="W143" s="14"/>
      <c r="X143" s="14"/>
      <c r="Y143" s="14"/>
      <c r="Z143" s="14"/>
    </row>
    <row r="144" ht="22.5" customHeight="1">
      <c r="A144" s="226">
        <v>46064.0</v>
      </c>
      <c r="B144" s="9" t="s">
        <v>4164</v>
      </c>
      <c r="C144" s="9"/>
      <c r="D144" s="9" t="s">
        <v>4165</v>
      </c>
      <c r="E144" s="216">
        <v>9.246573562E9</v>
      </c>
      <c r="F144" s="8" t="s">
        <v>241</v>
      </c>
      <c r="G144" s="9" t="s">
        <v>4166</v>
      </c>
      <c r="H144" s="61"/>
      <c r="J144" s="14"/>
      <c r="K144" s="14"/>
      <c r="L144" s="14"/>
      <c r="M144" s="14"/>
      <c r="N144" s="14"/>
      <c r="O144" s="14"/>
      <c r="P144" s="14"/>
      <c r="Q144" s="14"/>
      <c r="R144" s="14"/>
      <c r="S144" s="14"/>
      <c r="T144" s="14"/>
      <c r="U144" s="14"/>
      <c r="V144" s="14"/>
      <c r="W144" s="14"/>
      <c r="X144" s="14"/>
      <c r="Y144" s="14"/>
      <c r="Z144" s="14"/>
    </row>
    <row r="145" ht="22.5" customHeight="1">
      <c r="A145" s="226">
        <v>46064.0</v>
      </c>
      <c r="B145" s="9" t="s">
        <v>4167</v>
      </c>
      <c r="C145" s="9" t="s">
        <v>4168</v>
      </c>
      <c r="D145" s="9" t="s">
        <v>4169</v>
      </c>
      <c r="E145" s="216">
        <v>7.897979742E9</v>
      </c>
      <c r="F145" s="8" t="s">
        <v>241</v>
      </c>
      <c r="G145" s="9" t="s">
        <v>4170</v>
      </c>
      <c r="H145" s="61"/>
      <c r="J145" s="14"/>
      <c r="K145" s="14"/>
      <c r="L145" s="14"/>
      <c r="M145" s="14"/>
      <c r="N145" s="14"/>
      <c r="O145" s="14"/>
      <c r="P145" s="14"/>
      <c r="Q145" s="14"/>
      <c r="R145" s="14"/>
      <c r="S145" s="14"/>
      <c r="T145" s="14"/>
      <c r="U145" s="14"/>
      <c r="V145" s="14"/>
      <c r="W145" s="14"/>
      <c r="X145" s="14"/>
      <c r="Y145" s="14"/>
      <c r="Z145" s="14"/>
    </row>
    <row r="146" ht="22.5" customHeight="1">
      <c r="A146" s="226">
        <v>46064.0</v>
      </c>
      <c r="B146" s="9" t="s">
        <v>4171</v>
      </c>
      <c r="C146" s="9"/>
      <c r="D146" s="9"/>
      <c r="E146" s="216"/>
      <c r="F146" s="8" t="s">
        <v>60</v>
      </c>
      <c r="G146" s="9" t="s">
        <v>4172</v>
      </c>
      <c r="H146" s="61"/>
      <c r="J146" s="14"/>
      <c r="K146" s="14"/>
      <c r="L146" s="14"/>
      <c r="M146" s="14"/>
      <c r="N146" s="14"/>
      <c r="O146" s="14"/>
      <c r="P146" s="14"/>
      <c r="Q146" s="14"/>
      <c r="R146" s="14"/>
      <c r="S146" s="14"/>
      <c r="T146" s="14"/>
      <c r="U146" s="14"/>
      <c r="V146" s="14"/>
      <c r="W146" s="14"/>
      <c r="X146" s="14"/>
      <c r="Y146" s="14"/>
      <c r="Z146" s="14"/>
    </row>
    <row r="147" ht="22.5" customHeight="1">
      <c r="A147" s="226">
        <v>46064.0</v>
      </c>
      <c r="B147" s="9" t="s">
        <v>4173</v>
      </c>
      <c r="C147" s="9" t="s">
        <v>4174</v>
      </c>
      <c r="D147" s="9" t="s">
        <v>4175</v>
      </c>
      <c r="E147" s="216">
        <v>7.799777981E9</v>
      </c>
      <c r="F147" s="8" t="s">
        <v>248</v>
      </c>
      <c r="G147" s="9" t="s">
        <v>4176</v>
      </c>
      <c r="H147" s="61"/>
      <c r="J147" s="14"/>
      <c r="K147" s="14"/>
      <c r="L147" s="14"/>
      <c r="M147" s="14"/>
      <c r="N147" s="14"/>
      <c r="O147" s="14"/>
      <c r="P147" s="14"/>
      <c r="Q147" s="14"/>
      <c r="R147" s="14"/>
      <c r="S147" s="14"/>
      <c r="T147" s="14"/>
      <c r="U147" s="14"/>
      <c r="V147" s="14"/>
      <c r="W147" s="14"/>
      <c r="X147" s="14"/>
      <c r="Y147" s="14"/>
      <c r="Z147" s="14"/>
    </row>
    <row r="148" ht="22.5" customHeight="1">
      <c r="A148" s="226">
        <v>46064.0</v>
      </c>
      <c r="B148" s="9" t="s">
        <v>4177</v>
      </c>
      <c r="C148" s="9" t="s">
        <v>4174</v>
      </c>
      <c r="D148" s="9" t="s">
        <v>4178</v>
      </c>
      <c r="E148" s="216"/>
      <c r="F148" s="8" t="s">
        <v>248</v>
      </c>
      <c r="G148" s="9" t="s">
        <v>4176</v>
      </c>
      <c r="H148" s="61"/>
      <c r="J148" s="14"/>
      <c r="K148" s="14"/>
      <c r="L148" s="14"/>
      <c r="M148" s="14"/>
      <c r="N148" s="14"/>
      <c r="O148" s="14"/>
      <c r="P148" s="14"/>
      <c r="Q148" s="14"/>
      <c r="R148" s="14"/>
      <c r="S148" s="14"/>
      <c r="T148" s="14"/>
      <c r="U148" s="14"/>
      <c r="V148" s="14"/>
      <c r="W148" s="14"/>
      <c r="X148" s="14"/>
      <c r="Y148" s="14"/>
      <c r="Z148" s="14"/>
    </row>
    <row r="149" ht="22.5" customHeight="1">
      <c r="A149" s="226">
        <v>46064.0</v>
      </c>
      <c r="B149" s="9" t="s">
        <v>4179</v>
      </c>
      <c r="C149" s="9" t="s">
        <v>3042</v>
      </c>
      <c r="D149" s="9" t="s">
        <v>4180</v>
      </c>
      <c r="E149" s="216">
        <v>9.966591281E9</v>
      </c>
      <c r="F149" s="8" t="s">
        <v>3853</v>
      </c>
      <c r="G149" s="9" t="s">
        <v>3862</v>
      </c>
      <c r="H149" s="61"/>
      <c r="J149" s="14"/>
      <c r="K149" s="14"/>
      <c r="L149" s="14"/>
      <c r="M149" s="14"/>
      <c r="N149" s="14"/>
      <c r="O149" s="14"/>
      <c r="P149" s="14"/>
      <c r="Q149" s="14"/>
      <c r="R149" s="14"/>
      <c r="S149" s="14"/>
      <c r="T149" s="14"/>
      <c r="U149" s="14"/>
      <c r="V149" s="14"/>
      <c r="W149" s="14"/>
      <c r="X149" s="14"/>
      <c r="Y149" s="14"/>
      <c r="Z149" s="14"/>
    </row>
    <row r="150" ht="22.5" customHeight="1">
      <c r="A150" s="226">
        <v>46064.0</v>
      </c>
      <c r="B150" s="9" t="s">
        <v>4181</v>
      </c>
      <c r="C150" s="9" t="s">
        <v>3851</v>
      </c>
      <c r="D150" s="9" t="s">
        <v>4182</v>
      </c>
      <c r="E150" s="216">
        <v>9.347288529E9</v>
      </c>
      <c r="F150" s="8" t="s">
        <v>3853</v>
      </c>
      <c r="G150" s="9" t="s">
        <v>4053</v>
      </c>
      <c r="H150" s="61"/>
      <c r="J150" s="14"/>
      <c r="K150" s="14"/>
      <c r="L150" s="14"/>
      <c r="M150" s="14"/>
      <c r="N150" s="14"/>
      <c r="O150" s="14"/>
      <c r="P150" s="14"/>
      <c r="Q150" s="14"/>
      <c r="R150" s="14"/>
      <c r="S150" s="14"/>
      <c r="T150" s="14"/>
      <c r="U150" s="14"/>
      <c r="V150" s="14"/>
      <c r="W150" s="14"/>
      <c r="X150" s="14"/>
      <c r="Y150" s="14"/>
      <c r="Z150" s="14"/>
    </row>
    <row r="151" ht="22.5" customHeight="1">
      <c r="A151" s="226">
        <v>46064.0</v>
      </c>
      <c r="B151" s="9" t="s">
        <v>4183</v>
      </c>
      <c r="C151" s="9" t="s">
        <v>4174</v>
      </c>
      <c r="D151" s="9" t="s">
        <v>4184</v>
      </c>
      <c r="E151" s="216">
        <v>9.133424262E9</v>
      </c>
      <c r="F151" s="8" t="s">
        <v>248</v>
      </c>
      <c r="G151" s="9" t="s">
        <v>4185</v>
      </c>
      <c r="H151" s="61"/>
      <c r="J151" s="14"/>
      <c r="K151" s="14"/>
      <c r="L151" s="14"/>
      <c r="M151" s="14"/>
      <c r="N151" s="14"/>
      <c r="O151" s="14"/>
      <c r="P151" s="14"/>
      <c r="Q151" s="14"/>
      <c r="R151" s="14"/>
      <c r="S151" s="14"/>
      <c r="T151" s="14"/>
      <c r="U151" s="14"/>
      <c r="V151" s="14"/>
      <c r="W151" s="14"/>
      <c r="X151" s="14"/>
      <c r="Y151" s="14"/>
      <c r="Z151" s="14"/>
    </row>
    <row r="152" ht="22.5" customHeight="1">
      <c r="A152" s="226">
        <v>46064.0</v>
      </c>
      <c r="B152" s="9" t="s">
        <v>4186</v>
      </c>
      <c r="C152" s="9" t="s">
        <v>3851</v>
      </c>
      <c r="D152" s="9"/>
      <c r="E152" s="216">
        <v>8.885086869E9</v>
      </c>
      <c r="F152" s="8" t="s">
        <v>3853</v>
      </c>
      <c r="G152" s="9" t="s">
        <v>4187</v>
      </c>
      <c r="H152" s="61"/>
      <c r="J152" s="14"/>
      <c r="K152" s="14"/>
      <c r="L152" s="14"/>
      <c r="M152" s="14"/>
      <c r="N152" s="14"/>
      <c r="O152" s="14"/>
      <c r="P152" s="14"/>
      <c r="Q152" s="14"/>
      <c r="R152" s="14"/>
      <c r="S152" s="14"/>
      <c r="T152" s="14"/>
      <c r="U152" s="14"/>
      <c r="V152" s="14"/>
      <c r="W152" s="14"/>
      <c r="X152" s="14"/>
      <c r="Y152" s="14"/>
      <c r="Z152" s="14"/>
    </row>
    <row r="153" ht="22.5" customHeight="1">
      <c r="A153" s="226">
        <v>46064.0</v>
      </c>
      <c r="B153" s="9" t="s">
        <v>4188</v>
      </c>
      <c r="C153" s="9" t="s">
        <v>3851</v>
      </c>
      <c r="D153" s="9" t="s">
        <v>4189</v>
      </c>
      <c r="E153" s="216">
        <v>7.702428848E9</v>
      </c>
      <c r="F153" s="8" t="s">
        <v>3853</v>
      </c>
      <c r="G153" s="9" t="s">
        <v>4190</v>
      </c>
      <c r="H153" s="61"/>
      <c r="J153" s="14"/>
      <c r="K153" s="14"/>
      <c r="L153" s="14"/>
      <c r="M153" s="14"/>
      <c r="N153" s="14"/>
      <c r="O153" s="14"/>
      <c r="P153" s="14"/>
      <c r="Q153" s="14"/>
      <c r="R153" s="14"/>
      <c r="S153" s="14"/>
      <c r="T153" s="14"/>
      <c r="U153" s="14"/>
      <c r="V153" s="14"/>
      <c r="W153" s="14"/>
      <c r="X153" s="14"/>
      <c r="Y153" s="14"/>
      <c r="Z153" s="14"/>
    </row>
    <row r="154" ht="22.5" customHeight="1">
      <c r="A154" s="226">
        <v>46064.0</v>
      </c>
      <c r="B154" s="9" t="s">
        <v>4191</v>
      </c>
      <c r="C154" s="9"/>
      <c r="D154" s="9" t="s">
        <v>4192</v>
      </c>
      <c r="E154" s="216">
        <v>9.866667E9</v>
      </c>
      <c r="F154" s="8" t="s">
        <v>200</v>
      </c>
      <c r="G154" s="9" t="s">
        <v>4193</v>
      </c>
      <c r="H154" s="61"/>
      <c r="J154" s="14"/>
      <c r="K154" s="14"/>
      <c r="L154" s="14"/>
      <c r="M154" s="14"/>
      <c r="N154" s="14"/>
      <c r="O154" s="14"/>
      <c r="P154" s="14"/>
      <c r="Q154" s="14"/>
      <c r="R154" s="14"/>
      <c r="S154" s="14"/>
      <c r="T154" s="14"/>
      <c r="U154" s="14"/>
      <c r="V154" s="14"/>
      <c r="W154" s="14"/>
      <c r="X154" s="14"/>
      <c r="Y154" s="14"/>
      <c r="Z154" s="14"/>
    </row>
    <row r="155" ht="22.5" customHeight="1">
      <c r="A155" s="226">
        <v>46064.0</v>
      </c>
      <c r="B155" s="9" t="s">
        <v>4194</v>
      </c>
      <c r="C155" s="9" t="s">
        <v>4195</v>
      </c>
      <c r="D155" s="9"/>
      <c r="E155" s="216">
        <v>9.000211792E9</v>
      </c>
      <c r="F155" s="8" t="s">
        <v>241</v>
      </c>
      <c r="G155" s="9" t="s">
        <v>4196</v>
      </c>
      <c r="H155" s="61"/>
      <c r="J155" s="14"/>
      <c r="K155" s="14"/>
      <c r="L155" s="14"/>
      <c r="M155" s="14"/>
      <c r="N155" s="14"/>
      <c r="O155" s="14"/>
      <c r="P155" s="14"/>
      <c r="Q155" s="14"/>
      <c r="R155" s="14"/>
      <c r="S155" s="14"/>
      <c r="T155" s="14"/>
      <c r="U155" s="14"/>
      <c r="V155" s="14"/>
      <c r="W155" s="14"/>
      <c r="X155" s="14"/>
      <c r="Y155" s="14"/>
      <c r="Z155" s="14"/>
    </row>
    <row r="156" ht="22.5" customHeight="1">
      <c r="A156" s="226">
        <v>46064.0</v>
      </c>
      <c r="B156" s="9" t="s">
        <v>4197</v>
      </c>
      <c r="C156" s="9"/>
      <c r="D156" s="9" t="s">
        <v>4198</v>
      </c>
      <c r="E156" s="216">
        <v>9.145845425E9</v>
      </c>
      <c r="F156" s="8" t="s">
        <v>241</v>
      </c>
      <c r="G156" s="9" t="s">
        <v>4199</v>
      </c>
      <c r="H156" s="61"/>
      <c r="J156" s="14"/>
      <c r="K156" s="14"/>
      <c r="L156" s="14"/>
      <c r="M156" s="14"/>
      <c r="N156" s="14"/>
      <c r="O156" s="14"/>
      <c r="P156" s="14"/>
      <c r="Q156" s="14"/>
      <c r="R156" s="14"/>
      <c r="S156" s="14"/>
      <c r="T156" s="14"/>
      <c r="U156" s="14"/>
      <c r="V156" s="14"/>
      <c r="W156" s="14"/>
      <c r="X156" s="14"/>
      <c r="Y156" s="14"/>
      <c r="Z156" s="14"/>
    </row>
    <row r="157" ht="22.5" customHeight="1">
      <c r="A157" s="226">
        <v>46064.0</v>
      </c>
      <c r="B157" s="9" t="s">
        <v>4200</v>
      </c>
      <c r="C157" s="9"/>
      <c r="D157" s="9" t="s">
        <v>4201</v>
      </c>
      <c r="E157" s="216">
        <v>8.801027834E9</v>
      </c>
      <c r="F157" s="8" t="s">
        <v>144</v>
      </c>
      <c r="G157" s="9" t="s">
        <v>4202</v>
      </c>
      <c r="H157" s="61"/>
      <c r="J157" s="14"/>
      <c r="K157" s="14"/>
      <c r="L157" s="14"/>
      <c r="M157" s="14"/>
      <c r="N157" s="14"/>
      <c r="O157" s="14"/>
      <c r="P157" s="14"/>
      <c r="Q157" s="14"/>
      <c r="R157" s="14"/>
      <c r="S157" s="14"/>
      <c r="T157" s="14"/>
      <c r="U157" s="14"/>
      <c r="V157" s="14"/>
      <c r="W157" s="14"/>
      <c r="X157" s="14"/>
      <c r="Y157" s="14"/>
      <c r="Z157" s="14"/>
    </row>
    <row r="158" ht="22.5" customHeight="1">
      <c r="A158" s="226">
        <v>46064.0</v>
      </c>
      <c r="B158" s="9" t="s">
        <v>4203</v>
      </c>
      <c r="C158" s="9" t="s">
        <v>4204</v>
      </c>
      <c r="D158" s="9" t="s">
        <v>4205</v>
      </c>
      <c r="E158" s="216">
        <v>9.154408946E9</v>
      </c>
      <c r="F158" s="8" t="s">
        <v>241</v>
      </c>
      <c r="G158" s="9" t="s">
        <v>4206</v>
      </c>
      <c r="H158" s="61"/>
      <c r="J158" s="14"/>
      <c r="K158" s="14"/>
      <c r="L158" s="14"/>
      <c r="M158" s="14"/>
      <c r="N158" s="14"/>
      <c r="O158" s="14"/>
      <c r="P158" s="14"/>
      <c r="Q158" s="14"/>
      <c r="R158" s="14"/>
      <c r="S158" s="14"/>
      <c r="T158" s="14"/>
      <c r="U158" s="14"/>
      <c r="V158" s="14"/>
      <c r="W158" s="14"/>
      <c r="X158" s="14"/>
      <c r="Y158" s="14"/>
      <c r="Z158" s="14"/>
    </row>
    <row r="159" ht="22.5" customHeight="1">
      <c r="A159" s="226">
        <v>46064.0</v>
      </c>
      <c r="B159" s="9" t="s">
        <v>4207</v>
      </c>
      <c r="C159" s="9"/>
      <c r="D159" s="9" t="s">
        <v>60</v>
      </c>
      <c r="E159" s="216">
        <v>7.337332022E9</v>
      </c>
      <c r="F159" s="221" t="s">
        <v>45</v>
      </c>
      <c r="G159" s="9" t="s">
        <v>1930</v>
      </c>
      <c r="H159" s="61"/>
      <c r="J159" s="14"/>
      <c r="K159" s="14"/>
      <c r="L159" s="14"/>
      <c r="M159" s="14"/>
      <c r="N159" s="14"/>
      <c r="O159" s="14"/>
      <c r="P159" s="14"/>
      <c r="Q159" s="14"/>
      <c r="R159" s="14"/>
      <c r="S159" s="14"/>
      <c r="T159" s="14"/>
      <c r="U159" s="14"/>
      <c r="V159" s="14"/>
      <c r="W159" s="14"/>
      <c r="X159" s="14"/>
      <c r="Y159" s="14"/>
      <c r="Z159" s="14"/>
    </row>
    <row r="160" ht="22.5" customHeight="1">
      <c r="A160" s="226">
        <v>46064.0</v>
      </c>
      <c r="B160" s="9" t="s">
        <v>4208</v>
      </c>
      <c r="C160" s="9"/>
      <c r="D160" s="9" t="s">
        <v>4209</v>
      </c>
      <c r="E160" s="216">
        <v>9.849499208E9</v>
      </c>
      <c r="F160" s="8" t="s">
        <v>144</v>
      </c>
      <c r="G160" s="9" t="s">
        <v>4210</v>
      </c>
      <c r="H160" s="61"/>
      <c r="J160" s="14"/>
      <c r="K160" s="14"/>
      <c r="L160" s="14"/>
      <c r="M160" s="14"/>
      <c r="N160" s="14"/>
      <c r="O160" s="14"/>
      <c r="P160" s="14"/>
      <c r="Q160" s="14"/>
      <c r="R160" s="14"/>
      <c r="S160" s="14"/>
      <c r="T160" s="14"/>
      <c r="U160" s="14"/>
      <c r="V160" s="14"/>
      <c r="W160" s="14"/>
      <c r="X160" s="14"/>
      <c r="Y160" s="14"/>
      <c r="Z160" s="14"/>
    </row>
    <row r="161" ht="22.5" customHeight="1">
      <c r="A161" s="226">
        <v>46064.0</v>
      </c>
      <c r="B161" s="9" t="s">
        <v>4211</v>
      </c>
      <c r="C161" s="9"/>
      <c r="D161" s="9" t="s">
        <v>4212</v>
      </c>
      <c r="E161" s="216"/>
      <c r="F161" s="221" t="s">
        <v>45</v>
      </c>
      <c r="G161" s="9" t="s">
        <v>4213</v>
      </c>
      <c r="H161" s="61"/>
      <c r="J161" s="14"/>
      <c r="K161" s="14"/>
      <c r="L161" s="14"/>
      <c r="M161" s="14"/>
      <c r="N161" s="14"/>
      <c r="O161" s="14"/>
      <c r="P161" s="14"/>
      <c r="Q161" s="14"/>
      <c r="R161" s="14"/>
      <c r="S161" s="14"/>
      <c r="T161" s="14"/>
      <c r="U161" s="14"/>
      <c r="V161" s="14"/>
      <c r="W161" s="14"/>
      <c r="X161" s="14"/>
      <c r="Y161" s="14"/>
      <c r="Z161" s="14"/>
    </row>
    <row r="162" ht="22.5" customHeight="1">
      <c r="A162" s="226">
        <v>46064.0</v>
      </c>
      <c r="B162" s="9" t="s">
        <v>4214</v>
      </c>
      <c r="C162" s="9" t="s">
        <v>4204</v>
      </c>
      <c r="D162" s="9" t="s">
        <v>4215</v>
      </c>
      <c r="E162" s="216">
        <v>9.493041116E9</v>
      </c>
      <c r="F162" s="8" t="s">
        <v>241</v>
      </c>
      <c r="G162" s="9" t="s">
        <v>4216</v>
      </c>
      <c r="H162" s="61"/>
      <c r="J162" s="14"/>
      <c r="K162" s="14"/>
      <c r="L162" s="14"/>
      <c r="M162" s="14"/>
      <c r="N162" s="14"/>
      <c r="O162" s="14"/>
      <c r="P162" s="14"/>
      <c r="Q162" s="14"/>
      <c r="R162" s="14"/>
      <c r="S162" s="14"/>
      <c r="T162" s="14"/>
      <c r="U162" s="14"/>
      <c r="V162" s="14"/>
      <c r="W162" s="14"/>
      <c r="X162" s="14"/>
      <c r="Y162" s="14"/>
      <c r="Z162" s="14"/>
    </row>
    <row r="163" ht="22.5" customHeight="1">
      <c r="A163" s="226">
        <v>46064.0</v>
      </c>
      <c r="B163" s="9" t="s">
        <v>4217</v>
      </c>
      <c r="C163" s="9"/>
      <c r="D163" s="9" t="s">
        <v>4218</v>
      </c>
      <c r="E163" s="216">
        <v>8.32839342E9</v>
      </c>
      <c r="F163" s="8" t="s">
        <v>241</v>
      </c>
      <c r="G163" s="9" t="s">
        <v>4219</v>
      </c>
      <c r="H163" s="61"/>
      <c r="J163" s="14"/>
      <c r="K163" s="14"/>
      <c r="L163" s="14"/>
      <c r="M163" s="14"/>
      <c r="N163" s="14"/>
      <c r="O163" s="14"/>
      <c r="P163" s="14"/>
      <c r="Q163" s="14"/>
      <c r="R163" s="14"/>
      <c r="S163" s="14"/>
      <c r="T163" s="14"/>
      <c r="U163" s="14"/>
      <c r="V163" s="14"/>
      <c r="W163" s="14"/>
      <c r="X163" s="14"/>
      <c r="Y163" s="14"/>
      <c r="Z163" s="14"/>
    </row>
    <row r="164" ht="22.5" customHeight="1">
      <c r="A164" s="226">
        <v>46064.0</v>
      </c>
      <c r="B164" s="9" t="s">
        <v>4220</v>
      </c>
      <c r="C164" s="9" t="s">
        <v>4221</v>
      </c>
      <c r="D164" s="9" t="s">
        <v>4222</v>
      </c>
      <c r="E164" s="216">
        <v>9.100886637E9</v>
      </c>
      <c r="F164" s="8" t="s">
        <v>248</v>
      </c>
      <c r="G164" s="9" t="s">
        <v>4223</v>
      </c>
      <c r="H164" s="61"/>
      <c r="J164" s="14"/>
      <c r="K164" s="14"/>
      <c r="L164" s="14"/>
      <c r="M164" s="14"/>
      <c r="N164" s="14"/>
      <c r="O164" s="14"/>
      <c r="P164" s="14"/>
      <c r="Q164" s="14"/>
      <c r="R164" s="14"/>
      <c r="S164" s="14"/>
      <c r="T164" s="14"/>
      <c r="U164" s="14"/>
      <c r="V164" s="14"/>
      <c r="W164" s="14"/>
      <c r="X164" s="14"/>
      <c r="Y164" s="14"/>
      <c r="Z164" s="14"/>
    </row>
    <row r="165" ht="22.5" customHeight="1">
      <c r="A165" s="226">
        <v>46064.0</v>
      </c>
      <c r="B165" s="9" t="s">
        <v>4224</v>
      </c>
      <c r="C165" s="9" t="s">
        <v>4221</v>
      </c>
      <c r="D165" s="9" t="s">
        <v>4225</v>
      </c>
      <c r="E165" s="216">
        <v>9.550001177E9</v>
      </c>
      <c r="F165" s="8" t="s">
        <v>248</v>
      </c>
      <c r="G165" s="9" t="s">
        <v>4226</v>
      </c>
      <c r="H165" s="61"/>
      <c r="J165" s="14"/>
      <c r="K165" s="14"/>
      <c r="L165" s="14"/>
      <c r="M165" s="14"/>
      <c r="N165" s="14"/>
      <c r="O165" s="14"/>
      <c r="P165" s="14"/>
      <c r="Q165" s="14"/>
      <c r="R165" s="14"/>
      <c r="S165" s="14"/>
      <c r="T165" s="14"/>
      <c r="U165" s="14"/>
      <c r="V165" s="14"/>
      <c r="W165" s="14"/>
      <c r="X165" s="14"/>
      <c r="Y165" s="14"/>
      <c r="Z165" s="14"/>
    </row>
    <row r="166" ht="22.5" customHeight="1">
      <c r="A166" s="226">
        <v>46064.0</v>
      </c>
      <c r="B166" s="9" t="s">
        <v>4227</v>
      </c>
      <c r="C166" s="9" t="s">
        <v>3851</v>
      </c>
      <c r="D166" s="9" t="s">
        <v>3985</v>
      </c>
      <c r="E166" s="216">
        <v>8.688114118E9</v>
      </c>
      <c r="F166" s="8" t="s">
        <v>3853</v>
      </c>
      <c r="G166" s="9" t="s">
        <v>4228</v>
      </c>
      <c r="H166" s="61"/>
      <c r="J166" s="14"/>
      <c r="K166" s="14"/>
      <c r="L166" s="14"/>
      <c r="M166" s="14"/>
      <c r="N166" s="14"/>
      <c r="O166" s="14"/>
      <c r="P166" s="14"/>
      <c r="Q166" s="14"/>
      <c r="R166" s="14"/>
      <c r="S166" s="14"/>
      <c r="T166" s="14"/>
      <c r="U166" s="14"/>
      <c r="V166" s="14"/>
      <c r="W166" s="14"/>
      <c r="X166" s="14"/>
      <c r="Y166" s="14"/>
      <c r="Z166" s="14"/>
    </row>
    <row r="167" ht="22.5" customHeight="1">
      <c r="A167" s="226">
        <v>46064.0</v>
      </c>
      <c r="B167" s="9" t="s">
        <v>4229</v>
      </c>
      <c r="C167" s="9"/>
      <c r="D167" s="9" t="s">
        <v>4230</v>
      </c>
      <c r="E167" s="216">
        <v>9.346036222E9</v>
      </c>
      <c r="F167" s="8" t="s">
        <v>248</v>
      </c>
      <c r="G167" s="9" t="s">
        <v>4231</v>
      </c>
      <c r="H167" s="61"/>
      <c r="J167" s="14"/>
      <c r="K167" s="14"/>
      <c r="L167" s="14"/>
      <c r="M167" s="14"/>
      <c r="N167" s="14"/>
      <c r="O167" s="14"/>
      <c r="P167" s="14"/>
      <c r="Q167" s="14"/>
      <c r="R167" s="14"/>
      <c r="S167" s="14"/>
      <c r="T167" s="14"/>
      <c r="U167" s="14"/>
      <c r="V167" s="14"/>
      <c r="W167" s="14"/>
      <c r="X167" s="14"/>
      <c r="Y167" s="14"/>
      <c r="Z167" s="14"/>
    </row>
    <row r="168" ht="22.5" customHeight="1">
      <c r="A168" s="226">
        <v>46064.0</v>
      </c>
      <c r="B168" s="9" t="s">
        <v>4232</v>
      </c>
      <c r="C168" s="9"/>
      <c r="D168" s="9" t="s">
        <v>4032</v>
      </c>
      <c r="E168" s="216">
        <v>8.125526123E9</v>
      </c>
      <c r="F168" s="8" t="s">
        <v>144</v>
      </c>
      <c r="G168" s="9" t="s">
        <v>4233</v>
      </c>
      <c r="H168" s="61"/>
      <c r="J168" s="14"/>
      <c r="K168" s="14"/>
      <c r="L168" s="14"/>
      <c r="M168" s="14"/>
      <c r="N168" s="14"/>
      <c r="O168" s="14"/>
      <c r="P168" s="14"/>
      <c r="Q168" s="14"/>
      <c r="R168" s="14"/>
      <c r="S168" s="14"/>
      <c r="T168" s="14"/>
      <c r="U168" s="14"/>
      <c r="V168" s="14"/>
      <c r="W168" s="14"/>
      <c r="X168" s="14"/>
      <c r="Y168" s="14"/>
      <c r="Z168" s="14"/>
    </row>
    <row r="169" ht="22.5" customHeight="1">
      <c r="A169" s="226">
        <v>46064.0</v>
      </c>
      <c r="B169" s="9" t="s">
        <v>4234</v>
      </c>
      <c r="C169" s="9" t="s">
        <v>4221</v>
      </c>
      <c r="D169" s="9" t="s">
        <v>4235</v>
      </c>
      <c r="E169" s="216">
        <v>7.207083888E9</v>
      </c>
      <c r="F169" s="8" t="s">
        <v>248</v>
      </c>
      <c r="G169" s="9" t="s">
        <v>4236</v>
      </c>
      <c r="H169" s="61"/>
      <c r="J169" s="14"/>
      <c r="K169" s="14"/>
      <c r="L169" s="14"/>
      <c r="M169" s="14"/>
      <c r="N169" s="14"/>
      <c r="O169" s="14"/>
      <c r="P169" s="14"/>
      <c r="Q169" s="14"/>
      <c r="R169" s="14"/>
      <c r="S169" s="14"/>
      <c r="T169" s="14"/>
      <c r="U169" s="14"/>
      <c r="V169" s="14"/>
      <c r="W169" s="14"/>
      <c r="X169" s="14"/>
      <c r="Y169" s="14"/>
      <c r="Z169" s="14"/>
    </row>
    <row r="170" ht="22.5" customHeight="1">
      <c r="A170" s="226">
        <v>46064.0</v>
      </c>
      <c r="B170" s="9" t="s">
        <v>4237</v>
      </c>
      <c r="C170" s="9"/>
      <c r="D170" s="9" t="s">
        <v>4238</v>
      </c>
      <c r="E170" s="216">
        <v>7.981730116E9</v>
      </c>
      <c r="F170" s="8" t="s">
        <v>144</v>
      </c>
      <c r="G170" s="9" t="s">
        <v>4239</v>
      </c>
      <c r="H170" s="61"/>
      <c r="J170" s="14"/>
      <c r="K170" s="14"/>
      <c r="L170" s="14"/>
      <c r="M170" s="14"/>
      <c r="N170" s="14"/>
      <c r="O170" s="14"/>
      <c r="P170" s="14"/>
      <c r="Q170" s="14"/>
      <c r="R170" s="14"/>
      <c r="S170" s="14"/>
      <c r="T170" s="14"/>
      <c r="U170" s="14"/>
      <c r="V170" s="14"/>
      <c r="W170" s="14"/>
      <c r="X170" s="14"/>
      <c r="Y170" s="14"/>
      <c r="Z170" s="14"/>
    </row>
    <row r="171" ht="22.5" customHeight="1">
      <c r="A171" s="226">
        <v>46064.0</v>
      </c>
      <c r="B171" s="9" t="s">
        <v>4240</v>
      </c>
      <c r="C171" s="9"/>
      <c r="D171" s="9" t="s">
        <v>1534</v>
      </c>
      <c r="E171" s="216">
        <v>8.008020304E9</v>
      </c>
      <c r="F171" s="221" t="s">
        <v>45</v>
      </c>
      <c r="G171" s="9" t="s">
        <v>4241</v>
      </c>
      <c r="H171" s="61"/>
      <c r="J171" s="14"/>
      <c r="K171" s="14"/>
      <c r="L171" s="14"/>
      <c r="M171" s="14"/>
      <c r="N171" s="14"/>
      <c r="O171" s="14"/>
      <c r="P171" s="14"/>
      <c r="Q171" s="14"/>
      <c r="R171" s="14"/>
      <c r="S171" s="14"/>
      <c r="T171" s="14"/>
      <c r="U171" s="14"/>
      <c r="V171" s="14"/>
      <c r="W171" s="14"/>
      <c r="X171" s="14"/>
      <c r="Y171" s="14"/>
      <c r="Z171" s="14"/>
    </row>
    <row r="172" ht="22.5" customHeight="1">
      <c r="A172" s="226">
        <v>46064.0</v>
      </c>
      <c r="B172" s="9" t="s">
        <v>4242</v>
      </c>
      <c r="C172" s="9"/>
      <c r="D172" s="9" t="s">
        <v>4243</v>
      </c>
      <c r="E172" s="216">
        <v>9.704673535E9</v>
      </c>
      <c r="F172" s="8" t="s">
        <v>144</v>
      </c>
      <c r="G172" s="9" t="s">
        <v>4244</v>
      </c>
      <c r="H172" s="61"/>
      <c r="J172" s="14"/>
      <c r="K172" s="14"/>
      <c r="L172" s="14"/>
      <c r="M172" s="14"/>
      <c r="N172" s="14"/>
      <c r="O172" s="14"/>
      <c r="P172" s="14"/>
      <c r="Q172" s="14"/>
      <c r="R172" s="14"/>
      <c r="S172" s="14"/>
      <c r="T172" s="14"/>
      <c r="U172" s="14"/>
      <c r="V172" s="14"/>
      <c r="W172" s="14"/>
      <c r="X172" s="14"/>
      <c r="Y172" s="14"/>
      <c r="Z172" s="14"/>
    </row>
    <row r="173" ht="22.5" customHeight="1">
      <c r="A173" s="226">
        <v>46064.0</v>
      </c>
      <c r="B173" s="9" t="s">
        <v>4245</v>
      </c>
      <c r="C173" s="9"/>
      <c r="D173" s="9" t="s">
        <v>4246</v>
      </c>
      <c r="E173" s="216">
        <v>8.688995094E9</v>
      </c>
      <c r="F173" s="8" t="s">
        <v>144</v>
      </c>
      <c r="G173" s="9" t="s">
        <v>4247</v>
      </c>
      <c r="H173" s="61"/>
      <c r="J173" s="14"/>
      <c r="K173" s="14"/>
      <c r="L173" s="14"/>
      <c r="M173" s="14"/>
      <c r="N173" s="14"/>
      <c r="O173" s="14"/>
      <c r="P173" s="14"/>
      <c r="Q173" s="14"/>
      <c r="R173" s="14"/>
      <c r="S173" s="14"/>
      <c r="T173" s="14"/>
      <c r="U173" s="14"/>
      <c r="V173" s="14"/>
      <c r="W173" s="14"/>
      <c r="X173" s="14"/>
      <c r="Y173" s="14"/>
      <c r="Z173" s="14"/>
    </row>
    <row r="174" ht="22.5" customHeight="1">
      <c r="A174" s="226">
        <v>46064.0</v>
      </c>
      <c r="B174" s="9" t="s">
        <v>4248</v>
      </c>
      <c r="C174" s="9"/>
      <c r="D174" s="9"/>
      <c r="E174" s="216"/>
      <c r="F174" s="221" t="s">
        <v>45</v>
      </c>
      <c r="G174" s="9" t="s">
        <v>4249</v>
      </c>
      <c r="H174" s="61"/>
      <c r="J174" s="14"/>
      <c r="K174" s="14"/>
      <c r="L174" s="14"/>
      <c r="M174" s="14"/>
      <c r="N174" s="14"/>
      <c r="O174" s="14"/>
      <c r="P174" s="14"/>
      <c r="Q174" s="14"/>
      <c r="R174" s="14"/>
      <c r="S174" s="14"/>
      <c r="T174" s="14"/>
      <c r="U174" s="14"/>
      <c r="V174" s="14"/>
      <c r="W174" s="14"/>
      <c r="X174" s="14"/>
      <c r="Y174" s="14"/>
      <c r="Z174" s="14"/>
    </row>
    <row r="175" ht="22.5" customHeight="1">
      <c r="A175" s="226">
        <v>46064.0</v>
      </c>
      <c r="B175" s="9" t="s">
        <v>4250</v>
      </c>
      <c r="C175" s="9"/>
      <c r="D175" s="9"/>
      <c r="E175" s="216"/>
      <c r="F175" s="8" t="s">
        <v>73</v>
      </c>
      <c r="G175" s="9" t="s">
        <v>4251</v>
      </c>
      <c r="H175" s="61"/>
      <c r="J175" s="14"/>
      <c r="K175" s="14"/>
      <c r="L175" s="14"/>
      <c r="M175" s="14"/>
      <c r="N175" s="14"/>
      <c r="O175" s="14"/>
      <c r="P175" s="14"/>
      <c r="Q175" s="14"/>
      <c r="R175" s="14"/>
      <c r="S175" s="14"/>
      <c r="T175" s="14"/>
      <c r="U175" s="14"/>
      <c r="V175" s="14"/>
      <c r="W175" s="14"/>
      <c r="X175" s="14"/>
      <c r="Y175" s="14"/>
      <c r="Z175" s="14"/>
    </row>
    <row r="176" ht="22.5" customHeight="1">
      <c r="A176" s="226">
        <v>46064.0</v>
      </c>
      <c r="B176" s="9" t="s">
        <v>4252</v>
      </c>
      <c r="C176" s="9" t="s">
        <v>1999</v>
      </c>
      <c r="D176" s="9" t="s">
        <v>4253</v>
      </c>
      <c r="E176" s="216">
        <v>8.309463956E9</v>
      </c>
      <c r="F176" s="8" t="s">
        <v>73</v>
      </c>
      <c r="G176" s="9" t="s">
        <v>4254</v>
      </c>
      <c r="H176" s="61"/>
      <c r="J176" s="14"/>
      <c r="K176" s="14"/>
      <c r="L176" s="14"/>
      <c r="M176" s="14"/>
      <c r="N176" s="14"/>
      <c r="O176" s="14"/>
      <c r="P176" s="14"/>
      <c r="Q176" s="14"/>
      <c r="R176" s="14"/>
      <c r="S176" s="14"/>
      <c r="T176" s="14"/>
      <c r="U176" s="14"/>
      <c r="V176" s="14"/>
      <c r="W176" s="14"/>
      <c r="X176" s="14"/>
      <c r="Y176" s="14"/>
      <c r="Z176" s="14"/>
    </row>
    <row r="177" ht="22.5" customHeight="1">
      <c r="A177" s="226">
        <v>46064.0</v>
      </c>
      <c r="B177" s="9" t="s">
        <v>4255</v>
      </c>
      <c r="C177" s="9"/>
      <c r="D177" s="9" t="s">
        <v>4256</v>
      </c>
      <c r="E177" s="216">
        <v>9.100172163E9</v>
      </c>
      <c r="F177" s="8" t="s">
        <v>144</v>
      </c>
      <c r="G177" s="9" t="s">
        <v>4257</v>
      </c>
      <c r="H177" s="61"/>
      <c r="J177" s="14"/>
      <c r="K177" s="14"/>
      <c r="L177" s="14"/>
      <c r="M177" s="14"/>
      <c r="N177" s="14"/>
      <c r="O177" s="14"/>
      <c r="P177" s="14"/>
      <c r="Q177" s="14"/>
      <c r="R177" s="14"/>
      <c r="S177" s="14"/>
      <c r="T177" s="14"/>
      <c r="U177" s="14"/>
      <c r="V177" s="14"/>
      <c r="W177" s="14"/>
      <c r="X177" s="14"/>
      <c r="Y177" s="14"/>
      <c r="Z177" s="14"/>
    </row>
    <row r="178" ht="22.5" customHeight="1">
      <c r="A178" s="226">
        <v>46064.0</v>
      </c>
      <c r="B178" s="9" t="s">
        <v>4258</v>
      </c>
      <c r="C178" s="9" t="s">
        <v>4143</v>
      </c>
      <c r="D178" s="9"/>
      <c r="E178" s="216">
        <v>9.000143978E9</v>
      </c>
      <c r="F178" s="8" t="s">
        <v>200</v>
      </c>
      <c r="G178" s="9" t="s">
        <v>4259</v>
      </c>
      <c r="H178" s="61"/>
      <c r="J178" s="14"/>
      <c r="K178" s="14"/>
      <c r="L178" s="14"/>
      <c r="M178" s="14"/>
      <c r="N178" s="14"/>
      <c r="O178" s="14"/>
      <c r="P178" s="14"/>
      <c r="Q178" s="14"/>
      <c r="R178" s="14"/>
      <c r="S178" s="14"/>
      <c r="T178" s="14"/>
      <c r="U178" s="14"/>
      <c r="V178" s="14"/>
      <c r="W178" s="14"/>
      <c r="X178" s="14"/>
      <c r="Y178" s="14"/>
      <c r="Z178" s="14"/>
    </row>
    <row r="179" ht="22.5" customHeight="1">
      <c r="A179" s="226">
        <v>46064.0</v>
      </c>
      <c r="B179" s="9" t="s">
        <v>4260</v>
      </c>
      <c r="C179" s="9"/>
      <c r="D179" s="9"/>
      <c r="E179" s="216"/>
      <c r="F179" s="8" t="s">
        <v>60</v>
      </c>
      <c r="G179" s="9" t="s">
        <v>4261</v>
      </c>
      <c r="H179" s="61"/>
      <c r="J179" s="14"/>
      <c r="K179" s="14"/>
      <c r="L179" s="14"/>
      <c r="M179" s="14"/>
      <c r="N179" s="14"/>
      <c r="O179" s="14"/>
      <c r="P179" s="14"/>
      <c r="Q179" s="14"/>
      <c r="R179" s="14"/>
      <c r="S179" s="14"/>
      <c r="T179" s="14"/>
      <c r="U179" s="14"/>
      <c r="V179" s="14"/>
      <c r="W179" s="14"/>
      <c r="X179" s="14"/>
      <c r="Y179" s="14"/>
      <c r="Z179" s="14"/>
    </row>
    <row r="180" ht="22.5" customHeight="1">
      <c r="A180" s="226">
        <v>46064.0</v>
      </c>
      <c r="B180" s="9" t="s">
        <v>4262</v>
      </c>
      <c r="C180" s="9" t="s">
        <v>3851</v>
      </c>
      <c r="D180" s="9" t="s">
        <v>4263</v>
      </c>
      <c r="E180" s="216">
        <v>8.790130941E9</v>
      </c>
      <c r="F180" s="8" t="s">
        <v>3853</v>
      </c>
      <c r="G180" s="9" t="s">
        <v>4264</v>
      </c>
      <c r="H180" s="61"/>
      <c r="J180" s="14"/>
      <c r="K180" s="14"/>
      <c r="L180" s="14"/>
      <c r="M180" s="14"/>
      <c r="N180" s="14"/>
      <c r="O180" s="14"/>
      <c r="P180" s="14"/>
      <c r="Q180" s="14"/>
      <c r="R180" s="14"/>
      <c r="S180" s="14"/>
      <c r="T180" s="14"/>
      <c r="U180" s="14"/>
      <c r="V180" s="14"/>
      <c r="W180" s="14"/>
      <c r="X180" s="14"/>
      <c r="Y180" s="14"/>
      <c r="Z180" s="14"/>
    </row>
    <row r="181" ht="22.5" customHeight="1">
      <c r="A181" s="226">
        <v>46064.0</v>
      </c>
      <c r="B181" s="9" t="s">
        <v>4265</v>
      </c>
      <c r="C181" s="9"/>
      <c r="D181" s="9" t="s">
        <v>4266</v>
      </c>
      <c r="E181" s="216">
        <v>9.603021048E9</v>
      </c>
      <c r="F181" s="8" t="s">
        <v>144</v>
      </c>
      <c r="G181" s="9" t="s">
        <v>4267</v>
      </c>
      <c r="H181" s="61"/>
      <c r="J181" s="14"/>
      <c r="K181" s="14"/>
      <c r="L181" s="14"/>
      <c r="M181" s="14"/>
      <c r="N181" s="14"/>
      <c r="O181" s="14"/>
      <c r="P181" s="14"/>
      <c r="Q181" s="14"/>
      <c r="R181" s="14"/>
      <c r="S181" s="14"/>
      <c r="T181" s="14"/>
      <c r="U181" s="14"/>
      <c r="V181" s="14"/>
      <c r="W181" s="14"/>
      <c r="X181" s="14"/>
      <c r="Y181" s="14"/>
      <c r="Z181" s="14"/>
    </row>
    <row r="182" ht="22.5" customHeight="1">
      <c r="A182" s="226">
        <v>46064.0</v>
      </c>
      <c r="B182" s="9" t="s">
        <v>4268</v>
      </c>
      <c r="C182" s="9"/>
      <c r="D182" s="9" t="s">
        <v>4269</v>
      </c>
      <c r="E182" s="216">
        <v>8.125583337E9</v>
      </c>
      <c r="F182" s="8" t="s">
        <v>73</v>
      </c>
      <c r="G182" s="9" t="s">
        <v>4270</v>
      </c>
      <c r="H182" s="61"/>
      <c r="J182" s="14"/>
      <c r="K182" s="14"/>
      <c r="L182" s="14"/>
      <c r="M182" s="14"/>
      <c r="N182" s="14"/>
      <c r="O182" s="14"/>
      <c r="P182" s="14"/>
      <c r="Q182" s="14"/>
      <c r="R182" s="14"/>
      <c r="S182" s="14"/>
      <c r="T182" s="14"/>
      <c r="U182" s="14"/>
      <c r="V182" s="14"/>
      <c r="W182" s="14"/>
      <c r="X182" s="14"/>
      <c r="Y182" s="14"/>
      <c r="Z182" s="14"/>
    </row>
    <row r="183" ht="22.5" customHeight="1">
      <c r="A183" s="226">
        <v>46064.0</v>
      </c>
      <c r="B183" s="9" t="s">
        <v>4271</v>
      </c>
      <c r="C183" s="9"/>
      <c r="D183" s="9"/>
      <c r="E183" s="216"/>
      <c r="F183" s="221" t="s">
        <v>45</v>
      </c>
      <c r="G183" s="9" t="s">
        <v>4272</v>
      </c>
      <c r="H183" s="61"/>
      <c r="J183" s="14"/>
      <c r="K183" s="14"/>
      <c r="L183" s="14"/>
      <c r="M183" s="14"/>
      <c r="N183" s="14"/>
      <c r="O183" s="14"/>
      <c r="P183" s="14"/>
      <c r="Q183" s="14"/>
      <c r="R183" s="14"/>
      <c r="S183" s="14"/>
      <c r="T183" s="14"/>
      <c r="U183" s="14"/>
      <c r="V183" s="14"/>
      <c r="W183" s="14"/>
      <c r="X183" s="14"/>
      <c r="Y183" s="14"/>
      <c r="Z183" s="14"/>
    </row>
    <row r="184" ht="22.5" customHeight="1">
      <c r="A184" s="226">
        <v>46064.0</v>
      </c>
      <c r="B184" s="9" t="s">
        <v>4273</v>
      </c>
      <c r="C184" s="9" t="s">
        <v>4221</v>
      </c>
      <c r="D184" s="9" t="s">
        <v>4274</v>
      </c>
      <c r="E184" s="216">
        <v>9.849510284E9</v>
      </c>
      <c r="F184" s="8" t="s">
        <v>248</v>
      </c>
      <c r="G184" s="9" t="s">
        <v>4275</v>
      </c>
      <c r="H184" s="61"/>
      <c r="J184" s="14"/>
      <c r="K184" s="14"/>
      <c r="L184" s="14"/>
      <c r="M184" s="14"/>
      <c r="N184" s="14"/>
      <c r="O184" s="14"/>
      <c r="P184" s="14"/>
      <c r="Q184" s="14"/>
      <c r="R184" s="14"/>
      <c r="S184" s="14"/>
      <c r="T184" s="14"/>
      <c r="U184" s="14"/>
      <c r="V184" s="14"/>
      <c r="W184" s="14"/>
      <c r="X184" s="14"/>
      <c r="Y184" s="14"/>
      <c r="Z184" s="14"/>
    </row>
    <row r="185" ht="22.5" customHeight="1">
      <c r="A185" s="226">
        <v>46064.0</v>
      </c>
      <c r="B185" s="9" t="s">
        <v>4276</v>
      </c>
      <c r="C185" s="9"/>
      <c r="D185" s="9"/>
      <c r="E185" s="216"/>
      <c r="F185" s="8" t="s">
        <v>200</v>
      </c>
      <c r="G185" s="9" t="s">
        <v>3948</v>
      </c>
      <c r="H185" s="61"/>
      <c r="J185" s="14"/>
      <c r="K185" s="14"/>
      <c r="L185" s="14"/>
      <c r="M185" s="14"/>
      <c r="N185" s="14"/>
      <c r="O185" s="14"/>
      <c r="P185" s="14"/>
      <c r="Q185" s="14"/>
      <c r="R185" s="14"/>
      <c r="S185" s="14"/>
      <c r="T185" s="14"/>
      <c r="U185" s="14"/>
      <c r="V185" s="14"/>
      <c r="W185" s="14"/>
      <c r="X185" s="14"/>
      <c r="Y185" s="14"/>
      <c r="Z185" s="14"/>
    </row>
    <row r="186" ht="22.5" customHeight="1">
      <c r="A186" s="226">
        <v>46064.0</v>
      </c>
      <c r="B186" s="9" t="s">
        <v>4277</v>
      </c>
      <c r="C186" s="9"/>
      <c r="D186" s="9"/>
      <c r="E186" s="216"/>
      <c r="F186" s="8" t="s">
        <v>248</v>
      </c>
      <c r="G186" s="9" t="s">
        <v>3862</v>
      </c>
      <c r="H186" s="61"/>
      <c r="J186" s="14"/>
      <c r="K186" s="14"/>
      <c r="L186" s="14"/>
      <c r="M186" s="14"/>
      <c r="N186" s="14"/>
      <c r="O186" s="14"/>
      <c r="P186" s="14"/>
      <c r="Q186" s="14"/>
      <c r="R186" s="14"/>
      <c r="S186" s="14"/>
      <c r="T186" s="14"/>
      <c r="U186" s="14"/>
      <c r="V186" s="14"/>
      <c r="W186" s="14"/>
      <c r="X186" s="14"/>
      <c r="Y186" s="14"/>
      <c r="Z186" s="14"/>
    </row>
    <row r="187" ht="22.5" customHeight="1">
      <c r="A187" s="227">
        <v>46065.0</v>
      </c>
      <c r="B187" s="9" t="s">
        <v>4278</v>
      </c>
      <c r="C187" s="9" t="s">
        <v>4279</v>
      </c>
      <c r="D187" s="9" t="s">
        <v>4280</v>
      </c>
      <c r="E187" s="216">
        <v>7.993930918E9</v>
      </c>
      <c r="F187" s="8" t="s">
        <v>186</v>
      </c>
      <c r="G187" s="9" t="s">
        <v>4281</v>
      </c>
      <c r="H187" s="14"/>
      <c r="I187" s="14"/>
      <c r="J187" s="14"/>
      <c r="K187" s="14"/>
      <c r="L187" s="14"/>
      <c r="M187" s="14"/>
      <c r="N187" s="14"/>
      <c r="O187" s="14"/>
      <c r="P187" s="14"/>
      <c r="Q187" s="14"/>
      <c r="R187" s="14"/>
      <c r="S187" s="14"/>
      <c r="T187" s="14"/>
      <c r="U187" s="14"/>
      <c r="V187" s="14"/>
      <c r="W187" s="14"/>
      <c r="X187" s="14"/>
      <c r="Y187" s="14"/>
      <c r="Z187" s="14"/>
    </row>
    <row r="188" ht="22.5" customHeight="1">
      <c r="A188" s="227">
        <v>46065.0</v>
      </c>
      <c r="B188" s="9" t="s">
        <v>4282</v>
      </c>
      <c r="C188" s="9" t="s">
        <v>809</v>
      </c>
      <c r="D188" s="9" t="s">
        <v>4283</v>
      </c>
      <c r="E188" s="216">
        <v>9.849765228E9</v>
      </c>
      <c r="F188" s="8" t="s">
        <v>186</v>
      </c>
      <c r="G188" s="9" t="s">
        <v>4284</v>
      </c>
      <c r="H188" s="14"/>
      <c r="I188" s="14"/>
      <c r="J188" s="14"/>
      <c r="K188" s="14"/>
      <c r="L188" s="14"/>
      <c r="M188" s="14"/>
      <c r="N188" s="14"/>
      <c r="O188" s="14"/>
      <c r="P188" s="14"/>
      <c r="Q188" s="14"/>
      <c r="R188" s="14"/>
      <c r="S188" s="14"/>
      <c r="T188" s="14"/>
      <c r="U188" s="14"/>
      <c r="V188" s="14"/>
      <c r="W188" s="14"/>
      <c r="X188" s="14"/>
      <c r="Y188" s="14"/>
      <c r="Z188" s="14"/>
    </row>
    <row r="189" ht="22.5" customHeight="1">
      <c r="A189" s="227">
        <v>46065.0</v>
      </c>
      <c r="B189" s="9" t="s">
        <v>4285</v>
      </c>
      <c r="C189" s="9"/>
      <c r="D189" s="9"/>
      <c r="E189" s="216">
        <v>8.884066682E9</v>
      </c>
      <c r="F189" s="8" t="s">
        <v>96</v>
      </c>
      <c r="G189" s="9" t="s">
        <v>4286</v>
      </c>
      <c r="H189" s="14"/>
      <c r="I189" s="14"/>
      <c r="J189" s="14"/>
      <c r="K189" s="14"/>
      <c r="L189" s="14"/>
      <c r="M189" s="14"/>
      <c r="N189" s="14"/>
      <c r="O189" s="14"/>
      <c r="P189" s="14"/>
      <c r="Q189" s="14"/>
      <c r="R189" s="14"/>
      <c r="S189" s="14"/>
      <c r="T189" s="14"/>
      <c r="U189" s="14"/>
      <c r="V189" s="14"/>
      <c r="W189" s="14"/>
      <c r="X189" s="14"/>
      <c r="Y189" s="14"/>
      <c r="Z189" s="14"/>
    </row>
    <row r="190" ht="22.5" customHeight="1">
      <c r="A190" s="227">
        <v>46065.0</v>
      </c>
      <c r="B190" s="9" t="s">
        <v>4287</v>
      </c>
      <c r="C190" s="9"/>
      <c r="D190" s="9"/>
      <c r="E190" s="216">
        <v>7.981607619E9</v>
      </c>
      <c r="F190" s="8" t="s">
        <v>96</v>
      </c>
      <c r="G190" s="9" t="s">
        <v>4288</v>
      </c>
      <c r="H190" s="14"/>
      <c r="I190" s="14"/>
      <c r="J190" s="14"/>
      <c r="K190" s="14"/>
      <c r="L190" s="14"/>
      <c r="M190" s="14"/>
      <c r="N190" s="14"/>
      <c r="O190" s="14"/>
      <c r="P190" s="14"/>
      <c r="Q190" s="14"/>
      <c r="R190" s="14"/>
      <c r="S190" s="14"/>
      <c r="T190" s="14"/>
      <c r="U190" s="14"/>
      <c r="V190" s="14"/>
      <c r="W190" s="14"/>
      <c r="X190" s="14"/>
      <c r="Y190" s="14"/>
      <c r="Z190" s="14"/>
    </row>
    <row r="191" ht="22.5" customHeight="1">
      <c r="A191" s="227">
        <v>46065.0</v>
      </c>
      <c r="B191" s="9" t="s">
        <v>4289</v>
      </c>
      <c r="C191" s="9" t="s">
        <v>4290</v>
      </c>
      <c r="D191" s="9" t="s">
        <v>4291</v>
      </c>
      <c r="E191" s="216">
        <v>9.000252549E9</v>
      </c>
      <c r="F191" s="8" t="s">
        <v>186</v>
      </c>
      <c r="G191" s="9" t="s">
        <v>4292</v>
      </c>
      <c r="H191" s="14"/>
      <c r="I191" s="14"/>
      <c r="J191" s="14"/>
      <c r="K191" s="14"/>
      <c r="L191" s="14"/>
      <c r="M191" s="14"/>
      <c r="N191" s="14"/>
      <c r="O191" s="14"/>
      <c r="P191" s="14"/>
      <c r="Q191" s="14"/>
      <c r="R191" s="14"/>
      <c r="S191" s="14"/>
      <c r="T191" s="14"/>
      <c r="U191" s="14"/>
      <c r="V191" s="14"/>
      <c r="W191" s="14"/>
      <c r="X191" s="14"/>
      <c r="Y191" s="14"/>
      <c r="Z191" s="14"/>
    </row>
    <row r="192" ht="22.5" customHeight="1">
      <c r="A192" s="227">
        <v>46065.0</v>
      </c>
      <c r="B192" s="9" t="s">
        <v>4293</v>
      </c>
      <c r="C192" s="9"/>
      <c r="D192" s="9" t="s">
        <v>4294</v>
      </c>
      <c r="E192" s="216">
        <v>9.3700938E9</v>
      </c>
      <c r="F192" s="8" t="s">
        <v>186</v>
      </c>
      <c r="G192" s="9" t="s">
        <v>4295</v>
      </c>
      <c r="H192" s="14"/>
      <c r="I192" s="14"/>
      <c r="J192" s="14"/>
      <c r="K192" s="14"/>
      <c r="L192" s="14"/>
      <c r="M192" s="14"/>
      <c r="N192" s="14"/>
      <c r="O192" s="14"/>
      <c r="P192" s="14"/>
      <c r="Q192" s="14"/>
      <c r="R192" s="14"/>
      <c r="S192" s="14"/>
      <c r="T192" s="14"/>
      <c r="U192" s="14"/>
      <c r="V192" s="14"/>
      <c r="W192" s="14"/>
      <c r="X192" s="14"/>
      <c r="Y192" s="14"/>
      <c r="Z192" s="14"/>
    </row>
    <row r="193" ht="22.5" customHeight="1">
      <c r="A193" s="227">
        <v>46065.0</v>
      </c>
      <c r="B193" s="9" t="s">
        <v>4296</v>
      </c>
      <c r="C193" s="9"/>
      <c r="D193" s="9"/>
      <c r="E193" s="216"/>
      <c r="F193" s="8" t="s">
        <v>60</v>
      </c>
      <c r="G193" s="9" t="s">
        <v>4297</v>
      </c>
      <c r="H193" s="14"/>
      <c r="I193" s="14"/>
      <c r="J193" s="14"/>
      <c r="K193" s="14"/>
      <c r="L193" s="14"/>
      <c r="M193" s="14"/>
      <c r="N193" s="14"/>
      <c r="O193" s="14"/>
      <c r="P193" s="14"/>
      <c r="Q193" s="14"/>
      <c r="R193" s="14"/>
      <c r="S193" s="14"/>
      <c r="T193" s="14"/>
      <c r="U193" s="14"/>
      <c r="V193" s="14"/>
      <c r="W193" s="14"/>
      <c r="X193" s="14"/>
      <c r="Y193" s="14"/>
      <c r="Z193" s="14"/>
    </row>
    <row r="194" ht="22.5" customHeight="1">
      <c r="A194" s="227">
        <v>46065.0</v>
      </c>
      <c r="B194" s="9" t="s">
        <v>4298</v>
      </c>
      <c r="C194" s="9"/>
      <c r="D194" s="9"/>
      <c r="E194" s="216"/>
      <c r="F194" s="8" t="s">
        <v>96</v>
      </c>
      <c r="G194" s="9" t="s">
        <v>4299</v>
      </c>
      <c r="H194" s="14"/>
      <c r="I194" s="14"/>
      <c r="J194" s="14"/>
      <c r="K194" s="14"/>
      <c r="L194" s="14"/>
      <c r="M194" s="14"/>
      <c r="N194" s="14"/>
      <c r="O194" s="14"/>
      <c r="P194" s="14"/>
      <c r="Q194" s="14"/>
      <c r="R194" s="14"/>
      <c r="S194" s="14"/>
      <c r="T194" s="14"/>
      <c r="U194" s="14"/>
      <c r="V194" s="14"/>
      <c r="W194" s="14"/>
      <c r="X194" s="14"/>
      <c r="Y194" s="14"/>
      <c r="Z194" s="14"/>
    </row>
    <row r="195" ht="22.5" customHeight="1">
      <c r="A195" s="227">
        <v>46065.0</v>
      </c>
      <c r="B195" s="9" t="s">
        <v>4300</v>
      </c>
      <c r="C195" s="9"/>
      <c r="D195" s="9" t="s">
        <v>4301</v>
      </c>
      <c r="E195" s="216">
        <v>9.542233485E9</v>
      </c>
      <c r="F195" s="221" t="s">
        <v>45</v>
      </c>
      <c r="G195" s="9" t="s">
        <v>4302</v>
      </c>
      <c r="H195" s="14"/>
      <c r="I195" s="14"/>
      <c r="J195" s="14"/>
      <c r="K195" s="14"/>
      <c r="L195" s="14"/>
      <c r="M195" s="14"/>
      <c r="N195" s="14"/>
      <c r="O195" s="14"/>
      <c r="P195" s="14"/>
      <c r="Q195" s="14"/>
      <c r="R195" s="14"/>
      <c r="S195" s="14"/>
      <c r="T195" s="14"/>
      <c r="U195" s="14"/>
      <c r="V195" s="14"/>
      <c r="W195" s="14"/>
      <c r="X195" s="14"/>
      <c r="Y195" s="14"/>
      <c r="Z195" s="14"/>
    </row>
    <row r="196" ht="22.5" customHeight="1">
      <c r="A196" s="227">
        <v>46065.0</v>
      </c>
      <c r="B196" s="9" t="s">
        <v>4303</v>
      </c>
      <c r="C196" s="9"/>
      <c r="D196" s="9" t="s">
        <v>4304</v>
      </c>
      <c r="E196" s="216">
        <v>9.010776408E9</v>
      </c>
      <c r="F196" s="8" t="s">
        <v>241</v>
      </c>
      <c r="G196" s="9" t="s">
        <v>4305</v>
      </c>
      <c r="H196" s="14"/>
      <c r="I196" s="14"/>
      <c r="J196" s="14"/>
      <c r="K196" s="14"/>
      <c r="L196" s="14"/>
      <c r="M196" s="14"/>
      <c r="N196" s="14"/>
      <c r="O196" s="14"/>
      <c r="P196" s="14"/>
      <c r="Q196" s="14"/>
      <c r="R196" s="14"/>
      <c r="S196" s="14"/>
      <c r="T196" s="14"/>
      <c r="U196" s="14"/>
      <c r="V196" s="14"/>
      <c r="W196" s="14"/>
      <c r="X196" s="14"/>
      <c r="Y196" s="14"/>
      <c r="Z196" s="14"/>
    </row>
    <row r="197" ht="22.5" customHeight="1">
      <c r="A197" s="227">
        <v>46065.0</v>
      </c>
      <c r="B197" s="9" t="s">
        <v>4306</v>
      </c>
      <c r="C197" s="9"/>
      <c r="D197" s="9" t="s">
        <v>4307</v>
      </c>
      <c r="E197" s="216">
        <v>9.544186712E9</v>
      </c>
      <c r="F197" s="8" t="s">
        <v>241</v>
      </c>
      <c r="G197" s="9" t="s">
        <v>4308</v>
      </c>
      <c r="H197" s="14"/>
      <c r="I197" s="14"/>
      <c r="J197" s="14"/>
      <c r="K197" s="14"/>
      <c r="L197" s="14"/>
      <c r="M197" s="14"/>
      <c r="N197" s="14"/>
      <c r="O197" s="14"/>
      <c r="P197" s="14"/>
      <c r="Q197" s="14"/>
      <c r="R197" s="14"/>
      <c r="S197" s="14"/>
      <c r="T197" s="14"/>
      <c r="U197" s="14"/>
      <c r="V197" s="14"/>
      <c r="W197" s="14"/>
      <c r="X197" s="14"/>
      <c r="Y197" s="14"/>
      <c r="Z197" s="14"/>
    </row>
    <row r="198" ht="22.5" customHeight="1">
      <c r="A198" s="227">
        <v>46065.0</v>
      </c>
      <c r="B198" s="9" t="s">
        <v>4309</v>
      </c>
      <c r="C198" s="9" t="s">
        <v>4310</v>
      </c>
      <c r="D198" s="9" t="s">
        <v>4294</v>
      </c>
      <c r="E198" s="216">
        <v>9.392458574E9</v>
      </c>
      <c r="F198" s="8" t="s">
        <v>186</v>
      </c>
      <c r="G198" s="9" t="s">
        <v>3862</v>
      </c>
      <c r="H198" s="14"/>
      <c r="I198" s="14"/>
      <c r="J198" s="14"/>
      <c r="K198" s="14"/>
      <c r="L198" s="14"/>
      <c r="M198" s="14"/>
      <c r="N198" s="14"/>
      <c r="O198" s="14"/>
      <c r="P198" s="14"/>
      <c r="Q198" s="14"/>
      <c r="R198" s="14"/>
      <c r="S198" s="14"/>
      <c r="T198" s="14"/>
      <c r="U198" s="14"/>
      <c r="V198" s="14"/>
      <c r="W198" s="14"/>
      <c r="X198" s="14"/>
      <c r="Y198" s="14"/>
      <c r="Z198" s="14"/>
    </row>
    <row r="199" ht="22.5" customHeight="1">
      <c r="A199" s="227">
        <v>46065.0</v>
      </c>
      <c r="B199" s="9" t="s">
        <v>4311</v>
      </c>
      <c r="C199" s="9"/>
      <c r="D199" s="9" t="s">
        <v>4312</v>
      </c>
      <c r="E199" s="216">
        <v>7.842474608E9</v>
      </c>
      <c r="F199" s="8" t="s">
        <v>241</v>
      </c>
      <c r="G199" s="9" t="s">
        <v>4313</v>
      </c>
      <c r="H199" s="14"/>
      <c r="I199" s="14"/>
      <c r="J199" s="14"/>
      <c r="K199" s="14"/>
      <c r="L199" s="14"/>
      <c r="M199" s="14"/>
      <c r="N199" s="14"/>
      <c r="O199" s="14"/>
      <c r="P199" s="14"/>
      <c r="Q199" s="14"/>
      <c r="R199" s="14"/>
      <c r="S199" s="14"/>
      <c r="T199" s="14"/>
      <c r="U199" s="14"/>
      <c r="V199" s="14"/>
      <c r="W199" s="14"/>
      <c r="X199" s="14"/>
      <c r="Y199" s="14"/>
      <c r="Z199" s="14"/>
    </row>
    <row r="200" ht="22.5" customHeight="1">
      <c r="A200" s="227">
        <v>46065.0</v>
      </c>
      <c r="B200" s="9" t="s">
        <v>4314</v>
      </c>
      <c r="C200" s="9" t="s">
        <v>4315</v>
      </c>
      <c r="D200" s="9"/>
      <c r="E200" s="216"/>
      <c r="F200" s="8" t="s">
        <v>241</v>
      </c>
      <c r="G200" s="9" t="s">
        <v>4053</v>
      </c>
      <c r="H200" s="14"/>
      <c r="I200" s="14"/>
      <c r="J200" s="14"/>
      <c r="K200" s="14"/>
      <c r="L200" s="14"/>
      <c r="M200" s="14"/>
      <c r="N200" s="14"/>
      <c r="O200" s="14"/>
      <c r="P200" s="14"/>
      <c r="Q200" s="14"/>
      <c r="R200" s="14"/>
      <c r="S200" s="14"/>
      <c r="T200" s="14"/>
      <c r="U200" s="14"/>
      <c r="V200" s="14"/>
      <c r="W200" s="14"/>
      <c r="X200" s="14"/>
      <c r="Y200" s="14"/>
      <c r="Z200" s="14"/>
    </row>
    <row r="201" ht="22.5" customHeight="1">
      <c r="A201" s="227">
        <v>46065.0</v>
      </c>
      <c r="B201" s="9" t="s">
        <v>4316</v>
      </c>
      <c r="C201" s="9"/>
      <c r="D201" s="9" t="s">
        <v>4317</v>
      </c>
      <c r="E201" s="216">
        <v>8.639381583E9</v>
      </c>
      <c r="F201" s="221" t="s">
        <v>45</v>
      </c>
      <c r="G201" s="9" t="s">
        <v>4318</v>
      </c>
      <c r="H201" s="14"/>
      <c r="I201" s="14"/>
      <c r="J201" s="14"/>
      <c r="K201" s="14"/>
      <c r="L201" s="14"/>
      <c r="M201" s="14"/>
      <c r="N201" s="14"/>
      <c r="O201" s="14"/>
      <c r="P201" s="14"/>
      <c r="Q201" s="14"/>
      <c r="R201" s="14"/>
      <c r="S201" s="14"/>
      <c r="T201" s="14"/>
      <c r="U201" s="14"/>
      <c r="V201" s="14"/>
      <c r="W201" s="14"/>
      <c r="X201" s="14"/>
      <c r="Y201" s="14"/>
      <c r="Z201" s="14"/>
    </row>
    <row r="202" ht="22.5" customHeight="1">
      <c r="A202" s="227">
        <v>46065.0</v>
      </c>
      <c r="B202" s="9" t="s">
        <v>4319</v>
      </c>
      <c r="C202" s="9" t="s">
        <v>4320</v>
      </c>
      <c r="E202" s="216">
        <v>6.28174849E9</v>
      </c>
      <c r="F202" s="8" t="s">
        <v>200</v>
      </c>
      <c r="G202" s="9" t="s">
        <v>4321</v>
      </c>
      <c r="H202" s="14"/>
      <c r="I202" s="14"/>
      <c r="J202" s="14"/>
      <c r="K202" s="14"/>
      <c r="L202" s="14"/>
      <c r="M202" s="14"/>
      <c r="N202" s="14"/>
      <c r="O202" s="14"/>
      <c r="P202" s="14"/>
      <c r="Q202" s="14"/>
      <c r="R202" s="14"/>
      <c r="S202" s="14"/>
      <c r="T202" s="14"/>
      <c r="U202" s="14"/>
      <c r="V202" s="14"/>
      <c r="W202" s="14"/>
      <c r="X202" s="14"/>
      <c r="Y202" s="14"/>
      <c r="Z202" s="14"/>
    </row>
    <row r="203" ht="22.5" customHeight="1">
      <c r="A203" s="227">
        <v>46065.0</v>
      </c>
      <c r="B203" s="9" t="s">
        <v>4322</v>
      </c>
      <c r="C203" s="9"/>
      <c r="D203" s="9" t="s">
        <v>4323</v>
      </c>
      <c r="E203" s="216">
        <v>9.966033399E9</v>
      </c>
      <c r="F203" s="8" t="s">
        <v>186</v>
      </c>
      <c r="G203" s="9" t="s">
        <v>4324</v>
      </c>
      <c r="H203" s="14"/>
      <c r="I203" s="14"/>
      <c r="J203" s="14"/>
      <c r="K203" s="14"/>
      <c r="L203" s="14"/>
      <c r="M203" s="14"/>
      <c r="N203" s="14"/>
      <c r="O203" s="14"/>
      <c r="P203" s="14"/>
      <c r="Q203" s="14"/>
      <c r="R203" s="14"/>
      <c r="S203" s="14"/>
      <c r="T203" s="14"/>
      <c r="U203" s="14"/>
      <c r="V203" s="14"/>
      <c r="W203" s="14"/>
      <c r="X203" s="14"/>
      <c r="Y203" s="14"/>
      <c r="Z203" s="14"/>
    </row>
    <row r="204" ht="22.5" customHeight="1">
      <c r="A204" s="227">
        <v>46065.0</v>
      </c>
      <c r="B204" s="9" t="s">
        <v>4325</v>
      </c>
      <c r="C204" s="9" t="s">
        <v>4326</v>
      </c>
      <c r="D204" s="9"/>
      <c r="E204" s="216">
        <v>9.642234333E9</v>
      </c>
      <c r="F204" s="8" t="s">
        <v>3853</v>
      </c>
      <c r="G204" s="9" t="s">
        <v>4327</v>
      </c>
      <c r="H204" s="14"/>
      <c r="I204" s="14"/>
      <c r="J204" s="14"/>
      <c r="K204" s="14"/>
      <c r="L204" s="14"/>
      <c r="M204" s="14"/>
      <c r="N204" s="14"/>
      <c r="O204" s="14"/>
      <c r="P204" s="14"/>
      <c r="Q204" s="14"/>
      <c r="R204" s="14"/>
      <c r="S204" s="14"/>
      <c r="T204" s="14"/>
      <c r="U204" s="14"/>
      <c r="V204" s="14"/>
      <c r="W204" s="14"/>
      <c r="X204" s="14"/>
      <c r="Y204" s="14"/>
      <c r="Z204" s="14"/>
    </row>
    <row r="205" ht="22.5" customHeight="1">
      <c r="A205" s="227">
        <v>46065.0</v>
      </c>
      <c r="B205" s="9" t="s">
        <v>4328</v>
      </c>
      <c r="C205" s="9" t="s">
        <v>4326</v>
      </c>
      <c r="D205" s="9" t="s">
        <v>4329</v>
      </c>
      <c r="E205" s="216">
        <v>6.30552916E9</v>
      </c>
      <c r="F205" s="8" t="s">
        <v>3853</v>
      </c>
      <c r="G205" s="9" t="s">
        <v>4330</v>
      </c>
      <c r="H205" s="14"/>
      <c r="I205" s="14"/>
      <c r="J205" s="14"/>
      <c r="K205" s="14"/>
      <c r="L205" s="14"/>
      <c r="M205" s="14"/>
      <c r="N205" s="14"/>
      <c r="O205" s="14"/>
      <c r="P205" s="14"/>
      <c r="Q205" s="14"/>
      <c r="R205" s="14"/>
      <c r="S205" s="14"/>
      <c r="T205" s="14"/>
      <c r="U205" s="14"/>
      <c r="V205" s="14"/>
      <c r="W205" s="14"/>
      <c r="X205" s="14"/>
      <c r="Y205" s="14"/>
      <c r="Z205" s="14"/>
    </row>
    <row r="206" ht="22.5" customHeight="1">
      <c r="A206" s="227">
        <v>46065.0</v>
      </c>
      <c r="B206" s="9" t="s">
        <v>4331</v>
      </c>
      <c r="C206" s="9"/>
      <c r="D206" s="9"/>
      <c r="E206" s="216"/>
      <c r="F206" s="8" t="s">
        <v>60</v>
      </c>
      <c r="G206" s="9" t="s">
        <v>3862</v>
      </c>
      <c r="H206" s="14"/>
      <c r="I206" s="14"/>
      <c r="J206" s="14"/>
      <c r="K206" s="14"/>
      <c r="L206" s="14"/>
      <c r="M206" s="14"/>
      <c r="N206" s="14"/>
      <c r="O206" s="14"/>
      <c r="P206" s="14"/>
      <c r="Q206" s="14"/>
      <c r="R206" s="14"/>
      <c r="S206" s="14"/>
      <c r="T206" s="14"/>
      <c r="U206" s="14"/>
      <c r="V206" s="14"/>
      <c r="W206" s="14"/>
      <c r="X206" s="14"/>
      <c r="Y206" s="14"/>
      <c r="Z206" s="14"/>
    </row>
    <row r="207" ht="22.5" customHeight="1">
      <c r="A207" s="227">
        <v>46065.0</v>
      </c>
      <c r="B207" s="9" t="s">
        <v>4332</v>
      </c>
      <c r="C207" s="9" t="s">
        <v>4290</v>
      </c>
      <c r="D207" s="9" t="s">
        <v>4333</v>
      </c>
      <c r="E207" s="216">
        <v>9.12179543E9</v>
      </c>
      <c r="F207" s="8" t="s">
        <v>186</v>
      </c>
      <c r="G207" s="9" t="s">
        <v>4334</v>
      </c>
      <c r="H207" s="14"/>
      <c r="I207" s="14"/>
      <c r="J207" s="14"/>
      <c r="K207" s="14"/>
      <c r="L207" s="14"/>
      <c r="M207" s="14"/>
      <c r="N207" s="14"/>
      <c r="O207" s="14"/>
      <c r="P207" s="14"/>
      <c r="Q207" s="14"/>
      <c r="R207" s="14"/>
      <c r="S207" s="14"/>
      <c r="T207" s="14"/>
      <c r="U207" s="14"/>
      <c r="V207" s="14"/>
      <c r="W207" s="14"/>
      <c r="X207" s="14"/>
      <c r="Y207" s="14"/>
      <c r="Z207" s="14"/>
    </row>
    <row r="208" ht="22.5" customHeight="1">
      <c r="A208" s="227">
        <v>46065.0</v>
      </c>
      <c r="B208" s="9" t="s">
        <v>4335</v>
      </c>
      <c r="C208" s="9" t="s">
        <v>4336</v>
      </c>
      <c r="D208" s="9" t="s">
        <v>957</v>
      </c>
      <c r="E208" s="216">
        <v>9.398948353E9</v>
      </c>
      <c r="F208" s="8" t="s">
        <v>3853</v>
      </c>
      <c r="G208" s="9" t="s">
        <v>4337</v>
      </c>
      <c r="H208" s="14"/>
      <c r="I208" s="14"/>
      <c r="J208" s="14"/>
      <c r="K208" s="14"/>
      <c r="L208" s="14"/>
      <c r="M208" s="14"/>
      <c r="N208" s="14"/>
      <c r="O208" s="14"/>
      <c r="P208" s="14"/>
      <c r="Q208" s="14"/>
      <c r="R208" s="14"/>
      <c r="S208" s="14"/>
      <c r="T208" s="14"/>
      <c r="U208" s="14"/>
      <c r="V208" s="14"/>
      <c r="W208" s="14"/>
      <c r="X208" s="14"/>
      <c r="Y208" s="14"/>
      <c r="Z208" s="14"/>
    </row>
    <row r="209" ht="22.5" customHeight="1">
      <c r="A209" s="227">
        <v>46065.0</v>
      </c>
      <c r="B209" s="9" t="s">
        <v>4338</v>
      </c>
      <c r="C209" s="9"/>
      <c r="D209" s="9"/>
      <c r="E209" s="216"/>
      <c r="F209" s="8" t="s">
        <v>96</v>
      </c>
      <c r="G209" s="9" t="s">
        <v>4339</v>
      </c>
      <c r="H209" s="14"/>
      <c r="I209" s="14"/>
      <c r="J209" s="14"/>
      <c r="K209" s="14"/>
      <c r="L209" s="14"/>
      <c r="M209" s="14"/>
      <c r="N209" s="14"/>
      <c r="O209" s="14"/>
      <c r="P209" s="14"/>
      <c r="Q209" s="14"/>
      <c r="R209" s="14"/>
      <c r="S209" s="14"/>
      <c r="T209" s="14"/>
      <c r="U209" s="14"/>
      <c r="V209" s="14"/>
      <c r="W209" s="14"/>
      <c r="X209" s="14"/>
      <c r="Y209" s="14"/>
      <c r="Z209" s="14"/>
    </row>
    <row r="210" ht="22.5" customHeight="1">
      <c r="A210" s="227">
        <v>46065.0</v>
      </c>
      <c r="B210" s="9" t="s">
        <v>4340</v>
      </c>
      <c r="C210" s="9"/>
      <c r="D210" s="9"/>
      <c r="E210" s="216">
        <v>9.346342272E9</v>
      </c>
      <c r="F210" s="8" t="s">
        <v>248</v>
      </c>
      <c r="G210" s="9" t="s">
        <v>4341</v>
      </c>
      <c r="H210" s="14"/>
      <c r="I210" s="14"/>
      <c r="J210" s="14"/>
      <c r="K210" s="14"/>
      <c r="L210" s="14"/>
      <c r="M210" s="14"/>
      <c r="N210" s="14"/>
      <c r="O210" s="14"/>
      <c r="P210" s="14"/>
      <c r="Q210" s="14"/>
      <c r="R210" s="14"/>
      <c r="S210" s="14"/>
      <c r="T210" s="14"/>
      <c r="U210" s="14"/>
      <c r="V210" s="14"/>
      <c r="W210" s="14"/>
      <c r="X210" s="14"/>
      <c r="Y210" s="14"/>
      <c r="Z210" s="14"/>
    </row>
    <row r="211" ht="22.5" customHeight="1">
      <c r="A211" s="227">
        <v>46065.0</v>
      </c>
      <c r="B211" s="9" t="s">
        <v>4342</v>
      </c>
      <c r="C211" s="9" t="s">
        <v>4343</v>
      </c>
      <c r="D211" s="9" t="s">
        <v>4344</v>
      </c>
      <c r="E211" s="216">
        <v>8.688077052E9</v>
      </c>
      <c r="F211" s="8" t="s">
        <v>3853</v>
      </c>
      <c r="G211" s="9" t="s">
        <v>4345</v>
      </c>
      <c r="H211" s="14"/>
      <c r="I211" s="14"/>
      <c r="J211" s="14"/>
      <c r="K211" s="14"/>
      <c r="L211" s="14"/>
      <c r="M211" s="14"/>
      <c r="N211" s="14"/>
      <c r="O211" s="14"/>
      <c r="P211" s="14"/>
      <c r="Q211" s="14"/>
      <c r="R211" s="14"/>
      <c r="S211" s="14"/>
      <c r="T211" s="14"/>
      <c r="U211" s="14"/>
      <c r="V211" s="14"/>
      <c r="W211" s="14"/>
      <c r="X211" s="14"/>
      <c r="Y211" s="14"/>
      <c r="Z211" s="14"/>
    </row>
    <row r="212" ht="22.5" customHeight="1">
      <c r="A212" s="227">
        <v>46065.0</v>
      </c>
      <c r="B212" s="9" t="s">
        <v>4346</v>
      </c>
      <c r="C212" s="9"/>
      <c r="D212" s="9" t="s">
        <v>4347</v>
      </c>
      <c r="E212" s="216">
        <v>9.866896332E9</v>
      </c>
      <c r="F212" s="8" t="s">
        <v>241</v>
      </c>
      <c r="G212" s="9" t="s">
        <v>4348</v>
      </c>
      <c r="H212" s="14"/>
      <c r="I212" s="14"/>
      <c r="J212" s="14"/>
      <c r="K212" s="14"/>
      <c r="L212" s="14"/>
      <c r="M212" s="14"/>
      <c r="N212" s="14"/>
      <c r="O212" s="14"/>
      <c r="P212" s="14"/>
      <c r="Q212" s="14"/>
      <c r="R212" s="14"/>
      <c r="S212" s="14"/>
      <c r="T212" s="14"/>
      <c r="U212" s="14"/>
      <c r="V212" s="14"/>
      <c r="W212" s="14"/>
      <c r="X212" s="14"/>
      <c r="Y212" s="14"/>
      <c r="Z212" s="14"/>
    </row>
    <row r="213" ht="22.5" customHeight="1">
      <c r="A213" s="227">
        <v>46065.0</v>
      </c>
      <c r="B213" s="9" t="s">
        <v>4349</v>
      </c>
      <c r="D213" s="9" t="s">
        <v>4350</v>
      </c>
      <c r="E213" s="216">
        <v>9.000931717E9</v>
      </c>
      <c r="F213" s="8" t="s">
        <v>241</v>
      </c>
      <c r="G213" s="9" t="s">
        <v>4351</v>
      </c>
      <c r="H213" s="14"/>
      <c r="I213" s="14"/>
      <c r="J213" s="14"/>
      <c r="K213" s="14"/>
      <c r="L213" s="14"/>
      <c r="M213" s="14"/>
      <c r="N213" s="14"/>
      <c r="O213" s="14"/>
      <c r="P213" s="14"/>
      <c r="Q213" s="14"/>
      <c r="R213" s="14"/>
      <c r="S213" s="14"/>
      <c r="T213" s="14"/>
      <c r="U213" s="14"/>
      <c r="V213" s="14"/>
      <c r="W213" s="14"/>
      <c r="X213" s="14"/>
      <c r="Y213" s="14"/>
      <c r="Z213" s="14"/>
    </row>
    <row r="214" ht="22.5" customHeight="1">
      <c r="A214" s="227">
        <v>46065.0</v>
      </c>
      <c r="B214" s="9" t="s">
        <v>4008</v>
      </c>
      <c r="C214" s="9" t="s">
        <v>4343</v>
      </c>
      <c r="D214" s="9" t="s">
        <v>4352</v>
      </c>
      <c r="E214" s="216">
        <v>7.093051795E9</v>
      </c>
      <c r="F214" s="8" t="s">
        <v>3853</v>
      </c>
      <c r="G214" s="9" t="s">
        <v>4353</v>
      </c>
      <c r="H214" s="14"/>
      <c r="I214" s="14"/>
      <c r="J214" s="14"/>
      <c r="K214" s="14"/>
      <c r="L214" s="14"/>
      <c r="M214" s="14"/>
      <c r="N214" s="14"/>
      <c r="O214" s="14"/>
      <c r="P214" s="14"/>
      <c r="Q214" s="14"/>
      <c r="R214" s="14"/>
      <c r="S214" s="14"/>
      <c r="T214" s="14"/>
      <c r="U214" s="14"/>
      <c r="V214" s="14"/>
      <c r="W214" s="14"/>
      <c r="X214" s="14"/>
      <c r="Y214" s="14"/>
      <c r="Z214" s="14"/>
    </row>
    <row r="215" ht="22.5" customHeight="1">
      <c r="A215" s="227">
        <v>46065.0</v>
      </c>
      <c r="B215" s="9" t="s">
        <v>4354</v>
      </c>
      <c r="C215" s="9" t="s">
        <v>4290</v>
      </c>
      <c r="D215" s="9"/>
      <c r="E215" s="216"/>
      <c r="F215" s="8" t="s">
        <v>186</v>
      </c>
      <c r="G215" s="9" t="s">
        <v>4355</v>
      </c>
      <c r="H215" s="14"/>
      <c r="I215" s="14"/>
      <c r="J215" s="14"/>
      <c r="K215" s="14"/>
      <c r="L215" s="14"/>
      <c r="M215" s="14"/>
      <c r="N215" s="14"/>
      <c r="O215" s="14"/>
      <c r="P215" s="14"/>
      <c r="Q215" s="14"/>
      <c r="R215" s="14"/>
      <c r="S215" s="14"/>
      <c r="T215" s="14"/>
      <c r="U215" s="14"/>
      <c r="V215" s="14"/>
      <c r="W215" s="14"/>
      <c r="X215" s="14"/>
      <c r="Y215" s="14"/>
      <c r="Z215" s="14"/>
    </row>
    <row r="216" ht="22.5" customHeight="1">
      <c r="A216" s="227">
        <v>46065.0</v>
      </c>
      <c r="B216" s="9" t="s">
        <v>4356</v>
      </c>
      <c r="C216" s="9" t="s">
        <v>4326</v>
      </c>
      <c r="D216" s="9" t="s">
        <v>4357</v>
      </c>
      <c r="E216" s="216">
        <v>9.121083701E9</v>
      </c>
      <c r="F216" s="8" t="s">
        <v>4358</v>
      </c>
      <c r="G216" s="9" t="s">
        <v>4359</v>
      </c>
      <c r="H216" s="14"/>
      <c r="I216" s="14"/>
      <c r="J216" s="14"/>
      <c r="K216" s="14"/>
      <c r="L216" s="14"/>
      <c r="M216" s="14"/>
      <c r="N216" s="14"/>
      <c r="O216" s="14"/>
      <c r="P216" s="14"/>
      <c r="Q216" s="14"/>
      <c r="R216" s="14"/>
      <c r="S216" s="14"/>
      <c r="T216" s="14"/>
      <c r="U216" s="14"/>
      <c r="V216" s="14"/>
      <c r="W216" s="14"/>
      <c r="X216" s="14"/>
      <c r="Y216" s="14"/>
      <c r="Z216" s="14"/>
    </row>
    <row r="217" ht="22.5" customHeight="1">
      <c r="A217" s="227">
        <v>46065.0</v>
      </c>
      <c r="B217" s="9" t="s">
        <v>4360</v>
      </c>
      <c r="C217" s="9" t="s">
        <v>4361</v>
      </c>
      <c r="D217" s="9"/>
      <c r="E217" s="216"/>
      <c r="F217" s="8" t="s">
        <v>200</v>
      </c>
      <c r="G217" s="9" t="s">
        <v>4362</v>
      </c>
      <c r="H217" s="14"/>
      <c r="I217" s="14"/>
      <c r="J217" s="14"/>
      <c r="K217" s="14"/>
      <c r="L217" s="14"/>
      <c r="M217" s="14"/>
      <c r="N217" s="14"/>
      <c r="O217" s="14"/>
      <c r="P217" s="14"/>
      <c r="Q217" s="14"/>
      <c r="R217" s="14"/>
      <c r="S217" s="14"/>
      <c r="T217" s="14"/>
      <c r="U217" s="14"/>
      <c r="V217" s="14"/>
      <c r="W217" s="14"/>
      <c r="X217" s="14"/>
      <c r="Y217" s="14"/>
      <c r="Z217" s="14"/>
    </row>
    <row r="218" ht="22.5" customHeight="1">
      <c r="A218" s="227">
        <v>46065.0</v>
      </c>
      <c r="B218" s="9" t="s">
        <v>4363</v>
      </c>
      <c r="C218" s="9" t="s">
        <v>4326</v>
      </c>
      <c r="D218" s="9" t="s">
        <v>3153</v>
      </c>
      <c r="E218" s="216">
        <v>7.995243674E9</v>
      </c>
      <c r="F218" s="8" t="s">
        <v>3853</v>
      </c>
      <c r="G218" s="9" t="s">
        <v>4364</v>
      </c>
      <c r="H218" s="14"/>
      <c r="I218" s="14"/>
      <c r="J218" s="14"/>
      <c r="K218" s="14"/>
      <c r="L218" s="14"/>
      <c r="M218" s="14"/>
      <c r="N218" s="14"/>
      <c r="O218" s="14"/>
      <c r="P218" s="14"/>
      <c r="Q218" s="14"/>
      <c r="R218" s="14"/>
      <c r="S218" s="14"/>
      <c r="T218" s="14"/>
      <c r="U218" s="14"/>
      <c r="V218" s="14"/>
      <c r="W218" s="14"/>
      <c r="X218" s="14"/>
      <c r="Y218" s="14"/>
      <c r="Z218" s="14"/>
    </row>
    <row r="219" ht="22.5" customHeight="1">
      <c r="A219" s="227">
        <v>46065.0</v>
      </c>
      <c r="B219" s="9" t="s">
        <v>4365</v>
      </c>
      <c r="C219" s="9"/>
      <c r="D219" s="9"/>
      <c r="E219" s="216"/>
      <c r="F219" s="8" t="s">
        <v>60</v>
      </c>
      <c r="G219" s="9" t="s">
        <v>4366</v>
      </c>
      <c r="H219" s="14"/>
      <c r="I219" s="14"/>
      <c r="J219" s="14"/>
      <c r="K219" s="14"/>
      <c r="L219" s="14"/>
      <c r="M219" s="14"/>
      <c r="N219" s="14"/>
      <c r="O219" s="14"/>
      <c r="P219" s="14"/>
      <c r="Q219" s="14"/>
      <c r="R219" s="14"/>
      <c r="S219" s="14"/>
      <c r="T219" s="14"/>
      <c r="U219" s="14"/>
      <c r="V219" s="14"/>
      <c r="W219" s="14"/>
      <c r="X219" s="14"/>
      <c r="Y219" s="14"/>
      <c r="Z219" s="14"/>
    </row>
    <row r="220" ht="22.5" customHeight="1">
      <c r="A220" s="227">
        <v>46065.0</v>
      </c>
      <c r="B220" s="9" t="s">
        <v>4367</v>
      </c>
      <c r="C220" s="9"/>
      <c r="D220" s="9"/>
      <c r="E220" s="216"/>
      <c r="F220" s="8" t="s">
        <v>96</v>
      </c>
      <c r="G220" s="9" t="s">
        <v>4368</v>
      </c>
      <c r="H220" s="14"/>
      <c r="I220" s="14"/>
      <c r="J220" s="14"/>
      <c r="K220" s="14"/>
      <c r="L220" s="14"/>
      <c r="M220" s="14"/>
      <c r="N220" s="14"/>
      <c r="O220" s="14"/>
      <c r="P220" s="14"/>
      <c r="Q220" s="14"/>
      <c r="R220" s="14"/>
      <c r="S220" s="14"/>
      <c r="T220" s="14"/>
      <c r="U220" s="14"/>
      <c r="V220" s="14"/>
      <c r="W220" s="14"/>
      <c r="X220" s="14"/>
      <c r="Y220" s="14"/>
      <c r="Z220" s="14"/>
    </row>
    <row r="221" ht="22.5" customHeight="1">
      <c r="A221" s="227">
        <v>46065.0</v>
      </c>
      <c r="B221" s="9" t="s">
        <v>887</v>
      </c>
      <c r="C221" s="9" t="s">
        <v>4290</v>
      </c>
      <c r="D221" s="9" t="s">
        <v>4369</v>
      </c>
      <c r="E221" s="216">
        <v>8.121749748E9</v>
      </c>
      <c r="F221" s="8" t="s">
        <v>186</v>
      </c>
      <c r="G221" s="9" t="s">
        <v>4370</v>
      </c>
      <c r="H221" s="14"/>
      <c r="I221" s="14"/>
      <c r="J221" s="14"/>
      <c r="K221" s="14"/>
      <c r="L221" s="14"/>
      <c r="M221" s="14"/>
      <c r="N221" s="14"/>
      <c r="O221" s="14"/>
      <c r="P221" s="14"/>
      <c r="Q221" s="14"/>
      <c r="R221" s="14"/>
      <c r="S221" s="14"/>
      <c r="T221" s="14"/>
      <c r="U221" s="14"/>
      <c r="V221" s="14"/>
      <c r="W221" s="14"/>
      <c r="X221" s="14"/>
      <c r="Y221" s="14"/>
      <c r="Z221" s="14"/>
    </row>
    <row r="222" ht="22.5" customHeight="1">
      <c r="A222" s="227">
        <v>46065.0</v>
      </c>
      <c r="B222" s="9" t="s">
        <v>4371</v>
      </c>
      <c r="C222" s="9" t="s">
        <v>4290</v>
      </c>
      <c r="D222" s="9" t="s">
        <v>4372</v>
      </c>
      <c r="E222" s="216">
        <v>9.133139059E9</v>
      </c>
      <c r="F222" s="8" t="s">
        <v>186</v>
      </c>
      <c r="G222" s="9" t="s">
        <v>4373</v>
      </c>
      <c r="H222" s="14"/>
      <c r="I222" s="14"/>
      <c r="J222" s="14"/>
      <c r="K222" s="14"/>
      <c r="L222" s="14"/>
      <c r="M222" s="14"/>
      <c r="N222" s="14"/>
      <c r="O222" s="14"/>
      <c r="P222" s="14"/>
      <c r="Q222" s="14"/>
      <c r="R222" s="14"/>
      <c r="S222" s="14"/>
      <c r="T222" s="14"/>
      <c r="U222" s="14"/>
      <c r="V222" s="14"/>
      <c r="W222" s="14"/>
      <c r="X222" s="14"/>
      <c r="Y222" s="14"/>
      <c r="Z222" s="14"/>
    </row>
    <row r="223" ht="22.5" customHeight="1">
      <c r="A223" s="227">
        <v>46065.0</v>
      </c>
      <c r="B223" s="9" t="s">
        <v>4374</v>
      </c>
      <c r="C223" s="9"/>
      <c r="D223" s="9" t="s">
        <v>936</v>
      </c>
      <c r="E223" s="216">
        <v>8.466082222E9</v>
      </c>
      <c r="F223" s="8" t="s">
        <v>144</v>
      </c>
      <c r="G223" s="9" t="s">
        <v>4375</v>
      </c>
      <c r="H223" s="14"/>
      <c r="I223" s="14"/>
      <c r="J223" s="14"/>
      <c r="K223" s="14"/>
      <c r="L223" s="14"/>
      <c r="M223" s="14"/>
      <c r="N223" s="14"/>
      <c r="O223" s="14"/>
      <c r="P223" s="14"/>
      <c r="Q223" s="14"/>
      <c r="R223" s="14"/>
      <c r="S223" s="14"/>
      <c r="T223" s="14"/>
      <c r="U223" s="14"/>
      <c r="V223" s="14"/>
      <c r="W223" s="14"/>
      <c r="X223" s="14"/>
      <c r="Y223" s="14"/>
      <c r="Z223" s="14"/>
    </row>
    <row r="224" ht="22.5" customHeight="1">
      <c r="A224" s="227">
        <v>46065.0</v>
      </c>
      <c r="B224" s="9" t="s">
        <v>4376</v>
      </c>
      <c r="C224" s="9" t="s">
        <v>4290</v>
      </c>
      <c r="D224" s="9" t="s">
        <v>4377</v>
      </c>
      <c r="E224" s="216">
        <v>8.790072864E9</v>
      </c>
      <c r="F224" s="8" t="s">
        <v>186</v>
      </c>
      <c r="G224" s="9" t="s">
        <v>4378</v>
      </c>
      <c r="H224" s="14"/>
      <c r="I224" s="14"/>
      <c r="J224" s="14"/>
      <c r="K224" s="14"/>
      <c r="L224" s="14"/>
      <c r="M224" s="14"/>
      <c r="N224" s="14"/>
      <c r="O224" s="14"/>
      <c r="P224" s="14"/>
      <c r="Q224" s="14"/>
      <c r="R224" s="14"/>
      <c r="S224" s="14"/>
      <c r="T224" s="14"/>
      <c r="U224" s="14"/>
      <c r="V224" s="14"/>
      <c r="W224" s="14"/>
      <c r="X224" s="14"/>
      <c r="Y224" s="14"/>
      <c r="Z224" s="14"/>
    </row>
    <row r="225" ht="22.5" customHeight="1">
      <c r="A225" s="227">
        <v>46065.0</v>
      </c>
      <c r="B225" s="9" t="s">
        <v>4379</v>
      </c>
      <c r="D225" s="9" t="s">
        <v>4230</v>
      </c>
      <c r="E225" s="216">
        <v>9.34603623E8</v>
      </c>
      <c r="F225" s="8" t="s">
        <v>248</v>
      </c>
      <c r="G225" s="9" t="s">
        <v>4380</v>
      </c>
      <c r="H225" s="14"/>
      <c r="I225" s="14"/>
      <c r="J225" s="14"/>
      <c r="K225" s="14"/>
      <c r="L225" s="14"/>
      <c r="M225" s="14"/>
      <c r="N225" s="14"/>
      <c r="O225" s="14"/>
      <c r="P225" s="14"/>
      <c r="Q225" s="14"/>
      <c r="R225" s="14"/>
      <c r="S225" s="14"/>
      <c r="T225" s="14"/>
      <c r="U225" s="14"/>
      <c r="V225" s="14"/>
      <c r="W225" s="14"/>
      <c r="X225" s="14"/>
      <c r="Y225" s="14"/>
      <c r="Z225" s="14"/>
    </row>
    <row r="226" ht="22.5" customHeight="1">
      <c r="A226" s="227">
        <v>46065.0</v>
      </c>
      <c r="B226" s="9" t="s">
        <v>4381</v>
      </c>
      <c r="C226" s="9" t="s">
        <v>4290</v>
      </c>
      <c r="D226" s="9" t="s">
        <v>4382</v>
      </c>
      <c r="E226" s="216">
        <v>9.493989362E9</v>
      </c>
      <c r="F226" s="8" t="s">
        <v>186</v>
      </c>
      <c r="G226" s="9" t="s">
        <v>4383</v>
      </c>
      <c r="H226" s="14"/>
      <c r="I226" s="14"/>
      <c r="J226" s="14"/>
      <c r="K226" s="14"/>
      <c r="L226" s="14"/>
      <c r="M226" s="14"/>
      <c r="N226" s="14"/>
      <c r="O226" s="14"/>
      <c r="P226" s="14"/>
      <c r="Q226" s="14"/>
      <c r="R226" s="14"/>
      <c r="S226" s="14"/>
      <c r="T226" s="14"/>
      <c r="U226" s="14"/>
      <c r="V226" s="14"/>
      <c r="W226" s="14"/>
      <c r="X226" s="14"/>
      <c r="Y226" s="14"/>
      <c r="Z226" s="14"/>
    </row>
    <row r="227" ht="22.5" customHeight="1">
      <c r="A227" s="227">
        <v>46065.0</v>
      </c>
      <c r="B227" s="9" t="s">
        <v>4384</v>
      </c>
      <c r="C227" s="9"/>
      <c r="D227" s="9" t="s">
        <v>4385</v>
      </c>
      <c r="E227" s="216"/>
      <c r="F227" s="8" t="s">
        <v>60</v>
      </c>
      <c r="G227" s="9" t="s">
        <v>4386</v>
      </c>
      <c r="H227" s="14"/>
      <c r="I227" s="14"/>
      <c r="J227" s="14"/>
      <c r="K227" s="14"/>
      <c r="L227" s="14"/>
      <c r="M227" s="14"/>
      <c r="N227" s="14"/>
      <c r="O227" s="14"/>
      <c r="P227" s="14"/>
      <c r="Q227" s="14"/>
      <c r="R227" s="14"/>
      <c r="S227" s="14"/>
      <c r="T227" s="14"/>
      <c r="U227" s="14"/>
      <c r="V227" s="14"/>
      <c r="W227" s="14"/>
      <c r="X227" s="14"/>
      <c r="Y227" s="14"/>
      <c r="Z227" s="14"/>
    </row>
    <row r="228" ht="22.5" customHeight="1">
      <c r="A228" s="227">
        <v>46065.0</v>
      </c>
      <c r="B228" s="9" t="s">
        <v>4387</v>
      </c>
      <c r="C228" s="9"/>
      <c r="D228" s="9" t="s">
        <v>4388</v>
      </c>
      <c r="E228" s="216" t="s">
        <v>4389</v>
      </c>
      <c r="F228" s="8" t="s">
        <v>248</v>
      </c>
      <c r="G228" s="9" t="s">
        <v>4390</v>
      </c>
      <c r="H228" s="14"/>
      <c r="I228" s="14"/>
      <c r="J228" s="14"/>
      <c r="K228" s="14"/>
      <c r="L228" s="14"/>
      <c r="M228" s="14"/>
      <c r="N228" s="14"/>
      <c r="O228" s="14"/>
      <c r="P228" s="14"/>
      <c r="Q228" s="14"/>
      <c r="R228" s="14"/>
      <c r="S228" s="14"/>
      <c r="T228" s="14"/>
      <c r="U228" s="14"/>
      <c r="V228" s="14"/>
      <c r="W228" s="14"/>
      <c r="X228" s="14"/>
      <c r="Y228" s="14"/>
      <c r="Z228" s="14"/>
    </row>
    <row r="229" ht="22.5" customHeight="1">
      <c r="A229" s="227">
        <v>46065.0</v>
      </c>
      <c r="B229" s="9" t="s">
        <v>4391</v>
      </c>
      <c r="C229" s="9"/>
      <c r="D229" s="9"/>
      <c r="E229" s="216"/>
      <c r="F229" s="8" t="s">
        <v>4358</v>
      </c>
      <c r="G229" s="9" t="s">
        <v>4392</v>
      </c>
      <c r="H229" s="14"/>
      <c r="I229" s="14"/>
      <c r="J229" s="14"/>
      <c r="K229" s="14"/>
      <c r="L229" s="14"/>
      <c r="M229" s="14"/>
      <c r="N229" s="14"/>
      <c r="O229" s="14"/>
      <c r="P229" s="14"/>
      <c r="Q229" s="14"/>
      <c r="R229" s="14"/>
      <c r="S229" s="14"/>
      <c r="T229" s="14"/>
      <c r="U229" s="14"/>
      <c r="V229" s="14"/>
      <c r="W229" s="14"/>
      <c r="X229" s="14"/>
      <c r="Y229" s="14"/>
      <c r="Z229" s="14"/>
    </row>
    <row r="230" ht="22.5" customHeight="1">
      <c r="A230" s="227">
        <v>46065.0</v>
      </c>
      <c r="B230" s="9" t="s">
        <v>1039</v>
      </c>
      <c r="C230" s="9" t="s">
        <v>4290</v>
      </c>
      <c r="D230" s="9" t="s">
        <v>4393</v>
      </c>
      <c r="E230" s="216"/>
      <c r="F230" s="8" t="s">
        <v>186</v>
      </c>
      <c r="G230" s="9" t="s">
        <v>4394</v>
      </c>
      <c r="H230" s="14"/>
      <c r="I230" s="14"/>
      <c r="J230" s="14"/>
      <c r="K230" s="14"/>
      <c r="L230" s="14"/>
      <c r="M230" s="14"/>
      <c r="N230" s="14"/>
      <c r="O230" s="14"/>
      <c r="P230" s="14"/>
      <c r="Q230" s="14"/>
      <c r="R230" s="14"/>
      <c r="S230" s="14"/>
      <c r="T230" s="14"/>
      <c r="U230" s="14"/>
      <c r="V230" s="14"/>
      <c r="W230" s="14"/>
      <c r="X230" s="14"/>
      <c r="Y230" s="14"/>
      <c r="Z230" s="14"/>
    </row>
    <row r="231" ht="22.5" customHeight="1">
      <c r="A231" s="227">
        <v>46065.0</v>
      </c>
      <c r="B231" s="9" t="s">
        <v>4395</v>
      </c>
      <c r="C231" s="9"/>
      <c r="D231" s="9"/>
      <c r="E231" s="216">
        <v>9.676716999E9</v>
      </c>
      <c r="F231" s="8" t="s">
        <v>96</v>
      </c>
      <c r="G231" s="9" t="s">
        <v>4396</v>
      </c>
      <c r="H231" s="14"/>
      <c r="I231" s="14"/>
      <c r="J231" s="14"/>
      <c r="K231" s="14"/>
      <c r="L231" s="14"/>
      <c r="M231" s="14"/>
      <c r="N231" s="14"/>
      <c r="O231" s="14"/>
      <c r="P231" s="14"/>
      <c r="Q231" s="14"/>
      <c r="R231" s="14"/>
      <c r="S231" s="14"/>
      <c r="T231" s="14"/>
      <c r="U231" s="14"/>
      <c r="V231" s="14"/>
      <c r="W231" s="14"/>
      <c r="X231" s="14"/>
      <c r="Y231" s="14"/>
      <c r="Z231" s="14"/>
    </row>
    <row r="232" ht="22.5" customHeight="1">
      <c r="A232" s="227">
        <v>46065.0</v>
      </c>
      <c r="B232" s="9" t="s">
        <v>4397</v>
      </c>
      <c r="D232" s="9" t="s">
        <v>4398</v>
      </c>
      <c r="E232" s="216">
        <v>9.98550631E9</v>
      </c>
      <c r="F232" s="8" t="s">
        <v>144</v>
      </c>
      <c r="G232" s="9" t="s">
        <v>4399</v>
      </c>
      <c r="H232" s="14"/>
      <c r="I232" s="14"/>
      <c r="J232" s="14"/>
      <c r="K232" s="14"/>
      <c r="L232" s="14"/>
      <c r="M232" s="14"/>
      <c r="N232" s="14"/>
      <c r="O232" s="14"/>
      <c r="P232" s="14"/>
      <c r="Q232" s="14"/>
      <c r="R232" s="14"/>
      <c r="S232" s="14"/>
      <c r="T232" s="14"/>
      <c r="U232" s="14"/>
      <c r="V232" s="14"/>
      <c r="W232" s="14"/>
      <c r="X232" s="14"/>
      <c r="Y232" s="14"/>
      <c r="Z232" s="14"/>
    </row>
    <row r="233" ht="22.5" customHeight="1">
      <c r="A233" s="227">
        <v>46065.0</v>
      </c>
      <c r="B233" s="9" t="s">
        <v>4400</v>
      </c>
      <c r="C233" s="9" t="s">
        <v>203</v>
      </c>
      <c r="D233" s="9" t="s">
        <v>4401</v>
      </c>
      <c r="E233" s="216">
        <v>9.347658193E9</v>
      </c>
      <c r="F233" s="8" t="s">
        <v>3853</v>
      </c>
      <c r="G233" s="9" t="s">
        <v>4402</v>
      </c>
      <c r="H233" s="14"/>
      <c r="I233" s="14"/>
      <c r="J233" s="14"/>
      <c r="K233" s="14"/>
      <c r="L233" s="14"/>
      <c r="M233" s="14"/>
      <c r="N233" s="14"/>
      <c r="O233" s="14"/>
      <c r="P233" s="14"/>
      <c r="Q233" s="14"/>
      <c r="R233" s="14"/>
      <c r="S233" s="14"/>
      <c r="T233" s="14"/>
      <c r="U233" s="14"/>
      <c r="V233" s="14"/>
      <c r="W233" s="14"/>
      <c r="X233" s="14"/>
      <c r="Y233" s="14"/>
      <c r="Z233" s="14"/>
    </row>
    <row r="234" ht="22.5" customHeight="1">
      <c r="A234" s="227">
        <v>46065.0</v>
      </c>
      <c r="B234" s="9" t="s">
        <v>4403</v>
      </c>
      <c r="C234" s="9"/>
      <c r="D234" s="9"/>
      <c r="E234" s="216">
        <v>8.125655929E9</v>
      </c>
      <c r="F234" s="8" t="s">
        <v>200</v>
      </c>
      <c r="G234" s="9" t="s">
        <v>4404</v>
      </c>
      <c r="H234" s="14"/>
      <c r="I234" s="14"/>
      <c r="J234" s="14"/>
      <c r="K234" s="14"/>
      <c r="L234" s="14"/>
      <c r="M234" s="14"/>
      <c r="N234" s="14"/>
      <c r="O234" s="14"/>
      <c r="P234" s="14"/>
      <c r="Q234" s="14"/>
      <c r="R234" s="14"/>
      <c r="S234" s="14"/>
      <c r="T234" s="14"/>
      <c r="U234" s="14"/>
      <c r="V234" s="14"/>
      <c r="W234" s="14"/>
      <c r="X234" s="14"/>
      <c r="Y234" s="14"/>
      <c r="Z234" s="14"/>
    </row>
    <row r="235" ht="22.5" customHeight="1">
      <c r="A235" s="227">
        <v>46065.0</v>
      </c>
      <c r="B235" s="9" t="s">
        <v>4405</v>
      </c>
      <c r="C235" s="9"/>
      <c r="D235" s="9" t="s">
        <v>4406</v>
      </c>
      <c r="E235" s="216">
        <v>9.885930333E9</v>
      </c>
      <c r="F235" s="8" t="s">
        <v>144</v>
      </c>
      <c r="G235" s="9" t="s">
        <v>4407</v>
      </c>
      <c r="H235" s="14"/>
      <c r="I235" s="14"/>
      <c r="J235" s="14"/>
      <c r="K235" s="14"/>
      <c r="L235" s="14"/>
      <c r="M235" s="14"/>
      <c r="N235" s="14"/>
      <c r="O235" s="14"/>
      <c r="P235" s="14"/>
      <c r="Q235" s="14"/>
      <c r="R235" s="14"/>
      <c r="S235" s="14"/>
      <c r="T235" s="14"/>
      <c r="U235" s="14"/>
      <c r="V235" s="14"/>
      <c r="W235" s="14"/>
      <c r="X235" s="14"/>
      <c r="Y235" s="14"/>
      <c r="Z235" s="14"/>
    </row>
    <row r="236" ht="22.5" customHeight="1">
      <c r="A236" s="227">
        <v>46065.0</v>
      </c>
      <c r="B236" s="9" t="s">
        <v>4408</v>
      </c>
      <c r="C236" s="9"/>
      <c r="D236" s="9" t="s">
        <v>4409</v>
      </c>
      <c r="E236" s="216">
        <v>9.703471098E9</v>
      </c>
      <c r="F236" s="8" t="s">
        <v>248</v>
      </c>
      <c r="G236" s="9" t="s">
        <v>4410</v>
      </c>
      <c r="H236" s="14"/>
      <c r="I236" s="14"/>
      <c r="J236" s="14"/>
      <c r="K236" s="14"/>
      <c r="L236" s="14"/>
      <c r="M236" s="14"/>
      <c r="N236" s="14"/>
      <c r="O236" s="14"/>
      <c r="P236" s="14"/>
      <c r="Q236" s="14"/>
      <c r="R236" s="14"/>
      <c r="S236" s="14"/>
      <c r="T236" s="14"/>
      <c r="U236" s="14"/>
      <c r="V236" s="14"/>
      <c r="W236" s="14"/>
      <c r="X236" s="14"/>
      <c r="Y236" s="14"/>
      <c r="Z236" s="14"/>
    </row>
    <row r="237" ht="22.5" customHeight="1">
      <c r="A237" s="227">
        <v>46065.0</v>
      </c>
      <c r="B237" s="9" t="s">
        <v>4411</v>
      </c>
      <c r="C237" s="9"/>
      <c r="D237" s="9"/>
      <c r="E237" s="216">
        <v>9.553099111E9</v>
      </c>
      <c r="F237" s="8" t="s">
        <v>144</v>
      </c>
      <c r="G237" s="9" t="s">
        <v>4412</v>
      </c>
      <c r="H237" s="14"/>
      <c r="I237" s="14"/>
      <c r="J237" s="14"/>
      <c r="K237" s="14"/>
      <c r="L237" s="14"/>
      <c r="M237" s="14"/>
      <c r="N237" s="14"/>
      <c r="O237" s="14"/>
      <c r="P237" s="14"/>
      <c r="Q237" s="14"/>
      <c r="R237" s="14"/>
      <c r="S237" s="14"/>
      <c r="T237" s="14"/>
      <c r="U237" s="14"/>
      <c r="V237" s="14"/>
      <c r="W237" s="14"/>
      <c r="X237" s="14"/>
      <c r="Y237" s="14"/>
      <c r="Z237" s="14"/>
    </row>
    <row r="238" ht="22.5" customHeight="1">
      <c r="A238" s="227">
        <v>46065.0</v>
      </c>
      <c r="B238" s="9" t="s">
        <v>4413</v>
      </c>
      <c r="C238" s="9"/>
      <c r="D238" s="9"/>
      <c r="E238" s="216"/>
      <c r="F238" s="221" t="s">
        <v>45</v>
      </c>
      <c r="G238" s="9" t="s">
        <v>4414</v>
      </c>
      <c r="H238" s="14"/>
      <c r="I238" s="14"/>
      <c r="J238" s="14"/>
      <c r="K238" s="14"/>
      <c r="L238" s="14"/>
      <c r="M238" s="14"/>
      <c r="N238" s="14"/>
      <c r="O238" s="14"/>
      <c r="P238" s="14"/>
      <c r="Q238" s="14"/>
      <c r="R238" s="14"/>
      <c r="S238" s="14"/>
      <c r="T238" s="14"/>
      <c r="U238" s="14"/>
      <c r="V238" s="14"/>
      <c r="W238" s="14"/>
      <c r="X238" s="14"/>
      <c r="Y238" s="14"/>
      <c r="Z238" s="14"/>
    </row>
    <row r="239" ht="22.5" customHeight="1">
      <c r="A239" s="227">
        <v>46065.0</v>
      </c>
      <c r="B239" s="9" t="s">
        <v>4415</v>
      </c>
      <c r="C239" s="9" t="s">
        <v>3061</v>
      </c>
      <c r="D239" s="9" t="s">
        <v>4416</v>
      </c>
      <c r="E239" s="216"/>
      <c r="F239" s="8" t="s">
        <v>186</v>
      </c>
      <c r="G239" s="9" t="s">
        <v>4417</v>
      </c>
      <c r="H239" s="14"/>
      <c r="I239" s="14"/>
      <c r="J239" s="14"/>
      <c r="K239" s="14"/>
      <c r="L239" s="14"/>
      <c r="M239" s="14"/>
      <c r="N239" s="14"/>
      <c r="O239" s="14"/>
      <c r="P239" s="14"/>
      <c r="Q239" s="14"/>
      <c r="R239" s="14"/>
      <c r="S239" s="14"/>
      <c r="T239" s="14"/>
      <c r="U239" s="14"/>
      <c r="V239" s="14"/>
      <c r="W239" s="14"/>
      <c r="X239" s="14"/>
      <c r="Y239" s="14"/>
      <c r="Z239" s="14"/>
    </row>
    <row r="240" ht="22.5" customHeight="1">
      <c r="A240" s="227">
        <v>46065.0</v>
      </c>
      <c r="B240" s="9" t="s">
        <v>4418</v>
      </c>
      <c r="C240" s="9"/>
      <c r="D240" s="9" t="s">
        <v>412</v>
      </c>
      <c r="E240" s="216">
        <v>9.885215007E9</v>
      </c>
      <c r="F240" s="8" t="s">
        <v>144</v>
      </c>
      <c r="G240" s="9" t="s">
        <v>4419</v>
      </c>
      <c r="H240" s="14"/>
      <c r="I240" s="14"/>
      <c r="J240" s="14"/>
      <c r="K240" s="14"/>
      <c r="L240" s="14"/>
      <c r="M240" s="14"/>
      <c r="N240" s="14"/>
      <c r="O240" s="14"/>
      <c r="P240" s="14"/>
      <c r="Q240" s="14"/>
      <c r="R240" s="14"/>
      <c r="S240" s="14"/>
      <c r="T240" s="14"/>
      <c r="U240" s="14"/>
      <c r="V240" s="14"/>
      <c r="W240" s="14"/>
      <c r="X240" s="14"/>
      <c r="Y240" s="14"/>
      <c r="Z240" s="14"/>
    </row>
    <row r="241" ht="22.5" customHeight="1">
      <c r="A241" s="227">
        <v>46065.0</v>
      </c>
      <c r="B241" s="9" t="s">
        <v>4420</v>
      </c>
      <c r="C241" s="9"/>
      <c r="D241" s="9" t="s">
        <v>4421</v>
      </c>
      <c r="E241" s="216">
        <v>9.966740877E9</v>
      </c>
      <c r="F241" s="8" t="s">
        <v>248</v>
      </c>
      <c r="G241" s="9" t="s">
        <v>4422</v>
      </c>
      <c r="H241" s="14"/>
      <c r="I241" s="14"/>
      <c r="J241" s="14"/>
      <c r="K241" s="14"/>
      <c r="L241" s="14"/>
      <c r="M241" s="14"/>
      <c r="N241" s="14"/>
      <c r="O241" s="14"/>
      <c r="P241" s="14"/>
      <c r="Q241" s="14"/>
      <c r="R241" s="14"/>
      <c r="S241" s="14"/>
      <c r="T241" s="14"/>
      <c r="U241" s="14"/>
      <c r="V241" s="14"/>
      <c r="W241" s="14"/>
      <c r="X241" s="14"/>
      <c r="Y241" s="14"/>
      <c r="Z241" s="14"/>
    </row>
    <row r="242" ht="22.5" customHeight="1">
      <c r="A242" s="227">
        <v>46065.0</v>
      </c>
      <c r="B242" s="9" t="s">
        <v>4423</v>
      </c>
      <c r="C242" s="9"/>
      <c r="D242" s="9" t="s">
        <v>4424</v>
      </c>
      <c r="E242" s="216">
        <v>8.142914683E9</v>
      </c>
      <c r="F242" s="8" t="s">
        <v>96</v>
      </c>
      <c r="G242" s="9" t="s">
        <v>4425</v>
      </c>
      <c r="H242" s="14"/>
      <c r="I242" s="14"/>
      <c r="J242" s="14"/>
      <c r="K242" s="14"/>
      <c r="L242" s="14"/>
      <c r="M242" s="14"/>
      <c r="N242" s="14"/>
      <c r="O242" s="14"/>
      <c r="P242" s="14"/>
      <c r="Q242" s="14"/>
      <c r="R242" s="14"/>
      <c r="S242" s="14"/>
      <c r="T242" s="14"/>
      <c r="U242" s="14"/>
      <c r="V242" s="14"/>
      <c r="W242" s="14"/>
      <c r="X242" s="14"/>
      <c r="Y242" s="14"/>
      <c r="Z242" s="14"/>
    </row>
    <row r="243" ht="22.5" customHeight="1">
      <c r="A243" s="227">
        <v>46065.0</v>
      </c>
      <c r="B243" s="9" t="s">
        <v>4426</v>
      </c>
      <c r="C243" s="9"/>
      <c r="D243" s="9" t="s">
        <v>4427</v>
      </c>
      <c r="E243" s="216">
        <v>9.573394555E9</v>
      </c>
      <c r="F243" s="221" t="s">
        <v>45</v>
      </c>
      <c r="G243" s="9" t="s">
        <v>4302</v>
      </c>
      <c r="H243" s="14"/>
      <c r="I243" s="14"/>
      <c r="J243" s="14"/>
      <c r="K243" s="14"/>
      <c r="L243" s="14"/>
      <c r="M243" s="14"/>
      <c r="N243" s="14"/>
      <c r="O243" s="14"/>
      <c r="P243" s="14"/>
      <c r="Q243" s="14"/>
      <c r="R243" s="14"/>
      <c r="S243" s="14"/>
      <c r="T243" s="14"/>
      <c r="U243" s="14"/>
      <c r="V243" s="14"/>
      <c r="W243" s="14"/>
      <c r="X243" s="14"/>
      <c r="Y243" s="14"/>
      <c r="Z243" s="14"/>
    </row>
    <row r="244" ht="22.5" customHeight="1">
      <c r="A244" s="227">
        <v>46065.0</v>
      </c>
      <c r="B244" s="9" t="s">
        <v>922</v>
      </c>
      <c r="C244" s="9"/>
      <c r="D244" s="9"/>
      <c r="E244" s="216"/>
      <c r="F244" s="8" t="s">
        <v>60</v>
      </c>
      <c r="G244" s="9" t="s">
        <v>4428</v>
      </c>
      <c r="H244" s="14"/>
      <c r="I244" s="14"/>
      <c r="J244" s="14"/>
      <c r="K244" s="14"/>
      <c r="L244" s="14"/>
      <c r="M244" s="14"/>
      <c r="N244" s="14"/>
      <c r="O244" s="14"/>
      <c r="P244" s="14"/>
      <c r="Q244" s="14"/>
      <c r="R244" s="14"/>
      <c r="S244" s="14"/>
      <c r="T244" s="14"/>
      <c r="U244" s="14"/>
      <c r="V244" s="14"/>
      <c r="W244" s="14"/>
      <c r="X244" s="14"/>
      <c r="Y244" s="14"/>
      <c r="Z244" s="14"/>
    </row>
    <row r="245" ht="22.5" customHeight="1">
      <c r="A245" s="227">
        <v>46065.0</v>
      </c>
      <c r="B245" s="9" t="s">
        <v>4429</v>
      </c>
      <c r="C245" s="9"/>
      <c r="D245" s="9" t="s">
        <v>4430</v>
      </c>
      <c r="E245" s="216">
        <v>9.908602056E9</v>
      </c>
      <c r="F245" s="8" t="s">
        <v>248</v>
      </c>
      <c r="G245" s="9" t="s">
        <v>4431</v>
      </c>
      <c r="H245" s="14"/>
      <c r="I245" s="14"/>
      <c r="J245" s="14"/>
      <c r="K245" s="14"/>
      <c r="L245" s="14"/>
      <c r="M245" s="14"/>
      <c r="N245" s="14"/>
      <c r="O245" s="14"/>
      <c r="P245" s="14"/>
      <c r="Q245" s="14"/>
      <c r="R245" s="14"/>
      <c r="S245" s="14"/>
      <c r="T245" s="14"/>
      <c r="U245" s="14"/>
      <c r="V245" s="14"/>
      <c r="W245" s="14"/>
      <c r="X245" s="14"/>
      <c r="Y245" s="14"/>
      <c r="Z245" s="14"/>
    </row>
    <row r="246" ht="22.5" customHeight="1">
      <c r="A246" s="227">
        <v>46065.0</v>
      </c>
      <c r="B246" s="9" t="s">
        <v>4432</v>
      </c>
      <c r="C246" s="9"/>
      <c r="D246" s="9" t="s">
        <v>4433</v>
      </c>
      <c r="E246" s="216">
        <v>9.06906404E9</v>
      </c>
      <c r="F246" s="8" t="s">
        <v>144</v>
      </c>
      <c r="G246" s="9" t="s">
        <v>4434</v>
      </c>
      <c r="H246" s="14"/>
      <c r="I246" s="14"/>
      <c r="J246" s="14"/>
      <c r="K246" s="14"/>
      <c r="L246" s="14"/>
      <c r="M246" s="14"/>
      <c r="N246" s="14"/>
      <c r="O246" s="14"/>
      <c r="P246" s="14"/>
      <c r="Q246" s="14"/>
      <c r="R246" s="14"/>
      <c r="S246" s="14"/>
      <c r="T246" s="14"/>
      <c r="U246" s="14"/>
      <c r="V246" s="14"/>
      <c r="W246" s="14"/>
      <c r="X246" s="14"/>
      <c r="Y246" s="14"/>
      <c r="Z246" s="14"/>
    </row>
    <row r="247" ht="22.5" customHeight="1">
      <c r="A247" s="227">
        <v>46065.0</v>
      </c>
      <c r="B247" s="9" t="s">
        <v>4435</v>
      </c>
      <c r="C247" s="9"/>
      <c r="D247" s="9" t="s">
        <v>4333</v>
      </c>
      <c r="E247" s="216">
        <v>8.520937226E9</v>
      </c>
      <c r="F247" s="221" t="s">
        <v>45</v>
      </c>
      <c r="G247" s="9" t="s">
        <v>4436</v>
      </c>
      <c r="H247" s="14"/>
      <c r="I247" s="14"/>
      <c r="J247" s="14"/>
      <c r="K247" s="14"/>
      <c r="L247" s="14"/>
      <c r="M247" s="14"/>
      <c r="N247" s="14"/>
      <c r="O247" s="14"/>
      <c r="P247" s="14"/>
      <c r="Q247" s="14"/>
      <c r="R247" s="14"/>
      <c r="S247" s="14"/>
      <c r="T247" s="14"/>
      <c r="U247" s="14"/>
      <c r="V247" s="14"/>
      <c r="W247" s="14"/>
      <c r="X247" s="14"/>
      <c r="Y247" s="14"/>
      <c r="Z247" s="14"/>
    </row>
    <row r="248" ht="22.5" customHeight="1">
      <c r="A248" s="227">
        <v>46065.0</v>
      </c>
      <c r="B248" s="9" t="s">
        <v>4437</v>
      </c>
      <c r="C248" s="9"/>
      <c r="D248" s="9"/>
      <c r="E248" s="216"/>
      <c r="F248" s="8" t="s">
        <v>60</v>
      </c>
      <c r="G248" s="9" t="s">
        <v>4438</v>
      </c>
      <c r="H248" s="14"/>
      <c r="I248" s="14"/>
      <c r="J248" s="14"/>
      <c r="K248" s="14"/>
      <c r="L248" s="14"/>
      <c r="M248" s="14"/>
      <c r="N248" s="14"/>
      <c r="O248" s="14"/>
      <c r="P248" s="14"/>
      <c r="Q248" s="14"/>
      <c r="R248" s="14"/>
      <c r="S248" s="14"/>
      <c r="T248" s="14"/>
      <c r="U248" s="14"/>
      <c r="V248" s="14"/>
      <c r="W248" s="14"/>
      <c r="X248" s="14"/>
      <c r="Y248" s="14"/>
      <c r="Z248" s="14"/>
    </row>
    <row r="249" ht="22.5" customHeight="1">
      <c r="A249" s="227">
        <v>46065.0</v>
      </c>
      <c r="B249" s="9" t="s">
        <v>913</v>
      </c>
      <c r="C249" s="9" t="s">
        <v>2722</v>
      </c>
      <c r="D249" s="9"/>
      <c r="E249" s="216"/>
      <c r="F249" s="8" t="s">
        <v>241</v>
      </c>
      <c r="G249" s="9" t="s">
        <v>4439</v>
      </c>
      <c r="H249" s="14"/>
      <c r="I249" s="14"/>
      <c r="J249" s="14"/>
      <c r="K249" s="14"/>
      <c r="L249" s="14"/>
      <c r="M249" s="14"/>
      <c r="N249" s="14"/>
      <c r="O249" s="14"/>
      <c r="P249" s="14"/>
      <c r="Q249" s="14"/>
      <c r="R249" s="14"/>
      <c r="S249" s="14"/>
      <c r="T249" s="14"/>
      <c r="U249" s="14"/>
      <c r="V249" s="14"/>
      <c r="W249" s="14"/>
      <c r="X249" s="14"/>
      <c r="Y249" s="14"/>
      <c r="Z249" s="14"/>
    </row>
    <row r="250" ht="22.5" customHeight="1">
      <c r="A250" s="227">
        <v>46065.0</v>
      </c>
      <c r="B250" s="9" t="s">
        <v>4440</v>
      </c>
      <c r="C250" s="9"/>
      <c r="D250" s="9" t="s">
        <v>4441</v>
      </c>
      <c r="E250" s="216">
        <v>6.302751766E9</v>
      </c>
      <c r="F250" s="221" t="s">
        <v>45</v>
      </c>
      <c r="G250" s="9" t="s">
        <v>4442</v>
      </c>
      <c r="H250" s="14"/>
      <c r="I250" s="14"/>
      <c r="J250" s="14"/>
      <c r="K250" s="14"/>
      <c r="L250" s="14"/>
      <c r="M250" s="14"/>
      <c r="N250" s="14"/>
      <c r="O250" s="14"/>
      <c r="P250" s="14"/>
      <c r="Q250" s="14"/>
      <c r="R250" s="14"/>
      <c r="S250" s="14"/>
      <c r="T250" s="14"/>
      <c r="U250" s="14"/>
      <c r="V250" s="14"/>
      <c r="W250" s="14"/>
      <c r="X250" s="14"/>
      <c r="Y250" s="14"/>
      <c r="Z250" s="14"/>
    </row>
    <row r="251" ht="22.5" customHeight="1">
      <c r="A251" s="227">
        <v>46065.0</v>
      </c>
      <c r="B251" s="9" t="s">
        <v>4443</v>
      </c>
      <c r="C251" s="9" t="s">
        <v>3042</v>
      </c>
      <c r="D251" s="9" t="s">
        <v>4444</v>
      </c>
      <c r="E251" s="216">
        <v>9.000258998E9</v>
      </c>
      <c r="F251" s="8" t="s">
        <v>3853</v>
      </c>
      <c r="G251" s="9" t="s">
        <v>4445</v>
      </c>
      <c r="H251" s="14"/>
      <c r="I251" s="14"/>
      <c r="J251" s="14"/>
      <c r="K251" s="14"/>
      <c r="L251" s="14"/>
      <c r="M251" s="14"/>
      <c r="N251" s="14"/>
      <c r="O251" s="14"/>
      <c r="P251" s="14"/>
      <c r="Q251" s="14"/>
      <c r="R251" s="14"/>
      <c r="S251" s="14"/>
      <c r="T251" s="14"/>
      <c r="U251" s="14"/>
      <c r="V251" s="14"/>
      <c r="W251" s="14"/>
      <c r="X251" s="14"/>
      <c r="Y251" s="14"/>
      <c r="Z251" s="14"/>
    </row>
    <row r="252" ht="22.5" customHeight="1">
      <c r="A252" s="227">
        <v>46065.0</v>
      </c>
      <c r="B252" s="9" t="s">
        <v>4446</v>
      </c>
      <c r="C252" s="9"/>
      <c r="D252" s="9" t="s">
        <v>4447</v>
      </c>
      <c r="E252" s="216">
        <v>8.80129776E9</v>
      </c>
      <c r="F252" s="8" t="s">
        <v>144</v>
      </c>
      <c r="G252" s="9" t="s">
        <v>4448</v>
      </c>
      <c r="H252" s="14"/>
      <c r="I252" s="14"/>
      <c r="J252" s="14"/>
      <c r="K252" s="14"/>
      <c r="L252" s="14"/>
      <c r="M252" s="14"/>
      <c r="N252" s="14"/>
      <c r="O252" s="14"/>
      <c r="P252" s="14"/>
      <c r="Q252" s="14"/>
      <c r="R252" s="14"/>
      <c r="S252" s="14"/>
      <c r="T252" s="14"/>
      <c r="U252" s="14"/>
      <c r="V252" s="14"/>
      <c r="W252" s="14"/>
      <c r="X252" s="14"/>
      <c r="Y252" s="14"/>
      <c r="Z252" s="14"/>
    </row>
    <row r="253" ht="22.5" customHeight="1">
      <c r="A253" s="227">
        <v>46065.0</v>
      </c>
      <c r="B253" s="9" t="s">
        <v>4449</v>
      </c>
      <c r="C253" s="9"/>
      <c r="D253" s="9" t="s">
        <v>4450</v>
      </c>
      <c r="E253" s="216">
        <v>7.01302777E9</v>
      </c>
      <c r="F253" s="221" t="s">
        <v>45</v>
      </c>
      <c r="G253" s="9" t="s">
        <v>4451</v>
      </c>
      <c r="H253" s="14"/>
      <c r="I253" s="14"/>
      <c r="J253" s="14"/>
      <c r="K253" s="14"/>
      <c r="L253" s="14"/>
      <c r="M253" s="14"/>
      <c r="N253" s="14"/>
      <c r="O253" s="14"/>
      <c r="P253" s="14"/>
      <c r="Q253" s="14"/>
      <c r="R253" s="14"/>
      <c r="S253" s="14"/>
      <c r="T253" s="14"/>
      <c r="U253" s="14"/>
      <c r="V253" s="14"/>
      <c r="W253" s="14"/>
      <c r="X253" s="14"/>
      <c r="Y253" s="14"/>
      <c r="Z253" s="14"/>
    </row>
    <row r="254" ht="22.5" customHeight="1">
      <c r="A254" s="227">
        <v>46065.0</v>
      </c>
      <c r="B254" s="9" t="s">
        <v>4452</v>
      </c>
      <c r="C254" s="15" t="s">
        <v>3042</v>
      </c>
      <c r="D254" s="9" t="s">
        <v>4453</v>
      </c>
      <c r="E254" s="216">
        <v>9.160770619E9</v>
      </c>
      <c r="F254" s="8" t="s">
        <v>3853</v>
      </c>
      <c r="G254" s="9" t="s">
        <v>4454</v>
      </c>
      <c r="H254" s="14"/>
      <c r="I254" s="14"/>
      <c r="J254" s="14"/>
      <c r="K254" s="14"/>
      <c r="L254" s="14"/>
      <c r="M254" s="14"/>
      <c r="N254" s="14"/>
      <c r="O254" s="14"/>
      <c r="P254" s="14"/>
      <c r="Q254" s="14"/>
      <c r="R254" s="14"/>
      <c r="S254" s="14"/>
      <c r="T254" s="14"/>
      <c r="U254" s="14"/>
      <c r="V254" s="14"/>
      <c r="W254" s="14"/>
      <c r="X254" s="14"/>
      <c r="Y254" s="14"/>
      <c r="Z254" s="14"/>
    </row>
    <row r="255" ht="22.5" customHeight="1">
      <c r="A255" s="227">
        <v>46065.0</v>
      </c>
      <c r="B255" s="9" t="s">
        <v>4455</v>
      </c>
      <c r="C255" s="9" t="s">
        <v>4456</v>
      </c>
      <c r="D255" s="15" t="s">
        <v>4457</v>
      </c>
      <c r="E255" s="216">
        <v>8.12565211E9</v>
      </c>
      <c r="F255" s="8" t="s">
        <v>248</v>
      </c>
      <c r="G255" s="9" t="s">
        <v>4458</v>
      </c>
      <c r="H255" s="14"/>
      <c r="I255" s="14"/>
      <c r="J255" s="14"/>
      <c r="K255" s="14"/>
      <c r="L255" s="14"/>
      <c r="M255" s="14"/>
      <c r="N255" s="14"/>
      <c r="O255" s="14"/>
      <c r="P255" s="14"/>
      <c r="Q255" s="14"/>
      <c r="R255" s="14"/>
      <c r="S255" s="14"/>
      <c r="T255" s="14"/>
      <c r="U255" s="14"/>
      <c r="V255" s="14"/>
      <c r="W255" s="14"/>
      <c r="X255" s="14"/>
      <c r="Y255" s="14"/>
      <c r="Z255" s="14"/>
    </row>
    <row r="256" ht="22.5" customHeight="1">
      <c r="A256" s="227">
        <v>46065.0</v>
      </c>
      <c r="B256" s="9" t="s">
        <v>4459</v>
      </c>
      <c r="C256" s="9"/>
      <c r="D256" s="9"/>
      <c r="E256" s="216"/>
      <c r="F256" s="8" t="s">
        <v>96</v>
      </c>
      <c r="G256" s="9" t="s">
        <v>4460</v>
      </c>
      <c r="H256" s="14"/>
      <c r="I256" s="14"/>
      <c r="J256" s="14"/>
      <c r="K256" s="14"/>
      <c r="L256" s="14"/>
      <c r="M256" s="14"/>
      <c r="N256" s="14"/>
      <c r="O256" s="14"/>
      <c r="P256" s="14"/>
      <c r="Q256" s="14"/>
      <c r="R256" s="14"/>
      <c r="S256" s="14"/>
      <c r="T256" s="14"/>
      <c r="U256" s="14"/>
      <c r="V256" s="14"/>
      <c r="W256" s="14"/>
      <c r="X256" s="14"/>
      <c r="Y256" s="14"/>
      <c r="Z256" s="14"/>
    </row>
    <row r="257" ht="22.5" customHeight="1">
      <c r="A257" s="227">
        <v>46065.0</v>
      </c>
      <c r="B257" s="9" t="s">
        <v>4461</v>
      </c>
      <c r="C257" s="9" t="s">
        <v>4462</v>
      </c>
      <c r="D257" s="9" t="s">
        <v>4463</v>
      </c>
      <c r="E257" s="216">
        <v>7.659856207E9</v>
      </c>
      <c r="F257" s="8" t="s">
        <v>3853</v>
      </c>
      <c r="G257" s="9" t="s">
        <v>4464</v>
      </c>
      <c r="H257" s="14"/>
      <c r="I257" s="14"/>
      <c r="J257" s="14"/>
      <c r="K257" s="14"/>
      <c r="L257" s="14"/>
      <c r="M257" s="14"/>
      <c r="N257" s="14"/>
      <c r="O257" s="14"/>
      <c r="P257" s="14"/>
      <c r="Q257" s="14"/>
      <c r="R257" s="14"/>
      <c r="S257" s="14"/>
      <c r="T257" s="14"/>
      <c r="U257" s="14"/>
      <c r="V257" s="14"/>
      <c r="W257" s="14"/>
      <c r="X257" s="14"/>
      <c r="Y257" s="14"/>
      <c r="Z257" s="14"/>
    </row>
    <row r="258" ht="22.5" customHeight="1">
      <c r="A258" s="227">
        <v>46065.0</v>
      </c>
      <c r="B258" s="9" t="s">
        <v>4465</v>
      </c>
      <c r="C258" s="9"/>
      <c r="D258" s="9" t="s">
        <v>4466</v>
      </c>
      <c r="E258" s="216">
        <v>8.121764465E9</v>
      </c>
      <c r="F258" s="8" t="s">
        <v>241</v>
      </c>
      <c r="G258" s="9" t="s">
        <v>4467</v>
      </c>
      <c r="H258" s="14"/>
      <c r="I258" s="14"/>
      <c r="J258" s="14"/>
      <c r="K258" s="14"/>
      <c r="L258" s="14"/>
      <c r="M258" s="14"/>
      <c r="N258" s="14"/>
      <c r="O258" s="14"/>
      <c r="P258" s="14"/>
      <c r="Q258" s="14"/>
      <c r="R258" s="14"/>
      <c r="S258" s="14"/>
      <c r="T258" s="14"/>
      <c r="U258" s="14"/>
      <c r="V258" s="14"/>
      <c r="W258" s="14"/>
      <c r="X258" s="14"/>
      <c r="Y258" s="14"/>
      <c r="Z258" s="14"/>
    </row>
    <row r="259" ht="22.5" customHeight="1">
      <c r="A259" s="227">
        <v>46065.0</v>
      </c>
      <c r="B259" s="9" t="s">
        <v>4468</v>
      </c>
      <c r="C259" s="9"/>
      <c r="D259" s="9"/>
      <c r="E259" s="216">
        <v>9.0596663E9</v>
      </c>
      <c r="F259" s="221" t="s">
        <v>45</v>
      </c>
      <c r="G259" s="9" t="s">
        <v>4469</v>
      </c>
      <c r="H259" s="14"/>
      <c r="I259" s="14"/>
      <c r="J259" s="14"/>
      <c r="K259" s="14"/>
      <c r="L259" s="14"/>
      <c r="M259" s="14"/>
      <c r="N259" s="14"/>
      <c r="O259" s="14"/>
      <c r="P259" s="14"/>
      <c r="Q259" s="14"/>
      <c r="R259" s="14"/>
      <c r="S259" s="14"/>
      <c r="T259" s="14"/>
      <c r="U259" s="14"/>
      <c r="V259" s="14"/>
      <c r="W259" s="14"/>
      <c r="X259" s="14"/>
      <c r="Y259" s="14"/>
      <c r="Z259" s="14"/>
    </row>
    <row r="260" ht="22.5" customHeight="1">
      <c r="A260" s="227">
        <v>46065.0</v>
      </c>
      <c r="B260" s="9" t="s">
        <v>4470</v>
      </c>
      <c r="C260" s="9" t="s">
        <v>4471</v>
      </c>
      <c r="D260" s="9" t="s">
        <v>4472</v>
      </c>
      <c r="E260" s="216">
        <v>8.142520056E9</v>
      </c>
      <c r="F260" s="8" t="s">
        <v>3853</v>
      </c>
      <c r="G260" s="9" t="s">
        <v>4473</v>
      </c>
      <c r="H260" s="14"/>
      <c r="I260" s="14"/>
      <c r="J260" s="14"/>
      <c r="K260" s="14"/>
      <c r="L260" s="14"/>
      <c r="M260" s="14"/>
      <c r="N260" s="14"/>
      <c r="O260" s="14"/>
      <c r="P260" s="14"/>
      <c r="Q260" s="14"/>
      <c r="R260" s="14"/>
      <c r="S260" s="14"/>
      <c r="T260" s="14"/>
      <c r="U260" s="14"/>
      <c r="V260" s="14"/>
      <c r="W260" s="14"/>
      <c r="X260" s="14"/>
      <c r="Y260" s="14"/>
      <c r="Z260" s="14"/>
    </row>
    <row r="261" ht="22.5" customHeight="1">
      <c r="A261" s="227">
        <v>46065.0</v>
      </c>
      <c r="B261" s="9" t="s">
        <v>4474</v>
      </c>
      <c r="C261" s="9"/>
      <c r="D261" s="9"/>
      <c r="E261" s="216"/>
      <c r="F261" s="221" t="s">
        <v>45</v>
      </c>
      <c r="G261" s="9" t="s">
        <v>4475</v>
      </c>
      <c r="H261" s="14"/>
      <c r="I261" s="14"/>
      <c r="J261" s="14"/>
      <c r="K261" s="14"/>
      <c r="L261" s="14"/>
      <c r="M261" s="14"/>
      <c r="N261" s="14"/>
      <c r="O261" s="14"/>
      <c r="P261" s="14"/>
      <c r="Q261" s="14"/>
      <c r="R261" s="14"/>
      <c r="S261" s="14"/>
      <c r="T261" s="14"/>
      <c r="U261" s="14"/>
      <c r="V261" s="14"/>
      <c r="W261" s="14"/>
      <c r="X261" s="14"/>
      <c r="Y261" s="14"/>
      <c r="Z261" s="14"/>
    </row>
    <row r="262" ht="22.5" customHeight="1">
      <c r="A262" s="227">
        <v>46065.0</v>
      </c>
      <c r="B262" s="9" t="s">
        <v>4476</v>
      </c>
      <c r="C262" s="9" t="s">
        <v>3042</v>
      </c>
      <c r="D262" s="9" t="s">
        <v>4352</v>
      </c>
      <c r="E262" s="216">
        <v>9.536442345E9</v>
      </c>
      <c r="F262" s="8" t="s">
        <v>3853</v>
      </c>
      <c r="G262" s="9" t="s">
        <v>4477</v>
      </c>
      <c r="H262" s="14"/>
      <c r="I262" s="14"/>
      <c r="J262" s="14"/>
      <c r="K262" s="14"/>
      <c r="L262" s="14"/>
      <c r="M262" s="14"/>
      <c r="N262" s="14"/>
      <c r="O262" s="14"/>
      <c r="P262" s="14"/>
      <c r="Q262" s="14"/>
      <c r="R262" s="14"/>
      <c r="S262" s="14"/>
      <c r="T262" s="14"/>
      <c r="U262" s="14"/>
      <c r="V262" s="14"/>
      <c r="W262" s="14"/>
      <c r="X262" s="14"/>
      <c r="Y262" s="14"/>
      <c r="Z262" s="14"/>
    </row>
    <row r="263" ht="22.5" customHeight="1">
      <c r="A263" s="227">
        <v>46065.0</v>
      </c>
      <c r="B263" s="9" t="s">
        <v>4478</v>
      </c>
      <c r="C263" s="9" t="s">
        <v>4479</v>
      </c>
      <c r="D263" s="9" t="s">
        <v>4480</v>
      </c>
      <c r="E263" s="216">
        <v>9.948505639E9</v>
      </c>
      <c r="F263" s="8" t="s">
        <v>200</v>
      </c>
      <c r="G263" s="9" t="s">
        <v>4481</v>
      </c>
      <c r="H263" s="14"/>
      <c r="I263" s="14"/>
      <c r="J263" s="14"/>
      <c r="K263" s="14"/>
      <c r="L263" s="14"/>
      <c r="M263" s="14"/>
      <c r="N263" s="14"/>
      <c r="O263" s="14"/>
      <c r="P263" s="14"/>
      <c r="Q263" s="14"/>
      <c r="R263" s="14"/>
      <c r="S263" s="14"/>
      <c r="T263" s="14"/>
      <c r="U263" s="14"/>
      <c r="V263" s="14"/>
      <c r="W263" s="14"/>
      <c r="X263" s="14"/>
      <c r="Y263" s="14"/>
      <c r="Z263" s="14"/>
    </row>
    <row r="264" ht="22.5" customHeight="1">
      <c r="A264" s="227">
        <v>46065.0</v>
      </c>
      <c r="B264" s="9" t="s">
        <v>4482</v>
      </c>
      <c r="C264" s="9"/>
      <c r="D264" s="9" t="s">
        <v>4401</v>
      </c>
      <c r="E264" s="216">
        <v>7.287888601E9</v>
      </c>
      <c r="F264" s="8" t="s">
        <v>96</v>
      </c>
      <c r="G264" s="9" t="s">
        <v>4483</v>
      </c>
      <c r="H264" s="14"/>
      <c r="I264" s="14"/>
      <c r="J264" s="14"/>
      <c r="K264" s="14"/>
      <c r="L264" s="14"/>
      <c r="M264" s="14"/>
      <c r="N264" s="14"/>
      <c r="O264" s="14"/>
      <c r="P264" s="14"/>
      <c r="Q264" s="14"/>
      <c r="R264" s="14"/>
      <c r="S264" s="14"/>
      <c r="T264" s="14"/>
      <c r="U264" s="14"/>
      <c r="V264" s="14"/>
      <c r="W264" s="14"/>
      <c r="X264" s="14"/>
      <c r="Y264" s="14"/>
      <c r="Z264" s="14"/>
    </row>
    <row r="265" ht="22.5" customHeight="1">
      <c r="A265" s="227">
        <v>46065.0</v>
      </c>
      <c r="B265" s="9" t="s">
        <v>4354</v>
      </c>
      <c r="C265" s="9"/>
      <c r="D265" s="9"/>
      <c r="E265" s="216"/>
      <c r="F265" s="8" t="s">
        <v>186</v>
      </c>
      <c r="G265" s="9" t="s">
        <v>4484</v>
      </c>
      <c r="H265" s="14"/>
      <c r="I265" s="14"/>
      <c r="J265" s="14"/>
      <c r="K265" s="14"/>
      <c r="L265" s="14"/>
      <c r="M265" s="14"/>
      <c r="N265" s="14"/>
      <c r="O265" s="14"/>
      <c r="P265" s="14"/>
      <c r="Q265" s="14"/>
      <c r="R265" s="14"/>
      <c r="S265" s="14"/>
      <c r="T265" s="14"/>
      <c r="U265" s="14"/>
      <c r="V265" s="14"/>
      <c r="W265" s="14"/>
      <c r="X265" s="14"/>
      <c r="Y265" s="14"/>
      <c r="Z265" s="14"/>
    </row>
    <row r="266" ht="22.5" customHeight="1">
      <c r="A266" s="227">
        <v>46065.0</v>
      </c>
      <c r="B266" s="9" t="s">
        <v>4485</v>
      </c>
      <c r="C266" s="9"/>
      <c r="D266" s="9"/>
      <c r="E266" s="216"/>
      <c r="F266" s="8" t="s">
        <v>186</v>
      </c>
      <c r="G266" s="9" t="s">
        <v>4484</v>
      </c>
      <c r="H266" s="14"/>
      <c r="I266" s="14"/>
      <c r="J266" s="14"/>
      <c r="K266" s="14"/>
      <c r="L266" s="14"/>
      <c r="M266" s="14"/>
      <c r="N266" s="14"/>
      <c r="O266" s="14"/>
      <c r="P266" s="14"/>
      <c r="Q266" s="14"/>
      <c r="R266" s="14"/>
      <c r="S266" s="14"/>
      <c r="T266" s="14"/>
      <c r="U266" s="14"/>
      <c r="V266" s="14"/>
      <c r="W266" s="14"/>
      <c r="X266" s="14"/>
      <c r="Y266" s="14"/>
      <c r="Z266" s="14"/>
    </row>
    <row r="267" ht="22.5" customHeight="1">
      <c r="A267" s="227">
        <v>46065.0</v>
      </c>
      <c r="B267" s="9" t="s">
        <v>4486</v>
      </c>
      <c r="C267" s="9"/>
      <c r="D267" s="9"/>
      <c r="E267" s="216"/>
      <c r="F267" s="8" t="s">
        <v>186</v>
      </c>
      <c r="G267" s="9" t="s">
        <v>4484</v>
      </c>
      <c r="H267" s="14"/>
      <c r="I267" s="14"/>
      <c r="J267" s="14"/>
      <c r="K267" s="14"/>
      <c r="L267" s="14"/>
      <c r="M267" s="14"/>
      <c r="N267" s="14"/>
      <c r="O267" s="14"/>
      <c r="P267" s="14"/>
      <c r="Q267" s="14"/>
      <c r="R267" s="14"/>
      <c r="S267" s="14"/>
      <c r="T267" s="14"/>
      <c r="U267" s="14"/>
      <c r="V267" s="14"/>
      <c r="W267" s="14"/>
      <c r="X267" s="14"/>
      <c r="Y267" s="14"/>
      <c r="Z267" s="14"/>
    </row>
    <row r="268" ht="22.5" customHeight="1">
      <c r="A268" s="227">
        <v>46065.0</v>
      </c>
      <c r="B268" s="9" t="s">
        <v>4487</v>
      </c>
      <c r="C268" s="9"/>
      <c r="D268" s="9"/>
      <c r="E268" s="216"/>
      <c r="F268" s="8" t="s">
        <v>186</v>
      </c>
      <c r="G268" s="9" t="s">
        <v>4484</v>
      </c>
      <c r="H268" s="14"/>
      <c r="I268" s="14"/>
      <c r="J268" s="14"/>
      <c r="K268" s="14"/>
      <c r="L268" s="14"/>
      <c r="M268" s="14"/>
      <c r="N268" s="14"/>
      <c r="O268" s="14"/>
      <c r="P268" s="14"/>
      <c r="Q268" s="14"/>
      <c r="R268" s="14"/>
      <c r="S268" s="14"/>
      <c r="T268" s="14"/>
      <c r="U268" s="14"/>
      <c r="V268" s="14"/>
      <c r="W268" s="14"/>
      <c r="X268" s="14"/>
      <c r="Y268" s="14"/>
      <c r="Z268" s="14"/>
    </row>
    <row r="269" ht="22.5" customHeight="1">
      <c r="A269" s="227">
        <v>46065.0</v>
      </c>
      <c r="B269" s="9" t="s">
        <v>4488</v>
      </c>
      <c r="C269" s="9"/>
      <c r="D269" s="9"/>
      <c r="E269" s="216"/>
      <c r="F269" s="8" t="s">
        <v>186</v>
      </c>
      <c r="G269" s="9" t="s">
        <v>4484</v>
      </c>
      <c r="H269" s="14"/>
      <c r="I269" s="14"/>
      <c r="J269" s="14"/>
      <c r="K269" s="14"/>
      <c r="L269" s="14"/>
      <c r="M269" s="14"/>
      <c r="N269" s="14"/>
      <c r="O269" s="14"/>
      <c r="P269" s="14"/>
      <c r="Q269" s="14"/>
      <c r="R269" s="14"/>
      <c r="S269" s="14"/>
      <c r="T269" s="14"/>
      <c r="U269" s="14"/>
      <c r="V269" s="14"/>
      <c r="W269" s="14"/>
      <c r="X269" s="14"/>
      <c r="Y269" s="14"/>
      <c r="Z269" s="14"/>
    </row>
    <row r="270" ht="22.5" customHeight="1">
      <c r="A270" s="227">
        <v>46065.0</v>
      </c>
      <c r="B270" s="9" t="s">
        <v>4489</v>
      </c>
      <c r="C270" s="9"/>
      <c r="D270" s="9"/>
      <c r="E270" s="216"/>
      <c r="F270" s="8" t="s">
        <v>186</v>
      </c>
      <c r="G270" s="9" t="s">
        <v>4484</v>
      </c>
      <c r="H270" s="14"/>
      <c r="I270" s="14"/>
      <c r="J270" s="14"/>
      <c r="K270" s="14"/>
      <c r="L270" s="14"/>
      <c r="M270" s="14"/>
      <c r="N270" s="14"/>
      <c r="O270" s="14"/>
      <c r="P270" s="14"/>
      <c r="Q270" s="14"/>
      <c r="R270" s="14"/>
      <c r="S270" s="14"/>
      <c r="T270" s="14"/>
      <c r="U270" s="14"/>
      <c r="V270" s="14"/>
      <c r="W270" s="14"/>
      <c r="X270" s="14"/>
      <c r="Y270" s="14"/>
      <c r="Z270" s="14"/>
    </row>
    <row r="271" ht="22.5" customHeight="1">
      <c r="A271" s="227">
        <v>46065.0</v>
      </c>
      <c r="B271" s="9" t="s">
        <v>4490</v>
      </c>
      <c r="C271" s="9" t="s">
        <v>4491</v>
      </c>
      <c r="D271" s="9"/>
      <c r="E271" s="216">
        <v>7.674846966E9</v>
      </c>
      <c r="F271" s="8" t="s">
        <v>200</v>
      </c>
      <c r="G271" s="9" t="s">
        <v>4492</v>
      </c>
      <c r="H271" s="14"/>
      <c r="I271" s="14"/>
      <c r="J271" s="14"/>
      <c r="K271" s="14"/>
      <c r="L271" s="14"/>
      <c r="M271" s="14"/>
      <c r="N271" s="14"/>
      <c r="O271" s="14"/>
      <c r="P271" s="14"/>
      <c r="Q271" s="14"/>
      <c r="R271" s="14"/>
      <c r="S271" s="14"/>
      <c r="T271" s="14"/>
      <c r="U271" s="14"/>
      <c r="V271" s="14"/>
      <c r="W271" s="14"/>
      <c r="X271" s="14"/>
      <c r="Y271" s="14"/>
      <c r="Z271" s="14"/>
    </row>
    <row r="272" ht="22.5" customHeight="1">
      <c r="A272" s="217">
        <v>46066.0</v>
      </c>
      <c r="B272" s="218" t="s">
        <v>4493</v>
      </c>
      <c r="C272" s="228" t="s">
        <v>1165</v>
      </c>
      <c r="D272" s="229" t="s">
        <v>4453</v>
      </c>
      <c r="E272" s="230">
        <v>8.31769626E9</v>
      </c>
      <c r="F272" s="221" t="s">
        <v>73</v>
      </c>
      <c r="G272" s="228" t="s">
        <v>4494</v>
      </c>
      <c r="H272" s="231">
        <v>46066.0</v>
      </c>
      <c r="I272" s="232">
        <v>0.5416666666666666</v>
      </c>
      <c r="J272" s="18"/>
      <c r="K272" s="18"/>
      <c r="L272" s="18"/>
      <c r="M272" s="18"/>
      <c r="N272" s="18"/>
      <c r="O272" s="18"/>
      <c r="P272" s="18"/>
      <c r="Q272" s="18"/>
      <c r="R272" s="18"/>
      <c r="S272" s="18"/>
      <c r="T272" s="18"/>
      <c r="U272" s="18"/>
      <c r="V272" s="18"/>
      <c r="W272" s="18"/>
      <c r="X272" s="18"/>
      <c r="Y272" s="18"/>
      <c r="Z272" s="18"/>
    </row>
    <row r="273" ht="22.5" customHeight="1">
      <c r="A273" s="217">
        <v>46066.0</v>
      </c>
      <c r="B273" s="218" t="s">
        <v>4495</v>
      </c>
      <c r="C273" s="228"/>
      <c r="D273" s="9"/>
      <c r="E273" s="220"/>
      <c r="F273" s="221" t="s">
        <v>96</v>
      </c>
      <c r="G273" s="228" t="s">
        <v>4496</v>
      </c>
      <c r="H273" s="231">
        <v>46066.0</v>
      </c>
      <c r="I273" s="232">
        <v>0.7083333333333334</v>
      </c>
      <c r="J273" s="18"/>
      <c r="K273" s="18"/>
      <c r="L273" s="18"/>
      <c r="M273" s="18"/>
      <c r="N273" s="18"/>
      <c r="O273" s="18"/>
      <c r="P273" s="18"/>
      <c r="Q273" s="18"/>
      <c r="R273" s="18"/>
      <c r="S273" s="18"/>
      <c r="T273" s="18"/>
      <c r="U273" s="18"/>
      <c r="V273" s="18"/>
      <c r="W273" s="18"/>
      <c r="X273" s="18"/>
      <c r="Y273" s="18"/>
      <c r="Z273" s="18"/>
    </row>
    <row r="274" ht="22.5" customHeight="1">
      <c r="A274" s="217">
        <v>46066.0</v>
      </c>
      <c r="B274" s="218" t="s">
        <v>4497</v>
      </c>
      <c r="C274" s="228"/>
      <c r="D274" s="229"/>
      <c r="E274" s="230"/>
      <c r="F274" s="221" t="s">
        <v>96</v>
      </c>
      <c r="G274" s="228" t="s">
        <v>4498</v>
      </c>
      <c r="H274" s="14"/>
      <c r="I274" s="14"/>
      <c r="J274" s="14"/>
      <c r="K274" s="14"/>
      <c r="L274" s="14"/>
      <c r="M274" s="14"/>
      <c r="N274" s="14"/>
      <c r="O274" s="14"/>
      <c r="P274" s="14"/>
      <c r="Q274" s="14"/>
      <c r="R274" s="14"/>
      <c r="S274" s="14"/>
      <c r="T274" s="14"/>
      <c r="U274" s="14"/>
      <c r="V274" s="14"/>
      <c r="W274" s="14"/>
      <c r="X274" s="14"/>
      <c r="Y274" s="14"/>
      <c r="Z274" s="14"/>
    </row>
    <row r="275" ht="22.5" customHeight="1">
      <c r="A275" s="217">
        <v>46066.0</v>
      </c>
      <c r="B275" s="218" t="s">
        <v>4499</v>
      </c>
      <c r="C275" s="228"/>
      <c r="D275" s="229" t="s">
        <v>4500</v>
      </c>
      <c r="E275" s="230"/>
      <c r="F275" s="221" t="s">
        <v>248</v>
      </c>
      <c r="G275" s="228" t="s">
        <v>4501</v>
      </c>
      <c r="H275" s="14"/>
      <c r="I275" s="14"/>
      <c r="J275" s="14"/>
      <c r="K275" s="14"/>
      <c r="L275" s="14"/>
      <c r="M275" s="14"/>
      <c r="N275" s="14"/>
      <c r="O275" s="14"/>
      <c r="P275" s="14"/>
      <c r="Q275" s="14"/>
      <c r="R275" s="14"/>
      <c r="S275" s="14"/>
      <c r="T275" s="14"/>
      <c r="U275" s="14"/>
      <c r="V275" s="14"/>
      <c r="W275" s="14"/>
      <c r="X275" s="14"/>
      <c r="Y275" s="14"/>
      <c r="Z275" s="14"/>
    </row>
    <row r="276" ht="22.5" customHeight="1">
      <c r="A276" s="217">
        <v>46066.0</v>
      </c>
      <c r="B276" s="218" t="s">
        <v>4502</v>
      </c>
      <c r="C276" s="228"/>
      <c r="D276" s="229" t="s">
        <v>4503</v>
      </c>
      <c r="E276" s="230">
        <v>8.074793426E9</v>
      </c>
      <c r="F276" s="221" t="s">
        <v>241</v>
      </c>
      <c r="G276" s="228" t="s">
        <v>4504</v>
      </c>
      <c r="H276" s="14"/>
      <c r="I276" s="14"/>
      <c r="J276" s="14"/>
      <c r="K276" s="14"/>
      <c r="L276" s="14"/>
      <c r="M276" s="14"/>
      <c r="N276" s="14"/>
      <c r="O276" s="14"/>
      <c r="P276" s="14"/>
      <c r="Q276" s="14"/>
      <c r="R276" s="14"/>
      <c r="S276" s="14"/>
      <c r="T276" s="14"/>
      <c r="U276" s="14"/>
      <c r="V276" s="14"/>
      <c r="W276" s="14"/>
      <c r="X276" s="14"/>
      <c r="Y276" s="14"/>
      <c r="Z276" s="14"/>
    </row>
    <row r="277" ht="22.5" customHeight="1">
      <c r="A277" s="217">
        <v>46066.0</v>
      </c>
      <c r="B277" s="218" t="s">
        <v>4505</v>
      </c>
      <c r="C277" s="228" t="s">
        <v>4506</v>
      </c>
      <c r="D277" s="229"/>
      <c r="E277" s="230"/>
      <c r="F277" s="221" t="s">
        <v>3853</v>
      </c>
      <c r="G277" s="228" t="s">
        <v>4507</v>
      </c>
      <c r="H277" s="14"/>
      <c r="I277" s="14"/>
      <c r="J277" s="14"/>
      <c r="K277" s="14"/>
      <c r="L277" s="14"/>
      <c r="M277" s="14"/>
      <c r="N277" s="14"/>
      <c r="O277" s="14"/>
      <c r="P277" s="14"/>
      <c r="Q277" s="14"/>
      <c r="R277" s="14"/>
      <c r="S277" s="14"/>
      <c r="T277" s="14"/>
      <c r="U277" s="14"/>
      <c r="V277" s="14"/>
      <c r="W277" s="14"/>
      <c r="X277" s="14"/>
      <c r="Y277" s="14"/>
      <c r="Z277" s="14"/>
    </row>
    <row r="278" ht="22.5" customHeight="1">
      <c r="A278" s="217">
        <v>46066.0</v>
      </c>
      <c r="B278" s="218" t="s">
        <v>4508</v>
      </c>
      <c r="C278" s="233"/>
      <c r="D278" s="229" t="s">
        <v>4509</v>
      </c>
      <c r="E278" s="230">
        <v>8.712342023E9</v>
      </c>
      <c r="F278" s="221" t="s">
        <v>248</v>
      </c>
      <c r="G278" s="228" t="s">
        <v>4510</v>
      </c>
      <c r="H278" s="234">
        <v>46066.0</v>
      </c>
      <c r="I278" s="232">
        <v>0.7916666666666666</v>
      </c>
      <c r="J278" s="18"/>
      <c r="K278" s="18"/>
      <c r="L278" s="18"/>
      <c r="M278" s="18"/>
      <c r="N278" s="18"/>
      <c r="O278" s="18"/>
      <c r="P278" s="18"/>
      <c r="Q278" s="18"/>
      <c r="R278" s="18"/>
      <c r="S278" s="18"/>
      <c r="T278" s="18"/>
      <c r="U278" s="18"/>
      <c r="V278" s="18"/>
      <c r="W278" s="18"/>
      <c r="X278" s="18"/>
      <c r="Y278" s="18"/>
      <c r="Z278" s="18"/>
    </row>
    <row r="279" ht="22.5" customHeight="1">
      <c r="A279" s="217">
        <v>46066.0</v>
      </c>
      <c r="B279" s="218" t="s">
        <v>4511</v>
      </c>
      <c r="C279" s="228"/>
      <c r="D279" s="9" t="s">
        <v>4312</v>
      </c>
      <c r="E279" s="235">
        <v>9.49477772E9</v>
      </c>
      <c r="F279" s="221" t="s">
        <v>3853</v>
      </c>
      <c r="G279" s="228" t="s">
        <v>4512</v>
      </c>
      <c r="H279" s="14"/>
      <c r="I279" s="14"/>
      <c r="J279" s="14"/>
      <c r="K279" s="14"/>
      <c r="L279" s="14"/>
      <c r="M279" s="14"/>
      <c r="N279" s="14"/>
      <c r="O279" s="14"/>
      <c r="P279" s="14"/>
      <c r="Q279" s="14"/>
      <c r="R279" s="14"/>
      <c r="S279" s="14"/>
      <c r="T279" s="14"/>
      <c r="U279" s="14"/>
      <c r="V279" s="14"/>
      <c r="W279" s="14"/>
      <c r="X279" s="14"/>
      <c r="Y279" s="14"/>
      <c r="Z279" s="14"/>
    </row>
    <row r="280" ht="22.5" customHeight="1">
      <c r="A280" s="217">
        <v>46066.0</v>
      </c>
      <c r="B280" s="218" t="s">
        <v>4513</v>
      </c>
      <c r="C280" s="228"/>
      <c r="D280" s="9" t="s">
        <v>4514</v>
      </c>
      <c r="E280" s="235">
        <v>8.51995436375698E19</v>
      </c>
      <c r="F280" s="221" t="s">
        <v>241</v>
      </c>
      <c r="G280" s="228" t="s">
        <v>4515</v>
      </c>
      <c r="H280" s="14"/>
      <c r="I280" s="14"/>
      <c r="J280" s="14"/>
      <c r="K280" s="14"/>
      <c r="L280" s="14"/>
      <c r="M280" s="14"/>
      <c r="N280" s="14"/>
      <c r="O280" s="14"/>
      <c r="P280" s="14"/>
      <c r="Q280" s="14"/>
      <c r="R280" s="14"/>
      <c r="S280" s="14"/>
      <c r="T280" s="14"/>
      <c r="U280" s="14"/>
      <c r="V280" s="14"/>
      <c r="W280" s="14"/>
      <c r="X280" s="14"/>
      <c r="Y280" s="14"/>
      <c r="Z280" s="14"/>
    </row>
    <row r="281" ht="22.5" customHeight="1">
      <c r="A281" s="217">
        <v>46066.0</v>
      </c>
      <c r="B281" s="218" t="s">
        <v>4516</v>
      </c>
      <c r="C281" s="228" t="s">
        <v>4517</v>
      </c>
      <c r="E281" s="235">
        <v>8.519979693E9</v>
      </c>
      <c r="F281" s="221" t="s">
        <v>248</v>
      </c>
      <c r="G281" s="228" t="s">
        <v>4518</v>
      </c>
      <c r="H281" s="231">
        <v>46066.0</v>
      </c>
      <c r="I281" s="232">
        <v>0.625</v>
      </c>
      <c r="J281" s="18"/>
      <c r="K281" s="18"/>
      <c r="L281" s="18"/>
      <c r="M281" s="18"/>
      <c r="N281" s="18"/>
      <c r="O281" s="18"/>
      <c r="P281" s="18"/>
      <c r="Q281" s="18"/>
      <c r="R281" s="18"/>
      <c r="S281" s="18"/>
      <c r="T281" s="18"/>
      <c r="U281" s="18"/>
      <c r="V281" s="18"/>
      <c r="W281" s="18"/>
      <c r="X281" s="18"/>
      <c r="Y281" s="18"/>
      <c r="Z281" s="18"/>
    </row>
    <row r="282" ht="22.5" customHeight="1">
      <c r="A282" s="217">
        <v>46066.0</v>
      </c>
      <c r="B282" s="218" t="s">
        <v>4437</v>
      </c>
      <c r="C282" s="228"/>
      <c r="D282" s="9"/>
      <c r="E282" s="235"/>
      <c r="F282" s="221" t="s">
        <v>60</v>
      </c>
      <c r="G282" s="228" t="s">
        <v>4519</v>
      </c>
      <c r="H282" s="14"/>
      <c r="I282" s="14"/>
      <c r="J282" s="14"/>
      <c r="K282" s="14"/>
      <c r="L282" s="14"/>
      <c r="M282" s="14"/>
      <c r="N282" s="14"/>
      <c r="O282" s="14"/>
      <c r="P282" s="14"/>
      <c r="Q282" s="14"/>
      <c r="R282" s="14"/>
      <c r="S282" s="14"/>
      <c r="T282" s="14"/>
      <c r="U282" s="14"/>
      <c r="V282" s="14"/>
      <c r="W282" s="14"/>
      <c r="X282" s="14"/>
      <c r="Y282" s="14"/>
      <c r="Z282" s="14"/>
    </row>
    <row r="283" ht="22.5" customHeight="1">
      <c r="A283" s="217">
        <v>46066.0</v>
      </c>
      <c r="B283" s="218" t="s">
        <v>4520</v>
      </c>
      <c r="C283" s="228"/>
      <c r="D283" s="9"/>
      <c r="E283" s="235">
        <v>9.248067813E9</v>
      </c>
      <c r="F283" s="221" t="s">
        <v>200</v>
      </c>
      <c r="G283" s="228" t="s">
        <v>4521</v>
      </c>
      <c r="H283" s="231">
        <v>46069.0</v>
      </c>
      <c r="I283" s="232">
        <v>0.4791666666666667</v>
      </c>
      <c r="J283" s="18"/>
      <c r="K283" s="18"/>
      <c r="L283" s="18"/>
      <c r="M283" s="18"/>
      <c r="N283" s="18"/>
      <c r="O283" s="18"/>
      <c r="P283" s="18"/>
      <c r="Q283" s="18"/>
      <c r="R283" s="18"/>
      <c r="S283" s="18"/>
      <c r="T283" s="18"/>
      <c r="U283" s="18"/>
      <c r="V283" s="18"/>
      <c r="W283" s="18"/>
      <c r="X283" s="18"/>
      <c r="Y283" s="18"/>
      <c r="Z283" s="18"/>
    </row>
    <row r="284" ht="22.5" customHeight="1">
      <c r="A284" s="217">
        <v>46066.0</v>
      </c>
      <c r="B284" s="218" t="s">
        <v>4522</v>
      </c>
      <c r="C284" s="228"/>
      <c r="D284" s="9" t="s">
        <v>4523</v>
      </c>
      <c r="E284" s="235">
        <v>7.680006511E9</v>
      </c>
      <c r="F284" s="221" t="s">
        <v>45</v>
      </c>
      <c r="G284" s="228" t="s">
        <v>4524</v>
      </c>
      <c r="H284" s="14"/>
      <c r="I284" s="14"/>
      <c r="J284" s="14"/>
      <c r="K284" s="14"/>
      <c r="L284" s="14"/>
      <c r="M284" s="14"/>
      <c r="N284" s="14"/>
      <c r="O284" s="14"/>
      <c r="P284" s="14"/>
      <c r="Q284" s="14"/>
      <c r="R284" s="14"/>
      <c r="S284" s="14"/>
      <c r="T284" s="14"/>
      <c r="U284" s="14"/>
      <c r="V284" s="14"/>
      <c r="W284" s="14"/>
      <c r="X284" s="14"/>
      <c r="Y284" s="14"/>
      <c r="Z284" s="14"/>
    </row>
    <row r="285" ht="22.5" customHeight="1">
      <c r="A285" s="217">
        <v>46066.0</v>
      </c>
      <c r="B285" s="218" t="s">
        <v>4525</v>
      </c>
      <c r="C285" s="228"/>
      <c r="D285" s="9" t="s">
        <v>4526</v>
      </c>
      <c r="E285" s="235">
        <v>8.179514738E9</v>
      </c>
      <c r="F285" s="221" t="s">
        <v>241</v>
      </c>
      <c r="G285" s="228" t="s">
        <v>4527</v>
      </c>
      <c r="H285" s="231">
        <v>46069.0</v>
      </c>
      <c r="I285" s="232">
        <v>0.75</v>
      </c>
      <c r="J285" s="18"/>
      <c r="K285" s="18"/>
      <c r="L285" s="18"/>
      <c r="M285" s="18"/>
      <c r="N285" s="18"/>
      <c r="O285" s="18"/>
      <c r="P285" s="18"/>
      <c r="Q285" s="18"/>
      <c r="R285" s="18"/>
      <c r="S285" s="18"/>
      <c r="T285" s="18"/>
      <c r="U285" s="18"/>
      <c r="V285" s="18"/>
      <c r="W285" s="18"/>
      <c r="X285" s="18"/>
      <c r="Y285" s="18"/>
      <c r="Z285" s="18"/>
    </row>
    <row r="286" ht="22.5" customHeight="1">
      <c r="A286" s="217">
        <v>46066.0</v>
      </c>
      <c r="B286" s="218" t="s">
        <v>4528</v>
      </c>
      <c r="C286" s="228"/>
      <c r="D286" s="9"/>
      <c r="E286" s="235"/>
      <c r="F286" s="221" t="s">
        <v>45</v>
      </c>
      <c r="G286" s="228" t="s">
        <v>4529</v>
      </c>
      <c r="H286" s="231">
        <v>46066.0</v>
      </c>
      <c r="I286" s="232">
        <v>0.5416666666666666</v>
      </c>
      <c r="J286" s="18"/>
      <c r="K286" s="18"/>
      <c r="L286" s="18"/>
      <c r="M286" s="18"/>
      <c r="N286" s="18"/>
      <c r="O286" s="18"/>
      <c r="P286" s="18"/>
      <c r="Q286" s="18"/>
      <c r="R286" s="18"/>
      <c r="S286" s="18"/>
      <c r="T286" s="18"/>
      <c r="U286" s="18"/>
      <c r="V286" s="18"/>
      <c r="W286" s="18"/>
      <c r="X286" s="18"/>
      <c r="Y286" s="18"/>
      <c r="Z286" s="18"/>
    </row>
    <row r="287" ht="22.5" customHeight="1">
      <c r="A287" s="217">
        <v>46066.0</v>
      </c>
      <c r="B287" s="218" t="s">
        <v>4530</v>
      </c>
      <c r="C287" s="228"/>
      <c r="D287" s="9" t="s">
        <v>4531</v>
      </c>
      <c r="E287" s="235">
        <v>7.569996701E9</v>
      </c>
      <c r="F287" s="221" t="s">
        <v>3853</v>
      </c>
      <c r="G287" s="228" t="s">
        <v>4532</v>
      </c>
      <c r="H287" s="14"/>
      <c r="I287" s="14"/>
      <c r="J287" s="14"/>
      <c r="K287" s="14"/>
      <c r="L287" s="14"/>
      <c r="M287" s="14"/>
      <c r="N287" s="14"/>
      <c r="O287" s="14"/>
      <c r="P287" s="14"/>
      <c r="Q287" s="14"/>
      <c r="R287" s="14"/>
      <c r="S287" s="14"/>
      <c r="T287" s="14"/>
      <c r="U287" s="14"/>
      <c r="V287" s="14"/>
      <c r="W287" s="14"/>
      <c r="X287" s="14"/>
      <c r="Y287" s="14"/>
      <c r="Z287" s="14"/>
    </row>
    <row r="288" ht="22.5" customHeight="1">
      <c r="A288" s="217">
        <v>46066.0</v>
      </c>
      <c r="B288" s="218" t="s">
        <v>955</v>
      </c>
      <c r="C288" s="228"/>
      <c r="D288" s="9" t="s">
        <v>4533</v>
      </c>
      <c r="E288" s="235">
        <v>9.885215007E9</v>
      </c>
      <c r="F288" s="221" t="s">
        <v>144</v>
      </c>
      <c r="G288" s="228" t="s">
        <v>4534</v>
      </c>
      <c r="H288" s="14"/>
      <c r="I288" s="14"/>
      <c r="J288" s="14"/>
      <c r="K288" s="14"/>
      <c r="L288" s="14"/>
      <c r="M288" s="14"/>
      <c r="N288" s="14"/>
      <c r="O288" s="14"/>
      <c r="P288" s="14"/>
      <c r="Q288" s="14"/>
      <c r="R288" s="14"/>
      <c r="S288" s="14"/>
      <c r="T288" s="14"/>
      <c r="U288" s="14"/>
      <c r="V288" s="14"/>
      <c r="W288" s="14"/>
      <c r="X288" s="14"/>
      <c r="Y288" s="14"/>
      <c r="Z288" s="14"/>
    </row>
    <row r="289" ht="22.5" customHeight="1">
      <c r="A289" s="217">
        <v>46066.0</v>
      </c>
      <c r="B289" s="218" t="s">
        <v>4535</v>
      </c>
      <c r="C289" s="228" t="s">
        <v>3042</v>
      </c>
      <c r="D289" s="9"/>
      <c r="E289" s="235">
        <v>9.885552731E9</v>
      </c>
      <c r="F289" s="221" t="s">
        <v>3853</v>
      </c>
      <c r="G289" s="228" t="s">
        <v>4536</v>
      </c>
      <c r="H289" s="231">
        <v>46066.0</v>
      </c>
      <c r="I289" s="232">
        <v>0.6875</v>
      </c>
      <c r="J289" s="18"/>
      <c r="K289" s="18"/>
      <c r="L289" s="18"/>
      <c r="M289" s="18"/>
      <c r="N289" s="18"/>
      <c r="O289" s="18"/>
      <c r="P289" s="18"/>
      <c r="Q289" s="18"/>
      <c r="R289" s="18"/>
      <c r="S289" s="18"/>
      <c r="T289" s="18"/>
      <c r="U289" s="18"/>
      <c r="V289" s="18"/>
      <c r="W289" s="18"/>
      <c r="X289" s="18"/>
      <c r="Y289" s="18"/>
      <c r="Z289" s="18"/>
    </row>
    <row r="290" ht="22.5" customHeight="1">
      <c r="A290" s="217">
        <v>46066.0</v>
      </c>
      <c r="B290" s="218" t="s">
        <v>4537</v>
      </c>
      <c r="C290" s="228"/>
      <c r="D290" s="9" t="s">
        <v>4538</v>
      </c>
      <c r="E290" s="220">
        <v>9.66644062E9</v>
      </c>
      <c r="F290" s="221" t="s">
        <v>96</v>
      </c>
      <c r="G290" s="228" t="s">
        <v>4539</v>
      </c>
      <c r="H290" s="14"/>
      <c r="I290" s="14"/>
      <c r="J290" s="14"/>
      <c r="K290" s="14"/>
      <c r="L290" s="14"/>
      <c r="M290" s="14"/>
      <c r="N290" s="14"/>
      <c r="O290" s="14"/>
      <c r="P290" s="14"/>
      <c r="Q290" s="14"/>
      <c r="R290" s="14"/>
      <c r="S290" s="14"/>
      <c r="T290" s="14"/>
      <c r="U290" s="14"/>
      <c r="V290" s="14"/>
      <c r="W290" s="14"/>
      <c r="X290" s="14"/>
      <c r="Y290" s="14"/>
      <c r="Z290" s="14"/>
    </row>
    <row r="291" ht="22.5" customHeight="1">
      <c r="A291" s="217">
        <v>46066.0</v>
      </c>
      <c r="B291" s="218" t="s">
        <v>4540</v>
      </c>
      <c r="C291" s="228"/>
      <c r="D291" s="9" t="s">
        <v>4541</v>
      </c>
      <c r="E291" s="220">
        <v>8.374167037E9</v>
      </c>
      <c r="F291" s="221" t="s">
        <v>241</v>
      </c>
      <c r="G291" s="228" t="s">
        <v>4542</v>
      </c>
      <c r="H291" s="14"/>
      <c r="I291" s="14"/>
      <c r="J291" s="14"/>
      <c r="K291" s="14"/>
      <c r="L291" s="14"/>
      <c r="M291" s="14"/>
      <c r="N291" s="14"/>
      <c r="O291" s="14"/>
      <c r="P291" s="14"/>
      <c r="Q291" s="14"/>
      <c r="R291" s="14"/>
      <c r="S291" s="14"/>
      <c r="T291" s="14"/>
      <c r="U291" s="14"/>
      <c r="V291" s="14"/>
      <c r="W291" s="14"/>
      <c r="X291" s="14"/>
      <c r="Y291" s="14"/>
      <c r="Z291" s="14"/>
    </row>
    <row r="292" ht="22.5" customHeight="1">
      <c r="A292" s="217">
        <v>46066.0</v>
      </c>
      <c r="B292" s="218" t="s">
        <v>4543</v>
      </c>
      <c r="C292" s="228"/>
      <c r="D292" s="9" t="s">
        <v>4544</v>
      </c>
      <c r="E292" s="220">
        <v>9.502547468E9</v>
      </c>
      <c r="F292" s="221" t="s">
        <v>45</v>
      </c>
      <c r="G292" s="228" t="s">
        <v>4545</v>
      </c>
      <c r="H292" s="231">
        <v>46067.0</v>
      </c>
      <c r="I292" s="14"/>
      <c r="J292" s="14"/>
      <c r="K292" s="14"/>
      <c r="L292" s="14"/>
      <c r="M292" s="14"/>
      <c r="N292" s="14"/>
      <c r="O292" s="14"/>
      <c r="P292" s="14"/>
      <c r="Q292" s="14"/>
      <c r="R292" s="14"/>
      <c r="S292" s="14"/>
      <c r="T292" s="14"/>
      <c r="U292" s="14"/>
      <c r="V292" s="14"/>
      <c r="W292" s="14"/>
      <c r="X292" s="14"/>
      <c r="Y292" s="14"/>
      <c r="Z292" s="14"/>
    </row>
    <row r="293" ht="22.5" customHeight="1">
      <c r="A293" s="217">
        <v>46066.0</v>
      </c>
      <c r="B293" s="218" t="s">
        <v>4546</v>
      </c>
      <c r="C293" s="228"/>
      <c r="D293" s="9" t="s">
        <v>4547</v>
      </c>
      <c r="E293" s="220">
        <v>9.133650914E9</v>
      </c>
      <c r="F293" s="221" t="s">
        <v>144</v>
      </c>
      <c r="G293" s="228" t="s">
        <v>4548</v>
      </c>
      <c r="H293" s="231">
        <v>46069.0</v>
      </c>
      <c r="I293" s="14"/>
      <c r="J293" s="14"/>
      <c r="K293" s="14"/>
      <c r="L293" s="14"/>
      <c r="M293" s="14"/>
      <c r="N293" s="14"/>
      <c r="O293" s="14"/>
      <c r="P293" s="14"/>
      <c r="Q293" s="14"/>
      <c r="R293" s="14"/>
      <c r="S293" s="14"/>
      <c r="T293" s="14"/>
      <c r="U293" s="14"/>
      <c r="V293" s="14"/>
      <c r="W293" s="14"/>
      <c r="X293" s="14"/>
      <c r="Y293" s="14"/>
      <c r="Z293" s="14"/>
    </row>
    <row r="294" ht="22.5" customHeight="1">
      <c r="A294" s="217">
        <v>46066.0</v>
      </c>
      <c r="B294" s="218" t="s">
        <v>4549</v>
      </c>
      <c r="C294" s="228"/>
      <c r="D294" s="9"/>
      <c r="E294" s="220"/>
      <c r="F294" s="221" t="s">
        <v>45</v>
      </c>
      <c r="G294" s="228" t="s">
        <v>4550</v>
      </c>
      <c r="H294" s="14"/>
      <c r="I294" s="14"/>
      <c r="J294" s="14"/>
      <c r="K294" s="14"/>
      <c r="L294" s="14"/>
      <c r="M294" s="14"/>
      <c r="N294" s="14"/>
      <c r="O294" s="14"/>
      <c r="P294" s="14"/>
      <c r="Q294" s="14"/>
      <c r="R294" s="14"/>
      <c r="S294" s="14"/>
      <c r="T294" s="14"/>
      <c r="U294" s="14"/>
      <c r="V294" s="14"/>
      <c r="W294" s="14"/>
      <c r="X294" s="14"/>
      <c r="Y294" s="14"/>
      <c r="Z294" s="14"/>
    </row>
    <row r="295" ht="22.5" customHeight="1">
      <c r="A295" s="217">
        <v>46066.0</v>
      </c>
      <c r="B295" s="218" t="s">
        <v>4551</v>
      </c>
      <c r="C295" s="228" t="s">
        <v>4471</v>
      </c>
      <c r="D295" s="9" t="s">
        <v>4552</v>
      </c>
      <c r="E295" s="220">
        <v>9.652444418E9</v>
      </c>
      <c r="F295" s="221" t="s">
        <v>3853</v>
      </c>
      <c r="G295" s="228" t="s">
        <v>4553</v>
      </c>
      <c r="H295" s="231">
        <v>46069.0</v>
      </c>
      <c r="I295" s="14"/>
      <c r="J295" s="14"/>
      <c r="K295" s="14"/>
      <c r="L295" s="14"/>
      <c r="M295" s="14"/>
      <c r="N295" s="14"/>
      <c r="O295" s="14"/>
      <c r="P295" s="14"/>
      <c r="Q295" s="14"/>
      <c r="R295" s="14"/>
      <c r="S295" s="14"/>
      <c r="T295" s="14"/>
      <c r="U295" s="14"/>
      <c r="V295" s="14"/>
      <c r="W295" s="14"/>
      <c r="X295" s="14"/>
      <c r="Y295" s="14"/>
      <c r="Z295" s="14"/>
    </row>
    <row r="296" ht="22.5" customHeight="1">
      <c r="A296" s="217">
        <v>46066.0</v>
      </c>
      <c r="B296" s="218" t="s">
        <v>4554</v>
      </c>
      <c r="C296" s="228" t="s">
        <v>4471</v>
      </c>
      <c r="D296" s="9" t="s">
        <v>1117</v>
      </c>
      <c r="E296" s="220">
        <v>9.346112262E9</v>
      </c>
      <c r="F296" s="221" t="s">
        <v>3853</v>
      </c>
      <c r="G296" s="228" t="s">
        <v>4555</v>
      </c>
      <c r="H296" s="231">
        <v>46066.0</v>
      </c>
      <c r="I296" s="232">
        <v>0.6666666666666666</v>
      </c>
      <c r="J296" s="18"/>
      <c r="K296" s="18"/>
      <c r="L296" s="18"/>
      <c r="M296" s="18"/>
      <c r="N296" s="18"/>
      <c r="O296" s="18"/>
      <c r="P296" s="18"/>
      <c r="Q296" s="18"/>
      <c r="R296" s="18"/>
      <c r="S296" s="18"/>
      <c r="T296" s="18"/>
      <c r="U296" s="18"/>
      <c r="V296" s="18"/>
      <c r="W296" s="18"/>
      <c r="X296" s="18"/>
      <c r="Y296" s="18"/>
      <c r="Z296" s="18"/>
    </row>
    <row r="297" ht="22.5" customHeight="1">
      <c r="A297" s="217">
        <v>46066.0</v>
      </c>
      <c r="B297" s="218" t="s">
        <v>4556</v>
      </c>
      <c r="C297" s="228"/>
      <c r="D297" s="9" t="s">
        <v>4557</v>
      </c>
      <c r="E297" s="220">
        <v>8.319942382E9</v>
      </c>
      <c r="F297" s="221" t="s">
        <v>241</v>
      </c>
      <c r="G297" s="228" t="s">
        <v>4558</v>
      </c>
      <c r="H297" s="14"/>
      <c r="I297" s="14"/>
      <c r="J297" s="14"/>
      <c r="K297" s="14"/>
      <c r="L297" s="14"/>
      <c r="M297" s="14"/>
      <c r="N297" s="14"/>
      <c r="O297" s="14"/>
      <c r="P297" s="14"/>
      <c r="Q297" s="14"/>
      <c r="R297" s="14"/>
      <c r="S297" s="14"/>
      <c r="T297" s="14"/>
      <c r="U297" s="14"/>
      <c r="V297" s="14"/>
      <c r="W297" s="14"/>
      <c r="X297" s="14"/>
      <c r="Y297" s="14"/>
      <c r="Z297" s="14"/>
    </row>
    <row r="298" ht="22.5" customHeight="1">
      <c r="A298" s="217">
        <v>46066.0</v>
      </c>
      <c r="B298" s="218" t="s">
        <v>4559</v>
      </c>
      <c r="C298" s="228"/>
      <c r="D298" s="9"/>
      <c r="E298" s="220">
        <v>7.396369586E9</v>
      </c>
      <c r="F298" s="221" t="s">
        <v>45</v>
      </c>
      <c r="G298" s="228" t="s">
        <v>4560</v>
      </c>
      <c r="H298" s="14"/>
      <c r="I298" s="14"/>
      <c r="J298" s="14"/>
      <c r="K298" s="14"/>
      <c r="L298" s="14"/>
      <c r="M298" s="14"/>
      <c r="N298" s="14"/>
      <c r="O298" s="14"/>
      <c r="P298" s="14"/>
      <c r="Q298" s="14"/>
      <c r="R298" s="14"/>
      <c r="S298" s="14"/>
      <c r="T298" s="14"/>
      <c r="U298" s="14"/>
      <c r="V298" s="14"/>
      <c r="W298" s="14"/>
      <c r="X298" s="14"/>
      <c r="Y298" s="14"/>
      <c r="Z298" s="14"/>
    </row>
    <row r="299" ht="22.5" customHeight="1">
      <c r="A299" s="217">
        <v>46066.0</v>
      </c>
      <c r="B299" s="218" t="s">
        <v>4561</v>
      </c>
      <c r="D299" s="228" t="s">
        <v>2675</v>
      </c>
      <c r="E299" s="220">
        <v>6.300802819E9</v>
      </c>
      <c r="F299" s="221" t="s">
        <v>241</v>
      </c>
      <c r="G299" s="228" t="s">
        <v>4562</v>
      </c>
      <c r="H299" s="14"/>
      <c r="I299" s="14"/>
      <c r="J299" s="14"/>
      <c r="K299" s="14"/>
      <c r="L299" s="14"/>
      <c r="M299" s="14"/>
      <c r="N299" s="14"/>
      <c r="O299" s="14"/>
      <c r="P299" s="14"/>
      <c r="Q299" s="14"/>
      <c r="R299" s="14"/>
      <c r="S299" s="14"/>
      <c r="T299" s="14"/>
      <c r="U299" s="14"/>
      <c r="V299" s="14"/>
      <c r="W299" s="14"/>
      <c r="X299" s="14"/>
      <c r="Y299" s="14"/>
      <c r="Z299" s="14"/>
    </row>
    <row r="300" ht="22.5" customHeight="1">
      <c r="A300" s="217">
        <v>46066.0</v>
      </c>
      <c r="B300" s="218" t="s">
        <v>4563</v>
      </c>
      <c r="C300" s="9" t="s">
        <v>203</v>
      </c>
      <c r="D300" s="228"/>
      <c r="E300" s="220">
        <v>9.381425752E9</v>
      </c>
      <c r="F300" s="221" t="s">
        <v>3853</v>
      </c>
      <c r="G300" s="228" t="s">
        <v>4564</v>
      </c>
      <c r="H300" s="14"/>
      <c r="I300" s="14"/>
      <c r="J300" s="14"/>
      <c r="K300" s="14"/>
      <c r="L300" s="14"/>
      <c r="M300" s="14"/>
      <c r="N300" s="14"/>
      <c r="O300" s="14"/>
      <c r="P300" s="14"/>
      <c r="Q300" s="14"/>
      <c r="R300" s="14"/>
      <c r="S300" s="14"/>
      <c r="T300" s="14"/>
      <c r="U300" s="14"/>
      <c r="V300" s="14"/>
      <c r="W300" s="14"/>
      <c r="X300" s="14"/>
      <c r="Y300" s="14"/>
      <c r="Z300" s="14"/>
    </row>
    <row r="301" ht="22.5" customHeight="1">
      <c r="A301" s="217">
        <v>46066.0</v>
      </c>
      <c r="B301" s="218" t="s">
        <v>4384</v>
      </c>
      <c r="C301" s="9"/>
      <c r="D301" s="228"/>
      <c r="E301" s="220"/>
      <c r="F301" s="221" t="s">
        <v>60</v>
      </c>
      <c r="G301" s="228" t="s">
        <v>4565</v>
      </c>
      <c r="H301" s="14"/>
      <c r="I301" s="14"/>
      <c r="J301" s="14"/>
      <c r="K301" s="14"/>
      <c r="L301" s="14"/>
      <c r="M301" s="14"/>
      <c r="N301" s="14"/>
      <c r="O301" s="14"/>
      <c r="P301" s="14"/>
      <c r="Q301" s="14"/>
      <c r="R301" s="14"/>
      <c r="S301" s="14"/>
      <c r="T301" s="14"/>
      <c r="U301" s="14"/>
      <c r="V301" s="14"/>
      <c r="W301" s="14"/>
      <c r="X301" s="14"/>
      <c r="Y301" s="14"/>
      <c r="Z301" s="14"/>
    </row>
    <row r="302" ht="22.5" customHeight="1">
      <c r="A302" s="217">
        <v>46066.0</v>
      </c>
      <c r="B302" s="218" t="s">
        <v>1037</v>
      </c>
      <c r="C302" s="9"/>
      <c r="D302" s="228" t="s">
        <v>4566</v>
      </c>
      <c r="E302" s="220">
        <v>8.686521161E9</v>
      </c>
      <c r="F302" s="221" t="s">
        <v>144</v>
      </c>
      <c r="G302" s="228" t="s">
        <v>4567</v>
      </c>
      <c r="H302" s="14"/>
      <c r="I302" s="14"/>
      <c r="J302" s="14"/>
      <c r="K302" s="14"/>
      <c r="L302" s="14"/>
      <c r="M302" s="14"/>
      <c r="N302" s="14"/>
      <c r="O302" s="14"/>
      <c r="P302" s="14"/>
      <c r="Q302" s="14"/>
      <c r="R302" s="14"/>
      <c r="S302" s="14"/>
      <c r="T302" s="14"/>
      <c r="U302" s="14"/>
      <c r="V302" s="14"/>
      <c r="W302" s="14"/>
      <c r="X302" s="14"/>
      <c r="Y302" s="14"/>
      <c r="Z302" s="14"/>
    </row>
    <row r="303" ht="22.5" customHeight="1">
      <c r="A303" s="217">
        <v>46066.0</v>
      </c>
      <c r="B303" s="218" t="s">
        <v>4413</v>
      </c>
      <c r="C303" s="9"/>
      <c r="D303" s="228" t="s">
        <v>4568</v>
      </c>
      <c r="E303" s="220">
        <v>9.963027222E9</v>
      </c>
      <c r="F303" s="221" t="s">
        <v>144</v>
      </c>
      <c r="G303" s="228" t="s">
        <v>4569</v>
      </c>
      <c r="H303" s="231">
        <v>46070.0</v>
      </c>
      <c r="I303" s="14"/>
      <c r="J303" s="14"/>
      <c r="K303" s="14"/>
      <c r="L303" s="14"/>
      <c r="M303" s="14"/>
      <c r="N303" s="14"/>
      <c r="O303" s="14"/>
      <c r="P303" s="14"/>
      <c r="Q303" s="14"/>
      <c r="R303" s="14"/>
      <c r="S303" s="14"/>
      <c r="T303" s="14"/>
      <c r="U303" s="14"/>
      <c r="V303" s="14"/>
      <c r="W303" s="14"/>
      <c r="X303" s="14"/>
      <c r="Y303" s="14"/>
      <c r="Z303" s="14"/>
    </row>
    <row r="304" ht="22.5" customHeight="1">
      <c r="A304" s="217">
        <v>46066.0</v>
      </c>
      <c r="B304" s="218" t="s">
        <v>973</v>
      </c>
      <c r="C304" s="9"/>
      <c r="D304" s="228"/>
      <c r="E304" s="220"/>
      <c r="F304" s="221" t="s">
        <v>45</v>
      </c>
      <c r="G304" s="228" t="s">
        <v>4570</v>
      </c>
      <c r="H304" s="14"/>
      <c r="I304" s="14"/>
      <c r="J304" s="14"/>
      <c r="K304" s="14"/>
      <c r="L304" s="14"/>
      <c r="M304" s="14"/>
      <c r="N304" s="14"/>
      <c r="O304" s="14"/>
      <c r="P304" s="14"/>
      <c r="Q304" s="14"/>
      <c r="R304" s="14"/>
      <c r="S304" s="14"/>
      <c r="T304" s="14"/>
      <c r="U304" s="14"/>
      <c r="V304" s="14"/>
      <c r="W304" s="14"/>
      <c r="X304" s="14"/>
      <c r="Y304" s="14"/>
      <c r="Z304" s="14"/>
    </row>
    <row r="305" ht="22.5" customHeight="1">
      <c r="A305" s="217">
        <v>46066.0</v>
      </c>
      <c r="B305" s="218" t="s">
        <v>4571</v>
      </c>
      <c r="C305" s="9" t="s">
        <v>4471</v>
      </c>
      <c r="D305" s="228"/>
      <c r="E305" s="220">
        <v>7.066346634E9</v>
      </c>
      <c r="F305" s="221" t="s">
        <v>3853</v>
      </c>
      <c r="G305" s="228" t="s">
        <v>4572</v>
      </c>
      <c r="H305" s="231">
        <v>46066.0</v>
      </c>
      <c r="I305" s="232">
        <v>0.625</v>
      </c>
      <c r="J305" s="18"/>
      <c r="K305" s="18"/>
      <c r="L305" s="18"/>
      <c r="M305" s="18"/>
      <c r="N305" s="18"/>
      <c r="O305" s="18"/>
      <c r="P305" s="18"/>
      <c r="Q305" s="18"/>
      <c r="R305" s="18"/>
      <c r="S305" s="18"/>
      <c r="T305" s="18"/>
      <c r="U305" s="18"/>
      <c r="V305" s="18"/>
      <c r="W305" s="18"/>
      <c r="X305" s="18"/>
      <c r="Y305" s="18"/>
      <c r="Z305" s="18"/>
    </row>
    <row r="306" ht="22.5" customHeight="1">
      <c r="A306" s="217">
        <v>46066.0</v>
      </c>
      <c r="B306" s="218" t="s">
        <v>4573</v>
      </c>
      <c r="C306" s="9"/>
      <c r="D306" s="228"/>
      <c r="E306" s="220"/>
      <c r="F306" s="221" t="s">
        <v>45</v>
      </c>
      <c r="G306" s="228" t="s">
        <v>4574</v>
      </c>
      <c r="H306" s="14"/>
      <c r="I306" s="14"/>
      <c r="J306" s="14"/>
      <c r="K306" s="14"/>
      <c r="L306" s="14"/>
      <c r="M306" s="14"/>
      <c r="N306" s="14"/>
      <c r="O306" s="14"/>
      <c r="P306" s="14"/>
      <c r="Q306" s="14"/>
      <c r="R306" s="14"/>
      <c r="S306" s="14"/>
      <c r="T306" s="14"/>
      <c r="U306" s="14"/>
      <c r="V306" s="14"/>
      <c r="W306" s="14"/>
      <c r="X306" s="14"/>
      <c r="Y306" s="14"/>
      <c r="Z306" s="14"/>
    </row>
    <row r="307" ht="22.5" customHeight="1">
      <c r="A307" s="217">
        <v>46066.0</v>
      </c>
      <c r="B307" s="218" t="s">
        <v>4575</v>
      </c>
      <c r="C307" s="9"/>
      <c r="D307" s="228"/>
      <c r="E307" s="220"/>
      <c r="F307" s="221" t="s">
        <v>60</v>
      </c>
      <c r="G307" s="228" t="s">
        <v>4576</v>
      </c>
      <c r="H307" s="14"/>
      <c r="I307" s="14"/>
      <c r="J307" s="14"/>
      <c r="K307" s="14"/>
      <c r="L307" s="14"/>
      <c r="M307" s="14"/>
      <c r="N307" s="14"/>
      <c r="O307" s="14"/>
      <c r="P307" s="14"/>
      <c r="Q307" s="14"/>
      <c r="R307" s="14"/>
      <c r="S307" s="14"/>
      <c r="T307" s="14"/>
      <c r="U307" s="14"/>
      <c r="V307" s="14"/>
      <c r="W307" s="14"/>
      <c r="X307" s="14"/>
      <c r="Y307" s="14"/>
      <c r="Z307" s="14"/>
    </row>
    <row r="308" ht="22.5" customHeight="1">
      <c r="A308" s="217">
        <v>46066.0</v>
      </c>
      <c r="B308" s="218" t="s">
        <v>4577</v>
      </c>
      <c r="C308" s="9"/>
      <c r="D308" s="228"/>
      <c r="E308" s="220"/>
      <c r="F308" s="221" t="s">
        <v>241</v>
      </c>
      <c r="G308" s="228" t="s">
        <v>4578</v>
      </c>
      <c r="H308" s="14"/>
      <c r="I308" s="14"/>
      <c r="J308" s="14"/>
      <c r="K308" s="14"/>
      <c r="L308" s="14"/>
      <c r="M308" s="14"/>
      <c r="N308" s="14"/>
      <c r="O308" s="14"/>
      <c r="P308" s="14"/>
      <c r="Q308" s="14"/>
      <c r="R308" s="14"/>
      <c r="S308" s="14"/>
      <c r="T308" s="14"/>
      <c r="U308" s="14"/>
      <c r="V308" s="14"/>
      <c r="W308" s="14"/>
      <c r="X308" s="14"/>
      <c r="Y308" s="14"/>
      <c r="Z308" s="14"/>
    </row>
    <row r="309" ht="22.5" customHeight="1">
      <c r="A309" s="217">
        <v>46066.0</v>
      </c>
      <c r="B309" s="218" t="s">
        <v>4579</v>
      </c>
      <c r="C309" s="9"/>
      <c r="D309" s="228"/>
      <c r="E309" s="220"/>
      <c r="F309" s="221" t="s">
        <v>96</v>
      </c>
      <c r="G309" s="228" t="s">
        <v>4580</v>
      </c>
      <c r="H309" s="234">
        <v>46069.0</v>
      </c>
      <c r="I309" s="14"/>
      <c r="J309" s="14"/>
      <c r="K309" s="14"/>
      <c r="L309" s="14"/>
      <c r="M309" s="14"/>
      <c r="N309" s="14"/>
      <c r="O309" s="14"/>
      <c r="P309" s="14"/>
      <c r="Q309" s="14"/>
      <c r="R309" s="14"/>
      <c r="S309" s="14"/>
      <c r="T309" s="14"/>
      <c r="U309" s="14"/>
      <c r="V309" s="14"/>
      <c r="W309" s="14"/>
      <c r="X309" s="14"/>
      <c r="Y309" s="14"/>
      <c r="Z309" s="14"/>
    </row>
    <row r="310" ht="22.5" customHeight="1">
      <c r="A310" s="217">
        <v>46066.0</v>
      </c>
      <c r="B310" s="218" t="s">
        <v>4581</v>
      </c>
      <c r="C310" s="9"/>
      <c r="D310" s="228" t="s">
        <v>4582</v>
      </c>
      <c r="E310" s="220">
        <v>9.966321486E9</v>
      </c>
      <c r="F310" s="221" t="s">
        <v>248</v>
      </c>
      <c r="G310" s="228" t="s">
        <v>4583</v>
      </c>
      <c r="H310" s="231">
        <v>46069.0</v>
      </c>
      <c r="I310" s="14"/>
      <c r="J310" s="14"/>
      <c r="K310" s="14"/>
      <c r="L310" s="14"/>
      <c r="M310" s="14"/>
      <c r="N310" s="14"/>
      <c r="O310" s="14"/>
      <c r="P310" s="14"/>
      <c r="Q310" s="14"/>
      <c r="R310" s="14"/>
      <c r="S310" s="14"/>
      <c r="T310" s="14"/>
      <c r="U310" s="14"/>
      <c r="V310" s="14"/>
      <c r="W310" s="14"/>
      <c r="X310" s="14"/>
      <c r="Y310" s="14"/>
      <c r="Z310" s="14"/>
    </row>
    <row r="311" ht="22.5" customHeight="1">
      <c r="A311" s="217">
        <v>46066.0</v>
      </c>
      <c r="B311" s="218" t="s">
        <v>4584</v>
      </c>
      <c r="C311" s="9"/>
      <c r="D311" s="228" t="s">
        <v>4585</v>
      </c>
      <c r="E311" s="220">
        <v>7.99552079E8</v>
      </c>
      <c r="F311" s="221" t="s">
        <v>45</v>
      </c>
      <c r="G311" s="228" t="s">
        <v>4586</v>
      </c>
      <c r="H311" s="231">
        <v>46069.0</v>
      </c>
      <c r="I311" s="14"/>
      <c r="J311" s="14"/>
      <c r="K311" s="14"/>
      <c r="L311" s="14"/>
      <c r="M311" s="14"/>
      <c r="N311" s="14"/>
      <c r="O311" s="14"/>
      <c r="P311" s="14"/>
      <c r="Q311" s="14"/>
      <c r="R311" s="14"/>
      <c r="S311" s="14"/>
      <c r="T311" s="14"/>
      <c r="U311" s="14"/>
      <c r="V311" s="14"/>
      <c r="W311" s="14"/>
      <c r="X311" s="14"/>
      <c r="Y311" s="14"/>
      <c r="Z311" s="14"/>
    </row>
    <row r="312" ht="22.5" customHeight="1">
      <c r="A312" s="217">
        <v>46066.0</v>
      </c>
      <c r="B312" s="218" t="s">
        <v>1056</v>
      </c>
      <c r="C312" s="9" t="s">
        <v>610</v>
      </c>
      <c r="D312" s="228"/>
      <c r="E312" s="220"/>
      <c r="F312" s="221" t="s">
        <v>73</v>
      </c>
      <c r="G312" s="228" t="s">
        <v>4587</v>
      </c>
      <c r="H312" s="14"/>
      <c r="I312" s="14"/>
      <c r="J312" s="14"/>
      <c r="K312" s="14"/>
      <c r="L312" s="14"/>
      <c r="M312" s="14"/>
      <c r="N312" s="14"/>
      <c r="O312" s="14"/>
      <c r="P312" s="14"/>
      <c r="Q312" s="14"/>
      <c r="R312" s="14"/>
      <c r="S312" s="14"/>
      <c r="T312" s="14"/>
      <c r="U312" s="14"/>
      <c r="V312" s="14"/>
      <c r="W312" s="14"/>
      <c r="X312" s="14"/>
      <c r="Y312" s="14"/>
      <c r="Z312" s="14"/>
    </row>
    <row r="313" ht="22.5" customHeight="1">
      <c r="A313" s="217">
        <v>46066.0</v>
      </c>
      <c r="B313" s="218" t="s">
        <v>4588</v>
      </c>
      <c r="C313" s="9" t="s">
        <v>1041</v>
      </c>
      <c r="D313" s="228" t="s">
        <v>4589</v>
      </c>
      <c r="E313" s="220">
        <v>9.391007154E9</v>
      </c>
      <c r="F313" s="221" t="s">
        <v>186</v>
      </c>
      <c r="G313" s="228" t="s">
        <v>4590</v>
      </c>
      <c r="H313" s="14"/>
      <c r="I313" s="14"/>
      <c r="J313" s="14"/>
      <c r="K313" s="14"/>
      <c r="L313" s="14"/>
      <c r="M313" s="14"/>
      <c r="N313" s="14"/>
      <c r="O313" s="14"/>
      <c r="P313" s="14"/>
      <c r="Q313" s="14"/>
      <c r="R313" s="14"/>
      <c r="S313" s="14"/>
      <c r="T313" s="14"/>
      <c r="U313" s="14"/>
      <c r="V313" s="14"/>
      <c r="W313" s="14"/>
      <c r="X313" s="14"/>
      <c r="Y313" s="14"/>
      <c r="Z313" s="14"/>
    </row>
    <row r="314" ht="22.5" customHeight="1">
      <c r="A314" s="217">
        <v>46066.0</v>
      </c>
      <c r="B314" s="218" t="s">
        <v>4591</v>
      </c>
      <c r="C314" s="9"/>
      <c r="D314" s="228" t="s">
        <v>4592</v>
      </c>
      <c r="E314" s="220">
        <v>7.970928335E9</v>
      </c>
      <c r="F314" s="221" t="s">
        <v>73</v>
      </c>
      <c r="G314" s="228" t="s">
        <v>4593</v>
      </c>
      <c r="H314" s="231">
        <v>46067.0</v>
      </c>
      <c r="I314" s="232">
        <v>0.6666666666666666</v>
      </c>
      <c r="J314" s="18"/>
      <c r="K314" s="18"/>
      <c r="L314" s="18"/>
      <c r="M314" s="18"/>
      <c r="N314" s="18"/>
      <c r="O314" s="18"/>
      <c r="P314" s="18"/>
      <c r="Q314" s="18"/>
      <c r="R314" s="18"/>
      <c r="S314" s="18"/>
      <c r="T314" s="18"/>
      <c r="U314" s="18"/>
      <c r="V314" s="18"/>
      <c r="W314" s="18"/>
      <c r="X314" s="18"/>
      <c r="Y314" s="18"/>
      <c r="Z314" s="18"/>
    </row>
    <row r="315" ht="22.5" customHeight="1">
      <c r="A315" s="217">
        <v>46066.0</v>
      </c>
      <c r="B315" s="218" t="s">
        <v>4594</v>
      </c>
      <c r="C315" s="9"/>
      <c r="D315" s="228" t="s">
        <v>4595</v>
      </c>
      <c r="E315" s="220">
        <v>7.416812233E9</v>
      </c>
      <c r="F315" s="221" t="s">
        <v>144</v>
      </c>
      <c r="G315" s="228" t="s">
        <v>4596</v>
      </c>
      <c r="H315" s="14"/>
      <c r="I315" s="14"/>
      <c r="J315" s="14"/>
      <c r="K315" s="14"/>
      <c r="L315" s="14"/>
      <c r="M315" s="14"/>
      <c r="N315" s="14"/>
      <c r="O315" s="14"/>
      <c r="P315" s="14"/>
      <c r="Q315" s="14"/>
      <c r="R315" s="14"/>
      <c r="S315" s="14"/>
      <c r="T315" s="14"/>
      <c r="U315" s="14"/>
      <c r="V315" s="14"/>
      <c r="W315" s="14"/>
      <c r="X315" s="14"/>
      <c r="Y315" s="14"/>
      <c r="Z315" s="14"/>
    </row>
    <row r="316" ht="22.5" customHeight="1">
      <c r="A316" s="217">
        <v>46066.0</v>
      </c>
      <c r="B316" s="228" t="s">
        <v>4597</v>
      </c>
      <c r="C316" s="9"/>
      <c r="D316" s="228" t="s">
        <v>4598</v>
      </c>
      <c r="E316" s="220">
        <v>9.959921616E9</v>
      </c>
      <c r="F316" s="221" t="s">
        <v>186</v>
      </c>
      <c r="G316" s="228" t="s">
        <v>4599</v>
      </c>
      <c r="H316" s="231">
        <v>46067.0</v>
      </c>
      <c r="I316" s="14"/>
      <c r="J316" s="14"/>
      <c r="K316" s="14"/>
      <c r="L316" s="14"/>
      <c r="M316" s="14"/>
      <c r="N316" s="14"/>
      <c r="O316" s="14"/>
      <c r="P316" s="14"/>
      <c r="Q316" s="14"/>
      <c r="R316" s="14"/>
      <c r="S316" s="14"/>
      <c r="T316" s="14"/>
      <c r="U316" s="14"/>
      <c r="V316" s="14"/>
      <c r="W316" s="14"/>
      <c r="X316" s="14"/>
      <c r="Y316" s="14"/>
      <c r="Z316" s="14"/>
    </row>
    <row r="317" ht="22.5" customHeight="1">
      <c r="A317" s="217">
        <v>46066.0</v>
      </c>
      <c r="B317" s="218" t="s">
        <v>4600</v>
      </c>
      <c r="C317" s="9"/>
      <c r="D317" s="228" t="s">
        <v>4601</v>
      </c>
      <c r="E317" s="220">
        <v>9.966740877E9</v>
      </c>
      <c r="F317" s="221" t="s">
        <v>248</v>
      </c>
      <c r="G317" s="228" t="s">
        <v>4602</v>
      </c>
      <c r="H317" s="231">
        <v>46069.0</v>
      </c>
      <c r="I317" s="232">
        <v>0.4583333333333333</v>
      </c>
      <c r="J317" s="18"/>
      <c r="K317" s="18"/>
      <c r="L317" s="18"/>
      <c r="M317" s="18"/>
      <c r="N317" s="18"/>
      <c r="O317" s="18"/>
      <c r="P317" s="18"/>
      <c r="Q317" s="18"/>
      <c r="R317" s="18"/>
      <c r="S317" s="18"/>
      <c r="T317" s="18"/>
      <c r="U317" s="18"/>
      <c r="V317" s="18"/>
      <c r="W317" s="18"/>
      <c r="X317" s="18"/>
      <c r="Y317" s="18"/>
      <c r="Z317" s="18"/>
    </row>
    <row r="318" ht="22.5" customHeight="1">
      <c r="A318" s="217">
        <v>46066.0</v>
      </c>
      <c r="B318" s="218" t="s">
        <v>4603</v>
      </c>
      <c r="C318" s="9" t="s">
        <v>4604</v>
      </c>
      <c r="D318" s="228" t="s">
        <v>4605</v>
      </c>
      <c r="E318" s="216">
        <v>9.989649223E9</v>
      </c>
      <c r="F318" s="221" t="s">
        <v>200</v>
      </c>
      <c r="G318" s="228" t="s">
        <v>4606</v>
      </c>
      <c r="H318" s="14"/>
      <c r="I318" s="14"/>
      <c r="J318" s="14"/>
      <c r="K318" s="14"/>
      <c r="L318" s="14"/>
      <c r="M318" s="14"/>
      <c r="N318" s="14"/>
      <c r="O318" s="14"/>
      <c r="P318" s="14"/>
      <c r="Q318" s="14"/>
      <c r="R318" s="14"/>
      <c r="S318" s="14"/>
      <c r="T318" s="14"/>
      <c r="U318" s="14"/>
      <c r="V318" s="14"/>
      <c r="W318" s="14"/>
      <c r="X318" s="14"/>
      <c r="Y318" s="14"/>
      <c r="Z318" s="14"/>
    </row>
    <row r="319" ht="22.5" customHeight="1">
      <c r="A319" s="217">
        <v>46066.0</v>
      </c>
      <c r="B319" s="218" t="s">
        <v>4607</v>
      </c>
      <c r="C319" s="9"/>
      <c r="D319" s="228"/>
      <c r="E319" s="220"/>
      <c r="F319" s="221" t="s">
        <v>96</v>
      </c>
      <c r="G319" s="228" t="s">
        <v>4608</v>
      </c>
      <c r="H319" s="234">
        <v>46069.0</v>
      </c>
      <c r="I319" s="232">
        <v>0.7083333333333334</v>
      </c>
      <c r="J319" s="18"/>
      <c r="K319" s="18"/>
      <c r="L319" s="18"/>
      <c r="M319" s="18"/>
      <c r="N319" s="18"/>
      <c r="O319" s="18"/>
      <c r="P319" s="18"/>
      <c r="Q319" s="18"/>
      <c r="R319" s="18"/>
      <c r="S319" s="18"/>
      <c r="T319" s="18"/>
      <c r="U319" s="18"/>
      <c r="V319" s="18"/>
      <c r="W319" s="18"/>
      <c r="X319" s="18"/>
      <c r="Y319" s="18"/>
      <c r="Z319" s="18"/>
    </row>
    <row r="320" ht="22.5" customHeight="1">
      <c r="A320" s="217">
        <v>46066.0</v>
      </c>
      <c r="B320" s="218" t="s">
        <v>4609</v>
      </c>
      <c r="C320" s="9" t="s">
        <v>1999</v>
      </c>
      <c r="D320" s="228"/>
      <c r="E320" s="220">
        <v>7.98992243E9</v>
      </c>
      <c r="F320" s="221" t="s">
        <v>73</v>
      </c>
      <c r="G320" s="228" t="s">
        <v>4610</v>
      </c>
      <c r="H320" s="14"/>
      <c r="I320" s="14"/>
      <c r="J320" s="14"/>
      <c r="K320" s="14"/>
      <c r="L320" s="14"/>
      <c r="M320" s="14"/>
      <c r="N320" s="14"/>
      <c r="O320" s="14"/>
      <c r="P320" s="14"/>
      <c r="Q320" s="14"/>
      <c r="R320" s="14"/>
      <c r="S320" s="14"/>
      <c r="T320" s="14"/>
      <c r="U320" s="14"/>
      <c r="V320" s="14"/>
      <c r="W320" s="14"/>
      <c r="X320" s="14"/>
      <c r="Y320" s="14"/>
      <c r="Z320" s="14"/>
    </row>
    <row r="321" ht="22.5" customHeight="1">
      <c r="A321" s="217">
        <v>46066.0</v>
      </c>
      <c r="B321" s="218" t="s">
        <v>4611</v>
      </c>
      <c r="C321" s="9"/>
      <c r="D321" s="228"/>
      <c r="E321" s="220"/>
      <c r="F321" s="221" t="s">
        <v>60</v>
      </c>
      <c r="G321" s="228" t="s">
        <v>4612</v>
      </c>
      <c r="H321" s="14"/>
      <c r="I321" s="14"/>
      <c r="J321" s="14"/>
      <c r="K321" s="14"/>
      <c r="L321" s="14"/>
      <c r="M321" s="14"/>
      <c r="N321" s="14"/>
      <c r="O321" s="14"/>
      <c r="P321" s="14"/>
      <c r="Q321" s="14"/>
      <c r="R321" s="14"/>
      <c r="S321" s="14"/>
      <c r="T321" s="14"/>
      <c r="U321" s="14"/>
      <c r="V321" s="14"/>
      <c r="W321" s="14"/>
      <c r="X321" s="14"/>
      <c r="Y321" s="14"/>
      <c r="Z321" s="14"/>
    </row>
    <row r="322" ht="22.5" customHeight="1">
      <c r="A322" s="217">
        <v>46066.0</v>
      </c>
      <c r="B322" s="218" t="s">
        <v>4613</v>
      </c>
      <c r="C322" s="9"/>
      <c r="E322" s="214"/>
      <c r="F322" s="55" t="s">
        <v>60</v>
      </c>
      <c r="G322" s="15" t="s">
        <v>4614</v>
      </c>
      <c r="H322" s="14"/>
      <c r="I322" s="14"/>
      <c r="J322" s="14"/>
      <c r="K322" s="14"/>
      <c r="L322" s="14"/>
      <c r="M322" s="14"/>
      <c r="N322" s="14"/>
      <c r="O322" s="14"/>
      <c r="P322" s="14"/>
      <c r="Q322" s="14"/>
      <c r="R322" s="14"/>
      <c r="S322" s="14"/>
      <c r="T322" s="14"/>
      <c r="U322" s="14"/>
      <c r="V322" s="14"/>
      <c r="W322" s="14"/>
      <c r="X322" s="14"/>
      <c r="Y322" s="14"/>
      <c r="Z322" s="14"/>
    </row>
    <row r="323" ht="22.5" customHeight="1">
      <c r="A323" s="217">
        <v>46066.0</v>
      </c>
      <c r="B323" s="218" t="s">
        <v>4615</v>
      </c>
      <c r="C323" s="9"/>
      <c r="D323" s="228" t="s">
        <v>4616</v>
      </c>
      <c r="E323" s="220">
        <v>9.985566667E9</v>
      </c>
      <c r="F323" s="221" t="s">
        <v>144</v>
      </c>
      <c r="G323" s="228" t="s">
        <v>4617</v>
      </c>
      <c r="H323" s="14"/>
      <c r="I323" s="14"/>
      <c r="J323" s="14"/>
      <c r="K323" s="14"/>
      <c r="L323" s="14"/>
      <c r="M323" s="14"/>
      <c r="N323" s="14"/>
      <c r="O323" s="14"/>
      <c r="P323" s="14"/>
      <c r="Q323" s="14"/>
      <c r="R323" s="14"/>
      <c r="S323" s="14"/>
      <c r="T323" s="14"/>
      <c r="U323" s="14"/>
      <c r="V323" s="14"/>
      <c r="W323" s="14"/>
      <c r="X323" s="14"/>
      <c r="Y323" s="14"/>
      <c r="Z323" s="14"/>
    </row>
    <row r="324" ht="22.5" customHeight="1">
      <c r="A324" s="217">
        <v>46066.0</v>
      </c>
      <c r="B324" s="218" t="s">
        <v>4618</v>
      </c>
      <c r="C324" s="9" t="s">
        <v>4619</v>
      </c>
      <c r="D324" s="228" t="s">
        <v>4620</v>
      </c>
      <c r="E324" s="220">
        <v>8.297032369E9</v>
      </c>
      <c r="F324" s="221" t="s">
        <v>186</v>
      </c>
      <c r="G324" s="228" t="s">
        <v>4621</v>
      </c>
      <c r="H324" s="234">
        <v>46069.0</v>
      </c>
      <c r="I324" s="232">
        <v>0.7916666666666666</v>
      </c>
      <c r="J324" s="18"/>
      <c r="K324" s="18"/>
      <c r="L324" s="18"/>
      <c r="M324" s="18"/>
      <c r="N324" s="18"/>
      <c r="O324" s="18"/>
      <c r="P324" s="18"/>
      <c r="Q324" s="18"/>
      <c r="R324" s="18"/>
      <c r="S324" s="18"/>
      <c r="T324" s="18"/>
      <c r="U324" s="18"/>
      <c r="V324" s="18"/>
      <c r="W324" s="18"/>
      <c r="X324" s="18"/>
      <c r="Y324" s="18"/>
      <c r="Z324" s="18"/>
    </row>
    <row r="325" ht="22.5" customHeight="1">
      <c r="A325" s="217">
        <v>46066.0</v>
      </c>
      <c r="B325" s="218" t="s">
        <v>4622</v>
      </c>
      <c r="C325" s="9"/>
      <c r="D325" s="228"/>
      <c r="E325" s="220"/>
      <c r="F325" s="221" t="s">
        <v>96</v>
      </c>
      <c r="G325" s="228" t="s">
        <v>4623</v>
      </c>
      <c r="H325" s="234">
        <v>46066.0</v>
      </c>
      <c r="I325" s="232">
        <v>0.8333333333333334</v>
      </c>
      <c r="J325" s="18"/>
      <c r="K325" s="18"/>
      <c r="L325" s="18"/>
      <c r="M325" s="18"/>
      <c r="N325" s="18"/>
      <c r="O325" s="18"/>
      <c r="P325" s="18"/>
      <c r="Q325" s="18"/>
      <c r="R325" s="18"/>
      <c r="S325" s="18"/>
      <c r="T325" s="18"/>
      <c r="U325" s="18"/>
      <c r="V325" s="18"/>
      <c r="W325" s="18"/>
      <c r="X325" s="18"/>
      <c r="Y325" s="18"/>
      <c r="Z325" s="18"/>
    </row>
    <row r="326" ht="22.5" customHeight="1">
      <c r="A326" s="217">
        <v>46066.0</v>
      </c>
      <c r="B326" s="218" t="s">
        <v>4624</v>
      </c>
      <c r="C326" s="9" t="s">
        <v>4625</v>
      </c>
      <c r="D326" s="228" t="s">
        <v>4626</v>
      </c>
      <c r="E326" s="220">
        <v>9.000002378E9</v>
      </c>
      <c r="F326" s="221" t="s">
        <v>186</v>
      </c>
      <c r="G326" s="228" t="s">
        <v>4261</v>
      </c>
      <c r="H326" s="234"/>
      <c r="I326" s="232"/>
      <c r="J326" s="18"/>
      <c r="K326" s="18"/>
      <c r="L326" s="18"/>
      <c r="M326" s="18"/>
      <c r="N326" s="18"/>
      <c r="O326" s="18"/>
      <c r="P326" s="18"/>
      <c r="Q326" s="18"/>
      <c r="R326" s="18"/>
      <c r="S326" s="18"/>
      <c r="T326" s="18"/>
      <c r="U326" s="18"/>
      <c r="V326" s="18"/>
      <c r="W326" s="18"/>
      <c r="X326" s="18"/>
      <c r="Y326" s="18"/>
      <c r="Z326" s="18"/>
    </row>
    <row r="327" ht="22.5" customHeight="1">
      <c r="A327" s="217">
        <v>46066.0</v>
      </c>
      <c r="B327" s="218" t="s">
        <v>4627</v>
      </c>
      <c r="C327" s="9" t="s">
        <v>309</v>
      </c>
      <c r="D327" s="228" t="s">
        <v>3265</v>
      </c>
      <c r="E327" s="220">
        <v>8.978621009E9</v>
      </c>
      <c r="F327" s="221" t="s">
        <v>73</v>
      </c>
      <c r="G327" s="228" t="s">
        <v>4628</v>
      </c>
      <c r="H327" s="234">
        <v>46067.0</v>
      </c>
      <c r="I327" s="9"/>
      <c r="J327" s="18"/>
      <c r="K327" s="18"/>
      <c r="L327" s="18"/>
      <c r="M327" s="18"/>
      <c r="N327" s="18"/>
      <c r="O327" s="18"/>
      <c r="P327" s="18"/>
      <c r="Q327" s="18"/>
      <c r="R327" s="18"/>
      <c r="S327" s="18"/>
      <c r="T327" s="18"/>
      <c r="U327" s="18"/>
      <c r="V327" s="18"/>
      <c r="W327" s="18"/>
      <c r="X327" s="18"/>
      <c r="Y327" s="18"/>
      <c r="Z327" s="18"/>
    </row>
    <row r="328" ht="22.5" customHeight="1">
      <c r="A328" s="217">
        <v>46066.0</v>
      </c>
      <c r="B328" s="218" t="s">
        <v>4629</v>
      </c>
      <c r="C328" s="9" t="s">
        <v>4630</v>
      </c>
      <c r="D328" s="228"/>
      <c r="E328" s="220"/>
      <c r="F328" s="221" t="s">
        <v>248</v>
      </c>
      <c r="G328" s="228" t="s">
        <v>3948</v>
      </c>
      <c r="H328" s="234"/>
      <c r="I328" s="232"/>
      <c r="J328" s="18"/>
      <c r="K328" s="18"/>
      <c r="L328" s="18"/>
      <c r="M328" s="18"/>
      <c r="N328" s="18"/>
      <c r="O328" s="18"/>
      <c r="P328" s="18"/>
      <c r="Q328" s="18"/>
      <c r="R328" s="18"/>
      <c r="S328" s="18"/>
      <c r="T328" s="18"/>
      <c r="U328" s="18"/>
      <c r="V328" s="18"/>
      <c r="W328" s="18"/>
      <c r="X328" s="18"/>
      <c r="Y328" s="18"/>
      <c r="Z328" s="18"/>
    </row>
    <row r="329" ht="22.5" customHeight="1">
      <c r="A329" s="217">
        <v>46066.0</v>
      </c>
      <c r="B329" s="218" t="s">
        <v>4631</v>
      </c>
      <c r="C329" s="9" t="s">
        <v>4630</v>
      </c>
      <c r="D329" s="228"/>
      <c r="E329" s="220"/>
      <c r="F329" s="221" t="s">
        <v>248</v>
      </c>
      <c r="G329" s="228" t="s">
        <v>3948</v>
      </c>
      <c r="H329" s="234"/>
      <c r="I329" s="232"/>
      <c r="J329" s="18"/>
      <c r="K329" s="18"/>
      <c r="L329" s="18"/>
      <c r="M329" s="18"/>
      <c r="N329" s="18"/>
      <c r="O329" s="18"/>
      <c r="P329" s="18"/>
      <c r="Q329" s="18"/>
      <c r="R329" s="18"/>
      <c r="S329" s="18"/>
      <c r="T329" s="18"/>
      <c r="U329" s="18"/>
      <c r="V329" s="18"/>
      <c r="W329" s="18"/>
      <c r="X329" s="18"/>
      <c r="Y329" s="18"/>
      <c r="Z329" s="18"/>
    </row>
    <row r="330" ht="22.5" customHeight="1">
      <c r="A330" s="217">
        <v>46066.0</v>
      </c>
      <c r="B330" s="218" t="s">
        <v>4632</v>
      </c>
      <c r="C330" s="9"/>
      <c r="D330" s="228" t="s">
        <v>4633</v>
      </c>
      <c r="E330" s="220">
        <v>9.505255701E9</v>
      </c>
      <c r="F330" s="221" t="s">
        <v>96</v>
      </c>
      <c r="G330" s="228" t="s">
        <v>4634</v>
      </c>
      <c r="H330" s="234">
        <v>46069.0</v>
      </c>
      <c r="I330" s="232"/>
      <c r="J330" s="18"/>
      <c r="K330" s="18"/>
      <c r="L330" s="18"/>
      <c r="M330" s="18"/>
      <c r="N330" s="18"/>
      <c r="O330" s="18"/>
      <c r="P330" s="18"/>
      <c r="Q330" s="18"/>
      <c r="R330" s="18"/>
      <c r="S330" s="18"/>
      <c r="T330" s="18"/>
      <c r="U330" s="18"/>
      <c r="V330" s="18"/>
      <c r="W330" s="18"/>
      <c r="X330" s="18"/>
      <c r="Y330" s="18"/>
      <c r="Z330" s="18"/>
    </row>
    <row r="331" ht="22.5" customHeight="1">
      <c r="A331" s="217">
        <v>46066.0</v>
      </c>
      <c r="B331" s="218" t="s">
        <v>4635</v>
      </c>
      <c r="C331" s="9"/>
      <c r="D331" s="228"/>
      <c r="E331" s="220"/>
      <c r="F331" s="221" t="s">
        <v>200</v>
      </c>
      <c r="G331" s="228" t="s">
        <v>4636</v>
      </c>
      <c r="H331" s="234"/>
      <c r="I331" s="232"/>
      <c r="J331" s="18"/>
      <c r="K331" s="18"/>
      <c r="L331" s="18"/>
      <c r="M331" s="18"/>
      <c r="N331" s="18"/>
      <c r="O331" s="18"/>
      <c r="P331" s="18"/>
      <c r="Q331" s="18"/>
      <c r="R331" s="18"/>
      <c r="S331" s="18"/>
      <c r="T331" s="18"/>
      <c r="U331" s="18"/>
      <c r="V331" s="18"/>
      <c r="W331" s="18"/>
      <c r="X331" s="18"/>
      <c r="Y331" s="18"/>
      <c r="Z331" s="18"/>
    </row>
    <row r="332" ht="22.5" customHeight="1">
      <c r="A332" s="217">
        <v>46066.0</v>
      </c>
      <c r="B332" s="218" t="s">
        <v>4637</v>
      </c>
      <c r="C332" s="9" t="s">
        <v>4638</v>
      </c>
      <c r="D332" s="228"/>
      <c r="E332" s="220"/>
      <c r="F332" s="221" t="s">
        <v>200</v>
      </c>
      <c r="G332" s="228" t="s">
        <v>4639</v>
      </c>
      <c r="H332" s="234"/>
      <c r="I332" s="232"/>
      <c r="J332" s="18"/>
      <c r="K332" s="18"/>
      <c r="L332" s="18"/>
      <c r="M332" s="18"/>
      <c r="N332" s="18"/>
      <c r="O332" s="18"/>
      <c r="P332" s="18"/>
      <c r="Q332" s="18"/>
      <c r="R332" s="18"/>
      <c r="S332" s="18"/>
      <c r="T332" s="18"/>
      <c r="U332" s="18"/>
      <c r="V332" s="18"/>
      <c r="W332" s="18"/>
      <c r="X332" s="18"/>
      <c r="Y332" s="18"/>
      <c r="Z332" s="18"/>
    </row>
    <row r="333" ht="22.5" customHeight="1">
      <c r="A333" s="217">
        <v>46066.0</v>
      </c>
      <c r="B333" s="218" t="s">
        <v>4640</v>
      </c>
      <c r="C333" s="9"/>
      <c r="D333" s="228" t="s">
        <v>4641</v>
      </c>
      <c r="E333" s="220">
        <v>9.849242228E9</v>
      </c>
      <c r="F333" s="221" t="s">
        <v>45</v>
      </c>
      <c r="G333" s="228" t="s">
        <v>4013</v>
      </c>
      <c r="H333" s="234"/>
      <c r="I333" s="232"/>
      <c r="J333" s="18"/>
      <c r="K333" s="18"/>
      <c r="L333" s="18"/>
      <c r="M333" s="18"/>
      <c r="N333" s="18"/>
      <c r="O333" s="18"/>
      <c r="P333" s="18"/>
      <c r="Q333" s="18"/>
      <c r="R333" s="18"/>
      <c r="S333" s="18"/>
      <c r="T333" s="18"/>
      <c r="U333" s="18"/>
      <c r="V333" s="18"/>
      <c r="W333" s="18"/>
      <c r="X333" s="18"/>
      <c r="Y333" s="18"/>
      <c r="Z333" s="18"/>
    </row>
    <row r="334" ht="22.5" customHeight="1">
      <c r="A334" s="217">
        <v>46066.0</v>
      </c>
      <c r="B334" s="218" t="s">
        <v>4642</v>
      </c>
      <c r="C334" s="9"/>
      <c r="D334" s="228" t="s">
        <v>4643</v>
      </c>
      <c r="E334" s="220">
        <v>7.780667655E9</v>
      </c>
      <c r="F334" s="221" t="s">
        <v>96</v>
      </c>
      <c r="G334" s="228" t="s">
        <v>4644</v>
      </c>
      <c r="H334" s="234">
        <v>46069.0</v>
      </c>
      <c r="I334" s="232">
        <v>0.6666666666666666</v>
      </c>
      <c r="J334" s="18"/>
      <c r="K334" s="18"/>
      <c r="L334" s="18"/>
      <c r="M334" s="18"/>
      <c r="N334" s="18"/>
      <c r="O334" s="18"/>
      <c r="P334" s="18"/>
      <c r="Q334" s="18"/>
      <c r="R334" s="18"/>
      <c r="S334" s="18"/>
      <c r="T334" s="18"/>
      <c r="U334" s="18"/>
      <c r="V334" s="18"/>
      <c r="W334" s="18"/>
      <c r="X334" s="18"/>
      <c r="Y334" s="18"/>
      <c r="Z334" s="18"/>
    </row>
    <row r="335" ht="22.5" customHeight="1">
      <c r="A335" s="217">
        <v>46066.0</v>
      </c>
      <c r="B335" s="218" t="s">
        <v>4645</v>
      </c>
      <c r="C335" s="9"/>
      <c r="D335" s="228" t="s">
        <v>4646</v>
      </c>
      <c r="E335" s="220">
        <v>9.640166669E9</v>
      </c>
      <c r="F335" s="221" t="s">
        <v>96</v>
      </c>
      <c r="G335" s="228" t="s">
        <v>4647</v>
      </c>
      <c r="H335" s="234">
        <v>46069.0</v>
      </c>
      <c r="I335" s="232">
        <v>0.7291666666666666</v>
      </c>
      <c r="J335" s="18"/>
      <c r="K335" s="18"/>
      <c r="L335" s="18"/>
      <c r="M335" s="18"/>
      <c r="N335" s="18"/>
      <c r="O335" s="18"/>
      <c r="P335" s="18"/>
      <c r="Q335" s="18"/>
      <c r="R335" s="18"/>
      <c r="S335" s="18"/>
      <c r="T335" s="18"/>
      <c r="U335" s="18"/>
      <c r="V335" s="18"/>
      <c r="W335" s="18"/>
      <c r="X335" s="18"/>
      <c r="Y335" s="18"/>
      <c r="Z335" s="18"/>
    </row>
    <row r="336" ht="22.5" customHeight="1">
      <c r="A336" s="217">
        <v>46066.0</v>
      </c>
      <c r="B336" s="218" t="s">
        <v>4648</v>
      </c>
      <c r="C336" s="9"/>
      <c r="D336" s="228" t="s">
        <v>4649</v>
      </c>
      <c r="E336" s="220">
        <v>9.94907222E9</v>
      </c>
      <c r="F336" s="221" t="s">
        <v>96</v>
      </c>
      <c r="G336" s="228" t="s">
        <v>4650</v>
      </c>
      <c r="H336" s="234">
        <v>46069.0</v>
      </c>
      <c r="I336" s="232">
        <v>0.7708333333333334</v>
      </c>
      <c r="J336" s="18"/>
      <c r="K336" s="18"/>
      <c r="L336" s="18"/>
      <c r="M336" s="18"/>
      <c r="N336" s="18"/>
      <c r="O336" s="18"/>
      <c r="P336" s="18"/>
      <c r="Q336" s="18"/>
      <c r="R336" s="18"/>
      <c r="S336" s="18"/>
      <c r="T336" s="18"/>
      <c r="U336" s="18"/>
      <c r="V336" s="18"/>
      <c r="W336" s="18"/>
      <c r="X336" s="18"/>
      <c r="Y336" s="18"/>
      <c r="Z336" s="18"/>
    </row>
    <row r="337" ht="22.5" customHeight="1">
      <c r="A337" s="217">
        <v>46066.0</v>
      </c>
      <c r="B337" s="218" t="s">
        <v>4651</v>
      </c>
      <c r="C337" s="9"/>
      <c r="D337" s="228" t="s">
        <v>4652</v>
      </c>
      <c r="E337" s="220">
        <v>9.985404412E9</v>
      </c>
      <c r="F337" s="221" t="s">
        <v>96</v>
      </c>
      <c r="G337" s="228" t="s">
        <v>4653</v>
      </c>
      <c r="H337" s="234"/>
      <c r="I337" s="232"/>
      <c r="J337" s="18"/>
      <c r="K337" s="18"/>
      <c r="L337" s="18"/>
      <c r="M337" s="18"/>
      <c r="N337" s="18"/>
      <c r="O337" s="18"/>
      <c r="P337" s="18"/>
      <c r="Q337" s="18"/>
      <c r="R337" s="18"/>
      <c r="S337" s="18"/>
      <c r="T337" s="18"/>
      <c r="U337" s="18"/>
      <c r="V337" s="18"/>
      <c r="W337" s="18"/>
      <c r="X337" s="18"/>
      <c r="Y337" s="18"/>
      <c r="Z337" s="18"/>
    </row>
    <row r="338" ht="22.5" customHeight="1">
      <c r="A338" s="217">
        <v>46066.0</v>
      </c>
      <c r="B338" s="218" t="s">
        <v>4654</v>
      </c>
      <c r="C338" s="9"/>
      <c r="D338" s="228" t="s">
        <v>4655</v>
      </c>
      <c r="E338" s="220">
        <v>9.985661114E9</v>
      </c>
      <c r="F338" s="221" t="s">
        <v>200</v>
      </c>
      <c r="G338" s="228" t="s">
        <v>4656</v>
      </c>
      <c r="H338" s="234"/>
      <c r="I338" s="232"/>
      <c r="J338" s="18"/>
      <c r="K338" s="18"/>
      <c r="L338" s="18"/>
      <c r="M338" s="18"/>
      <c r="N338" s="18"/>
      <c r="O338" s="18"/>
      <c r="P338" s="18"/>
      <c r="Q338" s="18"/>
      <c r="R338" s="18"/>
      <c r="S338" s="18"/>
      <c r="T338" s="18"/>
      <c r="U338" s="18"/>
      <c r="V338" s="18"/>
      <c r="W338" s="18"/>
      <c r="X338" s="18"/>
      <c r="Y338" s="18"/>
      <c r="Z338" s="18"/>
    </row>
    <row r="339" ht="22.5" customHeight="1">
      <c r="A339" s="217">
        <v>46066.0</v>
      </c>
      <c r="B339" s="218" t="s">
        <v>4657</v>
      </c>
      <c r="C339" s="9"/>
      <c r="D339" s="228"/>
      <c r="E339" s="220"/>
      <c r="F339" s="221" t="s">
        <v>3853</v>
      </c>
      <c r="G339" s="228" t="s">
        <v>4658</v>
      </c>
      <c r="H339" s="234"/>
      <c r="I339" s="232"/>
      <c r="J339" s="18"/>
      <c r="K339" s="18"/>
      <c r="L339" s="18"/>
      <c r="M339" s="18"/>
      <c r="N339" s="18"/>
      <c r="O339" s="18"/>
      <c r="P339" s="18"/>
      <c r="Q339" s="18"/>
      <c r="R339" s="18"/>
      <c r="S339" s="18"/>
      <c r="T339" s="18"/>
      <c r="U339" s="18"/>
      <c r="V339" s="18"/>
      <c r="W339" s="18"/>
      <c r="X339" s="18"/>
      <c r="Y339" s="18"/>
      <c r="Z339" s="18"/>
    </row>
    <row r="340" ht="22.5" customHeight="1">
      <c r="A340" s="217">
        <v>46066.0</v>
      </c>
      <c r="B340" s="218" t="s">
        <v>4659</v>
      </c>
      <c r="C340" s="9"/>
      <c r="D340" s="228"/>
      <c r="E340" s="220"/>
      <c r="F340" s="221" t="s">
        <v>96</v>
      </c>
      <c r="G340" s="228" t="s">
        <v>4660</v>
      </c>
      <c r="H340" s="234"/>
      <c r="I340" s="232"/>
      <c r="J340" s="18"/>
      <c r="K340" s="18"/>
      <c r="L340" s="18"/>
      <c r="M340" s="18"/>
      <c r="N340" s="18"/>
      <c r="O340" s="18"/>
      <c r="P340" s="18"/>
      <c r="Q340" s="18"/>
      <c r="R340" s="18"/>
      <c r="S340" s="18"/>
      <c r="T340" s="18"/>
      <c r="U340" s="18"/>
      <c r="V340" s="18"/>
      <c r="W340" s="18"/>
      <c r="X340" s="18"/>
      <c r="Y340" s="18"/>
      <c r="Z340" s="18"/>
    </row>
    <row r="341" ht="22.5" customHeight="1">
      <c r="A341" s="217">
        <v>46066.0</v>
      </c>
      <c r="B341" s="218" t="s">
        <v>4661</v>
      </c>
      <c r="C341" s="9"/>
      <c r="D341" s="228"/>
      <c r="E341" s="220"/>
      <c r="F341" s="221" t="s">
        <v>96</v>
      </c>
      <c r="G341" s="228" t="s">
        <v>4662</v>
      </c>
      <c r="H341" s="234"/>
      <c r="I341" s="232"/>
      <c r="J341" s="18"/>
      <c r="K341" s="18"/>
      <c r="L341" s="18"/>
      <c r="M341" s="18"/>
      <c r="N341" s="18"/>
      <c r="O341" s="18"/>
      <c r="P341" s="18"/>
      <c r="Q341" s="18"/>
      <c r="R341" s="18"/>
      <c r="S341" s="18"/>
      <c r="T341" s="18"/>
      <c r="U341" s="18"/>
      <c r="V341" s="18"/>
      <c r="W341" s="18"/>
      <c r="X341" s="18"/>
      <c r="Y341" s="18"/>
      <c r="Z341" s="18"/>
    </row>
    <row r="342" ht="22.5" customHeight="1">
      <c r="A342" s="222">
        <v>46067.0</v>
      </c>
      <c r="B342" s="218" t="s">
        <v>4663</v>
      </c>
      <c r="C342" s="9" t="s">
        <v>4625</v>
      </c>
      <c r="D342" s="228" t="s">
        <v>4664</v>
      </c>
      <c r="E342" s="220"/>
      <c r="F342" s="221" t="s">
        <v>186</v>
      </c>
      <c r="G342" s="228" t="s">
        <v>4665</v>
      </c>
      <c r="H342" s="234"/>
      <c r="I342" s="232"/>
      <c r="J342" s="18"/>
      <c r="K342" s="18"/>
      <c r="L342" s="18"/>
      <c r="M342" s="18"/>
      <c r="N342" s="18"/>
      <c r="O342" s="18"/>
      <c r="P342" s="18"/>
      <c r="Q342" s="18"/>
      <c r="R342" s="18"/>
      <c r="S342" s="18"/>
      <c r="T342" s="18"/>
      <c r="U342" s="18"/>
      <c r="V342" s="18"/>
      <c r="W342" s="18"/>
      <c r="X342" s="18"/>
      <c r="Y342" s="18"/>
      <c r="Z342" s="18"/>
    </row>
    <row r="343" ht="22.5" customHeight="1">
      <c r="A343" s="222">
        <v>46067.0</v>
      </c>
      <c r="B343" s="218" t="s">
        <v>4666</v>
      </c>
      <c r="C343" s="9" t="s">
        <v>389</v>
      </c>
      <c r="D343" s="228" t="s">
        <v>4667</v>
      </c>
      <c r="E343" s="220"/>
      <c r="F343" s="221" t="s">
        <v>186</v>
      </c>
      <c r="G343" s="228" t="s">
        <v>4668</v>
      </c>
      <c r="H343" s="234"/>
      <c r="I343" s="232"/>
      <c r="J343" s="18"/>
      <c r="K343" s="18"/>
      <c r="L343" s="18"/>
      <c r="M343" s="18"/>
      <c r="N343" s="18"/>
      <c r="O343" s="18"/>
      <c r="P343" s="18"/>
      <c r="Q343" s="18"/>
      <c r="R343" s="18"/>
      <c r="S343" s="18"/>
      <c r="T343" s="18"/>
      <c r="U343" s="18"/>
      <c r="V343" s="18"/>
      <c r="W343" s="18"/>
      <c r="X343" s="18"/>
      <c r="Y343" s="18"/>
      <c r="Z343" s="18"/>
    </row>
    <row r="344" ht="22.5" customHeight="1">
      <c r="A344" s="222">
        <v>46067.0</v>
      </c>
      <c r="B344" s="218" t="s">
        <v>1143</v>
      </c>
      <c r="C344" s="9" t="s">
        <v>4625</v>
      </c>
      <c r="D344" s="228" t="s">
        <v>4669</v>
      </c>
      <c r="E344" s="220"/>
      <c r="F344" s="221" t="s">
        <v>186</v>
      </c>
      <c r="G344" s="228" t="s">
        <v>4670</v>
      </c>
      <c r="H344" s="234"/>
      <c r="I344" s="232"/>
      <c r="J344" s="18"/>
      <c r="K344" s="18"/>
      <c r="L344" s="18"/>
      <c r="M344" s="18"/>
      <c r="N344" s="18"/>
      <c r="O344" s="18"/>
      <c r="P344" s="18"/>
      <c r="Q344" s="18"/>
      <c r="R344" s="18"/>
      <c r="S344" s="18"/>
      <c r="T344" s="18"/>
      <c r="U344" s="18"/>
      <c r="V344" s="18"/>
      <c r="W344" s="18"/>
      <c r="X344" s="18"/>
      <c r="Y344" s="18"/>
      <c r="Z344" s="18"/>
    </row>
    <row r="345" ht="22.5" customHeight="1">
      <c r="A345" s="222">
        <v>46067.0</v>
      </c>
      <c r="B345" s="218" t="s">
        <v>4671</v>
      </c>
      <c r="C345" s="9" t="s">
        <v>809</v>
      </c>
      <c r="D345" s="228" t="s">
        <v>4672</v>
      </c>
      <c r="E345" s="220"/>
      <c r="F345" s="221" t="s">
        <v>186</v>
      </c>
      <c r="G345" s="228" t="s">
        <v>4673</v>
      </c>
      <c r="H345" s="234"/>
      <c r="I345" s="232"/>
      <c r="J345" s="18"/>
      <c r="K345" s="18"/>
      <c r="L345" s="18"/>
      <c r="M345" s="18"/>
      <c r="N345" s="18"/>
      <c r="O345" s="18"/>
      <c r="P345" s="18"/>
      <c r="Q345" s="18"/>
      <c r="R345" s="18"/>
      <c r="S345" s="18"/>
      <c r="T345" s="18"/>
      <c r="U345" s="18"/>
      <c r="V345" s="18"/>
      <c r="W345" s="18"/>
      <c r="X345" s="18"/>
      <c r="Y345" s="18"/>
      <c r="Z345" s="18"/>
    </row>
    <row r="346" ht="22.5" customHeight="1">
      <c r="A346" s="236">
        <v>46069.0</v>
      </c>
      <c r="B346" s="218" t="s">
        <v>1264</v>
      </c>
      <c r="C346" s="9" t="s">
        <v>4674</v>
      </c>
      <c r="D346" s="228"/>
      <c r="E346" s="220"/>
      <c r="F346" s="221" t="s">
        <v>186</v>
      </c>
      <c r="G346" s="228" t="s">
        <v>4675</v>
      </c>
      <c r="H346" s="234"/>
      <c r="I346" s="232"/>
      <c r="J346" s="18"/>
      <c r="K346" s="18"/>
      <c r="L346" s="18"/>
      <c r="M346" s="18"/>
      <c r="N346" s="18"/>
      <c r="O346" s="18"/>
      <c r="P346" s="18"/>
      <c r="Q346" s="18"/>
      <c r="R346" s="18"/>
      <c r="S346" s="18"/>
      <c r="T346" s="18"/>
      <c r="U346" s="18"/>
      <c r="V346" s="18"/>
      <c r="W346" s="18"/>
      <c r="X346" s="18"/>
      <c r="Y346" s="18"/>
      <c r="Z346" s="18"/>
    </row>
    <row r="347" ht="22.5" customHeight="1">
      <c r="A347" s="236">
        <v>46069.0</v>
      </c>
      <c r="B347" s="218" t="s">
        <v>4676</v>
      </c>
      <c r="C347" s="9" t="s">
        <v>389</v>
      </c>
      <c r="D347" s="228"/>
      <c r="E347" s="220"/>
      <c r="F347" s="221" t="s">
        <v>186</v>
      </c>
      <c r="G347" s="228" t="s">
        <v>4677</v>
      </c>
      <c r="H347" s="234"/>
      <c r="I347" s="232"/>
      <c r="J347" s="18"/>
      <c r="K347" s="18"/>
      <c r="L347" s="18"/>
      <c r="M347" s="18"/>
      <c r="N347" s="18"/>
      <c r="O347" s="18"/>
      <c r="P347" s="18"/>
      <c r="Q347" s="18"/>
      <c r="R347" s="18"/>
      <c r="S347" s="18"/>
      <c r="T347" s="18"/>
      <c r="U347" s="18"/>
      <c r="V347" s="18"/>
      <c r="W347" s="18"/>
      <c r="X347" s="18"/>
      <c r="Y347" s="18"/>
      <c r="Z347" s="18"/>
    </row>
    <row r="348" ht="22.5" customHeight="1">
      <c r="A348" s="236">
        <v>46069.0</v>
      </c>
      <c r="B348" s="218" t="s">
        <v>4678</v>
      </c>
      <c r="C348" s="9"/>
      <c r="D348" s="228"/>
      <c r="E348" s="220"/>
      <c r="F348" s="221" t="s">
        <v>45</v>
      </c>
      <c r="G348" s="228" t="s">
        <v>4679</v>
      </c>
      <c r="H348" s="234">
        <v>46069.0</v>
      </c>
      <c r="I348" s="232"/>
      <c r="J348" s="18"/>
      <c r="K348" s="18"/>
      <c r="L348" s="18"/>
      <c r="M348" s="18"/>
      <c r="N348" s="18"/>
      <c r="O348" s="18"/>
      <c r="P348" s="18"/>
      <c r="Q348" s="18"/>
      <c r="R348" s="18"/>
      <c r="S348" s="18"/>
      <c r="T348" s="18"/>
      <c r="U348" s="18"/>
      <c r="V348" s="18"/>
      <c r="W348" s="18"/>
      <c r="X348" s="18"/>
      <c r="Y348" s="18"/>
      <c r="Z348" s="18"/>
    </row>
    <row r="349" ht="22.5" customHeight="1">
      <c r="A349" s="236">
        <v>46069.0</v>
      </c>
      <c r="B349" s="218" t="s">
        <v>4680</v>
      </c>
      <c r="C349" s="9" t="s">
        <v>2722</v>
      </c>
      <c r="D349" s="228" t="s">
        <v>4681</v>
      </c>
      <c r="E349" s="220"/>
      <c r="F349" s="221" t="s">
        <v>144</v>
      </c>
      <c r="G349" s="228" t="s">
        <v>4682</v>
      </c>
      <c r="H349" s="234"/>
      <c r="I349" s="232"/>
      <c r="J349" s="18"/>
      <c r="K349" s="18"/>
      <c r="L349" s="18"/>
      <c r="M349" s="18"/>
      <c r="N349" s="18"/>
      <c r="O349" s="18"/>
      <c r="P349" s="18"/>
      <c r="Q349" s="18"/>
      <c r="R349" s="18"/>
      <c r="S349" s="18"/>
      <c r="T349" s="18"/>
      <c r="U349" s="18"/>
      <c r="V349" s="18"/>
      <c r="W349" s="18"/>
      <c r="X349" s="18"/>
      <c r="Y349" s="18"/>
      <c r="Z349" s="18"/>
    </row>
    <row r="350" ht="22.5" customHeight="1">
      <c r="A350" s="236">
        <v>46069.0</v>
      </c>
      <c r="B350" s="218" t="s">
        <v>4683</v>
      </c>
      <c r="C350" s="9"/>
      <c r="D350" s="228" t="s">
        <v>4684</v>
      </c>
      <c r="E350" s="220">
        <v>9.700116661E9</v>
      </c>
      <c r="F350" s="221" t="s">
        <v>241</v>
      </c>
      <c r="G350" s="228" t="s">
        <v>4685</v>
      </c>
      <c r="H350" s="234">
        <v>46070.0</v>
      </c>
      <c r="I350" s="232"/>
      <c r="J350" s="18"/>
      <c r="K350" s="18"/>
      <c r="L350" s="18"/>
      <c r="M350" s="18"/>
      <c r="N350" s="18"/>
      <c r="O350" s="18"/>
      <c r="P350" s="18"/>
      <c r="Q350" s="18"/>
      <c r="R350" s="18"/>
      <c r="S350" s="18"/>
      <c r="T350" s="18"/>
      <c r="U350" s="18"/>
      <c r="V350" s="18"/>
      <c r="W350" s="18"/>
      <c r="X350" s="18"/>
      <c r="Y350" s="18"/>
      <c r="Z350" s="18"/>
    </row>
    <row r="351" ht="22.5" customHeight="1">
      <c r="A351" s="236">
        <v>46069.0</v>
      </c>
      <c r="B351" s="218" t="s">
        <v>4686</v>
      </c>
      <c r="C351" s="9"/>
      <c r="D351" s="228"/>
      <c r="E351" s="220"/>
      <c r="F351" s="221" t="s">
        <v>144</v>
      </c>
      <c r="G351" s="228" t="s">
        <v>4687</v>
      </c>
      <c r="H351" s="234"/>
      <c r="I351" s="232"/>
      <c r="J351" s="18"/>
      <c r="K351" s="18"/>
      <c r="L351" s="18"/>
      <c r="M351" s="18"/>
      <c r="N351" s="18"/>
      <c r="O351" s="18"/>
      <c r="P351" s="18"/>
      <c r="Q351" s="18"/>
      <c r="R351" s="18"/>
      <c r="S351" s="18"/>
      <c r="T351" s="18"/>
      <c r="U351" s="18"/>
      <c r="V351" s="18"/>
      <c r="W351" s="18"/>
      <c r="X351" s="18"/>
      <c r="Y351" s="18"/>
      <c r="Z351" s="18"/>
    </row>
    <row r="352" ht="22.5" customHeight="1">
      <c r="A352" s="236">
        <v>46069.0</v>
      </c>
      <c r="B352" s="218" t="s">
        <v>4688</v>
      </c>
      <c r="C352" s="9"/>
      <c r="D352" s="228" t="s">
        <v>3111</v>
      </c>
      <c r="E352" s="230">
        <v>9.390732422E9</v>
      </c>
      <c r="F352" s="221" t="s">
        <v>45</v>
      </c>
      <c r="G352" s="228" t="s">
        <v>4689</v>
      </c>
      <c r="H352" s="234"/>
      <c r="I352" s="232"/>
      <c r="J352" s="18"/>
      <c r="K352" s="18"/>
      <c r="L352" s="18"/>
      <c r="M352" s="18"/>
      <c r="N352" s="18"/>
      <c r="O352" s="18"/>
      <c r="P352" s="18"/>
      <c r="Q352" s="18"/>
      <c r="R352" s="18"/>
      <c r="S352" s="18"/>
      <c r="T352" s="18"/>
      <c r="U352" s="18"/>
      <c r="V352" s="18"/>
      <c r="W352" s="18"/>
      <c r="X352" s="18"/>
      <c r="Y352" s="18"/>
      <c r="Z352" s="18"/>
    </row>
    <row r="353" ht="22.5" customHeight="1">
      <c r="A353" s="236">
        <v>46069.0</v>
      </c>
      <c r="B353" s="218" t="s">
        <v>4690</v>
      </c>
      <c r="C353" s="9"/>
      <c r="D353" s="228" t="s">
        <v>4691</v>
      </c>
      <c r="E353" s="220">
        <v>7.702618533E9</v>
      </c>
      <c r="F353" s="221" t="s">
        <v>241</v>
      </c>
      <c r="G353" s="228" t="s">
        <v>4692</v>
      </c>
      <c r="H353" s="234">
        <v>46069.0</v>
      </c>
      <c r="I353" s="232">
        <v>0.875</v>
      </c>
      <c r="J353" s="18"/>
      <c r="K353" s="18"/>
      <c r="L353" s="18"/>
      <c r="M353" s="18"/>
      <c r="N353" s="18"/>
      <c r="O353" s="18"/>
      <c r="P353" s="18"/>
      <c r="Q353" s="18"/>
      <c r="R353" s="18"/>
      <c r="S353" s="18"/>
      <c r="T353" s="18"/>
      <c r="U353" s="18"/>
      <c r="V353" s="18"/>
      <c r="W353" s="18"/>
      <c r="X353" s="18"/>
      <c r="Y353" s="18"/>
      <c r="Z353" s="18"/>
    </row>
    <row r="354" ht="22.5" customHeight="1">
      <c r="A354" s="236">
        <v>46069.0</v>
      </c>
      <c r="B354" s="218" t="s">
        <v>4693</v>
      </c>
      <c r="C354" s="9"/>
      <c r="E354" s="220">
        <v>9.985185999E9</v>
      </c>
      <c r="F354" s="221" t="s">
        <v>60</v>
      </c>
      <c r="G354" s="228" t="s">
        <v>4694</v>
      </c>
      <c r="H354" s="234"/>
      <c r="I354" s="232"/>
      <c r="J354" s="18"/>
      <c r="K354" s="18"/>
      <c r="L354" s="18"/>
      <c r="M354" s="18"/>
      <c r="N354" s="18"/>
      <c r="O354" s="18"/>
      <c r="P354" s="18"/>
      <c r="Q354" s="18"/>
      <c r="R354" s="18"/>
      <c r="S354" s="18"/>
      <c r="T354" s="18"/>
      <c r="U354" s="18"/>
      <c r="V354" s="18"/>
      <c r="W354" s="18"/>
      <c r="X354" s="18"/>
      <c r="Y354" s="18"/>
      <c r="Z354" s="18"/>
    </row>
    <row r="355" ht="22.5" customHeight="1">
      <c r="A355" s="236">
        <v>46069.0</v>
      </c>
      <c r="B355" s="218" t="s">
        <v>4695</v>
      </c>
      <c r="C355" s="9"/>
      <c r="D355" s="228" t="s">
        <v>2069</v>
      </c>
      <c r="E355" s="220">
        <v>9.985185999E9</v>
      </c>
      <c r="F355" s="221" t="s">
        <v>144</v>
      </c>
      <c r="G355" s="228" t="s">
        <v>4696</v>
      </c>
      <c r="H355" s="234"/>
      <c r="I355" s="232"/>
      <c r="J355" s="18"/>
      <c r="K355" s="18"/>
      <c r="L355" s="18"/>
      <c r="M355" s="18"/>
      <c r="N355" s="18"/>
      <c r="O355" s="18"/>
      <c r="P355" s="18"/>
      <c r="Q355" s="18"/>
      <c r="R355" s="18"/>
      <c r="S355" s="18"/>
      <c r="T355" s="18"/>
      <c r="U355" s="18"/>
      <c r="V355" s="18"/>
      <c r="W355" s="18"/>
      <c r="X355" s="18"/>
      <c r="Y355" s="18"/>
      <c r="Z355" s="18"/>
    </row>
    <row r="356" ht="22.5" customHeight="1">
      <c r="A356" s="236">
        <v>46069.0</v>
      </c>
      <c r="B356" s="218" t="s">
        <v>4697</v>
      </c>
      <c r="C356" s="9"/>
      <c r="D356" s="228" t="s">
        <v>4698</v>
      </c>
      <c r="E356" s="220">
        <v>9.000343427E9</v>
      </c>
      <c r="F356" s="221" t="s">
        <v>45</v>
      </c>
      <c r="G356" s="228" t="s">
        <v>4699</v>
      </c>
      <c r="H356" s="234"/>
      <c r="I356" s="232"/>
      <c r="J356" s="18"/>
      <c r="K356" s="18"/>
      <c r="L356" s="18"/>
      <c r="M356" s="18"/>
      <c r="N356" s="18"/>
      <c r="O356" s="18"/>
      <c r="P356" s="18"/>
      <c r="Q356" s="18"/>
      <c r="R356" s="18"/>
      <c r="S356" s="18"/>
      <c r="T356" s="18"/>
      <c r="U356" s="18"/>
      <c r="V356" s="18"/>
      <c r="W356" s="18"/>
      <c r="X356" s="18"/>
      <c r="Y356" s="18"/>
      <c r="Z356" s="18"/>
    </row>
    <row r="357" ht="22.5" customHeight="1">
      <c r="A357" s="236">
        <v>46069.0</v>
      </c>
      <c r="B357" s="218" t="s">
        <v>4700</v>
      </c>
      <c r="C357" s="9"/>
      <c r="D357" s="228"/>
      <c r="E357" s="220"/>
      <c r="F357" s="221" t="s">
        <v>60</v>
      </c>
      <c r="G357" s="228" t="s">
        <v>4701</v>
      </c>
      <c r="H357" s="234"/>
      <c r="I357" s="232"/>
      <c r="J357" s="18"/>
      <c r="K357" s="18"/>
      <c r="L357" s="18"/>
      <c r="M357" s="18"/>
      <c r="N357" s="18"/>
      <c r="O357" s="18"/>
      <c r="P357" s="18"/>
      <c r="Q357" s="18"/>
      <c r="R357" s="18"/>
      <c r="S357" s="18"/>
      <c r="T357" s="18"/>
      <c r="U357" s="18"/>
      <c r="V357" s="18"/>
      <c r="W357" s="18"/>
      <c r="X357" s="18"/>
      <c r="Y357" s="18"/>
      <c r="Z357" s="18"/>
    </row>
    <row r="358" ht="22.5" customHeight="1">
      <c r="A358" s="236">
        <v>46069.0</v>
      </c>
      <c r="B358" s="218" t="s">
        <v>4702</v>
      </c>
      <c r="C358" s="9"/>
      <c r="D358" s="228"/>
      <c r="E358" s="220">
        <v>9.000901009E9</v>
      </c>
      <c r="F358" s="221" t="s">
        <v>241</v>
      </c>
      <c r="G358" s="228" t="s">
        <v>4703</v>
      </c>
      <c r="H358" s="234"/>
      <c r="I358" s="232"/>
      <c r="J358" s="18"/>
      <c r="K358" s="18"/>
      <c r="L358" s="18"/>
      <c r="M358" s="18"/>
      <c r="N358" s="18"/>
      <c r="O358" s="18"/>
      <c r="P358" s="18"/>
      <c r="Q358" s="18"/>
      <c r="R358" s="18"/>
      <c r="S358" s="18"/>
      <c r="T358" s="18"/>
      <c r="U358" s="18"/>
      <c r="V358" s="18"/>
      <c r="W358" s="18"/>
      <c r="X358" s="18"/>
      <c r="Y358" s="18"/>
      <c r="Z358" s="18"/>
    </row>
    <row r="359" ht="22.5" customHeight="1">
      <c r="A359" s="236">
        <v>46069.0</v>
      </c>
      <c r="B359" s="218" t="s">
        <v>4704</v>
      </c>
      <c r="C359" s="9"/>
      <c r="D359" s="228"/>
      <c r="E359" s="220"/>
      <c r="F359" s="221" t="s">
        <v>144</v>
      </c>
      <c r="G359" s="228" t="s">
        <v>4705</v>
      </c>
      <c r="H359" s="234">
        <v>46069.0</v>
      </c>
      <c r="I359" s="232">
        <v>0.5625</v>
      </c>
      <c r="J359" s="18"/>
      <c r="K359" s="18"/>
      <c r="L359" s="18"/>
      <c r="M359" s="18"/>
      <c r="N359" s="18"/>
      <c r="O359" s="18"/>
      <c r="P359" s="18"/>
      <c r="Q359" s="18"/>
      <c r="R359" s="18"/>
      <c r="S359" s="18"/>
      <c r="T359" s="18"/>
      <c r="U359" s="18"/>
      <c r="V359" s="18"/>
      <c r="W359" s="18"/>
      <c r="X359" s="18"/>
      <c r="Y359" s="18"/>
      <c r="Z359" s="18"/>
    </row>
    <row r="360" ht="22.5" customHeight="1">
      <c r="A360" s="236">
        <v>46069.0</v>
      </c>
      <c r="B360" s="218" t="s">
        <v>4706</v>
      </c>
      <c r="C360" s="9" t="s">
        <v>4707</v>
      </c>
      <c r="D360" s="228"/>
      <c r="E360" s="220"/>
      <c r="F360" s="221" t="s">
        <v>186</v>
      </c>
      <c r="G360" s="228" t="s">
        <v>4708</v>
      </c>
      <c r="H360" s="234"/>
      <c r="I360" s="232"/>
      <c r="J360" s="18"/>
      <c r="K360" s="18"/>
      <c r="L360" s="18"/>
      <c r="M360" s="18"/>
      <c r="N360" s="18"/>
      <c r="O360" s="18"/>
      <c r="P360" s="18"/>
      <c r="Q360" s="18"/>
      <c r="R360" s="18"/>
      <c r="S360" s="18"/>
      <c r="T360" s="18"/>
      <c r="U360" s="18"/>
      <c r="V360" s="18"/>
      <c r="W360" s="18"/>
      <c r="X360" s="18"/>
      <c r="Y360" s="18"/>
      <c r="Z360" s="18"/>
    </row>
    <row r="361" ht="22.5" customHeight="1">
      <c r="A361" s="236">
        <v>46069.0</v>
      </c>
      <c r="B361" s="218" t="s">
        <v>4709</v>
      </c>
      <c r="C361" s="9"/>
      <c r="D361" s="228" t="s">
        <v>4710</v>
      </c>
      <c r="E361" s="220">
        <v>9.780455455E9</v>
      </c>
      <c r="F361" s="221" t="s">
        <v>45</v>
      </c>
      <c r="G361" s="228" t="s">
        <v>4711</v>
      </c>
      <c r="H361" s="234">
        <v>46069.0</v>
      </c>
      <c r="I361" s="232">
        <v>0.5833333333333334</v>
      </c>
      <c r="J361" s="18"/>
      <c r="K361" s="18"/>
      <c r="L361" s="18"/>
      <c r="M361" s="18"/>
      <c r="N361" s="18"/>
      <c r="O361" s="18"/>
      <c r="P361" s="18"/>
      <c r="Q361" s="18"/>
      <c r="R361" s="18"/>
      <c r="S361" s="18"/>
      <c r="T361" s="18"/>
      <c r="U361" s="18"/>
      <c r="V361" s="18"/>
      <c r="W361" s="18"/>
      <c r="X361" s="18"/>
      <c r="Y361" s="18"/>
      <c r="Z361" s="18"/>
    </row>
    <row r="362" ht="22.5" customHeight="1">
      <c r="A362" s="236">
        <v>46069.0</v>
      </c>
      <c r="B362" s="218" t="s">
        <v>4712</v>
      </c>
      <c r="C362" s="9"/>
      <c r="D362" s="228" t="s">
        <v>4713</v>
      </c>
      <c r="E362" s="220"/>
      <c r="F362" s="221" t="s">
        <v>45</v>
      </c>
      <c r="G362" s="228" t="s">
        <v>4714</v>
      </c>
      <c r="H362" s="234"/>
      <c r="I362" s="232"/>
      <c r="J362" s="18"/>
      <c r="K362" s="18"/>
      <c r="L362" s="18"/>
      <c r="M362" s="18"/>
      <c r="N362" s="18"/>
      <c r="O362" s="18"/>
      <c r="P362" s="18"/>
      <c r="Q362" s="18"/>
      <c r="R362" s="18"/>
      <c r="S362" s="18"/>
      <c r="T362" s="18"/>
      <c r="U362" s="18"/>
      <c r="V362" s="18"/>
      <c r="W362" s="18"/>
      <c r="X362" s="18"/>
      <c r="Y362" s="18"/>
      <c r="Z362" s="18"/>
    </row>
    <row r="363" ht="22.5" customHeight="1">
      <c r="A363" s="236">
        <v>46069.0</v>
      </c>
      <c r="B363" s="218" t="s">
        <v>4715</v>
      </c>
      <c r="C363" s="9"/>
      <c r="D363" s="228" t="s">
        <v>4716</v>
      </c>
      <c r="E363" s="220">
        <v>9.912013333E9</v>
      </c>
      <c r="F363" s="221" t="s">
        <v>73</v>
      </c>
      <c r="G363" s="228" t="s">
        <v>4717</v>
      </c>
      <c r="H363" s="234"/>
      <c r="I363" s="232"/>
      <c r="J363" s="18"/>
      <c r="K363" s="18"/>
      <c r="L363" s="18"/>
      <c r="M363" s="18"/>
      <c r="N363" s="18"/>
      <c r="O363" s="18"/>
      <c r="P363" s="18"/>
      <c r="Q363" s="18"/>
      <c r="R363" s="18"/>
      <c r="S363" s="18"/>
      <c r="T363" s="18"/>
      <c r="U363" s="18"/>
      <c r="V363" s="18"/>
      <c r="W363" s="18"/>
      <c r="X363" s="18"/>
      <c r="Y363" s="18"/>
      <c r="Z363" s="18"/>
    </row>
    <row r="364" ht="22.5" customHeight="1">
      <c r="A364" s="236">
        <v>46069.0</v>
      </c>
      <c r="B364" s="218" t="s">
        <v>4718</v>
      </c>
      <c r="C364" s="9"/>
      <c r="D364" s="228"/>
      <c r="E364" s="220">
        <v>9.00046444E9</v>
      </c>
      <c r="F364" s="221" t="s">
        <v>241</v>
      </c>
      <c r="G364" s="228" t="s">
        <v>4719</v>
      </c>
      <c r="H364" s="234">
        <v>46069.0</v>
      </c>
      <c r="I364" s="232">
        <v>0.625</v>
      </c>
      <c r="J364" s="18"/>
      <c r="K364" s="18"/>
      <c r="L364" s="18"/>
      <c r="M364" s="18"/>
      <c r="N364" s="18"/>
      <c r="O364" s="18"/>
      <c r="P364" s="18"/>
      <c r="Q364" s="18"/>
      <c r="R364" s="18"/>
      <c r="S364" s="18"/>
      <c r="T364" s="18"/>
      <c r="U364" s="18"/>
      <c r="V364" s="18"/>
      <c r="W364" s="18"/>
      <c r="X364" s="18"/>
      <c r="Y364" s="18"/>
      <c r="Z364" s="18"/>
    </row>
    <row r="365" ht="22.5" customHeight="1">
      <c r="A365" s="236">
        <v>46069.0</v>
      </c>
      <c r="B365" s="218" t="s">
        <v>4720</v>
      </c>
      <c r="C365" s="9"/>
      <c r="D365" s="228"/>
      <c r="E365" s="220"/>
      <c r="F365" s="221" t="s">
        <v>73</v>
      </c>
      <c r="G365" s="228" t="s">
        <v>4721</v>
      </c>
      <c r="H365" s="234"/>
      <c r="I365" s="232"/>
      <c r="J365" s="18"/>
      <c r="K365" s="18"/>
      <c r="L365" s="18"/>
      <c r="M365" s="18"/>
      <c r="N365" s="18"/>
      <c r="O365" s="18"/>
      <c r="P365" s="18"/>
      <c r="Q365" s="18"/>
      <c r="R365" s="18"/>
      <c r="S365" s="18"/>
      <c r="T365" s="18"/>
      <c r="U365" s="18"/>
      <c r="V365" s="18"/>
      <c r="W365" s="18"/>
      <c r="X365" s="18"/>
      <c r="Y365" s="18"/>
      <c r="Z365" s="18"/>
    </row>
    <row r="366" ht="22.5" customHeight="1">
      <c r="A366" s="236">
        <v>46069.0</v>
      </c>
      <c r="B366" s="218" t="s">
        <v>4722</v>
      </c>
      <c r="C366" s="9"/>
      <c r="D366" s="228" t="s">
        <v>4723</v>
      </c>
      <c r="E366" s="220">
        <v>9.121302712E9</v>
      </c>
      <c r="F366" s="221" t="s">
        <v>241</v>
      </c>
      <c r="G366" s="228" t="s">
        <v>4724</v>
      </c>
      <c r="H366" s="234"/>
      <c r="I366" s="232"/>
      <c r="J366" s="18"/>
      <c r="K366" s="18"/>
      <c r="L366" s="18"/>
      <c r="M366" s="18"/>
      <c r="N366" s="18"/>
      <c r="O366" s="18"/>
      <c r="P366" s="18"/>
      <c r="Q366" s="18"/>
      <c r="R366" s="18"/>
      <c r="S366" s="18"/>
      <c r="T366" s="18"/>
      <c r="U366" s="18"/>
      <c r="V366" s="18"/>
      <c r="W366" s="18"/>
      <c r="X366" s="18"/>
      <c r="Y366" s="18"/>
      <c r="Z366" s="18"/>
    </row>
    <row r="367" ht="22.5" customHeight="1">
      <c r="A367" s="236">
        <v>46069.0</v>
      </c>
      <c r="B367" s="218" t="s">
        <v>4725</v>
      </c>
      <c r="C367" s="9"/>
      <c r="D367" s="228" t="s">
        <v>4726</v>
      </c>
      <c r="E367" s="220">
        <v>8.639857988E9</v>
      </c>
      <c r="F367" s="221" t="s">
        <v>45</v>
      </c>
      <c r="G367" s="228" t="s">
        <v>4727</v>
      </c>
      <c r="H367" s="234">
        <v>46070.0</v>
      </c>
      <c r="I367" s="232"/>
      <c r="J367" s="18"/>
      <c r="K367" s="18"/>
      <c r="L367" s="18"/>
      <c r="M367" s="18"/>
      <c r="N367" s="18"/>
      <c r="O367" s="18"/>
      <c r="P367" s="18"/>
      <c r="Q367" s="18"/>
      <c r="R367" s="18"/>
      <c r="S367" s="18"/>
      <c r="T367" s="18"/>
      <c r="U367" s="18"/>
      <c r="V367" s="18"/>
      <c r="W367" s="18"/>
      <c r="X367" s="18"/>
      <c r="Y367" s="18"/>
      <c r="Z367" s="18"/>
    </row>
    <row r="368" ht="22.5" customHeight="1">
      <c r="A368" s="236">
        <v>46069.0</v>
      </c>
      <c r="B368" s="218" t="s">
        <v>4728</v>
      </c>
      <c r="C368" s="9" t="s">
        <v>4729</v>
      </c>
      <c r="D368" s="228" t="s">
        <v>2854</v>
      </c>
      <c r="E368" s="220">
        <v>9.453315094E9</v>
      </c>
      <c r="F368" s="221" t="s">
        <v>4358</v>
      </c>
      <c r="G368" s="228" t="s">
        <v>4730</v>
      </c>
      <c r="H368" s="234">
        <v>46078.0</v>
      </c>
      <c r="I368" s="232"/>
      <c r="J368" s="18"/>
      <c r="K368" s="18"/>
      <c r="L368" s="18"/>
      <c r="M368" s="18"/>
      <c r="N368" s="18"/>
      <c r="O368" s="18"/>
      <c r="P368" s="18"/>
      <c r="Q368" s="18"/>
      <c r="R368" s="18"/>
      <c r="S368" s="18"/>
      <c r="T368" s="18"/>
      <c r="U368" s="18"/>
      <c r="V368" s="18"/>
      <c r="W368" s="18"/>
      <c r="X368" s="18"/>
      <c r="Y368" s="18"/>
      <c r="Z368" s="18"/>
    </row>
    <row r="369" ht="22.5" customHeight="1">
      <c r="A369" s="236">
        <v>46069.0</v>
      </c>
      <c r="B369" s="218" t="s">
        <v>4731</v>
      </c>
      <c r="C369" s="9"/>
      <c r="D369" s="228"/>
      <c r="E369" s="220"/>
      <c r="F369" s="221" t="s">
        <v>45</v>
      </c>
      <c r="G369" s="228" t="s">
        <v>4732</v>
      </c>
      <c r="H369" s="234">
        <v>46069.0</v>
      </c>
      <c r="I369" s="232">
        <v>0.5833333333333334</v>
      </c>
      <c r="J369" s="18"/>
      <c r="K369" s="18"/>
      <c r="L369" s="18"/>
      <c r="M369" s="18"/>
      <c r="N369" s="18"/>
      <c r="O369" s="18"/>
      <c r="P369" s="18"/>
      <c r="Q369" s="18"/>
      <c r="R369" s="18"/>
      <c r="S369" s="18"/>
      <c r="T369" s="18"/>
      <c r="U369" s="18"/>
      <c r="V369" s="18"/>
      <c r="W369" s="18"/>
      <c r="X369" s="18"/>
      <c r="Y369" s="18"/>
      <c r="Z369" s="18"/>
    </row>
    <row r="370" ht="22.5" customHeight="1">
      <c r="A370" s="236">
        <v>46069.0</v>
      </c>
      <c r="B370" s="218" t="s">
        <v>4733</v>
      </c>
      <c r="C370" s="9" t="s">
        <v>2949</v>
      </c>
      <c r="D370" s="228" t="s">
        <v>4734</v>
      </c>
      <c r="E370" s="230">
        <v>9.505671074E9</v>
      </c>
      <c r="F370" s="221" t="s">
        <v>3853</v>
      </c>
      <c r="G370" s="15" t="s">
        <v>4735</v>
      </c>
      <c r="H370" s="234"/>
      <c r="I370" s="232"/>
      <c r="J370" s="18"/>
      <c r="K370" s="18"/>
      <c r="L370" s="18"/>
      <c r="M370" s="18"/>
      <c r="N370" s="18"/>
      <c r="O370" s="18"/>
      <c r="P370" s="18"/>
      <c r="Q370" s="18"/>
      <c r="R370" s="18"/>
      <c r="S370" s="18"/>
      <c r="T370" s="18"/>
      <c r="U370" s="18"/>
      <c r="V370" s="18"/>
      <c r="W370" s="18"/>
      <c r="X370" s="18"/>
      <c r="Y370" s="18"/>
      <c r="Z370" s="18"/>
    </row>
    <row r="371" ht="22.5" customHeight="1">
      <c r="A371" s="236">
        <v>46069.0</v>
      </c>
      <c r="B371" s="218" t="s">
        <v>4736</v>
      </c>
      <c r="C371" s="9"/>
      <c r="D371" s="228" t="s">
        <v>3265</v>
      </c>
      <c r="E371" s="230">
        <v>9.032624865E9</v>
      </c>
      <c r="F371" s="221" t="s">
        <v>241</v>
      </c>
      <c r="G371" s="9" t="s">
        <v>4737</v>
      </c>
      <c r="H371" s="234">
        <v>46069.0</v>
      </c>
      <c r="I371" s="232">
        <v>0.6458333333333334</v>
      </c>
      <c r="J371" s="18"/>
      <c r="K371" s="18"/>
      <c r="L371" s="18"/>
      <c r="M371" s="18"/>
      <c r="N371" s="18"/>
      <c r="O371" s="18"/>
      <c r="P371" s="18"/>
      <c r="Q371" s="18"/>
      <c r="R371" s="18"/>
      <c r="S371" s="18"/>
      <c r="T371" s="18"/>
      <c r="U371" s="18"/>
      <c r="V371" s="18"/>
      <c r="W371" s="18"/>
      <c r="X371" s="18"/>
      <c r="Y371" s="18"/>
      <c r="Z371" s="18"/>
    </row>
    <row r="372" ht="22.5" customHeight="1">
      <c r="A372" s="236">
        <v>46069.0</v>
      </c>
      <c r="B372" s="218" t="s">
        <v>4738</v>
      </c>
      <c r="C372" s="9"/>
      <c r="D372" s="228" t="s">
        <v>4601</v>
      </c>
      <c r="E372" s="230">
        <v>9.5535255E9</v>
      </c>
      <c r="F372" s="221" t="s">
        <v>248</v>
      </c>
      <c r="G372" s="9" t="s">
        <v>4739</v>
      </c>
      <c r="H372" s="234"/>
      <c r="I372" s="232"/>
      <c r="J372" s="18"/>
      <c r="K372" s="18"/>
      <c r="L372" s="18"/>
      <c r="M372" s="18"/>
      <c r="N372" s="18"/>
      <c r="O372" s="18"/>
      <c r="P372" s="18"/>
      <c r="Q372" s="18"/>
      <c r="R372" s="18"/>
      <c r="S372" s="18"/>
      <c r="T372" s="18"/>
      <c r="U372" s="18"/>
      <c r="V372" s="18"/>
      <c r="W372" s="18"/>
      <c r="X372" s="18"/>
      <c r="Y372" s="18"/>
      <c r="Z372" s="18"/>
    </row>
    <row r="373" ht="22.5" customHeight="1">
      <c r="A373" s="236">
        <v>46069.0</v>
      </c>
      <c r="B373" s="218" t="s">
        <v>4740</v>
      </c>
      <c r="C373" s="9"/>
      <c r="D373" s="228"/>
      <c r="E373" s="230"/>
      <c r="F373" s="221" t="s">
        <v>60</v>
      </c>
      <c r="G373" s="9" t="s">
        <v>4741</v>
      </c>
      <c r="H373" s="234"/>
      <c r="I373" s="232"/>
      <c r="J373" s="18"/>
      <c r="K373" s="18"/>
      <c r="L373" s="18"/>
      <c r="M373" s="18"/>
      <c r="N373" s="18"/>
      <c r="O373" s="18"/>
      <c r="P373" s="18"/>
      <c r="Q373" s="18"/>
      <c r="R373" s="18"/>
      <c r="S373" s="18"/>
      <c r="T373" s="18"/>
      <c r="U373" s="18"/>
      <c r="V373" s="18"/>
      <c r="W373" s="18"/>
      <c r="X373" s="18"/>
      <c r="Y373" s="18"/>
      <c r="Z373" s="18"/>
    </row>
    <row r="374" ht="22.5" customHeight="1">
      <c r="A374" s="236">
        <v>46069.0</v>
      </c>
      <c r="B374" s="218" t="s">
        <v>4742</v>
      </c>
      <c r="C374" s="9" t="s">
        <v>2949</v>
      </c>
      <c r="D374" s="228" t="s">
        <v>4743</v>
      </c>
      <c r="E374" s="230">
        <v>9.000266581E9</v>
      </c>
      <c r="F374" s="221" t="s">
        <v>3853</v>
      </c>
      <c r="G374" s="9" t="s">
        <v>4744</v>
      </c>
      <c r="H374" s="234">
        <v>46070.0</v>
      </c>
      <c r="I374" s="232">
        <v>0.4166666666666667</v>
      </c>
      <c r="J374" s="18"/>
      <c r="K374" s="18"/>
      <c r="L374" s="18"/>
      <c r="M374" s="18"/>
      <c r="N374" s="18"/>
      <c r="O374" s="18"/>
      <c r="P374" s="18"/>
      <c r="Q374" s="18"/>
      <c r="R374" s="18"/>
      <c r="S374" s="18"/>
      <c r="T374" s="18"/>
      <c r="U374" s="18"/>
      <c r="V374" s="18"/>
      <c r="W374" s="18"/>
      <c r="X374" s="18"/>
      <c r="Y374" s="18"/>
      <c r="Z374" s="18"/>
    </row>
    <row r="375" ht="22.5" customHeight="1">
      <c r="A375" s="236">
        <v>46069.0</v>
      </c>
      <c r="B375" s="218" t="s">
        <v>4745</v>
      </c>
      <c r="C375" s="9" t="s">
        <v>4729</v>
      </c>
      <c r="D375" s="228" t="s">
        <v>4746</v>
      </c>
      <c r="E375" s="230">
        <v>9.849882217E9</v>
      </c>
      <c r="F375" s="221" t="s">
        <v>4358</v>
      </c>
      <c r="G375" s="9" t="s">
        <v>4747</v>
      </c>
      <c r="H375" s="234"/>
      <c r="I375" s="232"/>
      <c r="J375" s="18"/>
      <c r="K375" s="18"/>
      <c r="L375" s="18"/>
      <c r="M375" s="18"/>
      <c r="N375" s="18"/>
      <c r="O375" s="18"/>
      <c r="P375" s="18"/>
      <c r="Q375" s="18"/>
      <c r="R375" s="18"/>
      <c r="S375" s="18"/>
      <c r="T375" s="18"/>
      <c r="U375" s="18"/>
      <c r="V375" s="18"/>
      <c r="W375" s="18"/>
      <c r="X375" s="18"/>
      <c r="Y375" s="18"/>
      <c r="Z375" s="18"/>
    </row>
    <row r="376" ht="22.5" customHeight="1">
      <c r="A376" s="236">
        <v>46069.0</v>
      </c>
      <c r="B376" s="218" t="s">
        <v>4748</v>
      </c>
      <c r="C376" s="9"/>
      <c r="D376" s="228"/>
      <c r="E376" s="230"/>
      <c r="F376" s="221" t="s">
        <v>186</v>
      </c>
      <c r="G376" s="9" t="s">
        <v>4053</v>
      </c>
      <c r="H376" s="234"/>
      <c r="I376" s="232"/>
      <c r="J376" s="18"/>
      <c r="K376" s="18"/>
      <c r="L376" s="18"/>
      <c r="M376" s="18"/>
      <c r="N376" s="18"/>
      <c r="O376" s="18"/>
      <c r="P376" s="18"/>
      <c r="Q376" s="18"/>
      <c r="R376" s="18"/>
      <c r="S376" s="18"/>
      <c r="T376" s="18"/>
      <c r="U376" s="18"/>
      <c r="V376" s="18"/>
      <c r="W376" s="18"/>
      <c r="X376" s="18"/>
      <c r="Y376" s="18"/>
      <c r="Z376" s="18"/>
    </row>
    <row r="377" ht="22.5" customHeight="1">
      <c r="A377" s="236">
        <v>46069.0</v>
      </c>
      <c r="B377" s="218" t="s">
        <v>4749</v>
      </c>
      <c r="C377" s="9"/>
      <c r="D377" s="228" t="s">
        <v>4750</v>
      </c>
      <c r="E377" s="230">
        <v>7.680947465E9</v>
      </c>
      <c r="F377" s="221" t="s">
        <v>241</v>
      </c>
      <c r="G377" s="9" t="s">
        <v>4751</v>
      </c>
      <c r="H377" s="234"/>
      <c r="I377" s="232"/>
      <c r="J377" s="18"/>
      <c r="K377" s="18"/>
      <c r="L377" s="18"/>
      <c r="M377" s="18"/>
      <c r="N377" s="18"/>
      <c r="O377" s="18"/>
      <c r="P377" s="18"/>
      <c r="Q377" s="18"/>
      <c r="R377" s="18"/>
      <c r="S377" s="18"/>
      <c r="T377" s="18"/>
      <c r="U377" s="18"/>
      <c r="V377" s="18"/>
      <c r="W377" s="18"/>
      <c r="X377" s="18"/>
      <c r="Y377" s="18"/>
      <c r="Z377" s="18"/>
    </row>
    <row r="378" ht="22.5" customHeight="1">
      <c r="A378" s="236">
        <v>46069.0</v>
      </c>
      <c r="B378" s="218" t="s">
        <v>4752</v>
      </c>
      <c r="C378" s="9"/>
      <c r="D378" s="228" t="s">
        <v>4753</v>
      </c>
      <c r="E378" s="230">
        <v>7.075376903E9</v>
      </c>
      <c r="F378" s="221" t="s">
        <v>241</v>
      </c>
      <c r="G378" s="9" t="s">
        <v>4754</v>
      </c>
      <c r="H378" s="234"/>
      <c r="I378" s="232"/>
      <c r="J378" s="18"/>
      <c r="K378" s="18"/>
      <c r="L378" s="18"/>
      <c r="M378" s="18"/>
      <c r="N378" s="18"/>
      <c r="O378" s="18"/>
      <c r="P378" s="18"/>
      <c r="Q378" s="18"/>
      <c r="R378" s="18"/>
      <c r="S378" s="18"/>
      <c r="T378" s="18"/>
      <c r="U378" s="18"/>
      <c r="V378" s="18"/>
      <c r="W378" s="18"/>
      <c r="X378" s="18"/>
      <c r="Y378" s="18"/>
      <c r="Z378" s="18"/>
    </row>
    <row r="379" ht="22.5" customHeight="1">
      <c r="A379" s="236">
        <v>46069.0</v>
      </c>
      <c r="B379" s="218" t="s">
        <v>4755</v>
      </c>
      <c r="C379" s="9"/>
      <c r="D379" s="228" t="s">
        <v>1736</v>
      </c>
      <c r="E379" s="230">
        <v>8.309163739E9</v>
      </c>
      <c r="F379" s="221" t="s">
        <v>241</v>
      </c>
      <c r="G379" s="9" t="s">
        <v>4756</v>
      </c>
      <c r="H379" s="234"/>
      <c r="I379" s="232"/>
      <c r="J379" s="18"/>
      <c r="K379" s="18"/>
      <c r="L379" s="18"/>
      <c r="M379" s="18"/>
      <c r="N379" s="18"/>
      <c r="O379" s="18"/>
      <c r="P379" s="18"/>
      <c r="Q379" s="18"/>
      <c r="R379" s="18"/>
      <c r="S379" s="18"/>
      <c r="T379" s="18"/>
      <c r="U379" s="18"/>
      <c r="V379" s="18"/>
      <c r="W379" s="18"/>
      <c r="X379" s="18"/>
      <c r="Y379" s="18"/>
      <c r="Z379" s="18"/>
    </row>
    <row r="380" ht="22.5" customHeight="1">
      <c r="A380" s="236">
        <v>46069.0</v>
      </c>
      <c r="B380" s="218" t="s">
        <v>4757</v>
      </c>
      <c r="C380" s="9"/>
      <c r="D380" s="228" t="s">
        <v>4758</v>
      </c>
      <c r="E380" s="230">
        <v>9.100002909E9</v>
      </c>
      <c r="F380" s="221" t="s">
        <v>73</v>
      </c>
      <c r="G380" s="9" t="s">
        <v>4759</v>
      </c>
      <c r="H380" s="234"/>
      <c r="I380" s="232"/>
      <c r="J380" s="18"/>
      <c r="K380" s="18"/>
      <c r="L380" s="18"/>
      <c r="M380" s="18"/>
      <c r="N380" s="18"/>
      <c r="O380" s="18"/>
      <c r="P380" s="18"/>
      <c r="Q380" s="18"/>
      <c r="R380" s="18"/>
      <c r="S380" s="18"/>
      <c r="T380" s="18"/>
      <c r="U380" s="18"/>
      <c r="V380" s="18"/>
      <c r="W380" s="18"/>
      <c r="X380" s="18"/>
      <c r="Y380" s="18"/>
      <c r="Z380" s="18"/>
    </row>
    <row r="381" ht="22.5" customHeight="1">
      <c r="A381" s="236">
        <v>46069.0</v>
      </c>
      <c r="B381" s="218" t="s">
        <v>4760</v>
      </c>
      <c r="C381" s="9"/>
      <c r="D381" s="228" t="s">
        <v>4761</v>
      </c>
      <c r="E381" s="230">
        <v>9.3938748E9</v>
      </c>
      <c r="F381" s="221" t="s">
        <v>248</v>
      </c>
      <c r="G381" s="9" t="s">
        <v>4762</v>
      </c>
      <c r="H381" s="234">
        <v>46070.0</v>
      </c>
      <c r="I381" s="232">
        <v>0.4375</v>
      </c>
      <c r="J381" s="18"/>
      <c r="K381" s="18"/>
      <c r="L381" s="18"/>
      <c r="M381" s="18"/>
      <c r="N381" s="18"/>
      <c r="O381" s="18"/>
      <c r="P381" s="18"/>
      <c r="Q381" s="18"/>
      <c r="R381" s="18"/>
      <c r="S381" s="18"/>
      <c r="T381" s="18"/>
      <c r="U381" s="18"/>
      <c r="V381" s="18"/>
      <c r="W381" s="18"/>
      <c r="X381" s="18"/>
      <c r="Y381" s="18"/>
      <c r="Z381" s="18"/>
    </row>
    <row r="382" ht="22.5" customHeight="1">
      <c r="A382" s="236">
        <v>46069.0</v>
      </c>
      <c r="B382" s="218" t="s">
        <v>4763</v>
      </c>
      <c r="C382" s="9"/>
      <c r="D382" s="228" t="s">
        <v>4764</v>
      </c>
      <c r="E382" s="230"/>
      <c r="F382" s="221" t="s">
        <v>96</v>
      </c>
      <c r="G382" s="9" t="s">
        <v>4765</v>
      </c>
      <c r="H382" s="234">
        <v>46069.0</v>
      </c>
      <c r="I382" s="232">
        <v>0.7083333333333334</v>
      </c>
      <c r="J382" s="18"/>
      <c r="K382" s="18"/>
      <c r="L382" s="18"/>
      <c r="M382" s="18"/>
      <c r="N382" s="18"/>
      <c r="O382" s="18"/>
      <c r="P382" s="18"/>
      <c r="Q382" s="18"/>
      <c r="R382" s="18"/>
      <c r="S382" s="18"/>
      <c r="T382" s="18"/>
      <c r="U382" s="18"/>
      <c r="V382" s="18"/>
      <c r="W382" s="18"/>
      <c r="X382" s="18"/>
      <c r="Y382" s="18"/>
      <c r="Z382" s="18"/>
    </row>
    <row r="383" ht="22.5" customHeight="1">
      <c r="A383" s="236">
        <v>46069.0</v>
      </c>
      <c r="B383" s="218" t="s">
        <v>4766</v>
      </c>
      <c r="C383" s="9" t="s">
        <v>4767</v>
      </c>
      <c r="D383" s="228" t="s">
        <v>4768</v>
      </c>
      <c r="E383" s="230">
        <v>7.848873441E9</v>
      </c>
      <c r="F383" s="221" t="s">
        <v>4358</v>
      </c>
      <c r="G383" s="9" t="s">
        <v>4769</v>
      </c>
      <c r="H383" s="234"/>
      <c r="I383" s="232"/>
      <c r="J383" s="18"/>
      <c r="K383" s="18"/>
      <c r="L383" s="18"/>
      <c r="M383" s="18"/>
      <c r="N383" s="18"/>
      <c r="O383" s="18"/>
      <c r="P383" s="18"/>
      <c r="Q383" s="18"/>
      <c r="R383" s="18"/>
      <c r="S383" s="18"/>
      <c r="T383" s="18"/>
      <c r="U383" s="18"/>
      <c r="V383" s="18"/>
      <c r="W383" s="18"/>
      <c r="X383" s="18"/>
      <c r="Y383" s="18"/>
      <c r="Z383" s="18"/>
    </row>
    <row r="384" ht="22.5" customHeight="1">
      <c r="A384" s="236">
        <v>46069.0</v>
      </c>
      <c r="B384" s="218" t="s">
        <v>4770</v>
      </c>
      <c r="C384" s="9"/>
      <c r="D384" s="228"/>
      <c r="E384" s="230">
        <v>9.583459143E9</v>
      </c>
      <c r="F384" s="221" t="s">
        <v>45</v>
      </c>
      <c r="G384" s="9" t="s">
        <v>4771</v>
      </c>
      <c r="H384" s="234">
        <v>46070.0</v>
      </c>
      <c r="I384" s="232"/>
      <c r="J384" s="18"/>
      <c r="K384" s="18"/>
      <c r="L384" s="18"/>
      <c r="M384" s="18"/>
      <c r="N384" s="18"/>
      <c r="O384" s="18"/>
      <c r="P384" s="18"/>
      <c r="Q384" s="18"/>
      <c r="R384" s="18"/>
      <c r="S384" s="18"/>
      <c r="T384" s="18"/>
      <c r="U384" s="18"/>
      <c r="V384" s="18"/>
      <c r="W384" s="18"/>
      <c r="X384" s="18"/>
      <c r="Y384" s="18"/>
      <c r="Z384" s="18"/>
    </row>
    <row r="385" ht="22.5" customHeight="1">
      <c r="A385" s="236">
        <v>46069.0</v>
      </c>
      <c r="B385" s="218" t="s">
        <v>4772</v>
      </c>
      <c r="C385" s="9"/>
      <c r="D385" s="228"/>
      <c r="E385" s="230">
        <v>9.552323334E9</v>
      </c>
      <c r="F385" s="221" t="s">
        <v>241</v>
      </c>
      <c r="G385" s="9" t="s">
        <v>4773</v>
      </c>
      <c r="H385" s="234">
        <v>46076.0</v>
      </c>
      <c r="I385" s="232"/>
      <c r="J385" s="18"/>
      <c r="K385" s="18"/>
      <c r="L385" s="18"/>
      <c r="M385" s="18"/>
      <c r="N385" s="18"/>
      <c r="O385" s="18"/>
      <c r="P385" s="18"/>
      <c r="Q385" s="18"/>
      <c r="R385" s="18"/>
      <c r="S385" s="18"/>
      <c r="T385" s="18"/>
      <c r="U385" s="18"/>
      <c r="V385" s="18"/>
      <c r="W385" s="18"/>
      <c r="X385" s="18"/>
      <c r="Y385" s="18"/>
      <c r="Z385" s="18"/>
    </row>
    <row r="386" ht="22.5" customHeight="1">
      <c r="A386" s="236">
        <v>46069.0</v>
      </c>
      <c r="B386" s="218" t="s">
        <v>4774</v>
      </c>
      <c r="C386" s="9"/>
      <c r="D386" s="228"/>
      <c r="E386" s="230">
        <v>9.182628576E9</v>
      </c>
      <c r="F386" s="221" t="s">
        <v>241</v>
      </c>
      <c r="G386" s="9" t="s">
        <v>4775</v>
      </c>
      <c r="H386" s="234"/>
      <c r="I386" s="232"/>
      <c r="J386" s="18"/>
      <c r="K386" s="18"/>
      <c r="L386" s="18"/>
      <c r="M386" s="18"/>
      <c r="N386" s="18"/>
      <c r="O386" s="18"/>
      <c r="P386" s="18"/>
      <c r="Q386" s="18"/>
      <c r="R386" s="18"/>
      <c r="S386" s="18"/>
      <c r="T386" s="18"/>
      <c r="U386" s="18"/>
      <c r="V386" s="18"/>
      <c r="W386" s="18"/>
      <c r="X386" s="18"/>
      <c r="Y386" s="18"/>
      <c r="Z386" s="18"/>
    </row>
    <row r="387" ht="22.5" customHeight="1">
      <c r="A387" s="236">
        <v>46069.0</v>
      </c>
      <c r="B387" s="218" t="s">
        <v>4776</v>
      </c>
      <c r="C387" s="9" t="s">
        <v>4767</v>
      </c>
      <c r="D387" s="228" t="s">
        <v>4777</v>
      </c>
      <c r="E387" s="230">
        <v>8.247534864E9</v>
      </c>
      <c r="F387" s="221" t="s">
        <v>4358</v>
      </c>
      <c r="G387" s="9" t="s">
        <v>4778</v>
      </c>
      <c r="H387" s="234"/>
      <c r="I387" s="232"/>
      <c r="J387" s="18"/>
      <c r="K387" s="18"/>
      <c r="L387" s="18"/>
      <c r="M387" s="18"/>
      <c r="N387" s="18"/>
      <c r="O387" s="18"/>
      <c r="P387" s="18"/>
      <c r="Q387" s="18"/>
      <c r="R387" s="18"/>
      <c r="S387" s="18"/>
      <c r="T387" s="18"/>
      <c r="U387" s="18"/>
      <c r="V387" s="18"/>
      <c r="W387" s="18"/>
      <c r="X387" s="18"/>
      <c r="Y387" s="18"/>
      <c r="Z387" s="18"/>
    </row>
    <row r="388" ht="22.5" customHeight="1">
      <c r="A388" s="236">
        <v>46069.0</v>
      </c>
      <c r="B388" s="218" t="s">
        <v>4779</v>
      </c>
      <c r="C388" s="9"/>
      <c r="D388" s="228" t="s">
        <v>4780</v>
      </c>
      <c r="E388" s="230">
        <v>7.98180905E9</v>
      </c>
      <c r="F388" s="221" t="s">
        <v>144</v>
      </c>
      <c r="G388" s="9" t="s">
        <v>4781</v>
      </c>
      <c r="H388" s="234"/>
      <c r="I388" s="232"/>
      <c r="J388" s="18"/>
      <c r="K388" s="18"/>
      <c r="L388" s="18"/>
      <c r="M388" s="18"/>
      <c r="N388" s="18"/>
      <c r="O388" s="18"/>
      <c r="P388" s="18"/>
      <c r="Q388" s="18"/>
      <c r="R388" s="18"/>
      <c r="S388" s="18"/>
      <c r="T388" s="18"/>
      <c r="U388" s="18"/>
      <c r="V388" s="18"/>
      <c r="W388" s="18"/>
      <c r="X388" s="18"/>
      <c r="Y388" s="18"/>
      <c r="Z388" s="18"/>
    </row>
    <row r="389" ht="22.5" customHeight="1">
      <c r="A389" s="236">
        <v>46069.0</v>
      </c>
      <c r="B389" s="218" t="s">
        <v>4782</v>
      </c>
      <c r="C389" s="9"/>
      <c r="D389" s="228"/>
      <c r="E389" s="230"/>
      <c r="F389" s="221" t="s">
        <v>241</v>
      </c>
      <c r="G389" s="9" t="s">
        <v>4783</v>
      </c>
      <c r="H389" s="234"/>
      <c r="I389" s="232"/>
      <c r="J389" s="18"/>
      <c r="K389" s="18"/>
      <c r="L389" s="18"/>
      <c r="M389" s="18"/>
      <c r="N389" s="18"/>
      <c r="O389" s="18"/>
      <c r="P389" s="18"/>
      <c r="Q389" s="18"/>
      <c r="R389" s="18"/>
      <c r="S389" s="18"/>
      <c r="T389" s="18"/>
      <c r="U389" s="18"/>
      <c r="V389" s="18"/>
      <c r="W389" s="18"/>
      <c r="X389" s="18"/>
      <c r="Y389" s="18"/>
      <c r="Z389" s="18"/>
    </row>
    <row r="390" ht="22.5" customHeight="1">
      <c r="A390" s="236">
        <v>46069.0</v>
      </c>
      <c r="B390" s="218" t="s">
        <v>4784</v>
      </c>
      <c r="C390" s="9" t="s">
        <v>4767</v>
      </c>
      <c r="D390" s="228" t="s">
        <v>4785</v>
      </c>
      <c r="E390" s="230">
        <v>9.246878121E9</v>
      </c>
      <c r="F390" s="221" t="s">
        <v>4358</v>
      </c>
      <c r="G390" s="9" t="s">
        <v>4786</v>
      </c>
      <c r="H390" s="234">
        <v>46070.0</v>
      </c>
      <c r="I390" s="232">
        <v>0.5</v>
      </c>
      <c r="J390" s="18"/>
      <c r="K390" s="18"/>
      <c r="L390" s="18"/>
      <c r="M390" s="18"/>
      <c r="N390" s="18"/>
      <c r="O390" s="18"/>
      <c r="P390" s="18"/>
      <c r="Q390" s="18"/>
      <c r="R390" s="18"/>
      <c r="S390" s="18"/>
      <c r="T390" s="18"/>
      <c r="U390" s="18"/>
      <c r="V390" s="18"/>
      <c r="W390" s="18"/>
      <c r="X390" s="18"/>
      <c r="Y390" s="18"/>
      <c r="Z390" s="18"/>
    </row>
    <row r="391" ht="22.5" customHeight="1">
      <c r="A391" s="236">
        <v>46069.0</v>
      </c>
      <c r="B391" s="218" t="s">
        <v>4787</v>
      </c>
      <c r="C391" s="9"/>
      <c r="D391" s="228" t="s">
        <v>4263</v>
      </c>
      <c r="E391" s="230">
        <v>8.790606524E9</v>
      </c>
      <c r="F391" s="221" t="s">
        <v>73</v>
      </c>
      <c r="G391" s="9" t="s">
        <v>4788</v>
      </c>
      <c r="H391" s="234">
        <v>46069.0</v>
      </c>
      <c r="I391" s="232">
        <v>0.625</v>
      </c>
      <c r="J391" s="18"/>
      <c r="K391" s="18"/>
      <c r="L391" s="18"/>
      <c r="M391" s="18"/>
      <c r="N391" s="18"/>
      <c r="O391" s="18"/>
      <c r="P391" s="18"/>
      <c r="Q391" s="18"/>
      <c r="R391" s="18"/>
      <c r="S391" s="18"/>
      <c r="T391" s="18"/>
      <c r="U391" s="18"/>
      <c r="V391" s="18"/>
      <c r="W391" s="18"/>
      <c r="X391" s="18"/>
      <c r="Y391" s="18"/>
      <c r="Z391" s="18"/>
    </row>
    <row r="392" ht="22.5" customHeight="1">
      <c r="A392" s="236">
        <v>46069.0</v>
      </c>
      <c r="B392" s="218" t="s">
        <v>4789</v>
      </c>
      <c r="C392" s="9"/>
      <c r="D392" s="228"/>
      <c r="E392" s="230"/>
      <c r="F392" s="221" t="s">
        <v>4790</v>
      </c>
      <c r="G392" s="9" t="s">
        <v>4791</v>
      </c>
      <c r="H392" s="234"/>
      <c r="I392" s="232"/>
      <c r="J392" s="18"/>
      <c r="K392" s="18"/>
      <c r="L392" s="18"/>
      <c r="M392" s="18"/>
      <c r="N392" s="18"/>
      <c r="O392" s="18"/>
      <c r="P392" s="18"/>
      <c r="Q392" s="18"/>
      <c r="R392" s="18"/>
      <c r="S392" s="18"/>
      <c r="T392" s="18"/>
      <c r="U392" s="18"/>
      <c r="V392" s="18"/>
      <c r="W392" s="18"/>
      <c r="X392" s="18"/>
      <c r="Y392" s="18"/>
      <c r="Z392" s="18"/>
    </row>
    <row r="393" ht="22.5" customHeight="1">
      <c r="A393" s="236">
        <v>46069.0</v>
      </c>
      <c r="B393" s="218" t="s">
        <v>4792</v>
      </c>
      <c r="C393" s="9" t="s">
        <v>2949</v>
      </c>
      <c r="D393" s="228" t="s">
        <v>3118</v>
      </c>
      <c r="E393" s="230">
        <v>9.618084946E9</v>
      </c>
      <c r="F393" s="221" t="s">
        <v>3853</v>
      </c>
      <c r="G393" s="9" t="s">
        <v>4793</v>
      </c>
      <c r="H393" s="234">
        <v>46070.0</v>
      </c>
      <c r="I393" s="232">
        <v>0.5416666666666666</v>
      </c>
      <c r="J393" s="18"/>
      <c r="K393" s="18"/>
      <c r="L393" s="18"/>
      <c r="M393" s="18"/>
      <c r="N393" s="18"/>
      <c r="O393" s="18"/>
      <c r="P393" s="18"/>
      <c r="Q393" s="18"/>
      <c r="R393" s="18"/>
      <c r="S393" s="18"/>
      <c r="T393" s="18"/>
      <c r="U393" s="18"/>
      <c r="V393" s="18"/>
      <c r="W393" s="18"/>
      <c r="X393" s="18"/>
      <c r="Y393" s="18"/>
      <c r="Z393" s="18"/>
    </row>
    <row r="394" ht="22.5" customHeight="1">
      <c r="A394" s="236">
        <v>46069.0</v>
      </c>
      <c r="B394" s="218" t="s">
        <v>4794</v>
      </c>
      <c r="C394" s="9"/>
      <c r="D394" s="228" t="s">
        <v>4795</v>
      </c>
      <c r="E394" s="230">
        <v>6.300718621E9</v>
      </c>
      <c r="F394" s="221" t="s">
        <v>73</v>
      </c>
      <c r="G394" s="9" t="s">
        <v>4796</v>
      </c>
      <c r="H394" s="234">
        <v>46070.0</v>
      </c>
      <c r="I394" s="232">
        <v>0.5833333333333334</v>
      </c>
      <c r="J394" s="18"/>
      <c r="K394" s="18"/>
      <c r="L394" s="18"/>
      <c r="M394" s="18"/>
      <c r="N394" s="18"/>
      <c r="O394" s="18"/>
      <c r="P394" s="18"/>
      <c r="Q394" s="18"/>
      <c r="R394" s="18"/>
      <c r="S394" s="18"/>
      <c r="T394" s="18"/>
      <c r="U394" s="18"/>
      <c r="V394" s="18"/>
      <c r="W394" s="18"/>
      <c r="X394" s="18"/>
      <c r="Y394" s="18"/>
      <c r="Z394" s="18"/>
    </row>
    <row r="395" ht="22.5" customHeight="1">
      <c r="A395" s="236">
        <v>46069.0</v>
      </c>
      <c r="B395" s="218" t="s">
        <v>4797</v>
      </c>
      <c r="C395" s="9"/>
      <c r="D395" s="228" t="s">
        <v>4798</v>
      </c>
      <c r="E395" s="230">
        <v>9.393132929E9</v>
      </c>
      <c r="F395" s="221" t="s">
        <v>248</v>
      </c>
      <c r="G395" s="9" t="s">
        <v>4799</v>
      </c>
      <c r="H395" s="234"/>
      <c r="I395" s="232"/>
      <c r="J395" s="18"/>
      <c r="K395" s="18"/>
      <c r="L395" s="18"/>
      <c r="M395" s="18"/>
      <c r="N395" s="18"/>
      <c r="O395" s="18"/>
      <c r="P395" s="18"/>
      <c r="Q395" s="18"/>
      <c r="R395" s="18"/>
      <c r="S395" s="18"/>
      <c r="T395" s="18"/>
      <c r="U395" s="18"/>
      <c r="V395" s="18"/>
      <c r="W395" s="18"/>
      <c r="X395" s="18"/>
      <c r="Y395" s="18"/>
      <c r="Z395" s="18"/>
    </row>
    <row r="396" ht="22.5" customHeight="1">
      <c r="A396" s="236">
        <v>46069.0</v>
      </c>
      <c r="B396" s="218" t="s">
        <v>4800</v>
      </c>
      <c r="C396" s="9"/>
      <c r="D396" s="228" t="s">
        <v>4801</v>
      </c>
      <c r="E396" s="230">
        <v>8.897351867E9</v>
      </c>
      <c r="F396" s="221" t="s">
        <v>73</v>
      </c>
      <c r="G396" s="9" t="s">
        <v>4717</v>
      </c>
      <c r="H396" s="234"/>
      <c r="I396" s="232"/>
      <c r="J396" s="18"/>
      <c r="K396" s="18"/>
      <c r="L396" s="18"/>
      <c r="M396" s="18"/>
      <c r="N396" s="18"/>
      <c r="O396" s="18"/>
      <c r="P396" s="18"/>
      <c r="Q396" s="18"/>
      <c r="R396" s="18"/>
      <c r="S396" s="18"/>
      <c r="T396" s="18"/>
      <c r="U396" s="18"/>
      <c r="V396" s="18"/>
      <c r="W396" s="18"/>
      <c r="X396" s="18"/>
      <c r="Y396" s="18"/>
      <c r="Z396" s="18"/>
    </row>
    <row r="397" ht="22.5" customHeight="1">
      <c r="A397" s="236">
        <v>46069.0</v>
      </c>
      <c r="B397" s="218" t="s">
        <v>4802</v>
      </c>
      <c r="C397" s="9"/>
      <c r="D397" s="228" t="s">
        <v>4803</v>
      </c>
      <c r="E397" s="230"/>
      <c r="F397" s="221" t="s">
        <v>248</v>
      </c>
      <c r="G397" s="9" t="s">
        <v>4804</v>
      </c>
      <c r="H397" s="234">
        <v>46069.0</v>
      </c>
      <c r="I397" s="232">
        <v>0.6666666666666666</v>
      </c>
      <c r="J397" s="18"/>
      <c r="K397" s="18"/>
      <c r="L397" s="18"/>
      <c r="M397" s="18"/>
      <c r="N397" s="18"/>
      <c r="O397" s="18"/>
      <c r="P397" s="18"/>
      <c r="Q397" s="18"/>
      <c r="R397" s="18"/>
      <c r="S397" s="18"/>
      <c r="T397" s="18"/>
      <c r="U397" s="18"/>
      <c r="V397" s="18"/>
      <c r="W397" s="18"/>
      <c r="X397" s="18"/>
      <c r="Y397" s="18"/>
      <c r="Z397" s="18"/>
    </row>
    <row r="398" ht="22.5" customHeight="1">
      <c r="A398" s="236">
        <v>46069.0</v>
      </c>
      <c r="B398" s="218" t="s">
        <v>4805</v>
      </c>
      <c r="C398" s="9"/>
      <c r="D398" s="228"/>
      <c r="E398" s="230"/>
      <c r="F398" s="221" t="s">
        <v>4790</v>
      </c>
      <c r="G398" s="9" t="s">
        <v>4806</v>
      </c>
      <c r="H398" s="234"/>
      <c r="I398" s="232"/>
      <c r="J398" s="18"/>
      <c r="K398" s="18"/>
      <c r="L398" s="18"/>
      <c r="M398" s="18"/>
      <c r="N398" s="18"/>
      <c r="O398" s="18"/>
      <c r="P398" s="18"/>
      <c r="Q398" s="18"/>
      <c r="R398" s="18"/>
      <c r="S398" s="18"/>
      <c r="T398" s="18"/>
      <c r="U398" s="18"/>
      <c r="V398" s="18"/>
      <c r="W398" s="18"/>
      <c r="X398" s="18"/>
      <c r="Y398" s="18"/>
      <c r="Z398" s="18"/>
    </row>
    <row r="399" ht="22.5" customHeight="1">
      <c r="A399" s="236">
        <v>46069.0</v>
      </c>
      <c r="B399" s="218" t="s">
        <v>4807</v>
      </c>
      <c r="C399" s="9" t="s">
        <v>4808</v>
      </c>
      <c r="D399" s="228" t="s">
        <v>4809</v>
      </c>
      <c r="E399" s="230"/>
      <c r="F399" s="221" t="s">
        <v>4358</v>
      </c>
      <c r="G399" s="9" t="s">
        <v>4810</v>
      </c>
      <c r="H399" s="234"/>
      <c r="I399" s="232"/>
      <c r="J399" s="18"/>
      <c r="K399" s="18"/>
      <c r="L399" s="18"/>
      <c r="M399" s="18"/>
      <c r="N399" s="18"/>
      <c r="O399" s="18"/>
      <c r="P399" s="18"/>
      <c r="Q399" s="18"/>
      <c r="R399" s="18"/>
      <c r="S399" s="18"/>
      <c r="T399" s="18"/>
      <c r="U399" s="18"/>
      <c r="V399" s="18"/>
      <c r="W399" s="18"/>
      <c r="X399" s="18"/>
      <c r="Y399" s="18"/>
      <c r="Z399" s="18"/>
    </row>
    <row r="400" ht="22.5" customHeight="1">
      <c r="A400" s="236">
        <v>46069.0</v>
      </c>
      <c r="B400" s="218" t="s">
        <v>4811</v>
      </c>
      <c r="C400" s="9"/>
      <c r="D400" s="228" t="s">
        <v>4812</v>
      </c>
      <c r="E400" s="230"/>
      <c r="F400" s="221" t="s">
        <v>241</v>
      </c>
      <c r="G400" s="9" t="s">
        <v>4813</v>
      </c>
      <c r="H400" s="234">
        <v>46069.0</v>
      </c>
      <c r="I400" s="232">
        <v>0.625</v>
      </c>
      <c r="J400" s="18"/>
      <c r="K400" s="18"/>
      <c r="L400" s="18"/>
      <c r="M400" s="18"/>
      <c r="N400" s="18"/>
      <c r="O400" s="18"/>
      <c r="P400" s="18"/>
      <c r="Q400" s="18"/>
      <c r="R400" s="18"/>
      <c r="S400" s="18"/>
      <c r="T400" s="18"/>
      <c r="U400" s="18"/>
      <c r="V400" s="18"/>
      <c r="W400" s="18"/>
      <c r="X400" s="18"/>
      <c r="Y400" s="18"/>
      <c r="Z400" s="18"/>
    </row>
    <row r="401" ht="22.5" customHeight="1">
      <c r="A401" s="236">
        <v>46069.0</v>
      </c>
      <c r="B401" s="218" t="s">
        <v>4814</v>
      </c>
      <c r="C401" s="9"/>
      <c r="D401" s="228" t="s">
        <v>4815</v>
      </c>
      <c r="E401" s="230">
        <v>8.008745888E9</v>
      </c>
      <c r="F401" s="221" t="s">
        <v>45</v>
      </c>
      <c r="G401" s="9" t="s">
        <v>4816</v>
      </c>
      <c r="H401" s="234"/>
      <c r="I401" s="232"/>
      <c r="J401" s="18"/>
      <c r="K401" s="18"/>
      <c r="L401" s="18"/>
      <c r="M401" s="18"/>
      <c r="N401" s="18"/>
      <c r="O401" s="18"/>
      <c r="P401" s="18"/>
      <c r="Q401" s="18"/>
      <c r="R401" s="18"/>
      <c r="S401" s="18"/>
      <c r="T401" s="18"/>
      <c r="U401" s="18"/>
      <c r="V401" s="18"/>
      <c r="W401" s="18"/>
      <c r="X401" s="18"/>
      <c r="Y401" s="18"/>
      <c r="Z401" s="18"/>
    </row>
    <row r="402" ht="22.5" customHeight="1">
      <c r="A402" s="236">
        <v>46069.0</v>
      </c>
      <c r="B402" s="218" t="s">
        <v>4817</v>
      </c>
      <c r="C402" s="9"/>
      <c r="D402" s="228" t="s">
        <v>4818</v>
      </c>
      <c r="E402" s="230">
        <v>9.640290237E9</v>
      </c>
      <c r="F402" s="221" t="s">
        <v>241</v>
      </c>
      <c r="G402" s="9" t="s">
        <v>4819</v>
      </c>
      <c r="H402" s="234"/>
      <c r="I402" s="232"/>
      <c r="J402" s="18"/>
      <c r="K402" s="18"/>
      <c r="L402" s="18"/>
      <c r="M402" s="18"/>
      <c r="N402" s="18"/>
      <c r="O402" s="18"/>
      <c r="P402" s="18"/>
      <c r="Q402" s="18"/>
      <c r="R402" s="18"/>
      <c r="S402" s="18"/>
      <c r="T402" s="18"/>
      <c r="U402" s="18"/>
      <c r="V402" s="18"/>
      <c r="W402" s="18"/>
      <c r="X402" s="18"/>
      <c r="Y402" s="18"/>
      <c r="Z402" s="18"/>
    </row>
    <row r="403" ht="22.5" customHeight="1">
      <c r="A403" s="236">
        <v>46069.0</v>
      </c>
      <c r="B403" s="218" t="s">
        <v>4820</v>
      </c>
      <c r="C403" s="9"/>
      <c r="D403" s="228"/>
      <c r="E403" s="230"/>
      <c r="F403" s="221" t="s">
        <v>60</v>
      </c>
      <c r="G403" s="9" t="s">
        <v>4821</v>
      </c>
      <c r="H403" s="234"/>
      <c r="I403" s="232"/>
      <c r="J403" s="18"/>
      <c r="K403" s="18"/>
      <c r="L403" s="18"/>
      <c r="M403" s="18"/>
      <c r="N403" s="18"/>
      <c r="O403" s="18"/>
      <c r="P403" s="18"/>
      <c r="Q403" s="18"/>
      <c r="R403" s="18"/>
      <c r="S403" s="18"/>
      <c r="T403" s="18"/>
      <c r="U403" s="18"/>
      <c r="V403" s="18"/>
      <c r="W403" s="18"/>
      <c r="X403" s="18"/>
      <c r="Y403" s="18"/>
      <c r="Z403" s="18"/>
    </row>
    <row r="404" ht="22.5" customHeight="1">
      <c r="A404" s="236">
        <v>46069.0</v>
      </c>
      <c r="B404" s="218" t="s">
        <v>4822</v>
      </c>
      <c r="C404" s="9"/>
      <c r="D404" s="228" t="s">
        <v>4823</v>
      </c>
      <c r="E404" s="230">
        <v>9.84900012E9</v>
      </c>
      <c r="F404" s="221" t="s">
        <v>241</v>
      </c>
      <c r="G404" s="9" t="s">
        <v>4824</v>
      </c>
      <c r="H404" s="234"/>
      <c r="I404" s="232"/>
      <c r="J404" s="18"/>
      <c r="K404" s="18"/>
      <c r="L404" s="18"/>
      <c r="M404" s="18"/>
      <c r="N404" s="18"/>
      <c r="O404" s="18"/>
      <c r="P404" s="18"/>
      <c r="Q404" s="18"/>
      <c r="R404" s="18"/>
      <c r="S404" s="18"/>
      <c r="T404" s="18"/>
      <c r="U404" s="18"/>
      <c r="V404" s="18"/>
      <c r="W404" s="18"/>
      <c r="X404" s="18"/>
      <c r="Y404" s="18"/>
      <c r="Z404" s="18"/>
    </row>
    <row r="405" ht="22.5" customHeight="1">
      <c r="A405" s="236">
        <v>46069.0</v>
      </c>
      <c r="B405" s="218" t="s">
        <v>4825</v>
      </c>
      <c r="C405" s="9" t="s">
        <v>4826</v>
      </c>
      <c r="D405" s="228" t="s">
        <v>4827</v>
      </c>
      <c r="E405" s="230">
        <v>9.182769806E9</v>
      </c>
      <c r="F405" s="221" t="s">
        <v>4358</v>
      </c>
      <c r="G405" s="9" t="s">
        <v>4828</v>
      </c>
      <c r="H405" s="234">
        <v>46069.0</v>
      </c>
      <c r="I405" s="232">
        <v>0.625</v>
      </c>
      <c r="J405" s="18"/>
      <c r="K405" s="18"/>
      <c r="L405" s="18"/>
      <c r="M405" s="18"/>
      <c r="N405" s="18"/>
      <c r="O405" s="18"/>
      <c r="P405" s="18"/>
      <c r="Q405" s="18"/>
      <c r="R405" s="18"/>
      <c r="S405" s="18"/>
      <c r="T405" s="18"/>
      <c r="U405" s="18"/>
      <c r="V405" s="18"/>
      <c r="W405" s="18"/>
      <c r="X405" s="18"/>
      <c r="Y405" s="18"/>
      <c r="Z405" s="18"/>
    </row>
    <row r="406" ht="22.5" customHeight="1">
      <c r="A406" s="236">
        <v>46069.0</v>
      </c>
      <c r="B406" s="218" t="s">
        <v>4829</v>
      </c>
      <c r="C406" s="9"/>
      <c r="D406" s="228" t="s">
        <v>4830</v>
      </c>
      <c r="E406" s="230">
        <v>7.407797777E9</v>
      </c>
      <c r="F406" s="221" t="s">
        <v>45</v>
      </c>
      <c r="G406" s="9" t="s">
        <v>4831</v>
      </c>
      <c r="H406" s="234"/>
      <c r="I406" s="232"/>
      <c r="J406" s="18"/>
      <c r="K406" s="18"/>
      <c r="L406" s="18"/>
      <c r="M406" s="18"/>
      <c r="N406" s="18"/>
      <c r="O406" s="18"/>
      <c r="P406" s="18"/>
      <c r="Q406" s="18"/>
      <c r="R406" s="18"/>
      <c r="S406" s="18"/>
      <c r="T406" s="18"/>
      <c r="U406" s="18"/>
      <c r="V406" s="18"/>
      <c r="W406" s="18"/>
      <c r="X406" s="18"/>
      <c r="Y406" s="18"/>
      <c r="Z406" s="18"/>
    </row>
    <row r="407" ht="22.5" customHeight="1">
      <c r="A407" s="236">
        <v>46069.0</v>
      </c>
      <c r="B407" s="218" t="s">
        <v>4832</v>
      </c>
      <c r="C407" s="9"/>
      <c r="D407" s="228"/>
      <c r="E407" s="230"/>
      <c r="F407" s="221" t="s">
        <v>96</v>
      </c>
      <c r="G407" s="9" t="s">
        <v>4833</v>
      </c>
      <c r="H407" s="234"/>
      <c r="I407" s="232"/>
      <c r="J407" s="18"/>
      <c r="K407" s="18"/>
      <c r="L407" s="18"/>
      <c r="M407" s="18"/>
      <c r="N407" s="18"/>
      <c r="O407" s="18"/>
      <c r="P407" s="18"/>
      <c r="Q407" s="18"/>
      <c r="R407" s="18"/>
      <c r="S407" s="18"/>
      <c r="T407" s="18"/>
      <c r="U407" s="18"/>
      <c r="V407" s="18"/>
      <c r="W407" s="18"/>
      <c r="X407" s="18"/>
      <c r="Y407" s="18"/>
      <c r="Z407" s="18"/>
    </row>
    <row r="408" ht="22.5" customHeight="1">
      <c r="A408" s="236">
        <v>46069.0</v>
      </c>
      <c r="B408" s="218" t="s">
        <v>4834</v>
      </c>
      <c r="C408" s="9" t="s">
        <v>4638</v>
      </c>
      <c r="D408" s="228"/>
      <c r="E408" s="230">
        <v>7.207095222E9</v>
      </c>
      <c r="F408" s="221" t="s">
        <v>3853</v>
      </c>
      <c r="G408" s="9" t="s">
        <v>4835</v>
      </c>
      <c r="H408" s="234">
        <v>46069.0</v>
      </c>
      <c r="I408" s="232">
        <v>0.75</v>
      </c>
      <c r="J408" s="18"/>
      <c r="K408" s="18"/>
      <c r="L408" s="18"/>
      <c r="M408" s="18"/>
      <c r="N408" s="18"/>
      <c r="O408" s="18"/>
      <c r="P408" s="18"/>
      <c r="Q408" s="18"/>
      <c r="R408" s="18"/>
      <c r="S408" s="18"/>
      <c r="T408" s="18"/>
      <c r="U408" s="18"/>
      <c r="V408" s="18"/>
      <c r="W408" s="18"/>
      <c r="X408" s="18"/>
      <c r="Y408" s="18"/>
      <c r="Z408" s="18"/>
    </row>
    <row r="409" ht="22.5" customHeight="1">
      <c r="A409" s="236">
        <v>46069.0</v>
      </c>
      <c r="B409" s="218" t="s">
        <v>4836</v>
      </c>
      <c r="C409" s="9"/>
      <c r="D409" s="228" t="s">
        <v>4837</v>
      </c>
      <c r="E409" s="230">
        <v>7.093053039E9</v>
      </c>
      <c r="F409" s="221" t="s">
        <v>200</v>
      </c>
      <c r="G409" s="9" t="s">
        <v>4838</v>
      </c>
      <c r="H409" s="234">
        <v>46069.0</v>
      </c>
      <c r="I409" s="232">
        <v>0.625</v>
      </c>
      <c r="J409" s="18"/>
      <c r="K409" s="18"/>
      <c r="L409" s="18"/>
      <c r="M409" s="18"/>
      <c r="N409" s="18"/>
      <c r="O409" s="18"/>
      <c r="P409" s="18"/>
      <c r="Q409" s="18"/>
      <c r="R409" s="18"/>
      <c r="S409" s="18"/>
      <c r="T409" s="18"/>
      <c r="U409" s="18"/>
      <c r="V409" s="18"/>
      <c r="W409" s="18"/>
      <c r="X409" s="18"/>
      <c r="Y409" s="18"/>
      <c r="Z409" s="18"/>
    </row>
    <row r="410" ht="22.5" customHeight="1">
      <c r="A410" s="236">
        <v>46069.0</v>
      </c>
      <c r="B410" s="218" t="s">
        <v>4839</v>
      </c>
      <c r="C410" s="9"/>
      <c r="D410" s="228" t="s">
        <v>4840</v>
      </c>
      <c r="E410" s="230">
        <v>9.885238434E9</v>
      </c>
      <c r="F410" s="221" t="s">
        <v>248</v>
      </c>
      <c r="G410" s="9" t="s">
        <v>4841</v>
      </c>
      <c r="H410" s="234"/>
      <c r="I410" s="232"/>
      <c r="J410" s="18"/>
      <c r="K410" s="18"/>
      <c r="L410" s="18"/>
      <c r="M410" s="18"/>
      <c r="N410" s="18"/>
      <c r="O410" s="18"/>
      <c r="P410" s="18"/>
      <c r="Q410" s="18"/>
      <c r="R410" s="18"/>
      <c r="S410" s="18"/>
      <c r="T410" s="18"/>
      <c r="U410" s="18"/>
      <c r="V410" s="18"/>
      <c r="W410" s="18"/>
      <c r="X410" s="18"/>
      <c r="Y410" s="18"/>
      <c r="Z410" s="18"/>
    </row>
    <row r="411" ht="22.5" customHeight="1">
      <c r="A411" s="236">
        <v>46069.0</v>
      </c>
      <c r="B411" s="218" t="s">
        <v>4704</v>
      </c>
      <c r="C411" s="9"/>
      <c r="D411" s="228"/>
      <c r="E411" s="230">
        <v>6.392619682E9</v>
      </c>
      <c r="F411" s="221" t="s">
        <v>144</v>
      </c>
      <c r="G411" s="9" t="s">
        <v>4842</v>
      </c>
      <c r="H411" s="234">
        <v>46069.0</v>
      </c>
      <c r="I411" s="232">
        <v>0.6875</v>
      </c>
      <c r="J411" s="18"/>
      <c r="K411" s="18"/>
      <c r="L411" s="18"/>
      <c r="M411" s="18"/>
      <c r="N411" s="18"/>
      <c r="O411" s="18"/>
      <c r="P411" s="18"/>
      <c r="Q411" s="18"/>
      <c r="R411" s="18"/>
      <c r="S411" s="18"/>
      <c r="T411" s="18"/>
      <c r="U411" s="18"/>
      <c r="V411" s="18"/>
      <c r="W411" s="18"/>
      <c r="X411" s="18"/>
      <c r="Y411" s="18"/>
      <c r="Z411" s="18"/>
    </row>
    <row r="412" ht="22.5" customHeight="1">
      <c r="A412" s="236">
        <v>46069.0</v>
      </c>
      <c r="B412" s="218" t="s">
        <v>4843</v>
      </c>
      <c r="C412" s="9"/>
      <c r="D412" s="228"/>
      <c r="E412" s="230"/>
      <c r="F412" s="221" t="s">
        <v>73</v>
      </c>
      <c r="G412" s="9" t="s">
        <v>4717</v>
      </c>
      <c r="H412" s="234"/>
      <c r="I412" s="232"/>
      <c r="J412" s="18"/>
      <c r="K412" s="18"/>
      <c r="L412" s="18"/>
      <c r="M412" s="18"/>
      <c r="N412" s="18"/>
      <c r="O412" s="18"/>
      <c r="P412" s="18"/>
      <c r="Q412" s="18"/>
      <c r="R412" s="18"/>
      <c r="S412" s="18"/>
      <c r="T412" s="18"/>
      <c r="U412" s="18"/>
      <c r="V412" s="18"/>
      <c r="W412" s="18"/>
      <c r="X412" s="18"/>
      <c r="Y412" s="18"/>
      <c r="Z412" s="18"/>
    </row>
    <row r="413" ht="22.5" customHeight="1">
      <c r="A413" s="236">
        <v>46069.0</v>
      </c>
      <c r="B413" s="218" t="s">
        <v>4844</v>
      </c>
      <c r="C413" s="9"/>
      <c r="D413" s="228"/>
      <c r="E413" s="230"/>
      <c r="F413" s="221" t="s">
        <v>96</v>
      </c>
      <c r="G413" s="9" t="s">
        <v>4845</v>
      </c>
      <c r="H413" s="234"/>
      <c r="I413" s="232"/>
      <c r="J413" s="18"/>
      <c r="K413" s="18"/>
      <c r="L413" s="18"/>
      <c r="M413" s="18"/>
      <c r="N413" s="18"/>
      <c r="O413" s="18"/>
      <c r="P413" s="18"/>
      <c r="Q413" s="18"/>
      <c r="R413" s="18"/>
      <c r="S413" s="18"/>
      <c r="T413" s="18"/>
      <c r="U413" s="18"/>
      <c r="V413" s="18"/>
      <c r="W413" s="18"/>
      <c r="X413" s="18"/>
      <c r="Y413" s="18"/>
      <c r="Z413" s="18"/>
    </row>
    <row r="414" ht="22.5" customHeight="1">
      <c r="A414" s="236">
        <v>46069.0</v>
      </c>
      <c r="B414" s="218" t="s">
        <v>4846</v>
      </c>
      <c r="C414" s="9" t="s">
        <v>147</v>
      </c>
      <c r="D414" s="228"/>
      <c r="E414" s="230"/>
      <c r="F414" s="221" t="s">
        <v>241</v>
      </c>
      <c r="G414" s="9" t="s">
        <v>4847</v>
      </c>
      <c r="H414" s="234"/>
      <c r="I414" s="232"/>
      <c r="J414" s="18"/>
      <c r="K414" s="18"/>
      <c r="L414" s="18"/>
      <c r="M414" s="18"/>
      <c r="N414" s="18"/>
      <c r="O414" s="18"/>
      <c r="P414" s="18"/>
      <c r="Q414" s="18"/>
      <c r="R414" s="18"/>
      <c r="S414" s="18"/>
      <c r="T414" s="18"/>
      <c r="U414" s="18"/>
      <c r="V414" s="18"/>
      <c r="W414" s="18"/>
      <c r="X414" s="18"/>
      <c r="Y414" s="18"/>
      <c r="Z414" s="18"/>
    </row>
    <row r="415" ht="22.5" customHeight="1">
      <c r="A415" s="236">
        <v>46069.0</v>
      </c>
      <c r="B415" s="218" t="s">
        <v>4848</v>
      </c>
      <c r="C415" s="9" t="s">
        <v>4849</v>
      </c>
      <c r="D415" s="228"/>
      <c r="E415" s="230"/>
      <c r="F415" s="221" t="s">
        <v>186</v>
      </c>
      <c r="G415" s="9" t="s">
        <v>4850</v>
      </c>
      <c r="H415" s="234"/>
      <c r="I415" s="232"/>
      <c r="J415" s="18"/>
      <c r="K415" s="18"/>
      <c r="L415" s="18"/>
      <c r="M415" s="18"/>
      <c r="N415" s="18"/>
      <c r="O415" s="18"/>
      <c r="P415" s="18"/>
      <c r="Q415" s="18"/>
      <c r="R415" s="18"/>
      <c r="S415" s="18"/>
      <c r="T415" s="18"/>
      <c r="U415" s="18"/>
      <c r="V415" s="18"/>
      <c r="W415" s="18"/>
      <c r="X415" s="18"/>
      <c r="Y415" s="18"/>
      <c r="Z415" s="18"/>
    </row>
    <row r="416" ht="22.5" customHeight="1">
      <c r="A416" s="236">
        <v>46069.0</v>
      </c>
      <c r="B416" s="218" t="s">
        <v>4851</v>
      </c>
      <c r="C416" s="9" t="s">
        <v>4852</v>
      </c>
      <c r="D416" s="228" t="s">
        <v>4853</v>
      </c>
      <c r="E416" s="230"/>
      <c r="F416" s="221" t="s">
        <v>186</v>
      </c>
      <c r="G416" s="9" t="s">
        <v>4854</v>
      </c>
      <c r="H416" s="234">
        <v>46070.0</v>
      </c>
      <c r="I416" s="232">
        <v>0.375</v>
      </c>
      <c r="J416" s="18"/>
      <c r="K416" s="18"/>
      <c r="L416" s="18"/>
      <c r="M416" s="18"/>
      <c r="N416" s="18"/>
      <c r="O416" s="18"/>
      <c r="P416" s="18"/>
      <c r="Q416" s="18"/>
      <c r="R416" s="18"/>
      <c r="S416" s="18"/>
      <c r="T416" s="18"/>
      <c r="U416" s="18"/>
      <c r="V416" s="18"/>
      <c r="W416" s="18"/>
      <c r="X416" s="18"/>
      <c r="Y416" s="18"/>
      <c r="Z416" s="18"/>
    </row>
    <row r="417" ht="22.5" customHeight="1">
      <c r="A417" s="236">
        <v>46069.0</v>
      </c>
      <c r="B417" s="218" t="s">
        <v>4855</v>
      </c>
      <c r="C417" s="9"/>
      <c r="D417" s="228"/>
      <c r="E417" s="230"/>
      <c r="F417" s="221" t="s">
        <v>200</v>
      </c>
      <c r="G417" s="9" t="s">
        <v>4856</v>
      </c>
      <c r="H417" s="234"/>
      <c r="I417" s="232"/>
      <c r="J417" s="18"/>
      <c r="K417" s="18"/>
      <c r="L417" s="18"/>
      <c r="M417" s="18"/>
      <c r="N417" s="18"/>
      <c r="O417" s="18"/>
      <c r="P417" s="18"/>
      <c r="Q417" s="18"/>
      <c r="R417" s="18"/>
      <c r="S417" s="18"/>
      <c r="T417" s="18"/>
      <c r="U417" s="18"/>
      <c r="V417" s="18"/>
      <c r="W417" s="18"/>
      <c r="X417" s="18"/>
      <c r="Y417" s="18"/>
      <c r="Z417" s="18"/>
    </row>
    <row r="418" ht="22.5" customHeight="1">
      <c r="A418" s="236">
        <v>46069.0</v>
      </c>
      <c r="B418" s="218" t="s">
        <v>4857</v>
      </c>
      <c r="C418" s="9" t="s">
        <v>4858</v>
      </c>
      <c r="D418" s="228"/>
      <c r="E418" s="230"/>
      <c r="F418" s="221" t="s">
        <v>186</v>
      </c>
      <c r="G418" s="9" t="s">
        <v>4859</v>
      </c>
      <c r="H418" s="234">
        <v>46069.0</v>
      </c>
      <c r="I418" s="232">
        <v>0.9166666666666666</v>
      </c>
      <c r="J418" s="18"/>
      <c r="K418" s="18"/>
      <c r="L418" s="18"/>
      <c r="M418" s="18"/>
      <c r="N418" s="18"/>
      <c r="O418" s="18"/>
      <c r="P418" s="18"/>
      <c r="Q418" s="18"/>
      <c r="R418" s="18"/>
      <c r="S418" s="18"/>
      <c r="T418" s="18"/>
      <c r="U418" s="18"/>
      <c r="V418" s="18"/>
      <c r="W418" s="18"/>
      <c r="X418" s="18"/>
      <c r="Y418" s="18"/>
      <c r="Z418" s="18"/>
    </row>
    <row r="419" ht="22.5" customHeight="1">
      <c r="A419" s="236">
        <v>46069.0</v>
      </c>
      <c r="B419" s="218" t="s">
        <v>4860</v>
      </c>
      <c r="C419" s="9"/>
      <c r="D419" s="228" t="s">
        <v>4861</v>
      </c>
      <c r="E419" s="230">
        <v>6.28181763E9</v>
      </c>
      <c r="F419" s="221" t="s">
        <v>96</v>
      </c>
      <c r="G419" s="9" t="s">
        <v>4053</v>
      </c>
      <c r="H419" s="234">
        <v>46069.0</v>
      </c>
      <c r="I419" s="232">
        <v>0.7083333333333334</v>
      </c>
      <c r="J419" s="18"/>
      <c r="K419" s="18"/>
      <c r="L419" s="18"/>
      <c r="M419" s="18"/>
      <c r="N419" s="18"/>
      <c r="O419" s="18"/>
      <c r="P419" s="18"/>
      <c r="Q419" s="18"/>
      <c r="R419" s="18"/>
      <c r="S419" s="18"/>
      <c r="T419" s="18"/>
      <c r="U419" s="18"/>
      <c r="V419" s="18"/>
      <c r="W419" s="18"/>
      <c r="X419" s="18"/>
      <c r="Y419" s="18"/>
      <c r="Z419" s="18"/>
    </row>
    <row r="420" ht="22.5" customHeight="1">
      <c r="A420" s="236">
        <v>46069.0</v>
      </c>
      <c r="B420" s="218" t="s">
        <v>4862</v>
      </c>
      <c r="C420" s="9"/>
      <c r="D420" s="228"/>
      <c r="E420" s="230"/>
      <c r="F420" s="221" t="s">
        <v>45</v>
      </c>
      <c r="G420" s="9" t="s">
        <v>4863</v>
      </c>
      <c r="H420" s="234"/>
      <c r="I420" s="232"/>
      <c r="J420" s="18"/>
      <c r="K420" s="18"/>
      <c r="L420" s="18"/>
      <c r="M420" s="18"/>
      <c r="N420" s="18"/>
      <c r="O420" s="18"/>
      <c r="P420" s="18"/>
      <c r="Q420" s="18"/>
      <c r="R420" s="18"/>
      <c r="S420" s="18"/>
      <c r="T420" s="18"/>
      <c r="U420" s="18"/>
      <c r="V420" s="18"/>
      <c r="W420" s="18"/>
      <c r="X420" s="18"/>
      <c r="Y420" s="18"/>
      <c r="Z420" s="18"/>
    </row>
    <row r="421" ht="22.5" customHeight="1">
      <c r="A421" s="236">
        <v>46069.0</v>
      </c>
      <c r="B421" s="218" t="s">
        <v>4864</v>
      </c>
      <c r="C421" s="9" t="s">
        <v>203</v>
      </c>
      <c r="D421" s="228"/>
      <c r="E421" s="230"/>
      <c r="F421" s="221" t="s">
        <v>186</v>
      </c>
      <c r="G421" s="9" t="s">
        <v>4865</v>
      </c>
      <c r="H421" s="234"/>
      <c r="I421" s="232"/>
      <c r="J421" s="18"/>
      <c r="K421" s="18"/>
      <c r="L421" s="18"/>
      <c r="M421" s="18"/>
      <c r="N421" s="18"/>
      <c r="O421" s="18"/>
      <c r="P421" s="18"/>
      <c r="Q421" s="18"/>
      <c r="R421" s="18"/>
      <c r="S421" s="18"/>
      <c r="T421" s="18"/>
      <c r="U421" s="18"/>
      <c r="V421" s="18"/>
      <c r="W421" s="18"/>
      <c r="X421" s="18"/>
      <c r="Y421" s="18"/>
      <c r="Z421" s="18"/>
    </row>
    <row r="422" ht="22.5" customHeight="1">
      <c r="A422" s="236">
        <v>46069.0</v>
      </c>
      <c r="B422" s="218" t="s">
        <v>4866</v>
      </c>
      <c r="C422" s="9" t="s">
        <v>4638</v>
      </c>
      <c r="D422" s="228" t="s">
        <v>4867</v>
      </c>
      <c r="E422" s="230">
        <v>9.5336438E9</v>
      </c>
      <c r="F422" s="221" t="s">
        <v>3853</v>
      </c>
      <c r="G422" s="9" t="s">
        <v>4868</v>
      </c>
      <c r="H422" s="234">
        <v>46069.0</v>
      </c>
      <c r="I422" s="232">
        <v>0.75</v>
      </c>
      <c r="J422" s="18"/>
      <c r="K422" s="18"/>
      <c r="L422" s="18"/>
      <c r="M422" s="18"/>
      <c r="N422" s="18"/>
      <c r="O422" s="18"/>
      <c r="P422" s="18"/>
      <c r="Q422" s="18"/>
      <c r="R422" s="18"/>
      <c r="S422" s="18"/>
      <c r="T422" s="18"/>
      <c r="U422" s="18"/>
      <c r="V422" s="18"/>
      <c r="W422" s="18"/>
      <c r="X422" s="18"/>
      <c r="Y422" s="18"/>
      <c r="Z422" s="18"/>
    </row>
    <row r="423" ht="22.5" customHeight="1">
      <c r="A423" s="236">
        <v>46069.0</v>
      </c>
      <c r="B423" s="218" t="s">
        <v>4869</v>
      </c>
      <c r="C423" s="9" t="s">
        <v>4870</v>
      </c>
      <c r="D423" s="228" t="s">
        <v>4871</v>
      </c>
      <c r="E423" s="230">
        <v>7.618754404E9</v>
      </c>
      <c r="F423" s="221" t="s">
        <v>4358</v>
      </c>
      <c r="G423" s="9" t="s">
        <v>4872</v>
      </c>
      <c r="H423" s="234"/>
      <c r="I423" s="232"/>
      <c r="J423" s="18"/>
      <c r="K423" s="18"/>
      <c r="L423" s="18"/>
      <c r="M423" s="18"/>
      <c r="N423" s="18"/>
      <c r="O423" s="18"/>
      <c r="P423" s="18"/>
      <c r="Q423" s="18"/>
      <c r="R423" s="18"/>
      <c r="S423" s="18"/>
      <c r="T423" s="18"/>
      <c r="U423" s="18"/>
      <c r="V423" s="18"/>
      <c r="W423" s="18"/>
      <c r="X423" s="18"/>
      <c r="Y423" s="18"/>
      <c r="Z423" s="18"/>
    </row>
    <row r="424" ht="22.5" customHeight="1">
      <c r="A424" s="236">
        <v>46069.0</v>
      </c>
      <c r="B424" s="218" t="s">
        <v>4873</v>
      </c>
      <c r="C424" s="9"/>
      <c r="D424" s="228" t="s">
        <v>4101</v>
      </c>
      <c r="E424" s="230">
        <v>8.32856892E9</v>
      </c>
      <c r="F424" s="221" t="s">
        <v>248</v>
      </c>
      <c r="G424" s="9" t="s">
        <v>4874</v>
      </c>
      <c r="H424" s="234"/>
      <c r="I424" s="232"/>
      <c r="J424" s="18"/>
      <c r="K424" s="18"/>
      <c r="L424" s="18"/>
      <c r="M424" s="18"/>
      <c r="N424" s="18"/>
      <c r="O424" s="18"/>
      <c r="P424" s="18"/>
      <c r="Q424" s="18"/>
      <c r="R424" s="18"/>
      <c r="S424" s="18"/>
      <c r="T424" s="18"/>
      <c r="U424" s="18"/>
      <c r="V424" s="18"/>
      <c r="W424" s="18"/>
      <c r="X424" s="18"/>
      <c r="Y424" s="18"/>
      <c r="Z424" s="18"/>
    </row>
    <row r="425" ht="22.5" customHeight="1">
      <c r="A425" s="236">
        <v>46069.0</v>
      </c>
      <c r="B425" s="218" t="s">
        <v>4875</v>
      </c>
      <c r="C425" s="9" t="s">
        <v>4638</v>
      </c>
      <c r="D425" s="228" t="s">
        <v>4876</v>
      </c>
      <c r="E425" s="230">
        <v>9.581774709E9</v>
      </c>
      <c r="F425" s="221" t="s">
        <v>3853</v>
      </c>
      <c r="G425" s="9" t="s">
        <v>4877</v>
      </c>
      <c r="H425" s="234"/>
      <c r="I425" s="232"/>
      <c r="J425" s="18"/>
      <c r="K425" s="18"/>
      <c r="L425" s="18"/>
      <c r="M425" s="18"/>
      <c r="N425" s="18"/>
      <c r="O425" s="18"/>
      <c r="P425" s="18"/>
      <c r="Q425" s="18"/>
      <c r="R425" s="18"/>
      <c r="S425" s="18"/>
      <c r="T425" s="18"/>
      <c r="U425" s="18"/>
      <c r="V425" s="18"/>
      <c r="W425" s="18"/>
      <c r="X425" s="18"/>
      <c r="Y425" s="18"/>
      <c r="Z425" s="18"/>
    </row>
    <row r="426" ht="22.5" customHeight="1">
      <c r="A426" s="236">
        <v>46069.0</v>
      </c>
      <c r="B426" s="218" t="s">
        <v>4878</v>
      </c>
      <c r="C426" s="9"/>
      <c r="D426" s="228"/>
      <c r="E426" s="230"/>
      <c r="F426" s="221" t="s">
        <v>200</v>
      </c>
      <c r="G426" s="9" t="s">
        <v>4879</v>
      </c>
      <c r="H426" s="234"/>
      <c r="I426" s="232"/>
      <c r="J426" s="18"/>
      <c r="K426" s="18"/>
      <c r="L426" s="18"/>
      <c r="M426" s="18"/>
      <c r="N426" s="18"/>
      <c r="O426" s="18"/>
      <c r="P426" s="18"/>
      <c r="Q426" s="18"/>
      <c r="R426" s="18"/>
      <c r="S426" s="18"/>
      <c r="T426" s="18"/>
      <c r="U426" s="18"/>
      <c r="V426" s="18"/>
      <c r="W426" s="18"/>
      <c r="X426" s="18"/>
      <c r="Y426" s="18"/>
      <c r="Z426" s="18"/>
    </row>
    <row r="427" ht="22.5" customHeight="1">
      <c r="A427" s="236">
        <v>46069.0</v>
      </c>
      <c r="B427" s="218" t="s">
        <v>4880</v>
      </c>
      <c r="C427" s="9" t="s">
        <v>4638</v>
      </c>
      <c r="D427" s="228" t="s">
        <v>4881</v>
      </c>
      <c r="E427" s="230">
        <v>7.799662245E9</v>
      </c>
      <c r="F427" s="221" t="s">
        <v>3853</v>
      </c>
      <c r="G427" s="9" t="s">
        <v>4882</v>
      </c>
      <c r="H427" s="234"/>
      <c r="I427" s="232"/>
      <c r="J427" s="18"/>
      <c r="K427" s="18"/>
      <c r="L427" s="18"/>
      <c r="M427" s="18"/>
      <c r="N427" s="18"/>
      <c r="O427" s="18"/>
      <c r="P427" s="18"/>
      <c r="Q427" s="18"/>
      <c r="R427" s="18"/>
      <c r="S427" s="18"/>
      <c r="T427" s="18"/>
      <c r="U427" s="18"/>
      <c r="V427" s="18"/>
      <c r="W427" s="18"/>
      <c r="X427" s="18"/>
      <c r="Y427" s="18"/>
      <c r="Z427" s="18"/>
    </row>
    <row r="428" ht="22.5" customHeight="1">
      <c r="A428" s="236">
        <v>46069.0</v>
      </c>
      <c r="B428" s="218" t="s">
        <v>4883</v>
      </c>
      <c r="C428" s="9"/>
      <c r="D428" s="228"/>
      <c r="E428" s="230"/>
      <c r="F428" s="221" t="s">
        <v>241</v>
      </c>
      <c r="G428" s="9" t="s">
        <v>4884</v>
      </c>
      <c r="H428" s="234"/>
      <c r="I428" s="232"/>
      <c r="J428" s="18"/>
      <c r="K428" s="18"/>
      <c r="L428" s="18"/>
      <c r="M428" s="18"/>
      <c r="N428" s="18"/>
      <c r="O428" s="18"/>
      <c r="P428" s="18"/>
      <c r="Q428" s="18"/>
      <c r="R428" s="18"/>
      <c r="S428" s="18"/>
      <c r="T428" s="18"/>
      <c r="U428" s="18"/>
      <c r="V428" s="18"/>
      <c r="W428" s="18"/>
      <c r="X428" s="18"/>
      <c r="Y428" s="18"/>
      <c r="Z428" s="18"/>
    </row>
    <row r="429" ht="22.5" customHeight="1">
      <c r="A429" s="236">
        <v>46069.0</v>
      </c>
      <c r="B429" s="218" t="s">
        <v>4885</v>
      </c>
      <c r="C429" s="9" t="s">
        <v>2949</v>
      </c>
      <c r="D429" s="228" t="s">
        <v>4886</v>
      </c>
      <c r="E429" s="230">
        <v>9.84922082E9</v>
      </c>
      <c r="F429" s="221" t="s">
        <v>3853</v>
      </c>
      <c r="G429" s="9" t="s">
        <v>4887</v>
      </c>
      <c r="H429" s="234">
        <v>46070.0</v>
      </c>
      <c r="I429" s="232">
        <v>0.75</v>
      </c>
      <c r="J429" s="18"/>
      <c r="K429" s="18"/>
      <c r="L429" s="18"/>
      <c r="M429" s="18"/>
      <c r="N429" s="18"/>
      <c r="O429" s="18"/>
      <c r="P429" s="18"/>
      <c r="Q429" s="18"/>
      <c r="R429" s="18"/>
      <c r="S429" s="18"/>
      <c r="T429" s="18"/>
      <c r="U429" s="18"/>
      <c r="V429" s="18"/>
      <c r="W429" s="18"/>
      <c r="X429" s="18"/>
      <c r="Y429" s="18"/>
      <c r="Z429" s="18"/>
    </row>
    <row r="430" ht="22.5" customHeight="1">
      <c r="A430" s="236">
        <v>46069.0</v>
      </c>
      <c r="B430" s="218" t="s">
        <v>4888</v>
      </c>
      <c r="C430" s="9"/>
      <c r="D430" s="228" t="s">
        <v>4889</v>
      </c>
      <c r="E430" s="230">
        <v>7.801005204E9</v>
      </c>
      <c r="F430" s="221" t="s">
        <v>248</v>
      </c>
      <c r="G430" s="9" t="s">
        <v>4890</v>
      </c>
      <c r="H430" s="234"/>
      <c r="I430" s="232"/>
      <c r="J430" s="18"/>
      <c r="K430" s="18"/>
      <c r="L430" s="18"/>
      <c r="M430" s="18"/>
      <c r="N430" s="18"/>
      <c r="O430" s="18"/>
      <c r="P430" s="18"/>
      <c r="Q430" s="18"/>
      <c r="R430" s="18"/>
      <c r="S430" s="18"/>
      <c r="T430" s="18"/>
      <c r="U430" s="18"/>
      <c r="V430" s="18"/>
      <c r="W430" s="18"/>
      <c r="X430" s="18"/>
      <c r="Y430" s="18"/>
      <c r="Z430" s="18"/>
    </row>
    <row r="431" ht="22.5" customHeight="1">
      <c r="A431" s="236">
        <v>46069.0</v>
      </c>
      <c r="B431" s="218" t="s">
        <v>4891</v>
      </c>
      <c r="C431" s="9"/>
      <c r="D431" s="228" t="s">
        <v>3985</v>
      </c>
      <c r="E431" s="230"/>
      <c r="F431" s="221" t="s">
        <v>200</v>
      </c>
      <c r="G431" s="9" t="s">
        <v>4892</v>
      </c>
      <c r="H431" s="234">
        <v>46070.0</v>
      </c>
      <c r="I431" s="232">
        <v>0.4583333333333333</v>
      </c>
      <c r="J431" s="18"/>
      <c r="K431" s="18"/>
      <c r="L431" s="18"/>
      <c r="M431" s="18"/>
      <c r="N431" s="18"/>
      <c r="O431" s="18"/>
      <c r="P431" s="18"/>
      <c r="Q431" s="18"/>
      <c r="R431" s="18"/>
      <c r="S431" s="18"/>
      <c r="T431" s="18"/>
      <c r="U431" s="18"/>
      <c r="V431" s="18"/>
      <c r="W431" s="18"/>
      <c r="X431" s="18"/>
      <c r="Y431" s="18"/>
      <c r="Z431" s="18"/>
    </row>
    <row r="432" ht="22.5" customHeight="1">
      <c r="A432" s="236">
        <v>46069.0</v>
      </c>
      <c r="B432" s="218" t="s">
        <v>4893</v>
      </c>
      <c r="C432" s="9"/>
      <c r="D432" s="228" t="s">
        <v>4263</v>
      </c>
      <c r="E432" s="230">
        <v>9.963696969E9</v>
      </c>
      <c r="F432" s="221" t="s">
        <v>96</v>
      </c>
      <c r="G432" s="9" t="s">
        <v>4894</v>
      </c>
      <c r="H432" s="234"/>
      <c r="I432" s="232"/>
      <c r="J432" s="18"/>
      <c r="K432" s="18"/>
      <c r="L432" s="18"/>
      <c r="M432" s="18"/>
      <c r="N432" s="18"/>
      <c r="O432" s="18"/>
      <c r="P432" s="18"/>
      <c r="Q432" s="18"/>
      <c r="R432" s="18"/>
      <c r="S432" s="18"/>
      <c r="T432" s="18"/>
      <c r="U432" s="18"/>
      <c r="V432" s="18"/>
      <c r="W432" s="18"/>
      <c r="X432" s="18"/>
      <c r="Y432" s="18"/>
      <c r="Z432" s="18"/>
    </row>
    <row r="433" ht="22.5" customHeight="1">
      <c r="A433" s="236">
        <v>46069.0</v>
      </c>
      <c r="B433" s="218" t="s">
        <v>4895</v>
      </c>
      <c r="C433" s="9" t="s">
        <v>4638</v>
      </c>
      <c r="D433" s="228" t="s">
        <v>4896</v>
      </c>
      <c r="E433" s="230">
        <v>7.093108484E9</v>
      </c>
      <c r="F433" s="221" t="s">
        <v>3853</v>
      </c>
      <c r="G433" s="9" t="s">
        <v>4897</v>
      </c>
      <c r="H433" s="234"/>
      <c r="I433" s="232"/>
      <c r="J433" s="18"/>
      <c r="K433" s="18"/>
      <c r="L433" s="18"/>
      <c r="M433" s="18"/>
      <c r="N433" s="18"/>
      <c r="O433" s="18"/>
      <c r="P433" s="18"/>
      <c r="Q433" s="18"/>
      <c r="R433" s="18"/>
      <c r="S433" s="18"/>
      <c r="T433" s="18"/>
      <c r="U433" s="18"/>
      <c r="V433" s="18"/>
      <c r="W433" s="18"/>
      <c r="X433" s="18"/>
      <c r="Y433" s="18"/>
      <c r="Z433" s="18"/>
    </row>
    <row r="434" ht="22.5" customHeight="1">
      <c r="A434" s="236">
        <v>46069.0</v>
      </c>
      <c r="B434" s="218" t="s">
        <v>4898</v>
      </c>
      <c r="C434" s="9"/>
      <c r="D434" s="228"/>
      <c r="E434" s="230">
        <v>7.70294282E9</v>
      </c>
      <c r="F434" s="221" t="s">
        <v>200</v>
      </c>
      <c r="G434" s="9" t="s">
        <v>4899</v>
      </c>
      <c r="H434" s="234">
        <v>46070.0</v>
      </c>
      <c r="I434" s="232"/>
      <c r="J434" s="18"/>
      <c r="K434" s="18"/>
      <c r="L434" s="18"/>
      <c r="M434" s="18"/>
      <c r="N434" s="18"/>
      <c r="O434" s="18"/>
      <c r="P434" s="18"/>
      <c r="Q434" s="18"/>
      <c r="R434" s="18"/>
      <c r="S434" s="18"/>
      <c r="T434" s="18"/>
      <c r="U434" s="18"/>
      <c r="V434" s="18"/>
      <c r="W434" s="18"/>
      <c r="X434" s="18"/>
      <c r="Y434" s="18"/>
      <c r="Z434" s="18"/>
    </row>
    <row r="435" ht="22.5" customHeight="1">
      <c r="A435" s="236">
        <v>46069.0</v>
      </c>
      <c r="B435" s="218" t="s">
        <v>4900</v>
      </c>
      <c r="C435" s="9"/>
      <c r="D435" s="228"/>
      <c r="E435" s="230">
        <v>8.00831909E9</v>
      </c>
      <c r="F435" s="221" t="s">
        <v>96</v>
      </c>
      <c r="G435" s="9" t="s">
        <v>4901</v>
      </c>
      <c r="H435" s="234"/>
      <c r="I435" s="232"/>
      <c r="J435" s="18"/>
      <c r="K435" s="18"/>
      <c r="L435" s="18"/>
      <c r="M435" s="18"/>
      <c r="N435" s="18"/>
      <c r="O435" s="18"/>
      <c r="P435" s="18"/>
      <c r="Q435" s="18"/>
      <c r="R435" s="18"/>
      <c r="S435" s="18"/>
      <c r="T435" s="18"/>
      <c r="U435" s="18"/>
      <c r="V435" s="18"/>
      <c r="W435" s="18"/>
      <c r="X435" s="18"/>
      <c r="Y435" s="18"/>
      <c r="Z435" s="18"/>
    </row>
    <row r="436" ht="22.5" customHeight="1">
      <c r="A436" s="236">
        <v>46069.0</v>
      </c>
      <c r="B436" s="218" t="s">
        <v>4902</v>
      </c>
      <c r="C436" s="9"/>
      <c r="D436" s="228"/>
      <c r="E436" s="230"/>
      <c r="F436" s="221" t="s">
        <v>73</v>
      </c>
      <c r="G436" s="9" t="s">
        <v>4903</v>
      </c>
      <c r="H436" s="234"/>
      <c r="I436" s="232"/>
      <c r="J436" s="18"/>
      <c r="K436" s="18"/>
      <c r="L436" s="18"/>
      <c r="M436" s="18"/>
      <c r="N436" s="18"/>
      <c r="O436" s="18"/>
      <c r="P436" s="18"/>
      <c r="Q436" s="18"/>
      <c r="R436" s="18"/>
      <c r="S436" s="18"/>
      <c r="T436" s="18"/>
      <c r="U436" s="18"/>
      <c r="V436" s="18"/>
      <c r="W436" s="18"/>
      <c r="X436" s="18"/>
      <c r="Y436" s="18"/>
      <c r="Z436" s="18"/>
    </row>
    <row r="437" ht="22.5" customHeight="1">
      <c r="A437" s="236">
        <v>46069.0</v>
      </c>
      <c r="B437" s="218" t="s">
        <v>4904</v>
      </c>
      <c r="C437" s="9" t="s">
        <v>4905</v>
      </c>
      <c r="D437" s="228"/>
      <c r="E437" s="230"/>
      <c r="F437" s="221" t="s">
        <v>186</v>
      </c>
      <c r="G437" s="9" t="s">
        <v>4906</v>
      </c>
      <c r="H437" s="234"/>
      <c r="I437" s="232"/>
      <c r="J437" s="18"/>
      <c r="K437" s="18"/>
      <c r="L437" s="18"/>
      <c r="M437" s="18"/>
      <c r="N437" s="18"/>
      <c r="O437" s="18"/>
      <c r="P437" s="18"/>
      <c r="Q437" s="18"/>
      <c r="R437" s="18"/>
      <c r="S437" s="18"/>
      <c r="T437" s="18"/>
      <c r="U437" s="18"/>
      <c r="V437" s="18"/>
      <c r="W437" s="18"/>
      <c r="X437" s="18"/>
      <c r="Y437" s="18"/>
      <c r="Z437" s="18"/>
    </row>
    <row r="438" ht="22.5" customHeight="1">
      <c r="A438" s="236">
        <v>46069.0</v>
      </c>
      <c r="B438" s="218" t="s">
        <v>4907</v>
      </c>
      <c r="C438" s="9"/>
      <c r="D438" s="228" t="s">
        <v>4908</v>
      </c>
      <c r="E438" s="230">
        <v>8.464915054E9</v>
      </c>
      <c r="F438" s="221" t="s">
        <v>248</v>
      </c>
      <c r="G438" s="9" t="s">
        <v>4909</v>
      </c>
      <c r="H438" s="234">
        <v>46070.0</v>
      </c>
      <c r="I438" s="232"/>
      <c r="J438" s="18"/>
      <c r="K438" s="18"/>
      <c r="L438" s="18"/>
      <c r="M438" s="18"/>
      <c r="N438" s="18"/>
      <c r="O438" s="18"/>
      <c r="P438" s="18"/>
      <c r="Q438" s="18"/>
      <c r="R438" s="18"/>
      <c r="S438" s="18"/>
      <c r="T438" s="18"/>
      <c r="U438" s="18"/>
      <c r="V438" s="18"/>
      <c r="W438" s="18"/>
      <c r="X438" s="18"/>
      <c r="Y438" s="18"/>
      <c r="Z438" s="18"/>
    </row>
    <row r="439" ht="22.5" customHeight="1">
      <c r="A439" s="236">
        <v>46069.0</v>
      </c>
      <c r="B439" s="218" t="s">
        <v>4910</v>
      </c>
      <c r="C439" s="9" t="s">
        <v>2949</v>
      </c>
      <c r="D439" s="228" t="s">
        <v>2218</v>
      </c>
      <c r="E439" s="230">
        <v>9.985700007E9</v>
      </c>
      <c r="F439" s="221" t="s">
        <v>3853</v>
      </c>
      <c r="G439" s="9" t="s">
        <v>4911</v>
      </c>
      <c r="H439" s="234">
        <v>46070.0</v>
      </c>
      <c r="I439" s="232"/>
      <c r="J439" s="18"/>
      <c r="K439" s="18"/>
      <c r="L439" s="18"/>
      <c r="M439" s="18"/>
      <c r="N439" s="18"/>
      <c r="O439" s="18"/>
      <c r="P439" s="18"/>
      <c r="Q439" s="18"/>
      <c r="R439" s="18"/>
      <c r="S439" s="18"/>
      <c r="T439" s="18"/>
      <c r="U439" s="18"/>
      <c r="V439" s="18"/>
      <c r="W439" s="18"/>
      <c r="X439" s="18"/>
      <c r="Y439" s="18"/>
      <c r="Z439" s="18"/>
    </row>
    <row r="440" ht="22.5" customHeight="1">
      <c r="A440" s="236">
        <v>46069.0</v>
      </c>
      <c r="B440" s="218" t="s">
        <v>4912</v>
      </c>
      <c r="C440" s="9"/>
      <c r="D440" s="228" t="s">
        <v>4913</v>
      </c>
      <c r="E440" s="230">
        <v>7.036844444E9</v>
      </c>
      <c r="F440" s="221" t="s">
        <v>241</v>
      </c>
      <c r="G440" s="9" t="s">
        <v>4914</v>
      </c>
      <c r="H440" s="234"/>
      <c r="I440" s="232"/>
      <c r="J440" s="18"/>
      <c r="K440" s="18"/>
      <c r="L440" s="18"/>
      <c r="M440" s="18"/>
      <c r="N440" s="18"/>
      <c r="O440" s="18"/>
      <c r="P440" s="18"/>
      <c r="Q440" s="18"/>
      <c r="R440" s="18"/>
      <c r="S440" s="18"/>
      <c r="T440" s="18"/>
      <c r="U440" s="18"/>
      <c r="V440" s="18"/>
      <c r="W440" s="18"/>
      <c r="X440" s="18"/>
      <c r="Y440" s="18"/>
      <c r="Z440" s="18"/>
    </row>
    <row r="441" ht="22.5" customHeight="1">
      <c r="A441" s="236">
        <v>46069.0</v>
      </c>
      <c r="B441" s="218" t="s">
        <v>4915</v>
      </c>
      <c r="C441" s="9"/>
      <c r="D441" s="228"/>
      <c r="E441" s="230"/>
      <c r="F441" s="221" t="s">
        <v>96</v>
      </c>
      <c r="G441" s="9" t="s">
        <v>4916</v>
      </c>
      <c r="H441" s="234"/>
      <c r="I441" s="232"/>
      <c r="J441" s="18"/>
      <c r="K441" s="18"/>
      <c r="L441" s="18"/>
      <c r="M441" s="18"/>
      <c r="N441" s="18"/>
      <c r="O441" s="18"/>
      <c r="P441" s="18"/>
      <c r="Q441" s="18"/>
      <c r="R441" s="18"/>
      <c r="S441" s="18"/>
      <c r="T441" s="18"/>
      <c r="U441" s="18"/>
      <c r="V441" s="18"/>
      <c r="W441" s="18"/>
      <c r="X441" s="18"/>
      <c r="Y441" s="18"/>
      <c r="Z441" s="18"/>
    </row>
    <row r="442" ht="22.5" customHeight="1">
      <c r="A442" s="236">
        <v>46069.0</v>
      </c>
      <c r="B442" s="218" t="s">
        <v>4917</v>
      </c>
      <c r="C442" s="9" t="s">
        <v>4918</v>
      </c>
      <c r="D442" s="228" t="s">
        <v>4919</v>
      </c>
      <c r="E442" s="230">
        <v>7.070567056E9</v>
      </c>
      <c r="F442" s="221" t="s">
        <v>4358</v>
      </c>
      <c r="G442" s="9" t="s">
        <v>4920</v>
      </c>
      <c r="H442" s="234"/>
      <c r="I442" s="232"/>
      <c r="J442" s="18"/>
      <c r="K442" s="18"/>
      <c r="L442" s="18"/>
      <c r="M442" s="18"/>
      <c r="N442" s="18"/>
      <c r="O442" s="18"/>
      <c r="P442" s="18"/>
      <c r="Q442" s="18"/>
      <c r="R442" s="18"/>
      <c r="S442" s="18"/>
      <c r="T442" s="18"/>
      <c r="U442" s="18"/>
      <c r="V442" s="18"/>
      <c r="W442" s="18"/>
      <c r="X442" s="18"/>
      <c r="Y442" s="18"/>
      <c r="Z442" s="18"/>
    </row>
    <row r="443" ht="22.5" customHeight="1">
      <c r="A443" s="236">
        <v>46069.0</v>
      </c>
      <c r="B443" s="218" t="s">
        <v>4921</v>
      </c>
      <c r="C443" s="9"/>
      <c r="D443" s="228" t="s">
        <v>4922</v>
      </c>
      <c r="E443" s="230">
        <v>9.704551666E9</v>
      </c>
      <c r="F443" s="221" t="s">
        <v>241</v>
      </c>
      <c r="G443" s="9" t="s">
        <v>4923</v>
      </c>
      <c r="H443" s="234"/>
      <c r="I443" s="232"/>
      <c r="J443" s="18"/>
      <c r="K443" s="18"/>
      <c r="L443" s="18"/>
      <c r="M443" s="18"/>
      <c r="N443" s="18"/>
      <c r="O443" s="18"/>
      <c r="P443" s="18"/>
      <c r="Q443" s="18"/>
      <c r="R443" s="18"/>
      <c r="S443" s="18"/>
      <c r="T443" s="18"/>
      <c r="U443" s="18"/>
      <c r="V443" s="18"/>
      <c r="W443" s="18"/>
      <c r="X443" s="18"/>
      <c r="Y443" s="18"/>
      <c r="Z443" s="18"/>
    </row>
    <row r="444" ht="22.5" customHeight="1">
      <c r="A444" s="236">
        <v>46069.0</v>
      </c>
      <c r="B444" s="218" t="s">
        <v>4924</v>
      </c>
      <c r="C444" s="9"/>
      <c r="D444" s="228"/>
      <c r="E444" s="230"/>
      <c r="F444" s="221" t="s">
        <v>45</v>
      </c>
      <c r="G444" s="9" t="s">
        <v>4366</v>
      </c>
      <c r="H444" s="234"/>
      <c r="I444" s="232"/>
      <c r="J444" s="18"/>
      <c r="K444" s="18"/>
      <c r="L444" s="18"/>
      <c r="M444" s="18"/>
      <c r="N444" s="18"/>
      <c r="O444" s="18"/>
      <c r="P444" s="18"/>
      <c r="Q444" s="18"/>
      <c r="R444" s="18"/>
      <c r="S444" s="18"/>
      <c r="T444" s="18"/>
      <c r="U444" s="18"/>
      <c r="V444" s="18"/>
      <c r="W444" s="18"/>
      <c r="X444" s="18"/>
      <c r="Y444" s="18"/>
      <c r="Z444" s="18"/>
    </row>
    <row r="445" ht="22.5" customHeight="1">
      <c r="A445" s="236">
        <v>46069.0</v>
      </c>
      <c r="B445" s="218" t="s">
        <v>4925</v>
      </c>
      <c r="C445" s="9"/>
      <c r="D445" s="228" t="s">
        <v>4926</v>
      </c>
      <c r="E445" s="230">
        <v>9.790769073E9</v>
      </c>
      <c r="F445" s="221" t="s">
        <v>144</v>
      </c>
      <c r="G445" s="9" t="s">
        <v>4927</v>
      </c>
      <c r="H445" s="234">
        <v>46070.0</v>
      </c>
      <c r="I445" s="232"/>
      <c r="J445" s="18"/>
      <c r="K445" s="18"/>
      <c r="L445" s="18"/>
      <c r="M445" s="18"/>
      <c r="N445" s="18"/>
      <c r="O445" s="18"/>
      <c r="P445" s="18"/>
      <c r="Q445" s="18"/>
      <c r="R445" s="18"/>
      <c r="S445" s="18"/>
      <c r="T445" s="18"/>
      <c r="U445" s="18"/>
      <c r="V445" s="18"/>
      <c r="W445" s="18"/>
      <c r="X445" s="18"/>
      <c r="Y445" s="18"/>
      <c r="Z445" s="18"/>
    </row>
    <row r="446" ht="22.5" customHeight="1">
      <c r="A446" s="236">
        <v>46069.0</v>
      </c>
      <c r="B446" s="218" t="s">
        <v>4928</v>
      </c>
      <c r="C446" s="9"/>
      <c r="D446" s="228" t="s">
        <v>4929</v>
      </c>
      <c r="E446" s="230"/>
      <c r="F446" s="221" t="s">
        <v>144</v>
      </c>
      <c r="G446" s="9" t="s">
        <v>4930</v>
      </c>
      <c r="H446" s="234">
        <v>46073.0</v>
      </c>
      <c r="I446" s="232">
        <v>0.7916666666666666</v>
      </c>
      <c r="J446" s="18"/>
      <c r="K446" s="18"/>
      <c r="L446" s="18"/>
      <c r="M446" s="18"/>
      <c r="N446" s="18"/>
      <c r="O446" s="18"/>
      <c r="P446" s="18"/>
      <c r="Q446" s="18"/>
      <c r="R446" s="18"/>
      <c r="S446" s="18"/>
      <c r="T446" s="18"/>
      <c r="U446" s="18"/>
      <c r="V446" s="18"/>
      <c r="W446" s="18"/>
      <c r="X446" s="18"/>
      <c r="Y446" s="18"/>
      <c r="Z446" s="18"/>
    </row>
    <row r="447" ht="22.5" customHeight="1">
      <c r="A447" s="236">
        <v>46069.0</v>
      </c>
      <c r="B447" s="218" t="s">
        <v>4931</v>
      </c>
      <c r="C447" s="9"/>
      <c r="D447" s="228"/>
      <c r="E447" s="230"/>
      <c r="F447" s="221" t="s">
        <v>73</v>
      </c>
      <c r="G447" s="9" t="s">
        <v>4932</v>
      </c>
      <c r="H447" s="234"/>
      <c r="I447" s="232"/>
      <c r="J447" s="18"/>
      <c r="K447" s="18"/>
      <c r="L447" s="18"/>
      <c r="M447" s="18"/>
      <c r="N447" s="18"/>
      <c r="O447" s="18"/>
      <c r="P447" s="18"/>
      <c r="Q447" s="18"/>
      <c r="R447" s="18"/>
      <c r="S447" s="18"/>
      <c r="T447" s="18"/>
      <c r="U447" s="18"/>
      <c r="V447" s="18"/>
      <c r="W447" s="18"/>
      <c r="X447" s="18"/>
      <c r="Y447" s="18"/>
      <c r="Z447" s="18"/>
    </row>
    <row r="448" ht="22.5" customHeight="1">
      <c r="A448" s="236">
        <v>46069.0</v>
      </c>
      <c r="B448" s="218" t="s">
        <v>4933</v>
      </c>
      <c r="C448" s="9"/>
      <c r="D448" s="228" t="s">
        <v>4934</v>
      </c>
      <c r="E448" s="230">
        <v>9.10021352E9</v>
      </c>
      <c r="F448" s="221" t="s">
        <v>45</v>
      </c>
      <c r="G448" s="9" t="s">
        <v>4935</v>
      </c>
      <c r="H448" s="234">
        <v>46070.0</v>
      </c>
      <c r="I448" s="232"/>
      <c r="J448" s="18"/>
      <c r="K448" s="18"/>
      <c r="L448" s="18"/>
      <c r="M448" s="18"/>
      <c r="N448" s="18"/>
      <c r="O448" s="18"/>
      <c r="P448" s="18"/>
      <c r="Q448" s="18"/>
      <c r="R448" s="18"/>
      <c r="S448" s="18"/>
      <c r="T448" s="18"/>
      <c r="U448" s="18"/>
      <c r="V448" s="18"/>
      <c r="W448" s="18"/>
      <c r="X448" s="18"/>
      <c r="Y448" s="18"/>
      <c r="Z448" s="18"/>
    </row>
    <row r="449" ht="22.5" customHeight="1">
      <c r="A449" s="236">
        <v>46069.0</v>
      </c>
      <c r="B449" s="218" t="s">
        <v>4936</v>
      </c>
      <c r="C449" s="9"/>
      <c r="D449" s="228" t="s">
        <v>4937</v>
      </c>
      <c r="E449" s="230">
        <v>9.642357335E9</v>
      </c>
      <c r="F449" s="221" t="s">
        <v>144</v>
      </c>
      <c r="G449" s="9" t="s">
        <v>4938</v>
      </c>
      <c r="H449" s="234">
        <v>46070.0</v>
      </c>
      <c r="I449" s="232"/>
      <c r="J449" s="18"/>
      <c r="K449" s="18"/>
      <c r="L449" s="18"/>
      <c r="M449" s="18"/>
      <c r="N449" s="18"/>
      <c r="O449" s="18"/>
      <c r="P449" s="18"/>
      <c r="Q449" s="18"/>
      <c r="R449" s="18"/>
      <c r="S449" s="18"/>
      <c r="T449" s="18"/>
      <c r="U449" s="18"/>
      <c r="V449" s="18"/>
      <c r="W449" s="18"/>
      <c r="X449" s="18"/>
      <c r="Y449" s="18"/>
      <c r="Z449" s="18"/>
    </row>
    <row r="450" ht="22.5" customHeight="1">
      <c r="A450" s="236">
        <v>46069.0</v>
      </c>
      <c r="B450" s="218" t="s">
        <v>4939</v>
      </c>
      <c r="C450" s="9"/>
      <c r="D450" s="228"/>
      <c r="E450" s="230"/>
      <c r="F450" s="221" t="s">
        <v>200</v>
      </c>
      <c r="G450" s="9" t="s">
        <v>4940</v>
      </c>
      <c r="H450" s="234"/>
      <c r="I450" s="232"/>
      <c r="J450" s="18"/>
      <c r="K450" s="18"/>
      <c r="L450" s="18"/>
      <c r="M450" s="18"/>
      <c r="N450" s="18"/>
      <c r="O450" s="18"/>
      <c r="P450" s="18"/>
      <c r="Q450" s="18"/>
      <c r="R450" s="18"/>
      <c r="S450" s="18"/>
      <c r="T450" s="18"/>
      <c r="U450" s="18"/>
      <c r="V450" s="18"/>
      <c r="W450" s="18"/>
      <c r="X450" s="18"/>
      <c r="Y450" s="18"/>
      <c r="Z450" s="18"/>
    </row>
    <row r="451" ht="22.5" customHeight="1">
      <c r="A451" s="236">
        <v>46069.0</v>
      </c>
      <c r="B451" s="218" t="s">
        <v>4941</v>
      </c>
      <c r="C451" s="9"/>
      <c r="D451" s="228" t="s">
        <v>2016</v>
      </c>
      <c r="E451" s="230">
        <v>9.703445554E9</v>
      </c>
      <c r="F451" s="221" t="s">
        <v>200</v>
      </c>
      <c r="G451" s="9" t="s">
        <v>4942</v>
      </c>
      <c r="H451" s="234"/>
      <c r="I451" s="232"/>
      <c r="J451" s="18"/>
      <c r="K451" s="18"/>
      <c r="L451" s="18"/>
      <c r="M451" s="18"/>
      <c r="N451" s="18"/>
      <c r="O451" s="18"/>
      <c r="P451" s="18"/>
      <c r="Q451" s="18"/>
      <c r="R451" s="18"/>
      <c r="S451" s="18"/>
      <c r="T451" s="18"/>
      <c r="U451" s="18"/>
      <c r="V451" s="18"/>
      <c r="W451" s="18"/>
      <c r="X451" s="18"/>
      <c r="Y451" s="18"/>
      <c r="Z451" s="18"/>
    </row>
    <row r="452" ht="22.5" customHeight="1">
      <c r="A452" s="236">
        <v>46069.0</v>
      </c>
      <c r="B452" s="218" t="s">
        <v>4943</v>
      </c>
      <c r="C452" s="9"/>
      <c r="D452" s="228" t="s">
        <v>2016</v>
      </c>
      <c r="E452" s="230">
        <v>9.985559905E9</v>
      </c>
      <c r="F452" s="221" t="s">
        <v>200</v>
      </c>
      <c r="G452" s="9" t="s">
        <v>4942</v>
      </c>
      <c r="H452" s="234"/>
      <c r="I452" s="232"/>
      <c r="J452" s="18"/>
      <c r="K452" s="18"/>
      <c r="L452" s="18"/>
      <c r="M452" s="18"/>
      <c r="N452" s="18"/>
      <c r="O452" s="18"/>
      <c r="P452" s="18"/>
      <c r="Q452" s="18"/>
      <c r="R452" s="18"/>
      <c r="S452" s="18"/>
      <c r="T452" s="18"/>
      <c r="U452" s="18"/>
      <c r="V452" s="18"/>
      <c r="W452" s="18"/>
      <c r="X452" s="18"/>
      <c r="Y452" s="18"/>
      <c r="Z452" s="18"/>
    </row>
    <row r="453" ht="22.5" customHeight="1">
      <c r="A453" s="236">
        <v>46069.0</v>
      </c>
      <c r="B453" s="218" t="s">
        <v>4944</v>
      </c>
      <c r="C453" s="9"/>
      <c r="D453" s="228"/>
      <c r="E453" s="230"/>
      <c r="F453" s="221" t="s">
        <v>96</v>
      </c>
      <c r="G453" s="9" t="s">
        <v>4945</v>
      </c>
      <c r="H453" s="234"/>
      <c r="I453" s="232"/>
      <c r="J453" s="18"/>
      <c r="K453" s="18"/>
      <c r="L453" s="18"/>
      <c r="M453" s="18"/>
      <c r="N453" s="18"/>
      <c r="O453" s="18"/>
      <c r="P453" s="18"/>
      <c r="Q453" s="18"/>
      <c r="R453" s="18"/>
      <c r="S453" s="18"/>
      <c r="T453" s="18"/>
      <c r="U453" s="18"/>
      <c r="V453" s="18"/>
      <c r="W453" s="18"/>
      <c r="X453" s="18"/>
      <c r="Y453" s="18"/>
      <c r="Z453" s="18"/>
    </row>
    <row r="454" ht="22.5" customHeight="1">
      <c r="A454" s="236">
        <v>46069.0</v>
      </c>
      <c r="B454" s="218" t="s">
        <v>4946</v>
      </c>
      <c r="C454" s="9"/>
      <c r="D454" s="228"/>
      <c r="E454" s="230"/>
      <c r="F454" s="221" t="s">
        <v>96</v>
      </c>
      <c r="G454" s="9" t="s">
        <v>4947</v>
      </c>
      <c r="H454" s="234"/>
      <c r="I454" s="232"/>
      <c r="J454" s="18"/>
      <c r="K454" s="18"/>
      <c r="L454" s="18"/>
      <c r="M454" s="18"/>
      <c r="N454" s="18"/>
      <c r="O454" s="18"/>
      <c r="P454" s="18"/>
      <c r="Q454" s="18"/>
      <c r="R454" s="18"/>
      <c r="S454" s="18"/>
      <c r="T454" s="18"/>
      <c r="U454" s="18"/>
      <c r="V454" s="18"/>
      <c r="W454" s="18"/>
      <c r="X454" s="18"/>
      <c r="Y454" s="18"/>
      <c r="Z454" s="18"/>
    </row>
    <row r="455" ht="22.5" customHeight="1">
      <c r="A455" s="236">
        <v>46069.0</v>
      </c>
      <c r="B455" s="218" t="s">
        <v>4948</v>
      </c>
      <c r="C455" s="9"/>
      <c r="D455" s="228"/>
      <c r="E455" s="230"/>
      <c r="F455" s="221" t="s">
        <v>73</v>
      </c>
      <c r="G455" s="9" t="s">
        <v>4949</v>
      </c>
      <c r="H455" s="234"/>
      <c r="I455" s="232"/>
      <c r="J455" s="18"/>
      <c r="K455" s="18"/>
      <c r="L455" s="18"/>
      <c r="M455" s="18"/>
      <c r="N455" s="18"/>
      <c r="O455" s="18"/>
      <c r="P455" s="18"/>
      <c r="Q455" s="18"/>
      <c r="R455" s="18"/>
      <c r="S455" s="18"/>
      <c r="T455" s="18"/>
      <c r="U455" s="18"/>
      <c r="V455" s="18"/>
      <c r="W455" s="18"/>
      <c r="X455" s="18"/>
      <c r="Y455" s="18"/>
      <c r="Z455" s="18"/>
    </row>
    <row r="456" ht="22.5" customHeight="1">
      <c r="A456" s="236">
        <v>46070.0</v>
      </c>
      <c r="B456" s="15" t="s">
        <v>4950</v>
      </c>
      <c r="C456" s="15" t="s">
        <v>4290</v>
      </c>
      <c r="D456" s="15" t="s">
        <v>4951</v>
      </c>
      <c r="E456" s="237"/>
      <c r="F456" s="55" t="s">
        <v>186</v>
      </c>
      <c r="G456" s="15" t="s">
        <v>4952</v>
      </c>
      <c r="H456" s="234"/>
      <c r="I456" s="232"/>
      <c r="J456" s="18"/>
      <c r="K456" s="18"/>
      <c r="L456" s="18"/>
      <c r="M456" s="18"/>
      <c r="N456" s="18"/>
      <c r="O456" s="18"/>
      <c r="P456" s="18"/>
      <c r="Q456" s="18"/>
      <c r="R456" s="18"/>
      <c r="S456" s="18"/>
      <c r="T456" s="18"/>
      <c r="U456" s="18"/>
      <c r="V456" s="18"/>
      <c r="W456" s="18"/>
      <c r="X456" s="18"/>
      <c r="Y456" s="18"/>
      <c r="Z456" s="18"/>
    </row>
    <row r="457" ht="22.5" customHeight="1">
      <c r="A457" s="238">
        <v>46070.0</v>
      </c>
      <c r="B457" s="218" t="s">
        <v>4953</v>
      </c>
      <c r="D457" s="228" t="s">
        <v>957</v>
      </c>
      <c r="E457" s="230"/>
      <c r="F457" s="221" t="s">
        <v>2014</v>
      </c>
      <c r="G457" s="9" t="s">
        <v>4954</v>
      </c>
      <c r="H457" s="234"/>
      <c r="I457" s="232"/>
      <c r="J457" s="18"/>
      <c r="K457" s="18"/>
      <c r="L457" s="18"/>
      <c r="M457" s="18"/>
      <c r="N457" s="18"/>
      <c r="O457" s="18"/>
      <c r="P457" s="18"/>
      <c r="Q457" s="18"/>
      <c r="R457" s="18"/>
      <c r="S457" s="18"/>
      <c r="T457" s="18"/>
      <c r="U457" s="18"/>
      <c r="V457" s="18"/>
      <c r="W457" s="18"/>
      <c r="X457" s="18"/>
      <c r="Y457" s="18"/>
      <c r="Z457" s="18"/>
    </row>
    <row r="458" ht="22.5" customHeight="1">
      <c r="A458" s="238">
        <v>46070.0</v>
      </c>
      <c r="B458" s="218" t="s">
        <v>4955</v>
      </c>
      <c r="C458" s="9" t="s">
        <v>4956</v>
      </c>
      <c r="D458" s="228" t="s">
        <v>4957</v>
      </c>
      <c r="E458" s="230">
        <v>8.668045147E9</v>
      </c>
      <c r="F458" s="221" t="s">
        <v>4358</v>
      </c>
      <c r="G458" s="9" t="s">
        <v>4958</v>
      </c>
      <c r="H458" s="234"/>
      <c r="I458" s="232"/>
      <c r="J458" s="18"/>
      <c r="K458" s="18"/>
      <c r="L458" s="18"/>
      <c r="M458" s="18"/>
      <c r="N458" s="18"/>
      <c r="O458" s="18"/>
      <c r="P458" s="18"/>
      <c r="Q458" s="18"/>
      <c r="R458" s="18"/>
      <c r="S458" s="18"/>
      <c r="T458" s="18"/>
      <c r="U458" s="18"/>
      <c r="V458" s="18"/>
      <c r="W458" s="18"/>
      <c r="X458" s="18"/>
      <c r="Y458" s="18"/>
      <c r="Z458" s="18"/>
    </row>
    <row r="459" ht="22.5" customHeight="1">
      <c r="A459" s="238">
        <v>46070.0</v>
      </c>
      <c r="B459" s="218" t="s">
        <v>4959</v>
      </c>
      <c r="C459" s="9"/>
      <c r="D459" s="228"/>
      <c r="E459" s="230"/>
      <c r="F459" s="221" t="s">
        <v>60</v>
      </c>
      <c r="G459" s="9" t="s">
        <v>4960</v>
      </c>
      <c r="H459" s="234"/>
      <c r="I459" s="232"/>
      <c r="J459" s="18"/>
      <c r="K459" s="18"/>
      <c r="L459" s="18"/>
      <c r="M459" s="18"/>
      <c r="N459" s="18"/>
      <c r="O459" s="18"/>
      <c r="P459" s="18"/>
      <c r="Q459" s="18"/>
      <c r="R459" s="18"/>
      <c r="S459" s="18"/>
      <c r="T459" s="18"/>
      <c r="U459" s="18"/>
      <c r="V459" s="18"/>
      <c r="W459" s="18"/>
      <c r="X459" s="18"/>
      <c r="Y459" s="18"/>
      <c r="Z459" s="18"/>
    </row>
    <row r="460" ht="22.5" customHeight="1">
      <c r="A460" s="238">
        <v>46070.0</v>
      </c>
      <c r="B460" s="218" t="s">
        <v>4961</v>
      </c>
      <c r="C460" s="9" t="s">
        <v>4962</v>
      </c>
      <c r="D460" s="228" t="s">
        <v>4827</v>
      </c>
      <c r="E460" s="230">
        <v>6.300110346E9</v>
      </c>
      <c r="F460" s="221" t="s">
        <v>3853</v>
      </c>
      <c r="G460" s="9" t="s">
        <v>4963</v>
      </c>
      <c r="H460" s="234">
        <v>46071.0</v>
      </c>
      <c r="I460" s="232">
        <v>0.5208333333333334</v>
      </c>
      <c r="J460" s="18"/>
      <c r="K460" s="18"/>
      <c r="L460" s="18"/>
      <c r="M460" s="18"/>
      <c r="N460" s="18"/>
      <c r="O460" s="18"/>
      <c r="P460" s="18"/>
      <c r="Q460" s="18"/>
      <c r="R460" s="18"/>
      <c r="S460" s="18"/>
      <c r="T460" s="18"/>
      <c r="U460" s="18"/>
      <c r="V460" s="18"/>
      <c r="W460" s="18"/>
      <c r="X460" s="18"/>
      <c r="Y460" s="18"/>
      <c r="Z460" s="18"/>
    </row>
    <row r="461" ht="22.5" customHeight="1">
      <c r="A461" s="238">
        <v>46070.0</v>
      </c>
      <c r="B461" s="218" t="s">
        <v>4964</v>
      </c>
      <c r="C461" s="9"/>
      <c r="D461" s="228" t="s">
        <v>4965</v>
      </c>
      <c r="E461" s="230">
        <v>8.319637722E9</v>
      </c>
      <c r="F461" s="221" t="s">
        <v>73</v>
      </c>
      <c r="G461" s="9" t="s">
        <v>4966</v>
      </c>
      <c r="H461" s="234"/>
      <c r="I461" s="232"/>
      <c r="J461" s="18"/>
      <c r="K461" s="18"/>
      <c r="L461" s="18"/>
      <c r="M461" s="18"/>
      <c r="N461" s="18"/>
      <c r="O461" s="18"/>
      <c r="P461" s="18"/>
      <c r="Q461" s="18"/>
      <c r="R461" s="18"/>
      <c r="S461" s="18"/>
      <c r="T461" s="18"/>
      <c r="U461" s="18"/>
      <c r="V461" s="18"/>
      <c r="W461" s="18"/>
      <c r="X461" s="18"/>
      <c r="Y461" s="18"/>
      <c r="Z461" s="18"/>
    </row>
    <row r="462" ht="22.5" customHeight="1">
      <c r="A462" s="238">
        <v>46070.0</v>
      </c>
      <c r="B462" s="218" t="s">
        <v>4967</v>
      </c>
      <c r="C462" s="9" t="s">
        <v>4956</v>
      </c>
      <c r="D462" s="228" t="s">
        <v>4968</v>
      </c>
      <c r="E462" s="230">
        <v>9.967535945E9</v>
      </c>
      <c r="F462" s="221" t="s">
        <v>4358</v>
      </c>
      <c r="G462" s="9" t="s">
        <v>4969</v>
      </c>
      <c r="H462" s="234"/>
      <c r="I462" s="232"/>
      <c r="J462" s="18"/>
      <c r="K462" s="18"/>
      <c r="L462" s="18"/>
      <c r="M462" s="18"/>
      <c r="N462" s="18"/>
      <c r="O462" s="18"/>
      <c r="P462" s="18"/>
      <c r="Q462" s="18"/>
      <c r="R462" s="18"/>
      <c r="S462" s="18"/>
      <c r="T462" s="18"/>
      <c r="U462" s="18"/>
      <c r="V462" s="18"/>
      <c r="W462" s="18"/>
      <c r="X462" s="18"/>
      <c r="Y462" s="18"/>
      <c r="Z462" s="18"/>
    </row>
    <row r="463" ht="22.5" customHeight="1">
      <c r="A463" s="238">
        <v>46070.0</v>
      </c>
      <c r="B463" s="218" t="s">
        <v>4970</v>
      </c>
      <c r="C463" s="9"/>
      <c r="D463" s="228" t="s">
        <v>830</v>
      </c>
      <c r="E463" s="230"/>
      <c r="F463" s="221" t="s">
        <v>73</v>
      </c>
      <c r="G463" s="9" t="s">
        <v>4971</v>
      </c>
      <c r="H463" s="234">
        <v>46070.0</v>
      </c>
      <c r="I463" s="232">
        <v>0.625</v>
      </c>
      <c r="J463" s="18"/>
      <c r="K463" s="18"/>
      <c r="L463" s="18"/>
      <c r="M463" s="18"/>
      <c r="N463" s="18"/>
      <c r="O463" s="18"/>
      <c r="P463" s="18"/>
      <c r="Q463" s="18"/>
      <c r="R463" s="18"/>
      <c r="S463" s="18"/>
      <c r="T463" s="18"/>
      <c r="U463" s="18"/>
      <c r="V463" s="18"/>
      <c r="W463" s="18"/>
      <c r="X463" s="18"/>
      <c r="Y463" s="18"/>
      <c r="Z463" s="18"/>
    </row>
    <row r="464" ht="22.5" customHeight="1">
      <c r="A464" s="238">
        <v>46070.0</v>
      </c>
      <c r="B464" s="218" t="s">
        <v>4972</v>
      </c>
      <c r="C464" s="9"/>
      <c r="D464" s="228"/>
      <c r="E464" s="230">
        <v>8.125638358E9</v>
      </c>
      <c r="F464" s="221" t="s">
        <v>144</v>
      </c>
      <c r="G464" s="9" t="s">
        <v>4973</v>
      </c>
      <c r="H464" s="234">
        <v>46077.0</v>
      </c>
      <c r="I464" s="232"/>
      <c r="J464" s="18"/>
      <c r="K464" s="18"/>
      <c r="L464" s="18"/>
      <c r="M464" s="18"/>
      <c r="N464" s="18"/>
      <c r="O464" s="18"/>
      <c r="P464" s="18"/>
      <c r="Q464" s="18"/>
      <c r="R464" s="18"/>
      <c r="S464" s="18"/>
      <c r="T464" s="18"/>
      <c r="U464" s="18"/>
      <c r="V464" s="18"/>
      <c r="W464" s="18"/>
      <c r="X464" s="18"/>
      <c r="Y464" s="18"/>
      <c r="Z464" s="18"/>
    </row>
    <row r="465" ht="22.5" customHeight="1">
      <c r="A465" s="238">
        <v>46070.0</v>
      </c>
      <c r="B465" s="218" t="s">
        <v>4974</v>
      </c>
      <c r="C465" s="9"/>
      <c r="D465" s="228"/>
      <c r="E465" s="230"/>
      <c r="F465" s="221" t="s">
        <v>45</v>
      </c>
      <c r="G465" s="9" t="s">
        <v>4975</v>
      </c>
      <c r="H465" s="234"/>
      <c r="I465" s="232"/>
      <c r="J465" s="18"/>
      <c r="K465" s="18"/>
      <c r="L465" s="18"/>
      <c r="M465" s="18"/>
      <c r="N465" s="18"/>
      <c r="O465" s="18"/>
      <c r="P465" s="18"/>
      <c r="Q465" s="18"/>
      <c r="R465" s="18"/>
      <c r="S465" s="18"/>
      <c r="T465" s="18"/>
      <c r="U465" s="18"/>
      <c r="V465" s="18"/>
      <c r="W465" s="18"/>
      <c r="X465" s="18"/>
      <c r="Y465" s="18"/>
      <c r="Z465" s="18"/>
    </row>
    <row r="466" ht="22.5" customHeight="1">
      <c r="A466" s="238">
        <v>46070.0</v>
      </c>
      <c r="B466" s="218" t="s">
        <v>4976</v>
      </c>
      <c r="C466" s="9" t="s">
        <v>4956</v>
      </c>
      <c r="D466" s="228" t="s">
        <v>4977</v>
      </c>
      <c r="E466" s="230">
        <v>9.100009426E9</v>
      </c>
      <c r="F466" s="221" t="s">
        <v>4358</v>
      </c>
      <c r="G466" s="9" t="s">
        <v>4978</v>
      </c>
      <c r="H466" s="234"/>
      <c r="I466" s="232"/>
      <c r="J466" s="18"/>
      <c r="K466" s="18"/>
      <c r="L466" s="18"/>
      <c r="M466" s="18"/>
      <c r="N466" s="18"/>
      <c r="O466" s="18"/>
      <c r="P466" s="18"/>
      <c r="Q466" s="18"/>
      <c r="R466" s="18"/>
      <c r="S466" s="18"/>
      <c r="T466" s="18"/>
      <c r="U466" s="18"/>
      <c r="V466" s="18"/>
      <c r="W466" s="18"/>
      <c r="X466" s="18"/>
      <c r="Y466" s="18"/>
      <c r="Z466" s="18"/>
    </row>
    <row r="467" ht="22.5" customHeight="1">
      <c r="A467" s="238">
        <v>46070.0</v>
      </c>
      <c r="B467" s="218" t="s">
        <v>4979</v>
      </c>
      <c r="C467" s="9"/>
      <c r="D467" s="228" t="s">
        <v>4646</v>
      </c>
      <c r="E467" s="230"/>
      <c r="F467" s="221" t="s">
        <v>73</v>
      </c>
      <c r="G467" s="9" t="s">
        <v>4980</v>
      </c>
      <c r="H467" s="234">
        <v>46070.0</v>
      </c>
      <c r="I467" s="232">
        <v>0.7916666666666666</v>
      </c>
      <c r="J467" s="18"/>
      <c r="K467" s="18"/>
      <c r="L467" s="18"/>
      <c r="M467" s="18"/>
      <c r="N467" s="18"/>
      <c r="O467" s="18"/>
      <c r="P467" s="18"/>
      <c r="Q467" s="18"/>
      <c r="R467" s="18"/>
      <c r="S467" s="18"/>
      <c r="T467" s="18"/>
      <c r="U467" s="18"/>
      <c r="V467" s="18"/>
      <c r="W467" s="18"/>
      <c r="X467" s="18"/>
      <c r="Y467" s="18"/>
      <c r="Z467" s="18"/>
    </row>
    <row r="468" ht="22.5" customHeight="1">
      <c r="A468" s="238">
        <v>46070.0</v>
      </c>
      <c r="B468" s="218" t="s">
        <v>4981</v>
      </c>
      <c r="C468" s="9"/>
      <c r="D468" s="228"/>
      <c r="E468" s="230">
        <v>7.70294282E9</v>
      </c>
      <c r="F468" s="221" t="s">
        <v>96</v>
      </c>
      <c r="G468" s="9" t="s">
        <v>4982</v>
      </c>
      <c r="H468" s="234">
        <v>46071.0</v>
      </c>
      <c r="I468" s="232">
        <v>0.4166666666666667</v>
      </c>
      <c r="J468" s="18"/>
      <c r="K468" s="18"/>
      <c r="L468" s="18"/>
      <c r="M468" s="18"/>
      <c r="N468" s="18"/>
      <c r="O468" s="18"/>
      <c r="P468" s="18"/>
      <c r="Q468" s="18"/>
      <c r="R468" s="18"/>
      <c r="S468" s="18"/>
      <c r="T468" s="18"/>
      <c r="U468" s="18"/>
      <c r="V468" s="18"/>
      <c r="W468" s="18"/>
      <c r="X468" s="18"/>
      <c r="Y468" s="18"/>
      <c r="Z468" s="18"/>
    </row>
    <row r="469" ht="22.5" customHeight="1">
      <c r="A469" s="238">
        <v>46070.0</v>
      </c>
      <c r="B469" s="218" t="s">
        <v>4983</v>
      </c>
      <c r="C469" s="9"/>
      <c r="D469" s="228" t="s">
        <v>4984</v>
      </c>
      <c r="E469" s="230">
        <v>9.393895558E9</v>
      </c>
      <c r="F469" s="221" t="s">
        <v>241</v>
      </c>
      <c r="G469" s="9" t="s">
        <v>4985</v>
      </c>
      <c r="H469" s="234"/>
      <c r="I469" s="232"/>
      <c r="J469" s="18"/>
      <c r="K469" s="18"/>
      <c r="L469" s="18"/>
      <c r="M469" s="18"/>
      <c r="N469" s="18"/>
      <c r="O469" s="18"/>
      <c r="P469" s="18"/>
      <c r="Q469" s="18"/>
      <c r="R469" s="18"/>
      <c r="S469" s="18"/>
      <c r="T469" s="18"/>
      <c r="U469" s="18"/>
      <c r="V469" s="18"/>
      <c r="W469" s="18"/>
      <c r="X469" s="18"/>
      <c r="Y469" s="18"/>
      <c r="Z469" s="18"/>
    </row>
    <row r="470" ht="22.5" customHeight="1">
      <c r="A470" s="238">
        <v>46070.0</v>
      </c>
      <c r="B470" s="218" t="s">
        <v>4986</v>
      </c>
      <c r="C470" s="9" t="s">
        <v>4987</v>
      </c>
      <c r="D470" s="228" t="s">
        <v>4988</v>
      </c>
      <c r="E470" s="230">
        <v>9.959838242E9</v>
      </c>
      <c r="F470" s="221" t="s">
        <v>3853</v>
      </c>
      <c r="G470" s="9" t="s">
        <v>4989</v>
      </c>
      <c r="H470" s="234">
        <v>46072.0</v>
      </c>
      <c r="I470" s="232">
        <v>0.5208333333333334</v>
      </c>
      <c r="J470" s="18"/>
      <c r="K470" s="18"/>
      <c r="L470" s="18"/>
      <c r="M470" s="18"/>
      <c r="N470" s="18"/>
      <c r="O470" s="18"/>
      <c r="P470" s="18"/>
      <c r="Q470" s="18"/>
      <c r="R470" s="18"/>
      <c r="S470" s="18"/>
      <c r="T470" s="18"/>
      <c r="U470" s="18"/>
      <c r="V470" s="18"/>
      <c r="W470" s="18"/>
      <c r="X470" s="18"/>
      <c r="Y470" s="18"/>
      <c r="Z470" s="18"/>
    </row>
    <row r="471" ht="22.5" customHeight="1">
      <c r="A471" s="238">
        <v>46070.0</v>
      </c>
      <c r="B471" s="218" t="s">
        <v>4990</v>
      </c>
      <c r="C471" s="9"/>
      <c r="D471" s="228" t="s">
        <v>4991</v>
      </c>
      <c r="E471" s="230">
        <v>9.441469962E9</v>
      </c>
      <c r="F471" s="221" t="s">
        <v>241</v>
      </c>
      <c r="G471" s="9" t="s">
        <v>4992</v>
      </c>
      <c r="H471" s="234"/>
      <c r="I471" s="232"/>
      <c r="J471" s="18"/>
      <c r="K471" s="18"/>
      <c r="L471" s="18"/>
      <c r="M471" s="18"/>
      <c r="N471" s="18"/>
      <c r="O471" s="18"/>
      <c r="P471" s="18"/>
      <c r="Q471" s="18"/>
      <c r="R471" s="18"/>
      <c r="S471" s="18"/>
      <c r="T471" s="18"/>
      <c r="U471" s="18"/>
      <c r="V471" s="18"/>
      <c r="W471" s="18"/>
      <c r="X471" s="18"/>
      <c r="Y471" s="18"/>
      <c r="Z471" s="18"/>
    </row>
    <row r="472" ht="22.5" customHeight="1">
      <c r="A472" s="238">
        <v>46070.0</v>
      </c>
      <c r="B472" s="218" t="s">
        <v>4993</v>
      </c>
      <c r="C472" s="9"/>
      <c r="D472" s="228" t="s">
        <v>4994</v>
      </c>
      <c r="E472" s="230">
        <v>9.154819482E9</v>
      </c>
      <c r="F472" s="221" t="s">
        <v>241</v>
      </c>
      <c r="G472" s="9" t="s">
        <v>4995</v>
      </c>
      <c r="H472" s="234">
        <v>46070.0</v>
      </c>
      <c r="I472" s="232">
        <v>0.6666666666666666</v>
      </c>
      <c r="J472" s="18"/>
      <c r="K472" s="18"/>
      <c r="L472" s="18"/>
      <c r="M472" s="18"/>
      <c r="N472" s="18"/>
      <c r="O472" s="18"/>
      <c r="P472" s="18"/>
      <c r="Q472" s="18"/>
      <c r="R472" s="18"/>
      <c r="S472" s="18"/>
      <c r="T472" s="18"/>
      <c r="U472" s="18"/>
      <c r="V472" s="18"/>
      <c r="W472" s="18"/>
      <c r="X472" s="18"/>
      <c r="Y472" s="18"/>
      <c r="Z472" s="18"/>
    </row>
    <row r="473" ht="22.5" customHeight="1">
      <c r="A473" s="238">
        <v>46070.0</v>
      </c>
      <c r="B473" s="218" t="s">
        <v>4996</v>
      </c>
      <c r="C473" s="9"/>
      <c r="D473" s="228"/>
      <c r="E473" s="230"/>
      <c r="F473" s="221" t="s">
        <v>45</v>
      </c>
      <c r="G473" s="9" t="s">
        <v>4997</v>
      </c>
      <c r="H473" s="234">
        <v>46070.0</v>
      </c>
      <c r="I473" s="232">
        <v>0.8333333333333334</v>
      </c>
      <c r="J473" s="18"/>
      <c r="K473" s="18"/>
      <c r="L473" s="18"/>
      <c r="M473" s="18"/>
      <c r="N473" s="18"/>
      <c r="O473" s="18"/>
      <c r="P473" s="18"/>
      <c r="Q473" s="18"/>
      <c r="R473" s="18"/>
      <c r="S473" s="18"/>
      <c r="T473" s="18"/>
      <c r="U473" s="18"/>
      <c r="V473" s="18"/>
      <c r="W473" s="18"/>
      <c r="X473" s="18"/>
      <c r="Y473" s="18"/>
      <c r="Z473" s="18"/>
    </row>
    <row r="474" ht="22.5" customHeight="1">
      <c r="A474" s="238">
        <v>46070.0</v>
      </c>
      <c r="B474" s="218" t="s">
        <v>4998</v>
      </c>
      <c r="C474" s="9"/>
      <c r="D474" s="228" t="s">
        <v>4999</v>
      </c>
      <c r="E474" s="230">
        <v>6.281968245E9</v>
      </c>
      <c r="F474" s="221" t="s">
        <v>3853</v>
      </c>
      <c r="G474" s="9" t="s">
        <v>5000</v>
      </c>
      <c r="H474" s="234"/>
      <c r="I474" s="232"/>
      <c r="J474" s="18"/>
      <c r="K474" s="18"/>
      <c r="L474" s="18"/>
      <c r="M474" s="18"/>
      <c r="N474" s="18"/>
      <c r="O474" s="18"/>
      <c r="P474" s="18"/>
      <c r="Q474" s="18"/>
      <c r="R474" s="18"/>
      <c r="S474" s="18"/>
      <c r="T474" s="18"/>
      <c r="U474" s="18"/>
      <c r="V474" s="18"/>
      <c r="W474" s="18"/>
      <c r="X474" s="18"/>
      <c r="Y474" s="18"/>
      <c r="Z474" s="18"/>
    </row>
    <row r="475" ht="22.5" customHeight="1">
      <c r="A475" s="238">
        <v>46070.0</v>
      </c>
      <c r="B475" s="218" t="s">
        <v>5001</v>
      </c>
      <c r="C475" s="9" t="s">
        <v>4956</v>
      </c>
      <c r="D475" s="228" t="s">
        <v>5002</v>
      </c>
      <c r="E475" s="230">
        <v>9.014387137E9</v>
      </c>
      <c r="F475" s="221" t="s">
        <v>4358</v>
      </c>
      <c r="G475" s="9" t="s">
        <v>5003</v>
      </c>
      <c r="H475" s="234"/>
      <c r="I475" s="232"/>
      <c r="J475" s="18"/>
      <c r="K475" s="18"/>
      <c r="L475" s="18"/>
      <c r="M475" s="18"/>
      <c r="N475" s="18"/>
      <c r="O475" s="18"/>
      <c r="P475" s="18"/>
      <c r="Q475" s="18"/>
      <c r="R475" s="18"/>
      <c r="S475" s="18"/>
      <c r="T475" s="18"/>
      <c r="U475" s="18"/>
      <c r="V475" s="18"/>
      <c r="W475" s="18"/>
      <c r="X475" s="18"/>
      <c r="Y475" s="18"/>
      <c r="Z475" s="18"/>
    </row>
    <row r="476" ht="22.5" customHeight="1">
      <c r="A476" s="238">
        <v>46070.0</v>
      </c>
      <c r="B476" s="218" t="s">
        <v>1375</v>
      </c>
      <c r="C476" s="9" t="s">
        <v>4625</v>
      </c>
      <c r="D476" s="228" t="s">
        <v>5004</v>
      </c>
      <c r="E476" s="230"/>
      <c r="F476" s="221" t="s">
        <v>186</v>
      </c>
      <c r="G476" s="9" t="s">
        <v>5005</v>
      </c>
      <c r="H476" s="234"/>
      <c r="I476" s="232"/>
      <c r="J476" s="18"/>
      <c r="K476" s="18"/>
      <c r="L476" s="18"/>
      <c r="M476" s="18"/>
      <c r="N476" s="18"/>
      <c r="O476" s="18"/>
      <c r="P476" s="18"/>
      <c r="Q476" s="18"/>
      <c r="R476" s="18"/>
      <c r="S476" s="18"/>
      <c r="T476" s="18"/>
      <c r="U476" s="18"/>
      <c r="V476" s="18"/>
      <c r="W476" s="18"/>
      <c r="X476" s="18"/>
      <c r="Y476" s="18"/>
      <c r="Z476" s="18"/>
    </row>
    <row r="477" ht="22.5" customHeight="1">
      <c r="A477" s="238">
        <v>46070.0</v>
      </c>
      <c r="B477" s="218" t="s">
        <v>5006</v>
      </c>
      <c r="C477" s="9"/>
      <c r="D477" s="228"/>
      <c r="E477" s="230">
        <v>7.67507172E9</v>
      </c>
      <c r="F477" s="221" t="s">
        <v>60</v>
      </c>
      <c r="G477" s="9" t="s">
        <v>5007</v>
      </c>
      <c r="H477" s="234"/>
      <c r="I477" s="232"/>
      <c r="J477" s="18"/>
      <c r="K477" s="18"/>
      <c r="L477" s="18"/>
      <c r="M477" s="18"/>
      <c r="N477" s="18"/>
      <c r="O477" s="18"/>
      <c r="P477" s="18"/>
      <c r="Q477" s="18"/>
      <c r="R477" s="18"/>
      <c r="S477" s="18"/>
      <c r="T477" s="18"/>
      <c r="U477" s="18"/>
      <c r="V477" s="18"/>
      <c r="W477" s="18"/>
      <c r="X477" s="18"/>
      <c r="Y477" s="18"/>
      <c r="Z477" s="18"/>
    </row>
    <row r="478" ht="22.5" customHeight="1">
      <c r="A478" s="238">
        <v>46070.0</v>
      </c>
      <c r="B478" s="218" t="s">
        <v>5008</v>
      </c>
      <c r="C478" s="9"/>
      <c r="D478" s="228"/>
      <c r="E478" s="230"/>
      <c r="F478" s="221" t="s">
        <v>241</v>
      </c>
      <c r="G478" s="9" t="s">
        <v>5009</v>
      </c>
      <c r="H478" s="234">
        <v>46074.0</v>
      </c>
      <c r="I478" s="232">
        <v>0.4583333333333333</v>
      </c>
      <c r="J478" s="18"/>
      <c r="K478" s="18"/>
      <c r="L478" s="18"/>
      <c r="M478" s="18"/>
      <c r="N478" s="18"/>
      <c r="O478" s="18"/>
      <c r="P478" s="18"/>
      <c r="Q478" s="18"/>
      <c r="R478" s="18"/>
      <c r="S478" s="18"/>
      <c r="T478" s="18"/>
      <c r="U478" s="18"/>
      <c r="V478" s="18"/>
      <c r="W478" s="18"/>
      <c r="X478" s="18"/>
      <c r="Y478" s="18"/>
      <c r="Z478" s="18"/>
    </row>
    <row r="479" ht="22.5" customHeight="1">
      <c r="A479" s="238">
        <v>46070.0</v>
      </c>
      <c r="B479" s="218" t="s">
        <v>5010</v>
      </c>
      <c r="C479" s="9"/>
      <c r="D479" s="228" t="s">
        <v>5011</v>
      </c>
      <c r="E479" s="230">
        <v>8.008783939E9</v>
      </c>
      <c r="F479" s="221" t="s">
        <v>45</v>
      </c>
      <c r="G479" s="9" t="s">
        <v>5012</v>
      </c>
      <c r="H479" s="234"/>
      <c r="I479" s="232"/>
      <c r="J479" s="18"/>
      <c r="K479" s="18"/>
      <c r="L479" s="18"/>
      <c r="M479" s="18"/>
      <c r="N479" s="18"/>
      <c r="O479" s="18"/>
      <c r="P479" s="18"/>
      <c r="Q479" s="18"/>
      <c r="R479" s="18"/>
      <c r="S479" s="18"/>
      <c r="T479" s="18"/>
      <c r="U479" s="18"/>
      <c r="V479" s="18"/>
      <c r="W479" s="18"/>
      <c r="X479" s="18"/>
      <c r="Y479" s="18"/>
      <c r="Z479" s="18"/>
    </row>
    <row r="480" ht="22.5" customHeight="1">
      <c r="A480" s="238">
        <v>46070.0</v>
      </c>
      <c r="B480" s="218" t="s">
        <v>5013</v>
      </c>
      <c r="C480" s="9"/>
      <c r="D480" s="228" t="s">
        <v>5014</v>
      </c>
      <c r="E480" s="230">
        <v>7.330661433E9</v>
      </c>
      <c r="F480" s="221" t="s">
        <v>241</v>
      </c>
      <c r="G480" s="9" t="s">
        <v>5015</v>
      </c>
      <c r="H480" s="234"/>
      <c r="I480" s="232"/>
      <c r="J480" s="18"/>
      <c r="K480" s="18"/>
      <c r="L480" s="18"/>
      <c r="M480" s="18"/>
      <c r="N480" s="18"/>
      <c r="O480" s="18"/>
      <c r="P480" s="18"/>
      <c r="Q480" s="18"/>
      <c r="R480" s="18"/>
      <c r="S480" s="18"/>
      <c r="T480" s="18"/>
      <c r="U480" s="18"/>
      <c r="V480" s="18"/>
      <c r="W480" s="18"/>
      <c r="X480" s="18"/>
      <c r="Y480" s="18"/>
      <c r="Z480" s="18"/>
    </row>
    <row r="481" ht="22.5" customHeight="1">
      <c r="A481" s="238">
        <v>46070.0</v>
      </c>
      <c r="B481" s="218" t="s">
        <v>5016</v>
      </c>
      <c r="C481" s="9"/>
      <c r="D481" s="228" t="s">
        <v>5017</v>
      </c>
      <c r="E481" s="230">
        <v>9.615550066E9</v>
      </c>
      <c r="F481" s="221" t="s">
        <v>73</v>
      </c>
      <c r="G481" s="9" t="s">
        <v>5018</v>
      </c>
      <c r="H481" s="234"/>
      <c r="I481" s="232"/>
      <c r="J481" s="18"/>
      <c r="K481" s="18"/>
      <c r="L481" s="18"/>
      <c r="M481" s="18"/>
      <c r="N481" s="18"/>
      <c r="O481" s="18"/>
      <c r="P481" s="18"/>
      <c r="Q481" s="18"/>
      <c r="R481" s="18"/>
      <c r="S481" s="18"/>
      <c r="T481" s="18"/>
      <c r="U481" s="18"/>
      <c r="V481" s="18"/>
      <c r="W481" s="18"/>
      <c r="X481" s="18"/>
      <c r="Y481" s="18"/>
      <c r="Z481" s="18"/>
    </row>
    <row r="482" ht="22.5" customHeight="1">
      <c r="A482" s="238">
        <v>46070.0</v>
      </c>
      <c r="B482" s="218" t="s">
        <v>5019</v>
      </c>
      <c r="C482" s="9" t="s">
        <v>4707</v>
      </c>
      <c r="D482" s="228" t="s">
        <v>5020</v>
      </c>
      <c r="E482" s="230">
        <v>8.07474285E9</v>
      </c>
      <c r="F482" s="221" t="s">
        <v>4358</v>
      </c>
      <c r="G482" s="9" t="s">
        <v>5021</v>
      </c>
      <c r="H482" s="234"/>
      <c r="I482" s="232"/>
      <c r="J482" s="18"/>
      <c r="K482" s="18"/>
      <c r="L482" s="18"/>
      <c r="M482" s="18"/>
      <c r="N482" s="18"/>
      <c r="O482" s="18"/>
      <c r="P482" s="18"/>
      <c r="Q482" s="18"/>
      <c r="R482" s="18"/>
      <c r="S482" s="18"/>
      <c r="T482" s="18"/>
      <c r="U482" s="18"/>
      <c r="V482" s="18"/>
      <c r="W482" s="18"/>
      <c r="X482" s="18"/>
      <c r="Y482" s="18"/>
      <c r="Z482" s="18"/>
    </row>
    <row r="483" ht="22.5" customHeight="1">
      <c r="A483" s="238">
        <v>46070.0</v>
      </c>
      <c r="B483" s="218" t="s">
        <v>5022</v>
      </c>
      <c r="C483" s="9"/>
      <c r="D483" s="228" t="s">
        <v>5023</v>
      </c>
      <c r="E483" s="230">
        <v>9.08338532E8</v>
      </c>
      <c r="F483" s="221" t="s">
        <v>241</v>
      </c>
      <c r="G483" s="9" t="s">
        <v>5024</v>
      </c>
      <c r="H483" s="234">
        <v>46071.0</v>
      </c>
      <c r="I483" s="232">
        <v>0.625</v>
      </c>
      <c r="J483" s="18"/>
      <c r="K483" s="18"/>
      <c r="L483" s="18"/>
      <c r="M483" s="18"/>
      <c r="N483" s="18"/>
      <c r="O483" s="18"/>
      <c r="P483" s="18"/>
      <c r="Q483" s="18"/>
      <c r="R483" s="18"/>
      <c r="S483" s="18"/>
      <c r="T483" s="18"/>
      <c r="U483" s="18"/>
      <c r="V483" s="18"/>
      <c r="W483" s="18"/>
      <c r="X483" s="18"/>
      <c r="Y483" s="18"/>
      <c r="Z483" s="18"/>
    </row>
    <row r="484" ht="22.5" customHeight="1">
      <c r="A484" s="238">
        <v>46070.0</v>
      </c>
      <c r="B484" s="218" t="s">
        <v>5025</v>
      </c>
      <c r="C484" s="9"/>
      <c r="D484" s="228" t="s">
        <v>5026</v>
      </c>
      <c r="E484" s="230">
        <v>6.303602919E9</v>
      </c>
      <c r="F484" s="221" t="s">
        <v>73</v>
      </c>
      <c r="G484" s="9" t="s">
        <v>5027</v>
      </c>
      <c r="H484" s="234"/>
      <c r="I484" s="232"/>
      <c r="J484" s="18"/>
      <c r="K484" s="18"/>
      <c r="L484" s="18"/>
      <c r="M484" s="18"/>
      <c r="N484" s="18"/>
      <c r="O484" s="18"/>
      <c r="P484" s="18"/>
      <c r="Q484" s="18"/>
      <c r="R484" s="18"/>
      <c r="S484" s="18"/>
      <c r="T484" s="18"/>
      <c r="U484" s="18"/>
      <c r="V484" s="18"/>
      <c r="W484" s="18"/>
      <c r="X484" s="18"/>
      <c r="Y484" s="18"/>
      <c r="Z484" s="18"/>
    </row>
    <row r="485" ht="22.5" customHeight="1">
      <c r="A485" s="238">
        <v>46070.0</v>
      </c>
      <c r="B485" s="218" t="s">
        <v>5028</v>
      </c>
      <c r="C485" s="9"/>
      <c r="D485" s="228" t="s">
        <v>449</v>
      </c>
      <c r="E485" s="230">
        <v>7.841881125E9</v>
      </c>
      <c r="F485" s="221" t="s">
        <v>3853</v>
      </c>
      <c r="G485" s="9" t="s">
        <v>5029</v>
      </c>
      <c r="H485" s="234"/>
      <c r="I485" s="232"/>
      <c r="J485" s="18"/>
      <c r="K485" s="18"/>
      <c r="L485" s="18"/>
      <c r="M485" s="18"/>
      <c r="N485" s="18"/>
      <c r="O485" s="18"/>
      <c r="P485" s="18"/>
      <c r="Q485" s="18"/>
      <c r="R485" s="18"/>
      <c r="S485" s="18"/>
      <c r="T485" s="18"/>
      <c r="U485" s="18"/>
      <c r="V485" s="18"/>
      <c r="W485" s="18"/>
      <c r="X485" s="18"/>
      <c r="Y485" s="18"/>
      <c r="Z485" s="18"/>
    </row>
    <row r="486" ht="22.5" customHeight="1">
      <c r="A486" s="238">
        <v>46070.0</v>
      </c>
      <c r="B486" s="218" t="s">
        <v>5030</v>
      </c>
      <c r="C486" s="9" t="s">
        <v>4707</v>
      </c>
      <c r="D486" s="228" t="s">
        <v>5031</v>
      </c>
      <c r="E486" s="230">
        <v>9.147716232E9</v>
      </c>
      <c r="F486" s="221" t="s">
        <v>4358</v>
      </c>
      <c r="G486" s="9" t="s">
        <v>5032</v>
      </c>
      <c r="H486" s="234"/>
      <c r="I486" s="232"/>
      <c r="J486" s="18"/>
      <c r="K486" s="18"/>
      <c r="L486" s="18"/>
      <c r="M486" s="18"/>
      <c r="N486" s="18"/>
      <c r="O486" s="18"/>
      <c r="P486" s="18"/>
      <c r="Q486" s="18"/>
      <c r="R486" s="18"/>
      <c r="S486" s="18"/>
      <c r="T486" s="18"/>
      <c r="U486" s="18"/>
      <c r="V486" s="18"/>
      <c r="W486" s="18"/>
      <c r="X486" s="18"/>
      <c r="Y486" s="18"/>
      <c r="Z486" s="18"/>
    </row>
    <row r="487" ht="22.5" customHeight="1">
      <c r="A487" s="238">
        <v>46070.0</v>
      </c>
      <c r="B487" s="218" t="s">
        <v>5033</v>
      </c>
      <c r="C487" s="9"/>
      <c r="D487" s="228"/>
      <c r="E487" s="230"/>
      <c r="F487" s="221" t="s">
        <v>3853</v>
      </c>
      <c r="G487" s="9" t="s">
        <v>5034</v>
      </c>
      <c r="H487" s="234"/>
      <c r="I487" s="232"/>
      <c r="J487" s="18"/>
      <c r="K487" s="18"/>
      <c r="L487" s="18"/>
      <c r="M487" s="18"/>
      <c r="N487" s="18"/>
      <c r="O487" s="18"/>
      <c r="P487" s="18"/>
      <c r="Q487" s="18"/>
      <c r="R487" s="18"/>
      <c r="S487" s="18"/>
      <c r="T487" s="18"/>
      <c r="U487" s="18"/>
      <c r="V487" s="18"/>
      <c r="W487" s="18"/>
      <c r="X487" s="18"/>
      <c r="Y487" s="18"/>
      <c r="Z487" s="18"/>
    </row>
    <row r="488" ht="22.5" customHeight="1">
      <c r="A488" s="238">
        <v>46070.0</v>
      </c>
      <c r="B488" s="218" t="s">
        <v>5035</v>
      </c>
      <c r="C488" s="9" t="s">
        <v>1999</v>
      </c>
      <c r="D488" s="228"/>
      <c r="E488" s="230"/>
      <c r="F488" s="221" t="s">
        <v>73</v>
      </c>
      <c r="G488" s="9" t="s">
        <v>5036</v>
      </c>
      <c r="H488" s="234"/>
      <c r="I488" s="232"/>
      <c r="J488" s="18"/>
      <c r="K488" s="18"/>
      <c r="L488" s="18"/>
      <c r="M488" s="18"/>
      <c r="N488" s="18"/>
      <c r="O488" s="18"/>
      <c r="P488" s="18"/>
      <c r="Q488" s="18"/>
      <c r="R488" s="18"/>
      <c r="S488" s="18"/>
      <c r="T488" s="18"/>
      <c r="U488" s="18"/>
      <c r="V488" s="18"/>
      <c r="W488" s="18"/>
      <c r="X488" s="18"/>
      <c r="Y488" s="18"/>
      <c r="Z488" s="18"/>
    </row>
    <row r="489" ht="22.5" customHeight="1">
      <c r="A489" s="238">
        <v>46070.0</v>
      </c>
      <c r="B489" s="218" t="s">
        <v>5037</v>
      </c>
      <c r="C489" s="9" t="s">
        <v>160</v>
      </c>
      <c r="D489" s="228"/>
      <c r="E489" s="230"/>
      <c r="F489" s="221" t="s">
        <v>4358</v>
      </c>
      <c r="G489" s="9" t="s">
        <v>5038</v>
      </c>
      <c r="H489" s="234"/>
      <c r="I489" s="232"/>
      <c r="J489" s="18"/>
      <c r="K489" s="18"/>
      <c r="L489" s="18"/>
      <c r="M489" s="18"/>
      <c r="N489" s="18"/>
      <c r="O489" s="18"/>
      <c r="P489" s="18"/>
      <c r="Q489" s="18"/>
      <c r="R489" s="18"/>
      <c r="S489" s="18"/>
      <c r="T489" s="18"/>
      <c r="U489" s="18"/>
      <c r="V489" s="18"/>
      <c r="W489" s="18"/>
      <c r="X489" s="18"/>
      <c r="Y489" s="18"/>
      <c r="Z489" s="18"/>
    </row>
    <row r="490" ht="22.5" customHeight="1">
      <c r="A490" s="238">
        <v>46070.0</v>
      </c>
      <c r="B490" s="218" t="s">
        <v>5039</v>
      </c>
      <c r="D490" s="228"/>
      <c r="E490" s="230">
        <v>8.790377705E9</v>
      </c>
      <c r="F490" s="221" t="s">
        <v>241</v>
      </c>
      <c r="G490" s="9" t="s">
        <v>5040</v>
      </c>
      <c r="H490" s="234">
        <v>46070.0</v>
      </c>
      <c r="I490" s="232">
        <v>0.6666666666666666</v>
      </c>
      <c r="J490" s="18"/>
      <c r="K490" s="18"/>
      <c r="L490" s="18"/>
      <c r="M490" s="18"/>
      <c r="N490" s="18"/>
      <c r="O490" s="18"/>
      <c r="P490" s="18"/>
      <c r="Q490" s="18"/>
      <c r="R490" s="18"/>
      <c r="S490" s="18"/>
      <c r="T490" s="18"/>
      <c r="U490" s="18"/>
      <c r="V490" s="18"/>
      <c r="W490" s="18"/>
      <c r="X490" s="18"/>
      <c r="Y490" s="18"/>
      <c r="Z490" s="18"/>
    </row>
    <row r="491" ht="22.5" customHeight="1">
      <c r="A491" s="238">
        <v>46070.0</v>
      </c>
      <c r="B491" s="218" t="s">
        <v>5041</v>
      </c>
      <c r="C491" s="9" t="s">
        <v>5042</v>
      </c>
      <c r="D491" s="228"/>
      <c r="E491" s="230">
        <v>8.179777635E9</v>
      </c>
      <c r="F491" s="221" t="s">
        <v>45</v>
      </c>
      <c r="G491" s="9" t="s">
        <v>5043</v>
      </c>
      <c r="H491" s="234">
        <v>46071.0</v>
      </c>
      <c r="I491" s="232"/>
      <c r="J491" s="18"/>
      <c r="K491" s="18"/>
      <c r="L491" s="18"/>
      <c r="M491" s="18"/>
      <c r="N491" s="18"/>
      <c r="O491" s="18"/>
      <c r="P491" s="18"/>
      <c r="Q491" s="18"/>
      <c r="R491" s="18"/>
      <c r="S491" s="18"/>
      <c r="T491" s="18"/>
      <c r="U491" s="18"/>
      <c r="V491" s="18"/>
      <c r="W491" s="18"/>
      <c r="X491" s="18"/>
      <c r="Y491" s="18"/>
      <c r="Z491" s="18"/>
    </row>
    <row r="492" ht="22.5" customHeight="1">
      <c r="A492" s="238">
        <v>46070.0</v>
      </c>
      <c r="B492" s="218" t="s">
        <v>5044</v>
      </c>
      <c r="C492" s="9"/>
      <c r="D492" s="228"/>
      <c r="E492" s="230">
        <v>7.995719834E9</v>
      </c>
      <c r="F492" s="221" t="s">
        <v>3853</v>
      </c>
      <c r="G492" s="9" t="s">
        <v>5045</v>
      </c>
      <c r="H492" s="234">
        <v>46070.0</v>
      </c>
      <c r="I492" s="232">
        <v>0.6666666666666666</v>
      </c>
      <c r="J492" s="18"/>
      <c r="K492" s="18"/>
      <c r="L492" s="18"/>
      <c r="M492" s="18"/>
      <c r="N492" s="18"/>
      <c r="O492" s="18"/>
      <c r="P492" s="18"/>
      <c r="Q492" s="18"/>
      <c r="R492" s="18"/>
      <c r="S492" s="18"/>
      <c r="T492" s="18"/>
      <c r="U492" s="18"/>
      <c r="V492" s="18"/>
      <c r="W492" s="18"/>
      <c r="X492" s="18"/>
      <c r="Y492" s="18"/>
      <c r="Z492" s="18"/>
    </row>
    <row r="493" ht="22.5" customHeight="1">
      <c r="A493" s="238">
        <v>46070.0</v>
      </c>
      <c r="B493" s="218" t="s">
        <v>5046</v>
      </c>
      <c r="C493" s="9"/>
      <c r="D493" s="228" t="s">
        <v>5047</v>
      </c>
      <c r="E493" s="230">
        <v>9.553399599E9</v>
      </c>
      <c r="F493" s="221" t="s">
        <v>241</v>
      </c>
      <c r="G493" s="9" t="s">
        <v>5048</v>
      </c>
      <c r="H493" s="234"/>
      <c r="I493" s="232"/>
      <c r="J493" s="18"/>
      <c r="K493" s="18"/>
      <c r="L493" s="18"/>
      <c r="M493" s="18"/>
      <c r="N493" s="18"/>
      <c r="O493" s="18"/>
      <c r="P493" s="18"/>
      <c r="Q493" s="18"/>
      <c r="R493" s="18"/>
      <c r="S493" s="18"/>
      <c r="T493" s="18"/>
      <c r="U493" s="18"/>
      <c r="V493" s="18"/>
      <c r="W493" s="18"/>
      <c r="X493" s="18"/>
      <c r="Y493" s="18"/>
      <c r="Z493" s="18"/>
    </row>
    <row r="494" ht="22.5" customHeight="1">
      <c r="A494" s="238">
        <v>46070.0</v>
      </c>
      <c r="B494" s="218" t="s">
        <v>5049</v>
      </c>
      <c r="C494" s="9"/>
      <c r="D494" s="228" t="s">
        <v>5050</v>
      </c>
      <c r="E494" s="230">
        <v>9.415540562E9</v>
      </c>
      <c r="F494" s="221" t="s">
        <v>248</v>
      </c>
      <c r="G494" s="9" t="s">
        <v>5051</v>
      </c>
      <c r="H494" s="234">
        <v>46070.0</v>
      </c>
      <c r="I494" s="232">
        <v>0.7083333333333334</v>
      </c>
      <c r="J494" s="18"/>
      <c r="K494" s="18"/>
      <c r="L494" s="18"/>
      <c r="M494" s="18"/>
      <c r="N494" s="18"/>
      <c r="O494" s="18"/>
      <c r="P494" s="18"/>
      <c r="Q494" s="18"/>
      <c r="R494" s="18"/>
      <c r="S494" s="18"/>
      <c r="T494" s="18"/>
      <c r="U494" s="18"/>
      <c r="V494" s="18"/>
      <c r="W494" s="18"/>
      <c r="X494" s="18"/>
      <c r="Y494" s="18"/>
      <c r="Z494" s="18"/>
    </row>
    <row r="495" ht="22.5" customHeight="1">
      <c r="A495" s="238">
        <v>46070.0</v>
      </c>
      <c r="B495" s="218" t="s">
        <v>5052</v>
      </c>
      <c r="C495" s="9"/>
      <c r="E495" s="214"/>
      <c r="F495" s="221" t="s">
        <v>60</v>
      </c>
      <c r="G495" s="9" t="s">
        <v>5053</v>
      </c>
      <c r="H495" s="234"/>
      <c r="I495" s="232"/>
      <c r="J495" s="18"/>
      <c r="K495" s="18"/>
      <c r="L495" s="18"/>
      <c r="M495" s="18"/>
      <c r="N495" s="18"/>
      <c r="O495" s="18"/>
      <c r="P495" s="18"/>
      <c r="Q495" s="18"/>
      <c r="R495" s="18"/>
      <c r="S495" s="18"/>
      <c r="T495" s="18"/>
      <c r="U495" s="18"/>
      <c r="V495" s="18"/>
      <c r="W495" s="18"/>
      <c r="X495" s="18"/>
      <c r="Y495" s="18"/>
      <c r="Z495" s="18"/>
    </row>
    <row r="496" ht="22.5" customHeight="1">
      <c r="A496" s="238">
        <v>46070.0</v>
      </c>
      <c r="B496" s="218" t="s">
        <v>5054</v>
      </c>
      <c r="C496" s="9"/>
      <c r="D496" s="228" t="s">
        <v>5055</v>
      </c>
      <c r="E496" s="230">
        <v>8.858725032E9</v>
      </c>
      <c r="F496" s="221" t="s">
        <v>241</v>
      </c>
      <c r="G496" s="9" t="s">
        <v>5056</v>
      </c>
      <c r="H496" s="234"/>
      <c r="I496" s="232"/>
      <c r="J496" s="18"/>
      <c r="K496" s="18"/>
      <c r="L496" s="18"/>
      <c r="M496" s="18"/>
      <c r="N496" s="18"/>
      <c r="O496" s="18"/>
      <c r="P496" s="18"/>
      <c r="Q496" s="18"/>
      <c r="R496" s="18"/>
      <c r="S496" s="18"/>
      <c r="T496" s="18"/>
      <c r="U496" s="18"/>
      <c r="V496" s="18"/>
      <c r="W496" s="18"/>
      <c r="X496" s="18"/>
      <c r="Y496" s="18"/>
      <c r="Z496" s="18"/>
    </row>
    <row r="497" ht="22.5" customHeight="1">
      <c r="A497" s="238">
        <v>46070.0</v>
      </c>
      <c r="B497" s="218" t="s">
        <v>3254</v>
      </c>
      <c r="C497" s="9"/>
      <c r="D497" s="228"/>
      <c r="E497" s="230"/>
      <c r="F497" s="221" t="s">
        <v>96</v>
      </c>
      <c r="G497" s="9" t="s">
        <v>5057</v>
      </c>
      <c r="H497" s="234"/>
      <c r="I497" s="232"/>
      <c r="J497" s="18"/>
      <c r="K497" s="18"/>
      <c r="L497" s="18"/>
      <c r="M497" s="18"/>
      <c r="N497" s="18"/>
      <c r="O497" s="18"/>
      <c r="P497" s="18"/>
      <c r="Q497" s="18"/>
      <c r="R497" s="18"/>
      <c r="S497" s="18"/>
      <c r="T497" s="18"/>
      <c r="U497" s="18"/>
      <c r="V497" s="18"/>
      <c r="W497" s="18"/>
      <c r="X497" s="18"/>
      <c r="Y497" s="18"/>
      <c r="Z497" s="18"/>
    </row>
    <row r="498" ht="22.5" customHeight="1">
      <c r="A498" s="238">
        <v>46070.0</v>
      </c>
      <c r="B498" s="218" t="s">
        <v>5058</v>
      </c>
      <c r="C498" s="9"/>
      <c r="D498" s="228" t="s">
        <v>5059</v>
      </c>
      <c r="E498" s="230">
        <v>9.949904998E9</v>
      </c>
      <c r="F498" s="221" t="s">
        <v>248</v>
      </c>
      <c r="G498" s="9" t="s">
        <v>5060</v>
      </c>
      <c r="H498" s="234">
        <v>46070.0</v>
      </c>
      <c r="I498" s="232">
        <v>0.7916666666666666</v>
      </c>
      <c r="J498" s="18"/>
      <c r="K498" s="18"/>
      <c r="L498" s="18"/>
      <c r="M498" s="18"/>
      <c r="N498" s="18"/>
      <c r="O498" s="18"/>
      <c r="P498" s="18"/>
      <c r="Q498" s="18"/>
      <c r="R498" s="18"/>
      <c r="S498" s="18"/>
      <c r="T498" s="18"/>
      <c r="U498" s="18"/>
      <c r="V498" s="18"/>
      <c r="W498" s="18"/>
      <c r="X498" s="18"/>
      <c r="Y498" s="18"/>
      <c r="Z498" s="18"/>
    </row>
    <row r="499" ht="22.5" customHeight="1">
      <c r="A499" s="238">
        <v>46070.0</v>
      </c>
      <c r="B499" s="218" t="s">
        <v>5061</v>
      </c>
      <c r="C499" s="9"/>
      <c r="D499" s="228" t="s">
        <v>5062</v>
      </c>
      <c r="E499" s="230">
        <v>7.816007219E9</v>
      </c>
      <c r="F499" s="221" t="s">
        <v>45</v>
      </c>
      <c r="G499" s="9" t="s">
        <v>5063</v>
      </c>
      <c r="H499" s="234"/>
      <c r="I499" s="232"/>
      <c r="J499" s="18"/>
      <c r="K499" s="18"/>
      <c r="L499" s="18"/>
      <c r="M499" s="18"/>
      <c r="N499" s="18"/>
      <c r="O499" s="18"/>
      <c r="P499" s="18"/>
      <c r="Q499" s="18"/>
      <c r="R499" s="18"/>
      <c r="S499" s="18"/>
      <c r="T499" s="18"/>
      <c r="U499" s="18"/>
      <c r="V499" s="18"/>
      <c r="W499" s="18"/>
      <c r="X499" s="18"/>
      <c r="Y499" s="18"/>
      <c r="Z499" s="18"/>
    </row>
    <row r="500" ht="22.5" customHeight="1">
      <c r="A500" s="238">
        <v>46070.0</v>
      </c>
      <c r="B500" s="218" t="s">
        <v>5064</v>
      </c>
      <c r="C500" s="9" t="s">
        <v>5065</v>
      </c>
      <c r="D500" s="228" t="s">
        <v>5066</v>
      </c>
      <c r="E500" s="230"/>
      <c r="F500" s="221" t="s">
        <v>186</v>
      </c>
      <c r="G500" s="9" t="s">
        <v>5067</v>
      </c>
      <c r="H500" s="234"/>
      <c r="I500" s="232"/>
      <c r="J500" s="18"/>
      <c r="K500" s="18"/>
      <c r="L500" s="18"/>
      <c r="M500" s="18"/>
      <c r="N500" s="18"/>
      <c r="O500" s="18"/>
      <c r="P500" s="18"/>
      <c r="Q500" s="18"/>
      <c r="R500" s="18"/>
      <c r="S500" s="18"/>
      <c r="T500" s="18"/>
      <c r="U500" s="18"/>
      <c r="V500" s="18"/>
      <c r="W500" s="18"/>
      <c r="X500" s="18"/>
      <c r="Y500" s="18"/>
      <c r="Z500" s="18"/>
    </row>
    <row r="501" ht="22.5" customHeight="1">
      <c r="A501" s="238">
        <v>46070.0</v>
      </c>
      <c r="B501" s="218" t="s">
        <v>5068</v>
      </c>
      <c r="C501" s="9"/>
      <c r="D501" s="228" t="s">
        <v>1180</v>
      </c>
      <c r="E501" s="230">
        <v>6.307547076E9</v>
      </c>
      <c r="F501" s="221" t="s">
        <v>3853</v>
      </c>
      <c r="G501" s="9" t="s">
        <v>5069</v>
      </c>
      <c r="H501" s="234"/>
      <c r="I501" s="232"/>
      <c r="J501" s="18"/>
      <c r="K501" s="18"/>
      <c r="L501" s="18"/>
      <c r="M501" s="18"/>
      <c r="N501" s="18"/>
      <c r="O501" s="18"/>
      <c r="P501" s="18"/>
      <c r="Q501" s="18"/>
      <c r="R501" s="18"/>
      <c r="S501" s="18"/>
      <c r="T501" s="18"/>
      <c r="U501" s="18"/>
      <c r="V501" s="18"/>
      <c r="W501" s="18"/>
      <c r="X501" s="18"/>
      <c r="Y501" s="18"/>
      <c r="Z501" s="18"/>
    </row>
    <row r="502" ht="22.5" customHeight="1">
      <c r="A502" s="238">
        <v>46070.0</v>
      </c>
      <c r="B502" s="218" t="s">
        <v>5070</v>
      </c>
      <c r="C502" s="9"/>
      <c r="D502" s="228"/>
      <c r="E502" s="230"/>
      <c r="F502" s="221" t="s">
        <v>60</v>
      </c>
      <c r="G502" s="9" t="s">
        <v>5071</v>
      </c>
      <c r="H502" s="234">
        <v>46074.0</v>
      </c>
      <c r="I502" s="232"/>
      <c r="J502" s="18"/>
      <c r="K502" s="18"/>
      <c r="L502" s="18"/>
      <c r="M502" s="18"/>
      <c r="N502" s="18"/>
      <c r="O502" s="18"/>
      <c r="P502" s="18"/>
      <c r="Q502" s="18"/>
      <c r="R502" s="18"/>
      <c r="S502" s="18"/>
      <c r="T502" s="18"/>
      <c r="U502" s="18"/>
      <c r="V502" s="18"/>
      <c r="W502" s="18"/>
      <c r="X502" s="18"/>
      <c r="Y502" s="18"/>
      <c r="Z502" s="18"/>
    </row>
    <row r="503" ht="22.5" customHeight="1">
      <c r="A503" s="238">
        <v>46070.0</v>
      </c>
      <c r="B503" s="218" t="s">
        <v>5072</v>
      </c>
      <c r="C503" s="9" t="s">
        <v>1165</v>
      </c>
      <c r="D503" s="228"/>
      <c r="E503" s="230"/>
      <c r="F503" s="221" t="s">
        <v>73</v>
      </c>
      <c r="G503" s="9" t="s">
        <v>5073</v>
      </c>
      <c r="H503" s="234"/>
      <c r="I503" s="232"/>
      <c r="J503" s="18"/>
      <c r="K503" s="18"/>
      <c r="L503" s="18"/>
      <c r="M503" s="18"/>
      <c r="N503" s="18"/>
      <c r="O503" s="18"/>
      <c r="P503" s="18"/>
      <c r="Q503" s="18"/>
      <c r="R503" s="18"/>
      <c r="S503" s="18"/>
      <c r="T503" s="18"/>
      <c r="U503" s="18"/>
      <c r="V503" s="18"/>
      <c r="W503" s="18"/>
      <c r="X503" s="18"/>
      <c r="Y503" s="18"/>
      <c r="Z503" s="18"/>
    </row>
    <row r="504" ht="22.5" customHeight="1">
      <c r="A504" s="238">
        <v>46070.0</v>
      </c>
      <c r="B504" s="218" t="s">
        <v>5074</v>
      </c>
      <c r="C504" s="9"/>
      <c r="D504" s="228" t="s">
        <v>5075</v>
      </c>
      <c r="E504" s="230">
        <v>9.160559004E9</v>
      </c>
      <c r="F504" s="221" t="s">
        <v>144</v>
      </c>
      <c r="G504" s="9" t="s">
        <v>5076</v>
      </c>
      <c r="H504" s="234">
        <v>46070.0</v>
      </c>
      <c r="I504" s="232">
        <v>0.7083333333333334</v>
      </c>
      <c r="J504" s="18"/>
      <c r="K504" s="18"/>
      <c r="L504" s="18"/>
      <c r="M504" s="18"/>
      <c r="N504" s="18"/>
      <c r="O504" s="18"/>
      <c r="P504" s="18"/>
      <c r="Q504" s="18"/>
      <c r="R504" s="18"/>
      <c r="S504" s="18"/>
      <c r="T504" s="18"/>
      <c r="U504" s="18"/>
      <c r="V504" s="18"/>
      <c r="W504" s="18"/>
      <c r="X504" s="18"/>
      <c r="Y504" s="18"/>
      <c r="Z504" s="18"/>
    </row>
    <row r="505" ht="22.5" customHeight="1">
      <c r="A505" s="238">
        <v>46070.0</v>
      </c>
      <c r="B505" s="218" t="s">
        <v>5077</v>
      </c>
      <c r="C505" s="9"/>
      <c r="D505" s="228" t="s">
        <v>5078</v>
      </c>
      <c r="E505" s="230">
        <v>8.074651105E9</v>
      </c>
      <c r="F505" s="221" t="s">
        <v>45</v>
      </c>
      <c r="G505" s="9" t="s">
        <v>5079</v>
      </c>
      <c r="H505" s="234"/>
      <c r="I505" s="232"/>
      <c r="J505" s="18"/>
      <c r="K505" s="18"/>
      <c r="L505" s="18"/>
      <c r="M505" s="18"/>
      <c r="N505" s="18"/>
      <c r="O505" s="18"/>
      <c r="P505" s="18"/>
      <c r="Q505" s="18"/>
      <c r="R505" s="18"/>
      <c r="S505" s="18"/>
      <c r="T505" s="18"/>
      <c r="U505" s="18"/>
      <c r="V505" s="18"/>
      <c r="W505" s="18"/>
      <c r="X505" s="18"/>
      <c r="Y505" s="18"/>
      <c r="Z505" s="18"/>
    </row>
    <row r="506" ht="22.5" customHeight="1">
      <c r="A506" s="238">
        <v>46070.0</v>
      </c>
      <c r="B506" s="218" t="s">
        <v>5080</v>
      </c>
      <c r="C506" s="9"/>
      <c r="D506" s="228"/>
      <c r="E506" s="230"/>
      <c r="F506" s="221" t="s">
        <v>45</v>
      </c>
      <c r="G506" s="9" t="s">
        <v>5081</v>
      </c>
      <c r="H506" s="234">
        <v>46077.0</v>
      </c>
      <c r="I506" s="232"/>
      <c r="J506" s="18"/>
      <c r="K506" s="18"/>
      <c r="L506" s="18"/>
      <c r="M506" s="18"/>
      <c r="N506" s="18"/>
      <c r="O506" s="18"/>
      <c r="P506" s="18"/>
      <c r="Q506" s="18"/>
      <c r="R506" s="18"/>
      <c r="S506" s="18"/>
      <c r="T506" s="18"/>
      <c r="U506" s="18"/>
      <c r="V506" s="18"/>
      <c r="W506" s="18"/>
      <c r="X506" s="18"/>
      <c r="Y506" s="18"/>
      <c r="Z506" s="18"/>
    </row>
    <row r="507" ht="22.5" customHeight="1">
      <c r="A507" s="238">
        <v>46070.0</v>
      </c>
      <c r="B507" s="15" t="s">
        <v>5082</v>
      </c>
      <c r="C507" s="9"/>
      <c r="D507" s="228" t="s">
        <v>5083</v>
      </c>
      <c r="E507" s="230">
        <v>7.702209893E9</v>
      </c>
      <c r="F507" s="221" t="s">
        <v>73</v>
      </c>
      <c r="G507" s="9" t="s">
        <v>4717</v>
      </c>
      <c r="H507" s="234"/>
      <c r="I507" s="232"/>
      <c r="J507" s="18"/>
      <c r="K507" s="18"/>
      <c r="L507" s="18"/>
      <c r="M507" s="18"/>
      <c r="N507" s="18"/>
      <c r="O507" s="18"/>
      <c r="P507" s="18"/>
      <c r="Q507" s="18"/>
      <c r="R507" s="18"/>
      <c r="S507" s="18"/>
      <c r="T507" s="18"/>
      <c r="U507" s="18"/>
      <c r="V507" s="18"/>
      <c r="W507" s="18"/>
      <c r="X507" s="18"/>
      <c r="Y507" s="18"/>
      <c r="Z507" s="18"/>
    </row>
    <row r="508" ht="22.5" customHeight="1">
      <c r="A508" s="238">
        <v>46070.0</v>
      </c>
      <c r="B508" s="218" t="s">
        <v>5084</v>
      </c>
      <c r="C508" s="9"/>
      <c r="D508" s="228" t="s">
        <v>5085</v>
      </c>
      <c r="E508" s="230">
        <v>9.703580006E9</v>
      </c>
      <c r="F508" s="221" t="s">
        <v>144</v>
      </c>
      <c r="G508" s="9" t="s">
        <v>5086</v>
      </c>
      <c r="H508" s="234">
        <v>46070.0</v>
      </c>
      <c r="I508" s="232">
        <v>0.8333333333333334</v>
      </c>
      <c r="J508" s="18"/>
      <c r="K508" s="18"/>
      <c r="L508" s="18"/>
      <c r="M508" s="18"/>
      <c r="N508" s="18"/>
      <c r="O508" s="18"/>
      <c r="P508" s="18"/>
      <c r="Q508" s="18"/>
      <c r="R508" s="18"/>
      <c r="S508" s="18"/>
      <c r="T508" s="18"/>
      <c r="U508" s="18"/>
      <c r="V508" s="18"/>
      <c r="W508" s="18"/>
      <c r="X508" s="18"/>
      <c r="Y508" s="18"/>
      <c r="Z508" s="18"/>
    </row>
    <row r="509" ht="22.5" customHeight="1">
      <c r="A509" s="238">
        <v>46070.0</v>
      </c>
      <c r="B509" s="218" t="s">
        <v>5087</v>
      </c>
      <c r="C509" s="9" t="s">
        <v>4625</v>
      </c>
      <c r="D509" s="228" t="s">
        <v>5088</v>
      </c>
      <c r="E509" s="230"/>
      <c r="F509" s="221" t="s">
        <v>186</v>
      </c>
      <c r="G509" s="9" t="s">
        <v>5089</v>
      </c>
      <c r="H509" s="234"/>
      <c r="I509" s="232"/>
      <c r="J509" s="18"/>
      <c r="K509" s="18"/>
      <c r="L509" s="18"/>
      <c r="M509" s="18"/>
      <c r="N509" s="18"/>
      <c r="O509" s="18"/>
      <c r="P509" s="18"/>
      <c r="Q509" s="18"/>
      <c r="R509" s="18"/>
      <c r="S509" s="18"/>
      <c r="T509" s="18"/>
      <c r="U509" s="18"/>
      <c r="V509" s="18"/>
      <c r="W509" s="18"/>
      <c r="X509" s="18"/>
      <c r="Y509" s="18"/>
      <c r="Z509" s="18"/>
    </row>
    <row r="510" ht="22.5" customHeight="1">
      <c r="A510" s="238">
        <v>46070.0</v>
      </c>
      <c r="B510" s="218" t="s">
        <v>1479</v>
      </c>
      <c r="C510" s="9"/>
      <c r="D510" s="228"/>
      <c r="E510" s="230"/>
      <c r="F510" s="221" t="s">
        <v>241</v>
      </c>
      <c r="G510" s="9" t="s">
        <v>5090</v>
      </c>
      <c r="H510" s="234"/>
      <c r="I510" s="232"/>
      <c r="J510" s="18"/>
      <c r="K510" s="18"/>
      <c r="L510" s="18"/>
      <c r="M510" s="18"/>
      <c r="N510" s="18"/>
      <c r="O510" s="18"/>
      <c r="P510" s="18"/>
      <c r="Q510" s="18"/>
      <c r="R510" s="18"/>
      <c r="S510" s="18"/>
      <c r="T510" s="18"/>
      <c r="U510" s="18"/>
      <c r="V510" s="18"/>
      <c r="W510" s="18"/>
      <c r="X510" s="18"/>
      <c r="Y510" s="18"/>
      <c r="Z510" s="18"/>
    </row>
    <row r="511" ht="22.5" customHeight="1">
      <c r="A511" s="238">
        <v>46070.0</v>
      </c>
      <c r="B511" s="218" t="s">
        <v>5091</v>
      </c>
      <c r="C511" s="9"/>
      <c r="D511" s="228"/>
      <c r="E511" s="230"/>
      <c r="F511" s="221" t="s">
        <v>241</v>
      </c>
      <c r="G511" s="9" t="s">
        <v>5092</v>
      </c>
      <c r="H511" s="234"/>
      <c r="I511" s="232"/>
      <c r="J511" s="18"/>
      <c r="K511" s="18"/>
      <c r="L511" s="18"/>
      <c r="M511" s="18"/>
      <c r="N511" s="18"/>
      <c r="O511" s="18"/>
      <c r="P511" s="18"/>
      <c r="Q511" s="18"/>
      <c r="R511" s="18"/>
      <c r="S511" s="18"/>
      <c r="T511" s="18"/>
      <c r="U511" s="18"/>
      <c r="V511" s="18"/>
      <c r="W511" s="18"/>
      <c r="X511" s="18"/>
      <c r="Y511" s="18"/>
      <c r="Z511" s="18"/>
    </row>
    <row r="512" ht="22.5" customHeight="1">
      <c r="A512" s="238">
        <v>46070.0</v>
      </c>
      <c r="B512" s="218" t="s">
        <v>5093</v>
      </c>
      <c r="C512" s="9" t="s">
        <v>1198</v>
      </c>
      <c r="D512" s="228"/>
      <c r="E512" s="230"/>
      <c r="F512" s="221" t="s">
        <v>73</v>
      </c>
      <c r="G512" s="9" t="s">
        <v>5094</v>
      </c>
      <c r="H512" s="234"/>
      <c r="I512" s="232"/>
      <c r="J512" s="18"/>
      <c r="K512" s="18"/>
      <c r="L512" s="18"/>
      <c r="M512" s="18"/>
      <c r="N512" s="18"/>
      <c r="O512" s="18"/>
      <c r="P512" s="18"/>
      <c r="Q512" s="18"/>
      <c r="R512" s="18"/>
      <c r="S512" s="18"/>
      <c r="T512" s="18"/>
      <c r="U512" s="18"/>
      <c r="V512" s="18"/>
      <c r="W512" s="18"/>
      <c r="X512" s="18"/>
      <c r="Y512" s="18"/>
      <c r="Z512" s="18"/>
    </row>
    <row r="513" ht="22.5" customHeight="1">
      <c r="A513" s="238">
        <v>46070.0</v>
      </c>
      <c r="B513" s="218" t="s">
        <v>5095</v>
      </c>
      <c r="C513" s="9"/>
      <c r="D513" s="228"/>
      <c r="E513" s="230"/>
      <c r="F513" s="221" t="s">
        <v>45</v>
      </c>
      <c r="G513" s="9" t="s">
        <v>5096</v>
      </c>
      <c r="H513" s="234"/>
      <c r="I513" s="232"/>
      <c r="J513" s="18"/>
      <c r="K513" s="18"/>
      <c r="L513" s="18"/>
      <c r="M513" s="18"/>
      <c r="N513" s="18"/>
      <c r="O513" s="18"/>
      <c r="P513" s="18"/>
      <c r="Q513" s="18"/>
      <c r="R513" s="18"/>
      <c r="S513" s="18"/>
      <c r="T513" s="18"/>
      <c r="U513" s="18"/>
      <c r="V513" s="18"/>
      <c r="W513" s="18"/>
      <c r="X513" s="18"/>
      <c r="Y513" s="18"/>
      <c r="Z513" s="18"/>
    </row>
    <row r="514" ht="22.5" customHeight="1">
      <c r="A514" s="238">
        <v>46070.0</v>
      </c>
      <c r="B514" s="218" t="s">
        <v>5097</v>
      </c>
      <c r="D514" s="9" t="s">
        <v>5098</v>
      </c>
      <c r="E514" s="230"/>
      <c r="F514" s="221" t="s">
        <v>144</v>
      </c>
      <c r="G514" s="9" t="s">
        <v>5099</v>
      </c>
      <c r="H514" s="234">
        <v>46070.0</v>
      </c>
      <c r="I514" s="232">
        <v>0.6666666666666666</v>
      </c>
      <c r="J514" s="18"/>
      <c r="K514" s="18"/>
      <c r="L514" s="18"/>
      <c r="M514" s="18"/>
      <c r="N514" s="18"/>
      <c r="O514" s="18"/>
      <c r="P514" s="18"/>
      <c r="Q514" s="18"/>
      <c r="R514" s="18"/>
      <c r="S514" s="18"/>
      <c r="T514" s="18"/>
      <c r="U514" s="18"/>
      <c r="V514" s="18"/>
      <c r="W514" s="18"/>
      <c r="X514" s="18"/>
      <c r="Y514" s="18"/>
      <c r="Z514" s="18"/>
    </row>
    <row r="515" ht="22.5" customHeight="1">
      <c r="A515" s="238">
        <v>46070.0</v>
      </c>
      <c r="B515" s="218" t="s">
        <v>5100</v>
      </c>
      <c r="C515" s="9"/>
      <c r="D515" s="228" t="s">
        <v>5101</v>
      </c>
      <c r="E515" s="230">
        <v>9.34703592E9</v>
      </c>
      <c r="F515" s="221" t="s">
        <v>45</v>
      </c>
      <c r="G515" s="9" t="s">
        <v>5102</v>
      </c>
      <c r="H515" s="234"/>
      <c r="I515" s="232"/>
      <c r="J515" s="18"/>
      <c r="K515" s="18"/>
      <c r="L515" s="18"/>
      <c r="M515" s="18"/>
      <c r="N515" s="18"/>
      <c r="O515" s="18"/>
      <c r="P515" s="18"/>
      <c r="Q515" s="18"/>
      <c r="R515" s="18"/>
      <c r="S515" s="18"/>
      <c r="T515" s="18"/>
      <c r="U515" s="18"/>
      <c r="V515" s="18"/>
      <c r="W515" s="18"/>
      <c r="X515" s="18"/>
      <c r="Y515" s="18"/>
      <c r="Z515" s="18"/>
    </row>
    <row r="516" ht="22.5" customHeight="1">
      <c r="A516" s="238">
        <v>46070.0</v>
      </c>
      <c r="B516" s="218" t="s">
        <v>5103</v>
      </c>
      <c r="C516" s="9"/>
      <c r="D516" s="228" t="s">
        <v>5104</v>
      </c>
      <c r="E516" s="230">
        <v>9.00000965E9</v>
      </c>
      <c r="F516" s="221" t="s">
        <v>3853</v>
      </c>
      <c r="G516" s="9" t="s">
        <v>5105</v>
      </c>
      <c r="H516" s="234"/>
      <c r="I516" s="232"/>
      <c r="J516" s="18"/>
      <c r="K516" s="18"/>
      <c r="L516" s="18"/>
      <c r="M516" s="18"/>
      <c r="N516" s="18"/>
      <c r="O516" s="18"/>
      <c r="P516" s="18"/>
      <c r="Q516" s="18"/>
      <c r="R516" s="18"/>
      <c r="S516" s="18"/>
      <c r="T516" s="18"/>
      <c r="U516" s="18"/>
      <c r="V516" s="18"/>
      <c r="W516" s="18"/>
      <c r="X516" s="18"/>
      <c r="Y516" s="18"/>
      <c r="Z516" s="18"/>
    </row>
    <row r="517" ht="22.5" customHeight="1">
      <c r="A517" s="238">
        <v>46070.0</v>
      </c>
      <c r="B517" s="218" t="s">
        <v>5106</v>
      </c>
      <c r="C517" s="9"/>
      <c r="D517" s="228"/>
      <c r="E517" s="230"/>
      <c r="F517" s="221" t="s">
        <v>241</v>
      </c>
      <c r="G517" s="9" t="s">
        <v>5107</v>
      </c>
      <c r="H517" s="234"/>
      <c r="I517" s="232"/>
      <c r="J517" s="18"/>
      <c r="K517" s="18"/>
      <c r="L517" s="18"/>
      <c r="M517" s="18"/>
      <c r="N517" s="18"/>
      <c r="O517" s="18"/>
      <c r="P517" s="18"/>
      <c r="Q517" s="18"/>
      <c r="R517" s="18"/>
      <c r="S517" s="18"/>
      <c r="T517" s="18"/>
      <c r="U517" s="18"/>
      <c r="V517" s="18"/>
      <c r="W517" s="18"/>
      <c r="X517" s="18"/>
      <c r="Y517" s="18"/>
      <c r="Z517" s="18"/>
    </row>
    <row r="518" ht="22.5" customHeight="1">
      <c r="A518" s="238">
        <v>46070.0</v>
      </c>
      <c r="B518" s="218" t="s">
        <v>5108</v>
      </c>
      <c r="C518" s="9"/>
      <c r="D518" s="228"/>
      <c r="E518" s="230"/>
      <c r="F518" s="221" t="s">
        <v>45</v>
      </c>
      <c r="G518" s="9" t="s">
        <v>5109</v>
      </c>
      <c r="H518" s="234">
        <v>46070.0</v>
      </c>
      <c r="I518" s="232">
        <v>0.8333333333333334</v>
      </c>
      <c r="J518" s="18"/>
      <c r="K518" s="18"/>
      <c r="L518" s="18"/>
      <c r="M518" s="18"/>
      <c r="N518" s="18"/>
      <c r="O518" s="18"/>
      <c r="P518" s="18"/>
      <c r="Q518" s="18"/>
      <c r="R518" s="18"/>
      <c r="S518" s="18"/>
      <c r="T518" s="18"/>
      <c r="U518" s="18"/>
      <c r="V518" s="18"/>
      <c r="W518" s="18"/>
      <c r="X518" s="18"/>
      <c r="Y518" s="18"/>
      <c r="Z518" s="18"/>
    </row>
    <row r="519" ht="22.5" customHeight="1">
      <c r="A519" s="238">
        <v>46070.0</v>
      </c>
      <c r="B519" s="218" t="s">
        <v>3369</v>
      </c>
      <c r="C519" s="9"/>
      <c r="D519" s="228"/>
      <c r="E519" s="230">
        <v>9.642114111E9</v>
      </c>
      <c r="F519" s="221" t="s">
        <v>144</v>
      </c>
      <c r="G519" s="9" t="s">
        <v>5110</v>
      </c>
      <c r="H519" s="234">
        <v>46080.0</v>
      </c>
      <c r="I519" s="232"/>
      <c r="J519" s="18"/>
      <c r="K519" s="18"/>
      <c r="L519" s="18"/>
      <c r="M519" s="18"/>
      <c r="N519" s="18"/>
      <c r="O519" s="18"/>
      <c r="P519" s="18"/>
      <c r="Q519" s="18"/>
      <c r="R519" s="18"/>
      <c r="S519" s="18"/>
      <c r="T519" s="18"/>
      <c r="U519" s="18"/>
      <c r="V519" s="18"/>
      <c r="W519" s="18"/>
      <c r="X519" s="18"/>
      <c r="Y519" s="18"/>
      <c r="Z519" s="18"/>
    </row>
    <row r="520" ht="22.5" customHeight="1">
      <c r="A520" s="238">
        <v>46070.0</v>
      </c>
      <c r="B520" s="218" t="s">
        <v>5111</v>
      </c>
      <c r="C520" s="9"/>
      <c r="D520" s="228" t="s">
        <v>5112</v>
      </c>
      <c r="E520" s="230">
        <v>7.33099147E9</v>
      </c>
      <c r="F520" s="221" t="s">
        <v>241</v>
      </c>
      <c r="G520" s="9" t="s">
        <v>5113</v>
      </c>
      <c r="H520" s="234">
        <v>46070.0</v>
      </c>
      <c r="I520" s="232">
        <v>0.7291666666666666</v>
      </c>
      <c r="J520" s="18"/>
      <c r="K520" s="18"/>
      <c r="L520" s="18"/>
      <c r="M520" s="18"/>
      <c r="N520" s="18"/>
      <c r="O520" s="18"/>
      <c r="P520" s="18"/>
      <c r="Q520" s="18"/>
      <c r="R520" s="18"/>
      <c r="S520" s="18"/>
      <c r="T520" s="18"/>
      <c r="U520" s="18"/>
      <c r="V520" s="18"/>
      <c r="W520" s="18"/>
      <c r="X520" s="18"/>
      <c r="Y520" s="18"/>
      <c r="Z520" s="18"/>
    </row>
    <row r="521" ht="22.5" customHeight="1">
      <c r="A521" s="238">
        <v>46070.0</v>
      </c>
      <c r="B521" s="218" t="s">
        <v>5114</v>
      </c>
      <c r="C521" s="9"/>
      <c r="D521" s="228"/>
      <c r="E521" s="230">
        <v>9.246342148E9</v>
      </c>
      <c r="F521" s="221" t="s">
        <v>3853</v>
      </c>
      <c r="G521" s="9" t="s">
        <v>5115</v>
      </c>
      <c r="H521" s="234"/>
      <c r="I521" s="232"/>
      <c r="J521" s="18"/>
      <c r="K521" s="18"/>
      <c r="L521" s="18"/>
      <c r="M521" s="18"/>
      <c r="N521" s="18"/>
      <c r="O521" s="18"/>
      <c r="P521" s="18"/>
      <c r="Q521" s="18"/>
      <c r="R521" s="18"/>
      <c r="S521" s="18"/>
      <c r="T521" s="18"/>
      <c r="U521" s="18"/>
      <c r="V521" s="18"/>
      <c r="W521" s="18"/>
      <c r="X521" s="18"/>
      <c r="Y521" s="18"/>
      <c r="Z521" s="18"/>
    </row>
    <row r="522" ht="22.5" customHeight="1">
      <c r="A522" s="238">
        <v>46070.0</v>
      </c>
      <c r="B522" s="218" t="s">
        <v>5116</v>
      </c>
      <c r="C522" s="9"/>
      <c r="D522" s="228" t="s">
        <v>5117</v>
      </c>
      <c r="E522" s="230">
        <v>9.000360723E9</v>
      </c>
      <c r="F522" s="221" t="s">
        <v>241</v>
      </c>
      <c r="G522" s="9" t="s">
        <v>5118</v>
      </c>
      <c r="H522" s="234"/>
      <c r="I522" s="232"/>
      <c r="J522" s="18"/>
      <c r="K522" s="18"/>
      <c r="L522" s="18"/>
      <c r="M522" s="18"/>
      <c r="N522" s="18"/>
      <c r="O522" s="18"/>
      <c r="P522" s="18"/>
      <c r="Q522" s="18"/>
      <c r="R522" s="18"/>
      <c r="S522" s="18"/>
      <c r="T522" s="18"/>
      <c r="U522" s="18"/>
      <c r="V522" s="18"/>
      <c r="W522" s="18"/>
      <c r="X522" s="18"/>
      <c r="Y522" s="18"/>
      <c r="Z522" s="18"/>
    </row>
    <row r="523" ht="22.5" customHeight="1">
      <c r="A523" s="238">
        <v>46070.0</v>
      </c>
      <c r="B523" s="218" t="s">
        <v>5119</v>
      </c>
      <c r="C523" s="9"/>
      <c r="D523" s="228"/>
      <c r="E523" s="230"/>
      <c r="F523" s="221" t="s">
        <v>241</v>
      </c>
      <c r="G523" s="9" t="s">
        <v>5120</v>
      </c>
      <c r="H523" s="234"/>
      <c r="I523" s="232"/>
      <c r="J523" s="18"/>
      <c r="K523" s="18"/>
      <c r="L523" s="18"/>
      <c r="M523" s="18"/>
      <c r="N523" s="18"/>
      <c r="O523" s="18"/>
      <c r="P523" s="18"/>
      <c r="Q523" s="18"/>
      <c r="R523" s="18"/>
      <c r="S523" s="18"/>
      <c r="T523" s="18"/>
      <c r="U523" s="18"/>
      <c r="V523" s="18"/>
      <c r="W523" s="18"/>
      <c r="X523" s="18"/>
      <c r="Y523" s="18"/>
      <c r="Z523" s="18"/>
    </row>
    <row r="524" ht="22.5" customHeight="1">
      <c r="A524" s="238">
        <v>46070.0</v>
      </c>
      <c r="B524" s="218" t="s">
        <v>5121</v>
      </c>
      <c r="C524" s="9"/>
      <c r="D524" s="228" t="s">
        <v>5122</v>
      </c>
      <c r="E524" s="230">
        <v>9.233549583E9</v>
      </c>
      <c r="F524" s="221" t="s">
        <v>241</v>
      </c>
      <c r="G524" s="9" t="s">
        <v>5123</v>
      </c>
      <c r="H524" s="234"/>
      <c r="I524" s="232"/>
      <c r="J524" s="18"/>
      <c r="K524" s="18"/>
      <c r="L524" s="18"/>
      <c r="M524" s="18"/>
      <c r="N524" s="18"/>
      <c r="O524" s="18"/>
      <c r="P524" s="18"/>
      <c r="Q524" s="18"/>
      <c r="R524" s="18"/>
      <c r="S524" s="18"/>
      <c r="T524" s="18"/>
      <c r="U524" s="18"/>
      <c r="V524" s="18"/>
      <c r="W524" s="18"/>
      <c r="X524" s="18"/>
      <c r="Y524" s="18"/>
      <c r="Z524" s="18"/>
    </row>
    <row r="525" ht="22.5" customHeight="1">
      <c r="A525" s="238">
        <v>46070.0</v>
      </c>
      <c r="B525" s="218" t="s">
        <v>5124</v>
      </c>
      <c r="C525" s="9"/>
      <c r="D525" s="228" t="s">
        <v>5125</v>
      </c>
      <c r="E525" s="230">
        <v>8.801558662E9</v>
      </c>
      <c r="F525" s="221" t="s">
        <v>241</v>
      </c>
      <c r="G525" s="9" t="s">
        <v>5126</v>
      </c>
      <c r="H525" s="234">
        <v>46070.0</v>
      </c>
      <c r="I525" s="232">
        <v>0.75</v>
      </c>
      <c r="J525" s="18"/>
      <c r="K525" s="18"/>
      <c r="L525" s="18"/>
      <c r="M525" s="18"/>
      <c r="N525" s="18"/>
      <c r="O525" s="18"/>
      <c r="P525" s="18"/>
      <c r="Q525" s="18"/>
      <c r="R525" s="18"/>
      <c r="S525" s="18"/>
      <c r="T525" s="18"/>
      <c r="U525" s="18"/>
      <c r="V525" s="18"/>
      <c r="W525" s="18"/>
      <c r="X525" s="18"/>
      <c r="Y525" s="18"/>
      <c r="Z525" s="18"/>
    </row>
    <row r="526" ht="22.5" customHeight="1">
      <c r="A526" s="238">
        <v>46070.0</v>
      </c>
      <c r="B526" s="218" t="s">
        <v>5127</v>
      </c>
      <c r="C526" s="9"/>
      <c r="D526" s="228"/>
      <c r="E526" s="230"/>
      <c r="F526" s="221" t="s">
        <v>60</v>
      </c>
      <c r="G526" s="9" t="s">
        <v>5128</v>
      </c>
      <c r="H526" s="234"/>
      <c r="I526" s="232"/>
      <c r="J526" s="18"/>
      <c r="K526" s="18"/>
      <c r="L526" s="18"/>
      <c r="M526" s="18"/>
      <c r="N526" s="18"/>
      <c r="O526" s="18"/>
      <c r="P526" s="18"/>
      <c r="Q526" s="18"/>
      <c r="R526" s="18"/>
      <c r="S526" s="18"/>
      <c r="T526" s="18"/>
      <c r="U526" s="18"/>
      <c r="V526" s="18"/>
      <c r="W526" s="18"/>
      <c r="X526" s="18"/>
      <c r="Y526" s="18"/>
      <c r="Z526" s="18"/>
    </row>
    <row r="527" ht="22.5" customHeight="1">
      <c r="A527" s="238">
        <v>46070.0</v>
      </c>
      <c r="B527" s="218" t="s">
        <v>5129</v>
      </c>
      <c r="C527" s="9"/>
      <c r="D527" s="228"/>
      <c r="E527" s="230"/>
      <c r="F527" s="221" t="s">
        <v>241</v>
      </c>
      <c r="G527" s="9" t="s">
        <v>5130</v>
      </c>
      <c r="H527" s="234"/>
      <c r="I527" s="232"/>
      <c r="J527" s="18"/>
      <c r="K527" s="18"/>
      <c r="L527" s="18"/>
      <c r="M527" s="18"/>
      <c r="N527" s="18"/>
      <c r="O527" s="18"/>
      <c r="P527" s="18"/>
      <c r="Q527" s="18"/>
      <c r="R527" s="18"/>
      <c r="S527" s="18"/>
      <c r="T527" s="18"/>
      <c r="U527" s="18"/>
      <c r="V527" s="18"/>
      <c r="W527" s="18"/>
      <c r="X527" s="18"/>
      <c r="Y527" s="18"/>
      <c r="Z527" s="18"/>
    </row>
    <row r="528" ht="22.5" customHeight="1">
      <c r="A528" s="238">
        <v>46070.0</v>
      </c>
      <c r="B528" s="218" t="s">
        <v>5131</v>
      </c>
      <c r="C528" s="9"/>
      <c r="D528" s="228"/>
      <c r="E528" s="230"/>
      <c r="F528" s="221" t="s">
        <v>45</v>
      </c>
      <c r="G528" s="9" t="s">
        <v>5132</v>
      </c>
      <c r="H528" s="234"/>
      <c r="I528" s="232"/>
      <c r="J528" s="18"/>
      <c r="K528" s="18"/>
      <c r="L528" s="18"/>
      <c r="M528" s="18"/>
      <c r="N528" s="18"/>
      <c r="O528" s="18"/>
      <c r="P528" s="18"/>
      <c r="Q528" s="18"/>
      <c r="R528" s="18"/>
      <c r="S528" s="18"/>
      <c r="T528" s="18"/>
      <c r="U528" s="18"/>
      <c r="V528" s="18"/>
      <c r="W528" s="18"/>
      <c r="X528" s="18"/>
      <c r="Y528" s="18"/>
      <c r="Z528" s="18"/>
    </row>
    <row r="529" ht="22.5" customHeight="1">
      <c r="A529" s="238">
        <v>46070.0</v>
      </c>
      <c r="B529" s="218" t="s">
        <v>5133</v>
      </c>
      <c r="C529" s="9"/>
      <c r="D529" s="228" t="s">
        <v>5134</v>
      </c>
      <c r="E529" s="230">
        <v>8.80129776E9</v>
      </c>
      <c r="F529" s="221" t="s">
        <v>144</v>
      </c>
      <c r="G529" s="9" t="s">
        <v>5135</v>
      </c>
      <c r="H529" s="234"/>
      <c r="I529" s="232"/>
      <c r="J529" s="18"/>
      <c r="K529" s="18"/>
      <c r="L529" s="18"/>
      <c r="M529" s="18"/>
      <c r="N529" s="18"/>
      <c r="O529" s="18"/>
      <c r="P529" s="18"/>
      <c r="Q529" s="18"/>
      <c r="R529" s="18"/>
      <c r="S529" s="18"/>
      <c r="T529" s="18"/>
      <c r="U529" s="18"/>
      <c r="V529" s="18"/>
      <c r="W529" s="18"/>
      <c r="X529" s="18"/>
      <c r="Y529" s="18"/>
      <c r="Z529" s="18"/>
    </row>
    <row r="530" ht="22.5" customHeight="1">
      <c r="A530" s="238">
        <v>46070.0</v>
      </c>
      <c r="B530" s="218" t="s">
        <v>5136</v>
      </c>
      <c r="C530" s="9"/>
      <c r="D530" s="228" t="s">
        <v>5137</v>
      </c>
      <c r="E530" s="230">
        <v>8.106842929E9</v>
      </c>
      <c r="F530" s="221" t="s">
        <v>241</v>
      </c>
      <c r="G530" s="9" t="s">
        <v>5138</v>
      </c>
      <c r="H530" s="234"/>
      <c r="I530" s="232"/>
      <c r="J530" s="18"/>
      <c r="K530" s="18"/>
      <c r="L530" s="18"/>
      <c r="M530" s="18"/>
      <c r="N530" s="18"/>
      <c r="O530" s="18"/>
      <c r="P530" s="18"/>
      <c r="Q530" s="18"/>
      <c r="R530" s="18"/>
      <c r="S530" s="18"/>
      <c r="T530" s="18"/>
      <c r="U530" s="18"/>
      <c r="V530" s="18"/>
      <c r="W530" s="18"/>
      <c r="X530" s="18"/>
      <c r="Y530" s="18"/>
      <c r="Z530" s="18"/>
    </row>
    <row r="531" ht="22.5" customHeight="1">
      <c r="A531" s="238">
        <v>46070.0</v>
      </c>
      <c r="B531" s="218" t="s">
        <v>5139</v>
      </c>
      <c r="C531" s="9"/>
      <c r="D531" s="228" t="s">
        <v>5140</v>
      </c>
      <c r="E531" s="230">
        <v>9.908227476E9</v>
      </c>
      <c r="F531" s="221" t="s">
        <v>73</v>
      </c>
      <c r="G531" s="9" t="s">
        <v>5141</v>
      </c>
      <c r="H531" s="234">
        <v>46071.0</v>
      </c>
      <c r="I531" s="232"/>
      <c r="J531" s="18"/>
      <c r="K531" s="18"/>
      <c r="L531" s="18"/>
      <c r="M531" s="18"/>
      <c r="N531" s="18"/>
      <c r="O531" s="18"/>
      <c r="P531" s="18"/>
      <c r="Q531" s="18"/>
      <c r="R531" s="18"/>
      <c r="S531" s="18"/>
      <c r="T531" s="18"/>
      <c r="U531" s="18"/>
      <c r="V531" s="18"/>
      <c r="W531" s="18"/>
      <c r="X531" s="18"/>
      <c r="Y531" s="18"/>
      <c r="Z531" s="18"/>
    </row>
    <row r="532" ht="22.5" customHeight="1">
      <c r="A532" s="238">
        <v>46070.0</v>
      </c>
      <c r="B532" s="218" t="s">
        <v>5142</v>
      </c>
      <c r="C532" s="9"/>
      <c r="D532" s="228"/>
      <c r="E532" s="230">
        <v>9.494567064E9</v>
      </c>
      <c r="F532" s="221" t="s">
        <v>144</v>
      </c>
      <c r="G532" s="9" t="s">
        <v>5143</v>
      </c>
      <c r="H532" s="234">
        <v>46070.0</v>
      </c>
      <c r="I532" s="232">
        <v>0.7083333333333334</v>
      </c>
      <c r="J532" s="18"/>
      <c r="K532" s="18"/>
      <c r="L532" s="18"/>
      <c r="M532" s="18"/>
      <c r="N532" s="18"/>
      <c r="O532" s="18"/>
      <c r="P532" s="18"/>
      <c r="Q532" s="18"/>
      <c r="R532" s="18"/>
      <c r="S532" s="18"/>
      <c r="T532" s="18"/>
      <c r="U532" s="18"/>
      <c r="V532" s="18"/>
      <c r="W532" s="18"/>
      <c r="X532" s="18"/>
      <c r="Y532" s="18"/>
      <c r="Z532" s="18"/>
    </row>
    <row r="533" ht="22.5" customHeight="1">
      <c r="A533" s="238">
        <v>46070.0</v>
      </c>
      <c r="B533" s="218" t="s">
        <v>5033</v>
      </c>
      <c r="C533" s="9"/>
      <c r="D533" s="228" t="s">
        <v>2745</v>
      </c>
      <c r="E533" s="230">
        <v>9.030066247E9</v>
      </c>
      <c r="F533" s="221" t="s">
        <v>73</v>
      </c>
      <c r="G533" s="9" t="s">
        <v>5144</v>
      </c>
      <c r="H533" s="234"/>
      <c r="I533" s="232"/>
      <c r="J533" s="18"/>
      <c r="K533" s="18"/>
      <c r="L533" s="18"/>
      <c r="M533" s="18"/>
      <c r="N533" s="18"/>
      <c r="O533" s="18"/>
      <c r="P533" s="18"/>
      <c r="Q533" s="18"/>
      <c r="R533" s="18"/>
      <c r="S533" s="18"/>
      <c r="T533" s="18"/>
      <c r="U533" s="18"/>
      <c r="V533" s="18"/>
      <c r="W533" s="18"/>
      <c r="X533" s="18"/>
      <c r="Y533" s="18"/>
      <c r="Z533" s="18"/>
    </row>
    <row r="534" ht="22.5" customHeight="1">
      <c r="A534" s="238">
        <v>46070.0</v>
      </c>
      <c r="B534" s="218" t="s">
        <v>5145</v>
      </c>
      <c r="C534" s="9"/>
      <c r="D534" s="228"/>
      <c r="E534" s="230">
        <v>7.00424097E9</v>
      </c>
      <c r="F534" s="221" t="s">
        <v>241</v>
      </c>
      <c r="G534" s="9" t="s">
        <v>5146</v>
      </c>
      <c r="H534" s="234">
        <v>46071.0</v>
      </c>
      <c r="I534" s="232"/>
      <c r="J534" s="18"/>
      <c r="K534" s="18"/>
      <c r="L534" s="18"/>
      <c r="M534" s="18"/>
      <c r="N534" s="18"/>
      <c r="O534" s="18"/>
      <c r="P534" s="18"/>
      <c r="Q534" s="18"/>
      <c r="R534" s="18"/>
      <c r="S534" s="18"/>
      <c r="T534" s="18"/>
      <c r="U534" s="18"/>
      <c r="V534" s="18"/>
      <c r="W534" s="18"/>
      <c r="X534" s="18"/>
      <c r="Y534" s="18"/>
      <c r="Z534" s="18"/>
    </row>
    <row r="535" ht="22.5" customHeight="1">
      <c r="A535" s="238">
        <v>46070.0</v>
      </c>
      <c r="B535" s="218" t="s">
        <v>5147</v>
      </c>
      <c r="C535" s="9"/>
      <c r="D535" s="228" t="s">
        <v>5148</v>
      </c>
      <c r="E535" s="230">
        <v>6.302303453E9</v>
      </c>
      <c r="F535" s="221" t="s">
        <v>241</v>
      </c>
      <c r="G535" s="9" t="s">
        <v>5149</v>
      </c>
      <c r="H535" s="234"/>
      <c r="I535" s="232"/>
      <c r="J535" s="18"/>
      <c r="K535" s="18"/>
      <c r="L535" s="18"/>
      <c r="M535" s="18"/>
      <c r="N535" s="18"/>
      <c r="O535" s="18"/>
      <c r="P535" s="18"/>
      <c r="Q535" s="18"/>
      <c r="R535" s="18"/>
      <c r="S535" s="18"/>
      <c r="T535" s="18"/>
      <c r="U535" s="18"/>
      <c r="V535" s="18"/>
      <c r="W535" s="18"/>
      <c r="X535" s="18"/>
      <c r="Y535" s="18"/>
      <c r="Z535" s="18"/>
    </row>
    <row r="536" ht="22.5" customHeight="1">
      <c r="A536" s="238">
        <v>46070.0</v>
      </c>
      <c r="B536" s="218" t="s">
        <v>5150</v>
      </c>
      <c r="C536" s="9"/>
      <c r="D536" s="228" t="s">
        <v>5151</v>
      </c>
      <c r="E536" s="230">
        <v>9.39138984E9</v>
      </c>
      <c r="F536" s="221" t="s">
        <v>73</v>
      </c>
      <c r="G536" s="9" t="s">
        <v>5152</v>
      </c>
      <c r="H536" s="234">
        <v>46071.0</v>
      </c>
      <c r="I536" s="232"/>
      <c r="J536" s="18"/>
      <c r="K536" s="18"/>
      <c r="L536" s="18"/>
      <c r="M536" s="18"/>
      <c r="N536" s="18"/>
      <c r="O536" s="18"/>
      <c r="P536" s="18"/>
      <c r="Q536" s="18"/>
      <c r="R536" s="18"/>
      <c r="S536" s="18"/>
      <c r="T536" s="18"/>
      <c r="U536" s="18"/>
      <c r="V536" s="18"/>
      <c r="W536" s="18"/>
      <c r="X536" s="18"/>
      <c r="Y536" s="18"/>
      <c r="Z536" s="18"/>
    </row>
    <row r="537" ht="22.5" customHeight="1">
      <c r="A537" s="238">
        <v>46070.0</v>
      </c>
      <c r="B537" s="218" t="s">
        <v>5153</v>
      </c>
      <c r="C537" s="9"/>
      <c r="D537" s="228" t="s">
        <v>4646</v>
      </c>
      <c r="E537" s="230">
        <v>9.59359399E8</v>
      </c>
      <c r="F537" s="221" t="s">
        <v>73</v>
      </c>
      <c r="G537" s="9" t="s">
        <v>5154</v>
      </c>
      <c r="H537" s="234"/>
      <c r="I537" s="232"/>
      <c r="J537" s="18"/>
      <c r="K537" s="18"/>
      <c r="L537" s="18"/>
      <c r="M537" s="18"/>
      <c r="N537" s="18"/>
      <c r="O537" s="18"/>
      <c r="P537" s="18"/>
      <c r="Q537" s="18"/>
      <c r="R537" s="18"/>
      <c r="S537" s="18"/>
      <c r="T537" s="18"/>
      <c r="U537" s="18"/>
      <c r="V537" s="18"/>
      <c r="W537" s="18"/>
      <c r="X537" s="18"/>
      <c r="Y537" s="18"/>
      <c r="Z537" s="18"/>
    </row>
    <row r="538" ht="22.5" customHeight="1">
      <c r="A538" s="238">
        <v>46070.0</v>
      </c>
      <c r="B538" s="218" t="s">
        <v>5155</v>
      </c>
      <c r="C538" s="9"/>
      <c r="E538" s="230"/>
      <c r="F538" s="221" t="s">
        <v>73</v>
      </c>
      <c r="G538" s="9" t="s">
        <v>4717</v>
      </c>
      <c r="H538" s="234"/>
      <c r="I538" s="232"/>
      <c r="J538" s="18"/>
      <c r="K538" s="18"/>
      <c r="L538" s="18"/>
      <c r="M538" s="18"/>
      <c r="N538" s="18"/>
      <c r="O538" s="18"/>
      <c r="P538" s="18"/>
      <c r="Q538" s="18"/>
      <c r="R538" s="18"/>
      <c r="S538" s="18"/>
      <c r="T538" s="18"/>
      <c r="U538" s="18"/>
      <c r="V538" s="18"/>
      <c r="W538" s="18"/>
      <c r="X538" s="18"/>
      <c r="Y538" s="18"/>
      <c r="Z538" s="18"/>
    </row>
    <row r="539" ht="22.5" customHeight="1">
      <c r="A539" s="238">
        <v>46070.0</v>
      </c>
      <c r="B539" s="218" t="s">
        <v>5156</v>
      </c>
      <c r="C539" s="9"/>
      <c r="D539" s="228" t="s">
        <v>2782</v>
      </c>
      <c r="E539" s="230">
        <v>8.247047507E9</v>
      </c>
      <c r="F539" s="221" t="s">
        <v>73</v>
      </c>
      <c r="G539" s="9" t="s">
        <v>4717</v>
      </c>
      <c r="H539" s="234"/>
      <c r="I539" s="232"/>
      <c r="J539" s="18"/>
      <c r="K539" s="18"/>
      <c r="L539" s="18"/>
      <c r="M539" s="18"/>
      <c r="N539" s="18"/>
      <c r="O539" s="18"/>
      <c r="P539" s="18"/>
      <c r="Q539" s="18"/>
      <c r="R539" s="18"/>
      <c r="S539" s="18"/>
      <c r="T539" s="18"/>
      <c r="U539" s="18"/>
      <c r="V539" s="18"/>
      <c r="W539" s="18"/>
      <c r="X539" s="18"/>
      <c r="Y539" s="18"/>
      <c r="Z539" s="18"/>
    </row>
    <row r="540" ht="22.5" customHeight="1">
      <c r="A540" s="238">
        <v>46070.0</v>
      </c>
      <c r="B540" s="218" t="s">
        <v>5157</v>
      </c>
      <c r="C540" s="9"/>
      <c r="D540" s="228" t="s">
        <v>5158</v>
      </c>
      <c r="E540" s="230">
        <v>9.700119173E9</v>
      </c>
      <c r="F540" s="221" t="s">
        <v>73</v>
      </c>
      <c r="G540" s="9" t="s">
        <v>5159</v>
      </c>
      <c r="H540" s="234"/>
      <c r="I540" s="232"/>
      <c r="J540" s="18"/>
      <c r="K540" s="18"/>
      <c r="L540" s="18"/>
      <c r="M540" s="18"/>
      <c r="N540" s="18"/>
      <c r="O540" s="18"/>
      <c r="P540" s="18"/>
      <c r="Q540" s="18"/>
      <c r="R540" s="18"/>
      <c r="S540" s="18"/>
      <c r="T540" s="18"/>
      <c r="U540" s="18"/>
      <c r="V540" s="18"/>
      <c r="W540" s="18"/>
      <c r="X540" s="18"/>
      <c r="Y540" s="18"/>
      <c r="Z540" s="18"/>
    </row>
    <row r="541" ht="22.5" customHeight="1">
      <c r="A541" s="238">
        <v>46070.0</v>
      </c>
      <c r="B541" s="218" t="s">
        <v>5160</v>
      </c>
      <c r="C541" s="9"/>
      <c r="D541" s="228" t="s">
        <v>4968</v>
      </c>
      <c r="E541" s="230">
        <v>6.30520208E9</v>
      </c>
      <c r="F541" s="221" t="s">
        <v>45</v>
      </c>
      <c r="G541" s="9" t="s">
        <v>5161</v>
      </c>
      <c r="H541" s="234">
        <v>46071.0</v>
      </c>
      <c r="I541" s="232"/>
      <c r="J541" s="18"/>
      <c r="K541" s="18"/>
      <c r="L541" s="18"/>
      <c r="M541" s="18"/>
      <c r="N541" s="18"/>
      <c r="O541" s="18"/>
      <c r="P541" s="18"/>
      <c r="Q541" s="18"/>
      <c r="R541" s="18"/>
      <c r="S541" s="18"/>
      <c r="T541" s="18"/>
      <c r="U541" s="18"/>
      <c r="V541" s="18"/>
      <c r="W541" s="18"/>
      <c r="X541" s="18"/>
      <c r="Y541" s="18"/>
      <c r="Z541" s="18"/>
    </row>
    <row r="542" ht="22.5" customHeight="1">
      <c r="A542" s="238">
        <v>46070.0</v>
      </c>
      <c r="B542" s="218" t="s">
        <v>5162</v>
      </c>
      <c r="C542" s="9"/>
      <c r="D542" s="228"/>
      <c r="E542" s="230"/>
      <c r="F542" s="221" t="s">
        <v>144</v>
      </c>
      <c r="G542" s="9" t="s">
        <v>5163</v>
      </c>
      <c r="H542" s="234">
        <v>46074.0</v>
      </c>
      <c r="I542" s="232"/>
      <c r="J542" s="18"/>
      <c r="K542" s="18"/>
      <c r="L542" s="18"/>
      <c r="M542" s="18"/>
      <c r="N542" s="18"/>
      <c r="O542" s="18"/>
      <c r="P542" s="18"/>
      <c r="Q542" s="18"/>
      <c r="R542" s="18"/>
      <c r="S542" s="18"/>
      <c r="T542" s="18"/>
      <c r="U542" s="18"/>
      <c r="V542" s="18"/>
      <c r="W542" s="18"/>
      <c r="X542" s="18"/>
      <c r="Y542" s="18"/>
      <c r="Z542" s="18"/>
    </row>
    <row r="543" ht="22.5" customHeight="1">
      <c r="A543" s="238">
        <v>46070.0</v>
      </c>
      <c r="B543" s="218" t="s">
        <v>5164</v>
      </c>
      <c r="C543" s="9"/>
      <c r="D543" s="228" t="s">
        <v>5165</v>
      </c>
      <c r="E543" s="230">
        <v>8.12521E9</v>
      </c>
      <c r="F543" s="221" t="s">
        <v>144</v>
      </c>
      <c r="G543" s="9" t="s">
        <v>5166</v>
      </c>
      <c r="H543" s="234"/>
      <c r="I543" s="232"/>
      <c r="J543" s="18"/>
      <c r="K543" s="18"/>
      <c r="L543" s="18"/>
      <c r="M543" s="18"/>
      <c r="N543" s="18"/>
      <c r="O543" s="18"/>
      <c r="P543" s="18"/>
      <c r="Q543" s="18"/>
      <c r="R543" s="18"/>
      <c r="S543" s="18"/>
      <c r="T543" s="18"/>
      <c r="U543" s="18"/>
      <c r="V543" s="18"/>
      <c r="W543" s="18"/>
      <c r="X543" s="18"/>
      <c r="Y543" s="18"/>
      <c r="Z543" s="18"/>
    </row>
    <row r="544" ht="22.5" customHeight="1">
      <c r="A544" s="238">
        <v>46070.0</v>
      </c>
      <c r="B544" s="218" t="s">
        <v>5167</v>
      </c>
      <c r="C544" s="9"/>
      <c r="D544" s="228" t="s">
        <v>5168</v>
      </c>
      <c r="E544" s="230">
        <v>6.301503139E9</v>
      </c>
      <c r="F544" s="221" t="s">
        <v>45</v>
      </c>
      <c r="G544" s="9" t="s">
        <v>5169</v>
      </c>
      <c r="H544" s="234"/>
      <c r="I544" s="232"/>
      <c r="J544" s="18"/>
      <c r="K544" s="18"/>
      <c r="L544" s="18"/>
      <c r="M544" s="18"/>
      <c r="N544" s="18"/>
      <c r="O544" s="18"/>
      <c r="P544" s="18"/>
      <c r="Q544" s="18"/>
      <c r="R544" s="18"/>
      <c r="S544" s="18"/>
      <c r="T544" s="18"/>
      <c r="U544" s="18"/>
      <c r="V544" s="18"/>
      <c r="W544" s="18"/>
      <c r="X544" s="18"/>
      <c r="Y544" s="18"/>
      <c r="Z544" s="18"/>
    </row>
    <row r="545" ht="22.5" customHeight="1">
      <c r="A545" s="238">
        <v>46070.0</v>
      </c>
      <c r="B545" s="218" t="s">
        <v>5170</v>
      </c>
      <c r="C545" s="9"/>
      <c r="D545" s="228"/>
      <c r="E545" s="230"/>
      <c r="F545" s="221" t="s">
        <v>241</v>
      </c>
      <c r="G545" s="9" t="s">
        <v>4261</v>
      </c>
      <c r="H545" s="234"/>
      <c r="I545" s="232"/>
      <c r="J545" s="18"/>
      <c r="K545" s="18"/>
      <c r="L545" s="18"/>
      <c r="M545" s="18"/>
      <c r="N545" s="18"/>
      <c r="O545" s="18"/>
      <c r="P545" s="18"/>
      <c r="Q545" s="18"/>
      <c r="R545" s="18"/>
      <c r="S545" s="18"/>
      <c r="T545" s="18"/>
      <c r="U545" s="18"/>
      <c r="V545" s="18"/>
      <c r="W545" s="18"/>
      <c r="X545" s="18"/>
      <c r="Y545" s="18"/>
      <c r="Z545" s="18"/>
    </row>
    <row r="546" ht="22.5" customHeight="1">
      <c r="A546" s="238">
        <v>46070.0</v>
      </c>
      <c r="B546" s="218" t="s">
        <v>1394</v>
      </c>
      <c r="C546" s="9"/>
      <c r="D546" s="228"/>
      <c r="E546" s="230"/>
      <c r="F546" s="221" t="s">
        <v>3853</v>
      </c>
      <c r="G546" s="9" t="s">
        <v>4261</v>
      </c>
      <c r="H546" s="234"/>
      <c r="I546" s="232"/>
      <c r="J546" s="18"/>
      <c r="K546" s="18"/>
      <c r="L546" s="18"/>
      <c r="M546" s="18"/>
      <c r="N546" s="18"/>
      <c r="O546" s="18"/>
      <c r="P546" s="18"/>
      <c r="Q546" s="18"/>
      <c r="R546" s="18"/>
      <c r="S546" s="18"/>
      <c r="T546" s="18"/>
      <c r="U546" s="18"/>
      <c r="V546" s="18"/>
      <c r="W546" s="18"/>
      <c r="X546" s="18"/>
      <c r="Y546" s="18"/>
      <c r="Z546" s="18"/>
    </row>
    <row r="547" ht="22.5" customHeight="1">
      <c r="A547" s="238">
        <v>46070.0</v>
      </c>
      <c r="B547" s="218" t="s">
        <v>5171</v>
      </c>
      <c r="C547" s="9"/>
      <c r="D547" s="228" t="s">
        <v>5172</v>
      </c>
      <c r="E547" s="230"/>
      <c r="F547" s="221" t="s">
        <v>144</v>
      </c>
      <c r="G547" s="9" t="s">
        <v>5173</v>
      </c>
      <c r="H547" s="234"/>
      <c r="I547" s="232"/>
      <c r="J547" s="18"/>
      <c r="K547" s="18"/>
      <c r="L547" s="18"/>
      <c r="M547" s="18"/>
      <c r="N547" s="18"/>
      <c r="O547" s="18"/>
      <c r="P547" s="18"/>
      <c r="Q547" s="18"/>
      <c r="R547" s="18"/>
      <c r="S547" s="18"/>
      <c r="T547" s="18"/>
      <c r="U547" s="18"/>
      <c r="V547" s="18"/>
      <c r="W547" s="18"/>
      <c r="X547" s="18"/>
      <c r="Y547" s="18"/>
      <c r="Z547" s="18"/>
    </row>
    <row r="548" ht="22.5" customHeight="1">
      <c r="A548" s="239">
        <v>46071.0</v>
      </c>
      <c r="B548" s="218" t="s">
        <v>5174</v>
      </c>
      <c r="C548" s="9"/>
      <c r="D548" s="228"/>
      <c r="E548" s="230"/>
      <c r="F548" s="221" t="s">
        <v>60</v>
      </c>
      <c r="G548" s="9" t="s">
        <v>5175</v>
      </c>
      <c r="H548" s="234">
        <v>46076.0</v>
      </c>
      <c r="I548" s="232"/>
      <c r="J548" s="18"/>
      <c r="K548" s="18"/>
      <c r="L548" s="18"/>
      <c r="M548" s="18"/>
      <c r="N548" s="18"/>
      <c r="O548" s="18"/>
      <c r="P548" s="18"/>
      <c r="Q548" s="18"/>
      <c r="R548" s="18"/>
      <c r="S548" s="18"/>
      <c r="T548" s="18"/>
      <c r="U548" s="18"/>
      <c r="V548" s="18"/>
      <c r="W548" s="18"/>
      <c r="X548" s="18"/>
      <c r="Y548" s="18"/>
      <c r="Z548" s="18"/>
    </row>
    <row r="549" ht="22.5" customHeight="1">
      <c r="A549" s="239">
        <v>46071.0</v>
      </c>
      <c r="B549" s="218" t="s">
        <v>5176</v>
      </c>
      <c r="C549" s="9"/>
      <c r="D549" s="228" t="s">
        <v>2697</v>
      </c>
      <c r="E549" s="230"/>
      <c r="F549" s="221" t="s">
        <v>96</v>
      </c>
      <c r="G549" s="9" t="s">
        <v>5177</v>
      </c>
      <c r="H549" s="234">
        <v>46071.0</v>
      </c>
      <c r="I549" s="232">
        <v>0.7083333333333334</v>
      </c>
      <c r="J549" s="18"/>
      <c r="K549" s="18"/>
      <c r="L549" s="18"/>
      <c r="M549" s="18"/>
      <c r="N549" s="18"/>
      <c r="O549" s="18"/>
      <c r="P549" s="18"/>
      <c r="Q549" s="18"/>
      <c r="R549" s="18"/>
      <c r="S549" s="18"/>
      <c r="T549" s="18"/>
      <c r="U549" s="18"/>
      <c r="V549" s="18"/>
      <c r="W549" s="18"/>
      <c r="X549" s="18"/>
      <c r="Y549" s="18"/>
      <c r="Z549" s="18"/>
    </row>
    <row r="550" ht="22.5" customHeight="1">
      <c r="A550" s="239">
        <v>46071.0</v>
      </c>
      <c r="B550" s="218" t="s">
        <v>1651</v>
      </c>
      <c r="C550" s="9" t="s">
        <v>610</v>
      </c>
      <c r="D550" s="228"/>
      <c r="E550" s="230"/>
      <c r="F550" s="221" t="s">
        <v>73</v>
      </c>
      <c r="G550" s="9" t="s">
        <v>5178</v>
      </c>
      <c r="H550" s="234"/>
      <c r="I550" s="232"/>
      <c r="J550" s="18"/>
      <c r="K550" s="18"/>
      <c r="L550" s="18"/>
      <c r="M550" s="18"/>
      <c r="N550" s="18"/>
      <c r="O550" s="18"/>
      <c r="P550" s="18"/>
      <c r="Q550" s="18"/>
      <c r="R550" s="18"/>
      <c r="S550" s="18"/>
      <c r="T550" s="18"/>
      <c r="U550" s="18"/>
      <c r="V550" s="18"/>
      <c r="W550" s="18"/>
      <c r="X550" s="18"/>
      <c r="Y550" s="18"/>
      <c r="Z550" s="18"/>
    </row>
    <row r="551" ht="22.5" customHeight="1">
      <c r="A551" s="239">
        <v>46071.0</v>
      </c>
      <c r="B551" s="218" t="s">
        <v>5179</v>
      </c>
      <c r="C551" s="9"/>
      <c r="D551" s="228"/>
      <c r="E551" s="230"/>
      <c r="F551" s="221" t="s">
        <v>96</v>
      </c>
      <c r="G551" s="9" t="s">
        <v>5180</v>
      </c>
      <c r="H551" s="234"/>
      <c r="I551" s="232"/>
      <c r="J551" s="18"/>
      <c r="K551" s="18"/>
      <c r="L551" s="18"/>
      <c r="M551" s="18"/>
      <c r="N551" s="18"/>
      <c r="O551" s="18"/>
      <c r="P551" s="18"/>
      <c r="Q551" s="18"/>
      <c r="R551" s="18"/>
      <c r="S551" s="18"/>
      <c r="T551" s="18"/>
      <c r="U551" s="18"/>
      <c r="V551" s="18"/>
      <c r="W551" s="18"/>
      <c r="X551" s="18"/>
      <c r="Y551" s="18"/>
      <c r="Z551" s="18"/>
    </row>
    <row r="552" ht="22.5" customHeight="1">
      <c r="A552" s="239">
        <v>46071.0</v>
      </c>
      <c r="B552" s="218" t="s">
        <v>5181</v>
      </c>
      <c r="C552" s="9" t="s">
        <v>4987</v>
      </c>
      <c r="D552" s="228"/>
      <c r="E552" s="230"/>
      <c r="F552" s="221" t="s">
        <v>3853</v>
      </c>
      <c r="G552" s="9" t="s">
        <v>5182</v>
      </c>
      <c r="H552" s="234"/>
      <c r="I552" s="232"/>
      <c r="J552" s="18"/>
      <c r="K552" s="18"/>
      <c r="L552" s="18"/>
      <c r="M552" s="18"/>
      <c r="N552" s="18"/>
      <c r="O552" s="18"/>
      <c r="P552" s="18"/>
      <c r="Q552" s="18"/>
      <c r="R552" s="18"/>
      <c r="S552" s="18"/>
      <c r="T552" s="18"/>
      <c r="U552" s="18"/>
      <c r="V552" s="18"/>
      <c r="W552" s="18"/>
      <c r="X552" s="18"/>
      <c r="Y552" s="18"/>
      <c r="Z552" s="18"/>
    </row>
    <row r="553" ht="22.5" customHeight="1">
      <c r="A553" s="239">
        <v>46071.0</v>
      </c>
      <c r="B553" s="218" t="s">
        <v>5183</v>
      </c>
      <c r="C553" s="9"/>
      <c r="D553" s="228" t="s">
        <v>5184</v>
      </c>
      <c r="E553" s="230">
        <v>9.550955064E9</v>
      </c>
      <c r="F553" s="221" t="s">
        <v>73</v>
      </c>
      <c r="G553" s="9" t="s">
        <v>5185</v>
      </c>
      <c r="H553" s="234"/>
      <c r="I553" s="232"/>
      <c r="J553" s="18"/>
      <c r="K553" s="18"/>
      <c r="L553" s="18"/>
      <c r="M553" s="18"/>
      <c r="N553" s="18"/>
      <c r="O553" s="18"/>
      <c r="P553" s="18"/>
      <c r="Q553" s="18"/>
      <c r="R553" s="18"/>
      <c r="S553" s="18"/>
      <c r="T553" s="18"/>
      <c r="U553" s="18"/>
      <c r="V553" s="18"/>
      <c r="W553" s="18"/>
      <c r="X553" s="18"/>
      <c r="Y553" s="18"/>
      <c r="Z553" s="18"/>
    </row>
    <row r="554" ht="22.5" customHeight="1">
      <c r="A554" s="239">
        <v>46071.0</v>
      </c>
      <c r="B554" s="218" t="s">
        <v>5186</v>
      </c>
      <c r="C554" s="9"/>
      <c r="D554" s="228" t="s">
        <v>5187</v>
      </c>
      <c r="E554" s="230">
        <v>9.95151122E9</v>
      </c>
      <c r="F554" s="221" t="s">
        <v>144</v>
      </c>
      <c r="G554" s="9" t="s">
        <v>5188</v>
      </c>
      <c r="H554" s="234">
        <v>46071.0</v>
      </c>
      <c r="I554" s="232">
        <v>0.6666666666666666</v>
      </c>
      <c r="J554" s="18"/>
      <c r="K554" s="18"/>
      <c r="L554" s="18"/>
      <c r="M554" s="18"/>
      <c r="N554" s="18"/>
      <c r="O554" s="18"/>
      <c r="P554" s="18"/>
      <c r="Q554" s="18"/>
      <c r="R554" s="18"/>
      <c r="S554" s="18"/>
      <c r="T554" s="18"/>
      <c r="U554" s="18"/>
      <c r="V554" s="18"/>
      <c r="W554" s="18"/>
      <c r="X554" s="18"/>
      <c r="Y554" s="18"/>
      <c r="Z554" s="18"/>
    </row>
    <row r="555" ht="22.5" customHeight="1">
      <c r="A555" s="239">
        <v>46071.0</v>
      </c>
      <c r="B555" s="218" t="s">
        <v>5189</v>
      </c>
      <c r="C555" s="9"/>
      <c r="D555" s="228" t="s">
        <v>5190</v>
      </c>
      <c r="E555" s="230">
        <v>9.618116E9</v>
      </c>
      <c r="F555" s="221" t="s">
        <v>45</v>
      </c>
      <c r="G555" s="9" t="s">
        <v>5191</v>
      </c>
      <c r="H555" s="234"/>
      <c r="I555" s="232"/>
      <c r="J555" s="18"/>
      <c r="K555" s="18"/>
      <c r="L555" s="18"/>
      <c r="M555" s="18"/>
      <c r="N555" s="18"/>
      <c r="O555" s="18"/>
      <c r="P555" s="18"/>
      <c r="Q555" s="18"/>
      <c r="R555" s="18"/>
      <c r="S555" s="18"/>
      <c r="T555" s="18"/>
      <c r="U555" s="18"/>
      <c r="V555" s="18"/>
      <c r="W555" s="18"/>
      <c r="X555" s="18"/>
      <c r="Y555" s="18"/>
      <c r="Z555" s="18"/>
    </row>
    <row r="556" ht="22.5" customHeight="1">
      <c r="A556" s="239">
        <v>46071.0</v>
      </c>
      <c r="B556" s="218" t="s">
        <v>5192</v>
      </c>
      <c r="C556" s="9"/>
      <c r="D556" s="228"/>
      <c r="E556" s="230">
        <v>8.106386969E9</v>
      </c>
      <c r="F556" s="221" t="s">
        <v>60</v>
      </c>
      <c r="G556" s="9" t="s">
        <v>5193</v>
      </c>
      <c r="H556" s="234">
        <v>46072.0</v>
      </c>
      <c r="I556" s="232">
        <v>0.7083333333333334</v>
      </c>
      <c r="J556" s="18"/>
      <c r="K556" s="18"/>
      <c r="L556" s="18"/>
      <c r="M556" s="18"/>
      <c r="N556" s="18"/>
      <c r="O556" s="18"/>
      <c r="P556" s="18"/>
      <c r="Q556" s="18"/>
      <c r="R556" s="18"/>
      <c r="S556" s="18"/>
      <c r="T556" s="18"/>
      <c r="U556" s="18"/>
      <c r="V556" s="18"/>
      <c r="W556" s="18"/>
      <c r="X556" s="18"/>
      <c r="Y556" s="18"/>
      <c r="Z556" s="18"/>
    </row>
    <row r="557" ht="22.5" customHeight="1">
      <c r="A557" s="239">
        <v>46071.0</v>
      </c>
      <c r="B557" s="218" t="s">
        <v>5194</v>
      </c>
      <c r="C557" s="9"/>
      <c r="D557" s="228" t="s">
        <v>5195</v>
      </c>
      <c r="E557" s="230">
        <v>9.959497686E9</v>
      </c>
      <c r="F557" s="221" t="s">
        <v>60</v>
      </c>
      <c r="G557" s="9" t="s">
        <v>5196</v>
      </c>
      <c r="H557" s="234">
        <v>46071.0</v>
      </c>
      <c r="I557" s="232">
        <v>0.7083333333333334</v>
      </c>
      <c r="J557" s="18"/>
      <c r="K557" s="18"/>
      <c r="L557" s="18"/>
      <c r="M557" s="18"/>
      <c r="N557" s="18"/>
      <c r="O557" s="18"/>
      <c r="P557" s="18"/>
      <c r="Q557" s="18"/>
      <c r="R557" s="18"/>
      <c r="S557" s="18"/>
      <c r="T557" s="18"/>
      <c r="U557" s="18"/>
      <c r="V557" s="18"/>
      <c r="W557" s="18"/>
      <c r="X557" s="18"/>
      <c r="Y557" s="18"/>
      <c r="Z557" s="18"/>
    </row>
    <row r="558" ht="22.5" customHeight="1">
      <c r="A558" s="239">
        <v>46071.0</v>
      </c>
      <c r="B558" s="218" t="s">
        <v>5197</v>
      </c>
      <c r="C558" s="9"/>
      <c r="D558" s="228" t="s">
        <v>5198</v>
      </c>
      <c r="E558" s="230">
        <v>8.897389987E9</v>
      </c>
      <c r="F558" s="221" t="s">
        <v>73</v>
      </c>
      <c r="G558" s="9" t="s">
        <v>5199</v>
      </c>
      <c r="H558" s="234"/>
      <c r="I558" s="232"/>
      <c r="J558" s="18"/>
      <c r="K558" s="18"/>
      <c r="L558" s="18"/>
      <c r="M558" s="18"/>
      <c r="N558" s="18"/>
      <c r="O558" s="18"/>
      <c r="P558" s="18"/>
      <c r="Q558" s="18"/>
      <c r="R558" s="18"/>
      <c r="S558" s="18"/>
      <c r="T558" s="18"/>
      <c r="U558" s="18"/>
      <c r="V558" s="18"/>
      <c r="W558" s="18"/>
      <c r="X558" s="18"/>
      <c r="Y558" s="18"/>
      <c r="Z558" s="18"/>
    </row>
    <row r="559" ht="22.5" customHeight="1">
      <c r="A559" s="239">
        <v>46071.0</v>
      </c>
      <c r="B559" s="218" t="s">
        <v>5200</v>
      </c>
      <c r="C559" s="9"/>
      <c r="D559" s="228" t="s">
        <v>5201</v>
      </c>
      <c r="E559" s="230">
        <v>9.562870851E9</v>
      </c>
      <c r="F559" s="221" t="s">
        <v>144</v>
      </c>
      <c r="G559" s="9" t="s">
        <v>5202</v>
      </c>
      <c r="H559" s="234">
        <v>46072.0</v>
      </c>
      <c r="I559" s="232">
        <v>0.5833333333333334</v>
      </c>
      <c r="J559" s="18"/>
      <c r="K559" s="18"/>
      <c r="L559" s="18"/>
      <c r="M559" s="18"/>
      <c r="N559" s="18"/>
      <c r="O559" s="18"/>
      <c r="P559" s="18"/>
      <c r="Q559" s="18"/>
      <c r="R559" s="18"/>
      <c r="S559" s="18"/>
      <c r="T559" s="18"/>
      <c r="U559" s="18"/>
      <c r="V559" s="18"/>
      <c r="W559" s="18"/>
      <c r="X559" s="18"/>
      <c r="Y559" s="18"/>
      <c r="Z559" s="18"/>
    </row>
    <row r="560" ht="22.5" customHeight="1">
      <c r="A560" s="239">
        <v>46071.0</v>
      </c>
      <c r="B560" s="218" t="s">
        <v>5203</v>
      </c>
      <c r="C560" s="9"/>
      <c r="D560" s="228" t="s">
        <v>5204</v>
      </c>
      <c r="E560" s="230">
        <v>9.49375094E9</v>
      </c>
      <c r="F560" s="221" t="s">
        <v>60</v>
      </c>
      <c r="G560" s="9" t="s">
        <v>5205</v>
      </c>
      <c r="H560" s="234"/>
      <c r="I560" s="232"/>
      <c r="J560" s="18"/>
      <c r="K560" s="18"/>
      <c r="L560" s="18"/>
      <c r="M560" s="18"/>
      <c r="N560" s="18"/>
      <c r="O560" s="18"/>
      <c r="P560" s="18"/>
      <c r="Q560" s="18"/>
      <c r="R560" s="18"/>
      <c r="S560" s="18"/>
      <c r="T560" s="18"/>
      <c r="U560" s="18"/>
      <c r="V560" s="18"/>
      <c r="W560" s="18"/>
      <c r="X560" s="18"/>
      <c r="Y560" s="18"/>
      <c r="Z560" s="18"/>
    </row>
    <row r="561" ht="22.5" customHeight="1">
      <c r="A561" s="239">
        <v>46071.0</v>
      </c>
      <c r="B561" s="218" t="s">
        <v>1571</v>
      </c>
      <c r="C561" s="9"/>
      <c r="D561" s="228"/>
      <c r="E561" s="230"/>
      <c r="F561" s="221" t="s">
        <v>241</v>
      </c>
      <c r="G561" s="9" t="s">
        <v>5206</v>
      </c>
      <c r="H561" s="234"/>
      <c r="I561" s="232"/>
      <c r="J561" s="18"/>
      <c r="K561" s="18"/>
      <c r="L561" s="18"/>
      <c r="M561" s="18"/>
      <c r="N561" s="18"/>
      <c r="O561" s="18"/>
      <c r="P561" s="18"/>
      <c r="Q561" s="18"/>
      <c r="R561" s="18"/>
      <c r="S561" s="18"/>
      <c r="T561" s="18"/>
      <c r="U561" s="18"/>
      <c r="V561" s="18"/>
      <c r="W561" s="18"/>
      <c r="X561" s="18"/>
      <c r="Y561" s="18"/>
      <c r="Z561" s="18"/>
    </row>
    <row r="562" ht="22.5" customHeight="1">
      <c r="A562" s="239">
        <v>46071.0</v>
      </c>
      <c r="B562" s="218" t="s">
        <v>5207</v>
      </c>
      <c r="C562" s="9"/>
      <c r="D562" s="228" t="s">
        <v>4761</v>
      </c>
      <c r="E562" s="230">
        <v>9.3938748E9</v>
      </c>
      <c r="F562" s="221" t="s">
        <v>248</v>
      </c>
      <c r="G562" s="9" t="s">
        <v>5208</v>
      </c>
      <c r="H562" s="234">
        <v>46071.0</v>
      </c>
      <c r="I562" s="232">
        <v>0.7083333333333334</v>
      </c>
      <c r="J562" s="18"/>
      <c r="K562" s="18"/>
      <c r="L562" s="18"/>
      <c r="M562" s="18"/>
      <c r="N562" s="18"/>
      <c r="O562" s="18"/>
      <c r="P562" s="18"/>
      <c r="Q562" s="18"/>
      <c r="R562" s="18"/>
      <c r="S562" s="18"/>
      <c r="T562" s="18"/>
      <c r="U562" s="18"/>
      <c r="V562" s="18"/>
      <c r="W562" s="18"/>
      <c r="X562" s="18"/>
      <c r="Y562" s="18"/>
      <c r="Z562" s="18"/>
    </row>
    <row r="563" ht="22.5" customHeight="1">
      <c r="A563" s="239">
        <v>46071.0</v>
      </c>
      <c r="B563" s="218" t="s">
        <v>4738</v>
      </c>
      <c r="C563" s="9"/>
      <c r="D563" s="228" t="s">
        <v>4601</v>
      </c>
      <c r="E563" s="230">
        <v>9.5535255E9</v>
      </c>
      <c r="F563" s="221" t="s">
        <v>248</v>
      </c>
      <c r="G563" s="9" t="s">
        <v>4739</v>
      </c>
      <c r="H563" s="234"/>
      <c r="I563" s="232"/>
      <c r="J563" s="18"/>
      <c r="K563" s="18"/>
      <c r="L563" s="18"/>
      <c r="M563" s="18"/>
      <c r="N563" s="18"/>
      <c r="O563" s="18"/>
      <c r="P563" s="18"/>
      <c r="Q563" s="18"/>
      <c r="R563" s="18"/>
      <c r="S563" s="18"/>
      <c r="T563" s="18"/>
      <c r="U563" s="18"/>
      <c r="V563" s="18"/>
      <c r="W563" s="18"/>
      <c r="X563" s="18"/>
      <c r="Y563" s="18"/>
      <c r="Z563" s="18"/>
    </row>
    <row r="564" ht="22.5" customHeight="1">
      <c r="A564" s="239">
        <v>46071.0</v>
      </c>
      <c r="B564" s="218" t="s">
        <v>5209</v>
      </c>
      <c r="C564" s="9"/>
      <c r="D564" s="228" t="s">
        <v>4291</v>
      </c>
      <c r="E564" s="230">
        <v>9.885747504E9</v>
      </c>
      <c r="F564" s="221" t="s">
        <v>144</v>
      </c>
      <c r="G564" s="9" t="s">
        <v>5210</v>
      </c>
      <c r="H564" s="234">
        <v>46071.0</v>
      </c>
      <c r="I564" s="232"/>
      <c r="J564" s="18"/>
      <c r="K564" s="18"/>
      <c r="L564" s="18"/>
      <c r="M564" s="18"/>
      <c r="N564" s="18"/>
      <c r="O564" s="18"/>
      <c r="P564" s="18"/>
      <c r="Q564" s="18"/>
      <c r="R564" s="18"/>
      <c r="S564" s="18"/>
      <c r="T564" s="18"/>
      <c r="U564" s="18"/>
      <c r="V564" s="18"/>
      <c r="W564" s="18"/>
      <c r="X564" s="18"/>
      <c r="Y564" s="18"/>
      <c r="Z564" s="18"/>
    </row>
    <row r="565" ht="22.5" customHeight="1">
      <c r="A565" s="239">
        <v>46071.0</v>
      </c>
      <c r="B565" s="218" t="s">
        <v>5211</v>
      </c>
      <c r="C565" s="9"/>
      <c r="D565" s="228"/>
      <c r="E565" s="230"/>
      <c r="F565" s="221" t="s">
        <v>45</v>
      </c>
      <c r="G565" s="9" t="s">
        <v>5212</v>
      </c>
      <c r="H565" s="234"/>
      <c r="I565" s="232"/>
      <c r="J565" s="18"/>
      <c r="K565" s="18"/>
      <c r="L565" s="18"/>
      <c r="M565" s="18"/>
      <c r="N565" s="18"/>
      <c r="O565" s="18"/>
      <c r="P565" s="18"/>
      <c r="Q565" s="18"/>
      <c r="R565" s="18"/>
      <c r="S565" s="18"/>
      <c r="T565" s="18"/>
      <c r="U565" s="18"/>
      <c r="V565" s="18"/>
      <c r="W565" s="18"/>
      <c r="X565" s="18"/>
      <c r="Y565" s="18"/>
      <c r="Z565" s="18"/>
    </row>
    <row r="566" ht="22.5" customHeight="1">
      <c r="A566" s="239">
        <v>46071.0</v>
      </c>
      <c r="B566" s="218" t="s">
        <v>5213</v>
      </c>
      <c r="C566" s="9"/>
      <c r="D566" s="228" t="s">
        <v>5214</v>
      </c>
      <c r="E566" s="230">
        <v>9.493512255E9</v>
      </c>
      <c r="F566" s="221" t="s">
        <v>144</v>
      </c>
      <c r="G566" s="9" t="s">
        <v>5215</v>
      </c>
      <c r="H566" s="234">
        <v>46071.0</v>
      </c>
      <c r="I566" s="232">
        <v>0.7916666666666666</v>
      </c>
      <c r="J566" s="18"/>
      <c r="K566" s="18"/>
      <c r="L566" s="18"/>
      <c r="M566" s="18"/>
      <c r="N566" s="18"/>
      <c r="O566" s="18"/>
      <c r="P566" s="18"/>
      <c r="Q566" s="18"/>
      <c r="R566" s="18"/>
      <c r="S566" s="18"/>
      <c r="T566" s="18"/>
      <c r="U566" s="18"/>
      <c r="V566" s="18"/>
      <c r="W566" s="18"/>
      <c r="X566" s="18"/>
      <c r="Y566" s="18"/>
      <c r="Z566" s="18"/>
    </row>
    <row r="567" ht="22.5" customHeight="1">
      <c r="A567" s="239">
        <v>46071.0</v>
      </c>
      <c r="B567" s="218" t="s">
        <v>5216</v>
      </c>
      <c r="C567" s="9"/>
      <c r="D567" s="228"/>
      <c r="E567" s="230">
        <v>9.000777275E9</v>
      </c>
      <c r="F567" s="221" t="s">
        <v>96</v>
      </c>
      <c r="G567" s="9" t="s">
        <v>5217</v>
      </c>
      <c r="H567" s="234"/>
      <c r="I567" s="232"/>
      <c r="J567" s="18"/>
      <c r="K567" s="18"/>
      <c r="L567" s="18"/>
      <c r="M567" s="18"/>
      <c r="N567" s="18"/>
      <c r="O567" s="18"/>
      <c r="P567" s="18"/>
      <c r="Q567" s="18"/>
      <c r="R567" s="18"/>
      <c r="S567" s="18"/>
      <c r="T567" s="18"/>
      <c r="U567" s="18"/>
      <c r="V567" s="18"/>
      <c r="W567" s="18"/>
      <c r="X567" s="18"/>
      <c r="Y567" s="18"/>
      <c r="Z567" s="18"/>
    </row>
    <row r="568" ht="22.5" customHeight="1">
      <c r="A568" s="239">
        <v>46071.0</v>
      </c>
      <c r="B568" s="218" t="s">
        <v>5218</v>
      </c>
      <c r="C568" s="9"/>
      <c r="D568" s="228" t="s">
        <v>5219</v>
      </c>
      <c r="E568" s="230">
        <v>9.54206508E9</v>
      </c>
      <c r="F568" s="221" t="s">
        <v>45</v>
      </c>
      <c r="G568" s="9" t="s">
        <v>5220</v>
      </c>
      <c r="H568" s="234"/>
      <c r="I568" s="232"/>
      <c r="J568" s="18"/>
      <c r="K568" s="18"/>
      <c r="L568" s="18"/>
      <c r="M568" s="18"/>
      <c r="N568" s="18"/>
      <c r="O568" s="18"/>
      <c r="P568" s="18"/>
      <c r="Q568" s="18"/>
      <c r="R568" s="18"/>
      <c r="S568" s="18"/>
      <c r="T568" s="18"/>
      <c r="U568" s="18"/>
      <c r="V568" s="18"/>
      <c r="W568" s="18"/>
      <c r="X568" s="18"/>
      <c r="Y568" s="18"/>
      <c r="Z568" s="18"/>
    </row>
    <row r="569" ht="22.5" customHeight="1">
      <c r="A569" s="239">
        <v>46071.0</v>
      </c>
      <c r="B569" s="218" t="s">
        <v>5221</v>
      </c>
      <c r="C569" s="9"/>
      <c r="D569" s="228" t="s">
        <v>5222</v>
      </c>
      <c r="E569" s="230">
        <v>9.640241237E9</v>
      </c>
      <c r="F569" s="221" t="s">
        <v>248</v>
      </c>
      <c r="G569" s="9" t="s">
        <v>5223</v>
      </c>
      <c r="H569" s="234">
        <v>46072.0</v>
      </c>
      <c r="I569" s="232"/>
      <c r="J569" s="18"/>
      <c r="K569" s="18"/>
      <c r="L569" s="18"/>
      <c r="M569" s="18"/>
      <c r="N569" s="18"/>
      <c r="O569" s="18"/>
      <c r="P569" s="18"/>
      <c r="Q569" s="18"/>
      <c r="R569" s="18"/>
      <c r="S569" s="18"/>
      <c r="T569" s="18"/>
      <c r="U569" s="18"/>
      <c r="V569" s="18"/>
      <c r="W569" s="18"/>
      <c r="X569" s="18"/>
      <c r="Y569" s="18"/>
      <c r="Z569" s="18"/>
    </row>
    <row r="570" ht="22.5" customHeight="1">
      <c r="A570" s="239">
        <v>46071.0</v>
      </c>
      <c r="B570" s="218" t="s">
        <v>5224</v>
      </c>
      <c r="C570" s="9"/>
      <c r="D570" s="228" t="s">
        <v>5225</v>
      </c>
      <c r="E570" s="230">
        <v>8.688612955E9</v>
      </c>
      <c r="F570" s="221" t="s">
        <v>96</v>
      </c>
      <c r="G570" s="9" t="s">
        <v>5226</v>
      </c>
      <c r="H570" s="234">
        <v>46071.0</v>
      </c>
      <c r="I570" s="232">
        <v>0.75</v>
      </c>
      <c r="J570" s="18"/>
      <c r="K570" s="18"/>
      <c r="L570" s="18"/>
      <c r="M570" s="18"/>
      <c r="N570" s="18"/>
      <c r="O570" s="18"/>
      <c r="P570" s="18"/>
      <c r="Q570" s="18"/>
      <c r="R570" s="18"/>
      <c r="S570" s="18"/>
      <c r="T570" s="18"/>
      <c r="U570" s="18"/>
      <c r="V570" s="18"/>
      <c r="W570" s="18"/>
      <c r="X570" s="18"/>
      <c r="Y570" s="18"/>
      <c r="Z570" s="18"/>
    </row>
    <row r="571" ht="22.5" customHeight="1">
      <c r="A571" s="239">
        <v>46071.0</v>
      </c>
      <c r="B571" s="218" t="s">
        <v>5227</v>
      </c>
      <c r="C571" s="9"/>
      <c r="D571" s="228" t="s">
        <v>5228</v>
      </c>
      <c r="E571" s="230"/>
      <c r="F571" s="221" t="s">
        <v>248</v>
      </c>
      <c r="G571" s="9" t="s">
        <v>5229</v>
      </c>
      <c r="H571" s="234">
        <v>46071.0</v>
      </c>
      <c r="I571" s="232">
        <v>0.6666666666666666</v>
      </c>
      <c r="J571" s="18"/>
      <c r="K571" s="18"/>
      <c r="L571" s="18"/>
      <c r="M571" s="18"/>
      <c r="N571" s="18"/>
      <c r="O571" s="18"/>
      <c r="P571" s="18"/>
      <c r="Q571" s="18"/>
      <c r="R571" s="18"/>
      <c r="S571" s="18"/>
      <c r="T571" s="18"/>
      <c r="U571" s="18"/>
      <c r="V571" s="18"/>
      <c r="W571" s="18"/>
      <c r="X571" s="18"/>
      <c r="Y571" s="18"/>
      <c r="Z571" s="18"/>
    </row>
    <row r="572" ht="22.5" customHeight="1">
      <c r="A572" s="239">
        <v>46071.0</v>
      </c>
      <c r="B572" s="218" t="s">
        <v>5230</v>
      </c>
      <c r="C572" s="9"/>
      <c r="D572" s="228"/>
      <c r="E572" s="230"/>
      <c r="F572" s="221" t="s">
        <v>241</v>
      </c>
      <c r="G572" s="9" t="s">
        <v>5231</v>
      </c>
      <c r="H572" s="234">
        <v>46072.0</v>
      </c>
      <c r="I572" s="232"/>
      <c r="J572" s="18"/>
      <c r="K572" s="18"/>
      <c r="L572" s="18"/>
      <c r="M572" s="18"/>
      <c r="N572" s="18"/>
      <c r="O572" s="18"/>
      <c r="P572" s="18"/>
      <c r="Q572" s="18"/>
      <c r="R572" s="18"/>
      <c r="S572" s="18"/>
      <c r="T572" s="18"/>
      <c r="U572" s="18"/>
      <c r="V572" s="18"/>
      <c r="W572" s="18"/>
      <c r="X572" s="18"/>
      <c r="Y572" s="18"/>
      <c r="Z572" s="18"/>
    </row>
    <row r="573" ht="22.5" customHeight="1">
      <c r="A573" s="239">
        <v>46071.0</v>
      </c>
      <c r="B573" s="218" t="s">
        <v>5232</v>
      </c>
      <c r="C573" s="9"/>
      <c r="D573" s="228"/>
      <c r="E573" s="230"/>
      <c r="F573" s="221" t="s">
        <v>241</v>
      </c>
      <c r="G573" s="9" t="s">
        <v>5233</v>
      </c>
      <c r="H573" s="234"/>
      <c r="I573" s="232"/>
      <c r="J573" s="18"/>
      <c r="K573" s="18"/>
      <c r="L573" s="18"/>
      <c r="M573" s="18"/>
      <c r="N573" s="18"/>
      <c r="O573" s="18"/>
      <c r="P573" s="18"/>
      <c r="Q573" s="18"/>
      <c r="R573" s="18"/>
      <c r="S573" s="18"/>
      <c r="T573" s="18"/>
      <c r="U573" s="18"/>
      <c r="V573" s="18"/>
      <c r="W573" s="18"/>
      <c r="X573" s="18"/>
      <c r="Y573" s="18"/>
      <c r="Z573" s="18"/>
    </row>
    <row r="574" ht="22.5" customHeight="1">
      <c r="A574" s="239">
        <v>46071.0</v>
      </c>
      <c r="B574" s="218" t="s">
        <v>5234</v>
      </c>
      <c r="C574" s="9"/>
      <c r="D574" s="228" t="s">
        <v>2854</v>
      </c>
      <c r="E574" s="230">
        <v>9.247109555E9</v>
      </c>
      <c r="F574" s="221" t="s">
        <v>248</v>
      </c>
      <c r="G574" s="9" t="s">
        <v>5235</v>
      </c>
      <c r="H574" s="234"/>
      <c r="I574" s="232"/>
      <c r="J574" s="18"/>
      <c r="K574" s="18"/>
      <c r="L574" s="18"/>
      <c r="M574" s="18"/>
      <c r="N574" s="18"/>
      <c r="O574" s="18"/>
      <c r="P574" s="18"/>
      <c r="Q574" s="18"/>
      <c r="R574" s="18"/>
      <c r="S574" s="18"/>
      <c r="T574" s="18"/>
      <c r="U574" s="18"/>
      <c r="V574" s="18"/>
      <c r="W574" s="18"/>
      <c r="X574" s="18"/>
      <c r="Y574" s="18"/>
      <c r="Z574" s="18"/>
    </row>
    <row r="575" ht="22.5" customHeight="1">
      <c r="A575" s="239">
        <v>46071.0</v>
      </c>
      <c r="B575" s="218" t="s">
        <v>5236</v>
      </c>
      <c r="C575" s="9"/>
      <c r="D575" s="228" t="s">
        <v>5237</v>
      </c>
      <c r="E575" s="230">
        <v>8.466050144E9</v>
      </c>
      <c r="F575" s="221" t="s">
        <v>3853</v>
      </c>
      <c r="G575" s="9" t="s">
        <v>5238</v>
      </c>
      <c r="H575" s="234"/>
      <c r="I575" s="232"/>
      <c r="J575" s="18"/>
      <c r="K575" s="18"/>
      <c r="L575" s="18"/>
      <c r="M575" s="18"/>
      <c r="N575" s="18"/>
      <c r="O575" s="18"/>
      <c r="P575" s="18"/>
      <c r="Q575" s="18"/>
      <c r="R575" s="18"/>
      <c r="S575" s="18"/>
      <c r="T575" s="18"/>
      <c r="U575" s="18"/>
      <c r="V575" s="18"/>
      <c r="W575" s="18"/>
      <c r="X575" s="18"/>
      <c r="Y575" s="18"/>
      <c r="Z575" s="18"/>
    </row>
    <row r="576" ht="22.5" customHeight="1">
      <c r="A576" s="239">
        <v>46071.0</v>
      </c>
      <c r="B576" s="218" t="s">
        <v>5239</v>
      </c>
      <c r="C576" s="9"/>
      <c r="D576" s="228" t="s">
        <v>5240</v>
      </c>
      <c r="E576" s="230">
        <v>9.962286139E9</v>
      </c>
      <c r="F576" s="221" t="s">
        <v>144</v>
      </c>
      <c r="G576" s="9" t="s">
        <v>5241</v>
      </c>
      <c r="H576" s="234">
        <v>46071.0</v>
      </c>
      <c r="I576" s="232">
        <v>0.6458333333333334</v>
      </c>
      <c r="J576" s="18"/>
      <c r="K576" s="18"/>
      <c r="L576" s="18"/>
      <c r="M576" s="18"/>
      <c r="N576" s="18"/>
      <c r="O576" s="18"/>
      <c r="P576" s="18"/>
      <c r="Q576" s="18"/>
      <c r="R576" s="18"/>
      <c r="S576" s="18"/>
      <c r="T576" s="18"/>
      <c r="U576" s="18"/>
      <c r="V576" s="18"/>
      <c r="W576" s="18"/>
      <c r="X576" s="18"/>
      <c r="Y576" s="18"/>
      <c r="Z576" s="18"/>
    </row>
    <row r="577" ht="22.5" customHeight="1">
      <c r="A577" s="239">
        <v>46071.0</v>
      </c>
      <c r="B577" s="218" t="s">
        <v>5242</v>
      </c>
      <c r="C577" s="9"/>
      <c r="D577" s="228" t="s">
        <v>5243</v>
      </c>
      <c r="E577" s="230">
        <v>9.370982719E9</v>
      </c>
      <c r="F577" s="221" t="s">
        <v>96</v>
      </c>
      <c r="G577" s="9" t="s">
        <v>5244</v>
      </c>
      <c r="H577" s="234"/>
      <c r="I577" s="232"/>
      <c r="J577" s="18"/>
      <c r="K577" s="18"/>
      <c r="L577" s="18"/>
      <c r="M577" s="18"/>
      <c r="N577" s="18"/>
      <c r="O577" s="18"/>
      <c r="P577" s="18"/>
      <c r="Q577" s="18"/>
      <c r="R577" s="18"/>
      <c r="S577" s="18"/>
      <c r="T577" s="18"/>
      <c r="U577" s="18"/>
      <c r="V577" s="18"/>
      <c r="W577" s="18"/>
      <c r="X577" s="18"/>
      <c r="Y577" s="18"/>
      <c r="Z577" s="18"/>
    </row>
    <row r="578" ht="22.5" customHeight="1">
      <c r="A578" s="239">
        <v>46071.0</v>
      </c>
      <c r="B578" s="218" t="s">
        <v>5245</v>
      </c>
      <c r="C578" s="9"/>
      <c r="D578" s="228"/>
      <c r="E578" s="230">
        <v>9.890198531E9</v>
      </c>
      <c r="F578" s="221" t="s">
        <v>3853</v>
      </c>
      <c r="G578" s="9" t="s">
        <v>5246</v>
      </c>
      <c r="H578" s="234">
        <v>46074.0</v>
      </c>
      <c r="I578" s="232"/>
      <c r="J578" s="18"/>
      <c r="K578" s="18"/>
      <c r="L578" s="18"/>
      <c r="M578" s="18"/>
      <c r="N578" s="18"/>
      <c r="O578" s="18"/>
      <c r="P578" s="18"/>
      <c r="Q578" s="18"/>
      <c r="R578" s="18"/>
      <c r="S578" s="18"/>
      <c r="T578" s="18"/>
      <c r="U578" s="18"/>
      <c r="V578" s="18"/>
      <c r="W578" s="18"/>
      <c r="X578" s="18"/>
      <c r="Y578" s="18"/>
      <c r="Z578" s="18"/>
    </row>
    <row r="579" ht="22.5" customHeight="1">
      <c r="A579" s="239">
        <v>46071.0</v>
      </c>
      <c r="B579" s="218" t="s">
        <v>5247</v>
      </c>
      <c r="C579" s="9"/>
      <c r="D579" s="228" t="s">
        <v>5248</v>
      </c>
      <c r="E579" s="230">
        <v>9.701959365E9</v>
      </c>
      <c r="F579" s="221" t="s">
        <v>241</v>
      </c>
      <c r="G579" s="9" t="s">
        <v>5249</v>
      </c>
      <c r="H579" s="234"/>
      <c r="I579" s="232"/>
      <c r="J579" s="18"/>
      <c r="K579" s="18"/>
      <c r="L579" s="18"/>
      <c r="M579" s="18"/>
      <c r="N579" s="18"/>
      <c r="O579" s="18"/>
      <c r="P579" s="18"/>
      <c r="Q579" s="18"/>
      <c r="R579" s="18"/>
      <c r="S579" s="18"/>
      <c r="T579" s="18"/>
      <c r="U579" s="18"/>
      <c r="V579" s="18"/>
      <c r="W579" s="18"/>
      <c r="X579" s="18"/>
      <c r="Y579" s="18"/>
      <c r="Z579" s="18"/>
    </row>
    <row r="580" ht="22.5" customHeight="1">
      <c r="A580" s="239">
        <v>46071.0</v>
      </c>
      <c r="B580" s="218" t="s">
        <v>5250</v>
      </c>
      <c r="C580" s="9"/>
      <c r="D580" s="228" t="s">
        <v>5251</v>
      </c>
      <c r="E580" s="230">
        <v>8.80129993E9</v>
      </c>
      <c r="F580" s="221" t="s">
        <v>45</v>
      </c>
      <c r="G580" s="9" t="s">
        <v>5252</v>
      </c>
      <c r="H580" s="234">
        <v>46072.0</v>
      </c>
      <c r="I580" s="232">
        <v>0.5416666666666666</v>
      </c>
      <c r="J580" s="18"/>
      <c r="K580" s="18"/>
      <c r="L580" s="18"/>
      <c r="M580" s="18"/>
      <c r="N580" s="18"/>
      <c r="O580" s="18"/>
      <c r="P580" s="18"/>
      <c r="Q580" s="18"/>
      <c r="R580" s="18"/>
      <c r="S580" s="18"/>
      <c r="T580" s="18"/>
      <c r="U580" s="18"/>
      <c r="V580" s="18"/>
      <c r="W580" s="18"/>
      <c r="X580" s="18"/>
      <c r="Y580" s="18"/>
      <c r="Z580" s="18"/>
    </row>
    <row r="581" ht="22.5" customHeight="1">
      <c r="A581" s="239">
        <v>46071.0</v>
      </c>
      <c r="B581" s="218" t="s">
        <v>3108</v>
      </c>
      <c r="C581" s="9"/>
      <c r="D581" s="228"/>
      <c r="E581" s="230">
        <v>7.207206239E9</v>
      </c>
      <c r="F581" s="221" t="s">
        <v>96</v>
      </c>
      <c r="G581" s="9" t="s">
        <v>5253</v>
      </c>
      <c r="H581" s="234">
        <v>46071.0</v>
      </c>
      <c r="I581" s="232">
        <v>0.75</v>
      </c>
      <c r="J581" s="18"/>
      <c r="K581" s="18"/>
      <c r="L581" s="18"/>
      <c r="M581" s="18"/>
      <c r="N581" s="18"/>
      <c r="O581" s="18"/>
      <c r="P581" s="18"/>
      <c r="Q581" s="18"/>
      <c r="R581" s="18"/>
      <c r="S581" s="18"/>
      <c r="T581" s="18"/>
      <c r="U581" s="18"/>
      <c r="V581" s="18"/>
      <c r="W581" s="18"/>
      <c r="X581" s="18"/>
      <c r="Y581" s="18"/>
      <c r="Z581" s="18"/>
    </row>
    <row r="582" ht="22.5" customHeight="1">
      <c r="A582" s="239">
        <v>46071.0</v>
      </c>
      <c r="B582" s="218" t="s">
        <v>5254</v>
      </c>
      <c r="C582" s="9"/>
      <c r="D582" s="228" t="s">
        <v>1021</v>
      </c>
      <c r="E582" s="230">
        <v>9.542120004E9</v>
      </c>
      <c r="F582" s="221" t="s">
        <v>144</v>
      </c>
      <c r="G582" s="9" t="s">
        <v>5255</v>
      </c>
      <c r="H582" s="234">
        <v>46072.0</v>
      </c>
      <c r="I582" s="232">
        <v>0.75</v>
      </c>
      <c r="J582" s="18"/>
      <c r="K582" s="18"/>
      <c r="L582" s="18"/>
      <c r="M582" s="18"/>
      <c r="N582" s="18"/>
      <c r="O582" s="18"/>
      <c r="P582" s="18"/>
      <c r="Q582" s="18"/>
      <c r="R582" s="18"/>
      <c r="S582" s="18"/>
      <c r="T582" s="18"/>
      <c r="U582" s="18"/>
      <c r="V582" s="18"/>
      <c r="W582" s="18"/>
      <c r="X582" s="18"/>
      <c r="Y582" s="18"/>
      <c r="Z582" s="18"/>
    </row>
    <row r="583" ht="22.5" customHeight="1">
      <c r="A583" s="239">
        <v>46071.0</v>
      </c>
      <c r="B583" s="218" t="s">
        <v>5256</v>
      </c>
      <c r="C583" s="9"/>
      <c r="D583" s="228" t="s">
        <v>5257</v>
      </c>
      <c r="E583" s="230">
        <v>8.019347999E9</v>
      </c>
      <c r="F583" s="221" t="s">
        <v>241</v>
      </c>
      <c r="G583" s="9" t="s">
        <v>5258</v>
      </c>
      <c r="H583" s="234">
        <v>46072.0</v>
      </c>
      <c r="I583" s="232"/>
      <c r="J583" s="18"/>
      <c r="K583" s="18"/>
      <c r="L583" s="18"/>
      <c r="M583" s="18"/>
      <c r="N583" s="18"/>
      <c r="O583" s="18"/>
      <c r="P583" s="18"/>
      <c r="Q583" s="18"/>
      <c r="R583" s="18"/>
      <c r="S583" s="18"/>
      <c r="T583" s="18"/>
      <c r="U583" s="18"/>
      <c r="V583" s="18"/>
      <c r="W583" s="18"/>
      <c r="X583" s="18"/>
      <c r="Y583" s="18"/>
      <c r="Z583" s="18"/>
    </row>
    <row r="584" ht="22.5" customHeight="1">
      <c r="A584" s="239">
        <v>46071.0</v>
      </c>
      <c r="B584" s="218" t="s">
        <v>5259</v>
      </c>
      <c r="C584" s="9"/>
      <c r="D584" s="228"/>
      <c r="E584" s="230"/>
      <c r="F584" s="221" t="s">
        <v>73</v>
      </c>
      <c r="G584" s="9" t="s">
        <v>5260</v>
      </c>
      <c r="H584" s="234"/>
      <c r="I584" s="232"/>
      <c r="J584" s="18"/>
      <c r="K584" s="18"/>
      <c r="L584" s="18"/>
      <c r="M584" s="18"/>
      <c r="N584" s="18"/>
      <c r="O584" s="18"/>
      <c r="P584" s="18"/>
      <c r="Q584" s="18"/>
      <c r="R584" s="18"/>
      <c r="S584" s="18"/>
      <c r="T584" s="18"/>
      <c r="U584" s="18"/>
      <c r="V584" s="18"/>
      <c r="W584" s="18"/>
      <c r="X584" s="18"/>
      <c r="Y584" s="18"/>
      <c r="Z584" s="18"/>
    </row>
    <row r="585" ht="22.5" customHeight="1">
      <c r="A585" s="239">
        <v>46071.0</v>
      </c>
      <c r="B585" s="218" t="s">
        <v>5261</v>
      </c>
      <c r="C585" s="9"/>
      <c r="D585" s="228"/>
      <c r="E585" s="230"/>
      <c r="F585" s="221" t="s">
        <v>73</v>
      </c>
      <c r="G585" s="9" t="s">
        <v>5260</v>
      </c>
      <c r="H585" s="234"/>
      <c r="I585" s="232"/>
      <c r="J585" s="18"/>
      <c r="K585" s="18"/>
      <c r="L585" s="18"/>
      <c r="M585" s="18"/>
      <c r="N585" s="18"/>
      <c r="O585" s="18"/>
      <c r="P585" s="18"/>
      <c r="Q585" s="18"/>
      <c r="R585" s="18"/>
      <c r="S585" s="18"/>
      <c r="T585" s="18"/>
      <c r="U585" s="18"/>
      <c r="V585" s="18"/>
      <c r="W585" s="18"/>
      <c r="X585" s="18"/>
      <c r="Y585" s="18"/>
      <c r="Z585" s="18"/>
    </row>
    <row r="586" ht="22.5" customHeight="1">
      <c r="A586" s="239">
        <v>46071.0</v>
      </c>
      <c r="B586" s="218" t="s">
        <v>5262</v>
      </c>
      <c r="C586" s="9"/>
      <c r="D586" s="228"/>
      <c r="E586" s="230"/>
      <c r="F586" s="221" t="s">
        <v>96</v>
      </c>
      <c r="G586" s="9" t="s">
        <v>5263</v>
      </c>
      <c r="H586" s="234">
        <v>46071.0</v>
      </c>
      <c r="I586" s="232">
        <v>0.75</v>
      </c>
      <c r="J586" s="18"/>
      <c r="K586" s="18"/>
      <c r="L586" s="18"/>
      <c r="M586" s="18"/>
      <c r="N586" s="18"/>
      <c r="O586" s="18"/>
      <c r="P586" s="18"/>
      <c r="Q586" s="18"/>
      <c r="R586" s="18"/>
      <c r="S586" s="18"/>
      <c r="T586" s="18"/>
      <c r="U586" s="18"/>
      <c r="V586" s="18"/>
      <c r="W586" s="18"/>
      <c r="X586" s="18"/>
      <c r="Y586" s="18"/>
      <c r="Z586" s="18"/>
    </row>
    <row r="587" ht="22.5" customHeight="1">
      <c r="A587" s="239">
        <v>46071.0</v>
      </c>
      <c r="B587" s="218" t="s">
        <v>5264</v>
      </c>
      <c r="C587" s="9"/>
      <c r="D587" s="228" t="s">
        <v>5265</v>
      </c>
      <c r="E587" s="230">
        <v>7.99559538E8</v>
      </c>
      <c r="F587" s="221" t="s">
        <v>3853</v>
      </c>
      <c r="G587" s="9" t="s">
        <v>5266</v>
      </c>
      <c r="H587" s="234"/>
      <c r="I587" s="232"/>
      <c r="J587" s="18"/>
      <c r="K587" s="18"/>
      <c r="L587" s="18"/>
      <c r="M587" s="18"/>
      <c r="N587" s="18"/>
      <c r="O587" s="18"/>
      <c r="P587" s="18"/>
      <c r="Q587" s="18"/>
      <c r="R587" s="18"/>
      <c r="S587" s="18"/>
      <c r="T587" s="18"/>
      <c r="U587" s="18"/>
      <c r="V587" s="18"/>
      <c r="W587" s="18"/>
      <c r="X587" s="18"/>
      <c r="Y587" s="18"/>
      <c r="Z587" s="18"/>
    </row>
    <row r="588" ht="22.5" customHeight="1">
      <c r="A588" s="239">
        <v>46071.0</v>
      </c>
      <c r="B588" s="218" t="s">
        <v>5267</v>
      </c>
      <c r="C588" s="9"/>
      <c r="D588" s="228" t="s">
        <v>5268</v>
      </c>
      <c r="E588" s="230">
        <v>8.374972864E9</v>
      </c>
      <c r="F588" s="221" t="s">
        <v>3853</v>
      </c>
      <c r="G588" s="9" t="s">
        <v>5269</v>
      </c>
      <c r="H588" s="234"/>
      <c r="I588" s="232"/>
      <c r="J588" s="18"/>
      <c r="K588" s="18"/>
      <c r="L588" s="18"/>
      <c r="M588" s="18"/>
      <c r="N588" s="18"/>
      <c r="O588" s="18"/>
      <c r="P588" s="18"/>
      <c r="Q588" s="18"/>
      <c r="R588" s="18"/>
      <c r="S588" s="18"/>
      <c r="T588" s="18"/>
      <c r="U588" s="18"/>
      <c r="V588" s="18"/>
      <c r="W588" s="18"/>
      <c r="X588" s="18"/>
      <c r="Y588" s="18"/>
      <c r="Z588" s="18"/>
    </row>
    <row r="589" ht="22.5" customHeight="1">
      <c r="A589" s="239">
        <v>46071.0</v>
      </c>
      <c r="B589" s="218" t="s">
        <v>5270</v>
      </c>
      <c r="C589" s="9"/>
      <c r="D589" s="228" t="s">
        <v>5271</v>
      </c>
      <c r="E589" s="230">
        <v>9.100628573E9</v>
      </c>
      <c r="F589" s="221" t="s">
        <v>3853</v>
      </c>
      <c r="G589" s="9" t="s">
        <v>5272</v>
      </c>
      <c r="H589" s="234"/>
      <c r="I589" s="232"/>
      <c r="J589" s="18"/>
      <c r="K589" s="18"/>
      <c r="L589" s="18"/>
      <c r="M589" s="18"/>
      <c r="N589" s="18"/>
      <c r="O589" s="18"/>
      <c r="P589" s="18"/>
      <c r="Q589" s="18"/>
      <c r="R589" s="18"/>
      <c r="S589" s="18"/>
      <c r="T589" s="18"/>
      <c r="U589" s="18"/>
      <c r="V589" s="18"/>
      <c r="W589" s="18"/>
      <c r="X589" s="18"/>
      <c r="Y589" s="18"/>
      <c r="Z589" s="18"/>
    </row>
    <row r="590" ht="22.5" customHeight="1">
      <c r="A590" s="239">
        <v>46071.0</v>
      </c>
      <c r="B590" s="218" t="s">
        <v>5273</v>
      </c>
      <c r="C590" s="9"/>
      <c r="D590" s="228"/>
      <c r="E590" s="230"/>
      <c r="F590" s="221" t="s">
        <v>3853</v>
      </c>
      <c r="G590" s="9" t="s">
        <v>5274</v>
      </c>
      <c r="H590" s="234">
        <v>46071.0</v>
      </c>
      <c r="I590" s="232">
        <v>0.8333333333333334</v>
      </c>
      <c r="J590" s="18"/>
      <c r="K590" s="18"/>
      <c r="L590" s="18"/>
      <c r="M590" s="18"/>
      <c r="N590" s="18"/>
      <c r="O590" s="18"/>
      <c r="P590" s="18"/>
      <c r="Q590" s="18"/>
      <c r="R590" s="18"/>
      <c r="S590" s="18"/>
      <c r="T590" s="18"/>
      <c r="U590" s="18"/>
      <c r="V590" s="18"/>
      <c r="W590" s="18"/>
      <c r="X590" s="18"/>
      <c r="Y590" s="18"/>
      <c r="Z590" s="18"/>
    </row>
    <row r="591" ht="22.5" customHeight="1">
      <c r="A591" s="239">
        <v>46071.0</v>
      </c>
      <c r="B591" s="218" t="s">
        <v>5275</v>
      </c>
      <c r="C591" s="9"/>
      <c r="D591" s="228" t="s">
        <v>5276</v>
      </c>
      <c r="E591" s="230">
        <v>8.91904832E9</v>
      </c>
      <c r="F591" s="221" t="s">
        <v>3853</v>
      </c>
      <c r="G591" s="9" t="s">
        <v>5277</v>
      </c>
      <c r="H591" s="234"/>
      <c r="I591" s="232"/>
      <c r="J591" s="18"/>
      <c r="K591" s="18"/>
      <c r="L591" s="18"/>
      <c r="M591" s="18"/>
      <c r="N591" s="18"/>
      <c r="O591" s="18"/>
      <c r="P591" s="18"/>
      <c r="Q591" s="18"/>
      <c r="R591" s="18"/>
      <c r="S591" s="18"/>
      <c r="T591" s="18"/>
      <c r="U591" s="18"/>
      <c r="V591" s="18"/>
      <c r="W591" s="18"/>
      <c r="X591" s="18"/>
      <c r="Y591" s="18"/>
      <c r="Z591" s="18"/>
    </row>
    <row r="592" ht="22.5" customHeight="1">
      <c r="A592" s="239">
        <v>46071.0</v>
      </c>
      <c r="B592" s="218" t="s">
        <v>1679</v>
      </c>
      <c r="C592" s="9"/>
      <c r="D592" s="228"/>
      <c r="E592" s="230"/>
      <c r="F592" s="221" t="s">
        <v>144</v>
      </c>
      <c r="G592" s="9" t="s">
        <v>5278</v>
      </c>
      <c r="H592" s="234"/>
      <c r="I592" s="232"/>
      <c r="J592" s="18"/>
      <c r="K592" s="18"/>
      <c r="L592" s="18"/>
      <c r="M592" s="18"/>
      <c r="N592" s="18"/>
      <c r="O592" s="18"/>
      <c r="P592" s="18"/>
      <c r="Q592" s="18"/>
      <c r="R592" s="18"/>
      <c r="S592" s="18"/>
      <c r="T592" s="18"/>
      <c r="U592" s="18"/>
      <c r="V592" s="18"/>
      <c r="W592" s="18"/>
      <c r="X592" s="18"/>
      <c r="Y592" s="18"/>
      <c r="Z592" s="18"/>
    </row>
    <row r="593" ht="22.5" customHeight="1">
      <c r="A593" s="239">
        <v>46071.0</v>
      </c>
      <c r="B593" s="218" t="s">
        <v>5279</v>
      </c>
      <c r="C593" s="9"/>
      <c r="D593" s="228"/>
      <c r="E593" s="230"/>
      <c r="F593" s="221" t="s">
        <v>144</v>
      </c>
      <c r="G593" s="9" t="s">
        <v>5278</v>
      </c>
      <c r="H593" s="234"/>
      <c r="I593" s="232"/>
      <c r="J593" s="18"/>
      <c r="K593" s="18"/>
      <c r="L593" s="18"/>
      <c r="M593" s="18"/>
      <c r="N593" s="18"/>
      <c r="O593" s="18"/>
      <c r="P593" s="18"/>
      <c r="Q593" s="18"/>
      <c r="R593" s="18"/>
      <c r="S593" s="18"/>
      <c r="T593" s="18"/>
      <c r="U593" s="18"/>
      <c r="V593" s="18"/>
      <c r="W593" s="18"/>
      <c r="X593" s="18"/>
      <c r="Y593" s="18"/>
      <c r="Z593" s="18"/>
    </row>
    <row r="594" ht="22.5" customHeight="1">
      <c r="A594" s="239">
        <v>46071.0</v>
      </c>
      <c r="B594" s="218" t="s">
        <v>5280</v>
      </c>
      <c r="C594" s="9"/>
      <c r="D594" s="228" t="s">
        <v>5281</v>
      </c>
      <c r="E594" s="230">
        <v>8.617755298E9</v>
      </c>
      <c r="F594" s="221" t="s">
        <v>248</v>
      </c>
      <c r="G594" s="9" t="s">
        <v>5282</v>
      </c>
      <c r="H594" s="234">
        <v>46071.0</v>
      </c>
      <c r="I594" s="232">
        <v>0.8333333333333334</v>
      </c>
      <c r="J594" s="18"/>
      <c r="K594" s="18"/>
      <c r="L594" s="18"/>
      <c r="M594" s="18"/>
      <c r="N594" s="18"/>
      <c r="O594" s="18"/>
      <c r="P594" s="18"/>
      <c r="Q594" s="18"/>
      <c r="R594" s="18"/>
      <c r="S594" s="18"/>
      <c r="T594" s="18"/>
      <c r="U594" s="18"/>
      <c r="V594" s="18"/>
      <c r="W594" s="18"/>
      <c r="X594" s="18"/>
      <c r="Y594" s="18"/>
      <c r="Z594" s="18"/>
    </row>
    <row r="595" ht="22.5" customHeight="1">
      <c r="A595" s="239">
        <v>46071.0</v>
      </c>
      <c r="B595" s="218" t="s">
        <v>5283</v>
      </c>
      <c r="C595" s="9"/>
      <c r="D595" s="228"/>
      <c r="E595" s="230"/>
      <c r="F595" s="221" t="s">
        <v>96</v>
      </c>
      <c r="G595" s="9" t="s">
        <v>5284</v>
      </c>
      <c r="H595" s="234"/>
      <c r="I595" s="232"/>
      <c r="J595" s="18"/>
      <c r="K595" s="18"/>
      <c r="L595" s="18"/>
      <c r="M595" s="18"/>
      <c r="N595" s="18"/>
      <c r="O595" s="18"/>
      <c r="P595" s="18"/>
      <c r="Q595" s="18"/>
      <c r="R595" s="18"/>
      <c r="S595" s="18"/>
      <c r="T595" s="18"/>
      <c r="U595" s="18"/>
      <c r="V595" s="18"/>
      <c r="W595" s="18"/>
      <c r="X595" s="18"/>
      <c r="Y595" s="18"/>
      <c r="Z595" s="18"/>
    </row>
    <row r="596" ht="22.5" customHeight="1">
      <c r="A596" s="239">
        <v>46071.0</v>
      </c>
      <c r="B596" s="218" t="s">
        <v>5285</v>
      </c>
      <c r="C596" s="9"/>
      <c r="D596" s="228"/>
      <c r="E596" s="230"/>
      <c r="F596" s="221" t="s">
        <v>60</v>
      </c>
      <c r="G596" s="9" t="s">
        <v>5286</v>
      </c>
      <c r="H596" s="234"/>
      <c r="I596" s="232"/>
      <c r="J596" s="18"/>
      <c r="K596" s="18"/>
      <c r="L596" s="18"/>
      <c r="M596" s="18"/>
      <c r="N596" s="18"/>
      <c r="O596" s="18"/>
      <c r="P596" s="18"/>
      <c r="Q596" s="18"/>
      <c r="R596" s="18"/>
      <c r="S596" s="18"/>
      <c r="T596" s="18"/>
      <c r="U596" s="18"/>
      <c r="V596" s="18"/>
      <c r="W596" s="18"/>
      <c r="X596" s="18"/>
      <c r="Y596" s="18"/>
      <c r="Z596" s="18"/>
    </row>
    <row r="597" ht="22.5" customHeight="1">
      <c r="A597" s="239">
        <v>46071.0</v>
      </c>
      <c r="B597" s="218" t="s">
        <v>5287</v>
      </c>
      <c r="C597" s="9"/>
      <c r="D597" s="228"/>
      <c r="E597" s="230"/>
      <c r="F597" s="221" t="s">
        <v>60</v>
      </c>
      <c r="G597" s="9" t="s">
        <v>5286</v>
      </c>
      <c r="H597" s="234"/>
      <c r="I597" s="232"/>
      <c r="J597" s="18"/>
      <c r="K597" s="18"/>
      <c r="L597" s="18"/>
      <c r="M597" s="18"/>
      <c r="N597" s="18"/>
      <c r="O597" s="18"/>
      <c r="P597" s="18"/>
      <c r="Q597" s="18"/>
      <c r="R597" s="18"/>
      <c r="S597" s="18"/>
      <c r="T597" s="18"/>
      <c r="U597" s="18"/>
      <c r="V597" s="18"/>
      <c r="W597" s="18"/>
      <c r="X597" s="18"/>
      <c r="Y597" s="18"/>
      <c r="Z597" s="18"/>
    </row>
    <row r="598" ht="22.5" customHeight="1">
      <c r="A598" s="239">
        <v>46071.0</v>
      </c>
      <c r="B598" s="218" t="s">
        <v>5288</v>
      </c>
      <c r="C598" s="9"/>
      <c r="D598" s="230" t="s">
        <v>5289</v>
      </c>
      <c r="E598" s="213">
        <v>9.573923991E9</v>
      </c>
      <c r="F598" s="221" t="s">
        <v>60</v>
      </c>
      <c r="G598" s="9" t="s">
        <v>5290</v>
      </c>
      <c r="H598" s="234"/>
      <c r="I598" s="232"/>
      <c r="J598" s="18"/>
      <c r="K598" s="18"/>
      <c r="L598" s="18"/>
      <c r="M598" s="18"/>
      <c r="N598" s="18"/>
      <c r="O598" s="18"/>
      <c r="P598" s="18"/>
      <c r="Q598" s="18"/>
      <c r="R598" s="18"/>
      <c r="S598" s="18"/>
      <c r="T598" s="18"/>
      <c r="U598" s="18"/>
      <c r="V598" s="18"/>
      <c r="W598" s="18"/>
      <c r="X598" s="18"/>
      <c r="Y598" s="18"/>
      <c r="Z598" s="18"/>
    </row>
    <row r="599" ht="22.5" customHeight="1">
      <c r="A599" s="239">
        <v>46071.0</v>
      </c>
      <c r="B599" s="218" t="s">
        <v>1586</v>
      </c>
      <c r="C599" s="9"/>
      <c r="D599" s="228"/>
      <c r="E599" s="230"/>
      <c r="F599" s="221" t="s">
        <v>73</v>
      </c>
      <c r="G599" s="9" t="s">
        <v>5291</v>
      </c>
      <c r="H599" s="234"/>
      <c r="I599" s="232"/>
      <c r="J599" s="18"/>
      <c r="K599" s="18"/>
      <c r="L599" s="18"/>
      <c r="M599" s="18"/>
      <c r="N599" s="18"/>
      <c r="O599" s="18"/>
      <c r="P599" s="18"/>
      <c r="Q599" s="18"/>
      <c r="R599" s="18"/>
      <c r="S599" s="18"/>
      <c r="T599" s="18"/>
      <c r="U599" s="18"/>
      <c r="V599" s="18"/>
      <c r="W599" s="18"/>
      <c r="X599" s="18"/>
      <c r="Y599" s="18"/>
      <c r="Z599" s="18"/>
    </row>
    <row r="600" ht="22.5" customHeight="1">
      <c r="A600" s="236">
        <v>46072.0</v>
      </c>
      <c r="B600" s="218" t="s">
        <v>5292</v>
      </c>
      <c r="C600" s="9" t="s">
        <v>5293</v>
      </c>
      <c r="D600" s="228"/>
      <c r="E600" s="230"/>
      <c r="F600" s="221" t="s">
        <v>186</v>
      </c>
      <c r="G600" s="9" t="s">
        <v>5294</v>
      </c>
      <c r="H600" s="234"/>
      <c r="I600" s="232"/>
      <c r="J600" s="18"/>
      <c r="K600" s="18"/>
      <c r="L600" s="18"/>
      <c r="M600" s="18"/>
      <c r="N600" s="18"/>
      <c r="O600" s="18"/>
      <c r="P600" s="18"/>
      <c r="Q600" s="18"/>
      <c r="R600" s="18"/>
      <c r="S600" s="18"/>
      <c r="T600" s="18"/>
      <c r="U600" s="18"/>
      <c r="V600" s="18"/>
      <c r="W600" s="18"/>
      <c r="X600" s="18"/>
      <c r="Y600" s="18"/>
      <c r="Z600" s="18"/>
    </row>
    <row r="601" ht="22.5" customHeight="1">
      <c r="A601" s="236">
        <v>46072.0</v>
      </c>
      <c r="B601" s="218" t="s">
        <v>5295</v>
      </c>
      <c r="C601" s="9" t="s">
        <v>5293</v>
      </c>
      <c r="D601" s="228"/>
      <c r="E601" s="230"/>
      <c r="F601" s="221" t="s">
        <v>186</v>
      </c>
      <c r="G601" s="9" t="s">
        <v>5294</v>
      </c>
      <c r="H601" s="234"/>
      <c r="I601" s="232"/>
      <c r="J601" s="18"/>
      <c r="K601" s="18"/>
      <c r="L601" s="18"/>
      <c r="M601" s="18"/>
      <c r="N601" s="18"/>
      <c r="O601" s="18"/>
      <c r="P601" s="18"/>
      <c r="Q601" s="18"/>
      <c r="R601" s="18"/>
      <c r="S601" s="18"/>
      <c r="T601" s="18"/>
      <c r="U601" s="18"/>
      <c r="V601" s="18"/>
      <c r="W601" s="18"/>
      <c r="X601" s="18"/>
      <c r="Y601" s="18"/>
      <c r="Z601" s="18"/>
    </row>
    <row r="602" ht="22.5" customHeight="1">
      <c r="A602" s="236">
        <v>46072.0</v>
      </c>
      <c r="B602" s="218" t="s">
        <v>1834</v>
      </c>
      <c r="C602" s="9" t="s">
        <v>5293</v>
      </c>
      <c r="D602" s="228" t="s">
        <v>5296</v>
      </c>
      <c r="E602" s="230"/>
      <c r="F602" s="221" t="s">
        <v>186</v>
      </c>
      <c r="G602" s="9" t="s">
        <v>5297</v>
      </c>
      <c r="H602" s="234"/>
      <c r="I602" s="232"/>
      <c r="J602" s="18"/>
      <c r="K602" s="18"/>
      <c r="L602" s="18"/>
      <c r="M602" s="18"/>
      <c r="N602" s="18"/>
      <c r="O602" s="18"/>
      <c r="P602" s="18"/>
      <c r="Q602" s="18"/>
      <c r="R602" s="18"/>
      <c r="S602" s="18"/>
      <c r="T602" s="18"/>
      <c r="U602" s="18"/>
      <c r="V602" s="18"/>
      <c r="W602" s="18"/>
      <c r="X602" s="18"/>
      <c r="Y602" s="18"/>
      <c r="Z602" s="18"/>
    </row>
    <row r="603" ht="22.5" customHeight="1">
      <c r="A603" s="236">
        <v>46072.0</v>
      </c>
      <c r="B603" s="218" t="s">
        <v>5298</v>
      </c>
      <c r="C603" s="9"/>
      <c r="D603" s="228" t="s">
        <v>5299</v>
      </c>
      <c r="E603" s="230">
        <v>6.300043595E9</v>
      </c>
      <c r="F603" s="221" t="s">
        <v>248</v>
      </c>
      <c r="G603" s="9" t="s">
        <v>5300</v>
      </c>
      <c r="H603" s="234">
        <v>46072.0</v>
      </c>
      <c r="I603" s="232">
        <v>0.6666666666666666</v>
      </c>
      <c r="J603" s="18"/>
      <c r="K603" s="18"/>
      <c r="L603" s="18"/>
      <c r="M603" s="18"/>
      <c r="N603" s="18"/>
      <c r="O603" s="18"/>
      <c r="P603" s="18"/>
      <c r="Q603" s="18"/>
      <c r="R603" s="18"/>
      <c r="S603" s="18"/>
      <c r="T603" s="18"/>
      <c r="U603" s="18"/>
      <c r="V603" s="18"/>
      <c r="W603" s="18"/>
      <c r="X603" s="18"/>
      <c r="Y603" s="18"/>
      <c r="Z603" s="18"/>
    </row>
    <row r="604" ht="22.5" customHeight="1">
      <c r="A604" s="236">
        <v>46072.0</v>
      </c>
      <c r="B604" s="218" t="s">
        <v>5301</v>
      </c>
      <c r="C604" s="9"/>
      <c r="D604" s="228"/>
      <c r="E604" s="230"/>
      <c r="F604" s="221" t="s">
        <v>45</v>
      </c>
      <c r="G604" s="9" t="s">
        <v>5302</v>
      </c>
      <c r="H604" s="234">
        <v>46073.0</v>
      </c>
      <c r="I604" s="232"/>
      <c r="J604" s="18"/>
      <c r="K604" s="18"/>
      <c r="L604" s="18"/>
      <c r="M604" s="18"/>
      <c r="N604" s="18"/>
      <c r="O604" s="18"/>
      <c r="P604" s="18"/>
      <c r="Q604" s="18"/>
      <c r="R604" s="18"/>
      <c r="S604" s="18"/>
      <c r="T604" s="18"/>
      <c r="U604" s="18"/>
      <c r="V604" s="18"/>
      <c r="W604" s="18"/>
      <c r="X604" s="18"/>
      <c r="Y604" s="18"/>
      <c r="Z604" s="18"/>
    </row>
    <row r="605" ht="22.5" customHeight="1">
      <c r="A605" s="236">
        <v>46072.0</v>
      </c>
      <c r="B605" s="218" t="s">
        <v>5303</v>
      </c>
      <c r="C605" s="9"/>
      <c r="D605" s="228"/>
      <c r="E605" s="230"/>
      <c r="F605" s="221" t="s">
        <v>241</v>
      </c>
      <c r="G605" s="9" t="s">
        <v>5304</v>
      </c>
      <c r="H605" s="234"/>
      <c r="I605" s="232"/>
      <c r="J605" s="18"/>
      <c r="K605" s="18"/>
      <c r="L605" s="18"/>
      <c r="M605" s="18"/>
      <c r="N605" s="18"/>
      <c r="O605" s="18"/>
      <c r="P605" s="18"/>
      <c r="Q605" s="18"/>
      <c r="R605" s="18"/>
      <c r="S605" s="18"/>
      <c r="T605" s="18"/>
      <c r="U605" s="18"/>
      <c r="V605" s="18"/>
      <c r="W605" s="18"/>
      <c r="X605" s="18"/>
      <c r="Y605" s="18"/>
      <c r="Z605" s="18"/>
    </row>
    <row r="606" ht="22.5" customHeight="1">
      <c r="A606" s="236">
        <v>46072.0</v>
      </c>
      <c r="B606" s="218" t="s">
        <v>5305</v>
      </c>
      <c r="C606" s="9"/>
      <c r="D606" s="228" t="s">
        <v>5306</v>
      </c>
      <c r="E606" s="230">
        <v>6.302764631E9</v>
      </c>
      <c r="F606" s="221" t="s">
        <v>241</v>
      </c>
      <c r="G606" s="9" t="s">
        <v>5307</v>
      </c>
      <c r="H606" s="234"/>
      <c r="I606" s="232"/>
      <c r="J606" s="18"/>
      <c r="K606" s="18"/>
      <c r="L606" s="18"/>
      <c r="M606" s="18"/>
      <c r="N606" s="18"/>
      <c r="O606" s="18"/>
      <c r="P606" s="18"/>
      <c r="Q606" s="18"/>
      <c r="R606" s="18"/>
      <c r="S606" s="18"/>
      <c r="T606" s="18"/>
      <c r="U606" s="18"/>
      <c r="V606" s="18"/>
      <c r="W606" s="18"/>
      <c r="X606" s="18"/>
      <c r="Y606" s="18"/>
      <c r="Z606" s="18"/>
    </row>
    <row r="607" ht="22.5" customHeight="1">
      <c r="A607" s="236">
        <v>46072.0</v>
      </c>
      <c r="B607" s="218" t="s">
        <v>5308</v>
      </c>
      <c r="C607" s="9"/>
      <c r="D607" s="228" t="s">
        <v>5309</v>
      </c>
      <c r="E607" s="230"/>
      <c r="F607" s="221" t="s">
        <v>144</v>
      </c>
      <c r="G607" s="9" t="s">
        <v>5310</v>
      </c>
      <c r="H607" s="234">
        <v>46072.0</v>
      </c>
      <c r="I607" s="232">
        <v>0.6666666666666666</v>
      </c>
      <c r="J607" s="18"/>
      <c r="K607" s="18"/>
      <c r="L607" s="18"/>
      <c r="M607" s="18"/>
      <c r="N607" s="18"/>
      <c r="O607" s="18"/>
      <c r="P607" s="18"/>
      <c r="Q607" s="18"/>
      <c r="R607" s="18"/>
      <c r="S607" s="18"/>
      <c r="T607" s="18"/>
      <c r="U607" s="18"/>
      <c r="V607" s="18"/>
      <c r="W607" s="18"/>
      <c r="X607" s="18"/>
      <c r="Y607" s="18"/>
      <c r="Z607" s="18"/>
    </row>
    <row r="608" ht="22.5" customHeight="1">
      <c r="A608" s="236">
        <v>46072.0</v>
      </c>
      <c r="B608" s="218" t="s">
        <v>5311</v>
      </c>
      <c r="C608" s="9"/>
      <c r="D608" s="228" t="s">
        <v>4329</v>
      </c>
      <c r="E608" s="230">
        <v>8.099941233E9</v>
      </c>
      <c r="F608" s="221" t="s">
        <v>248</v>
      </c>
      <c r="G608" s="9" t="s">
        <v>5312</v>
      </c>
      <c r="H608" s="234">
        <v>46072.0</v>
      </c>
      <c r="I608" s="232">
        <v>0.9166666666666666</v>
      </c>
      <c r="J608" s="18"/>
      <c r="K608" s="18"/>
      <c r="L608" s="18"/>
      <c r="M608" s="18"/>
      <c r="N608" s="18"/>
      <c r="O608" s="18"/>
      <c r="P608" s="18"/>
      <c r="Q608" s="18"/>
      <c r="R608" s="18"/>
      <c r="S608" s="18"/>
      <c r="T608" s="18"/>
      <c r="U608" s="18"/>
      <c r="V608" s="18"/>
      <c r="W608" s="18"/>
      <c r="X608" s="18"/>
      <c r="Y608" s="18"/>
      <c r="Z608" s="18"/>
    </row>
    <row r="609" ht="22.5" customHeight="1">
      <c r="A609" s="236">
        <v>46072.0</v>
      </c>
      <c r="B609" s="218" t="s">
        <v>5313</v>
      </c>
      <c r="C609" s="9"/>
      <c r="D609" s="228"/>
      <c r="E609" s="230">
        <v>9.154051768E9</v>
      </c>
      <c r="F609" s="221" t="s">
        <v>241</v>
      </c>
      <c r="G609" s="9" t="s">
        <v>5314</v>
      </c>
      <c r="H609" s="234"/>
      <c r="I609" s="232"/>
      <c r="J609" s="18"/>
      <c r="K609" s="18"/>
      <c r="L609" s="18"/>
      <c r="M609" s="18"/>
      <c r="N609" s="18"/>
      <c r="O609" s="18"/>
      <c r="P609" s="18"/>
      <c r="Q609" s="18"/>
      <c r="R609" s="18"/>
      <c r="S609" s="18"/>
      <c r="T609" s="18"/>
      <c r="U609" s="18"/>
      <c r="V609" s="18"/>
      <c r="W609" s="18"/>
      <c r="X609" s="18"/>
      <c r="Y609" s="18"/>
      <c r="Z609" s="18"/>
    </row>
    <row r="610" ht="22.5" customHeight="1">
      <c r="A610" s="236">
        <v>46072.0</v>
      </c>
      <c r="B610" s="218" t="s">
        <v>5315</v>
      </c>
      <c r="C610" s="9"/>
      <c r="D610" s="228" t="s">
        <v>5316</v>
      </c>
      <c r="E610" s="230">
        <v>8.297167789E9</v>
      </c>
      <c r="F610" s="221" t="s">
        <v>73</v>
      </c>
      <c r="G610" s="9" t="s">
        <v>5317</v>
      </c>
      <c r="H610" s="234">
        <v>46072.0</v>
      </c>
      <c r="I610" s="232">
        <v>0.7083333333333334</v>
      </c>
      <c r="J610" s="18"/>
      <c r="K610" s="18"/>
      <c r="L610" s="18"/>
      <c r="M610" s="18"/>
      <c r="N610" s="18"/>
      <c r="O610" s="18"/>
      <c r="P610" s="18"/>
      <c r="Q610" s="18"/>
      <c r="R610" s="18"/>
      <c r="S610" s="18"/>
      <c r="T610" s="18"/>
      <c r="U610" s="18"/>
      <c r="V610" s="18"/>
      <c r="W610" s="18"/>
      <c r="X610" s="18"/>
      <c r="Y610" s="18"/>
      <c r="Z610" s="18"/>
    </row>
    <row r="611" ht="22.5" customHeight="1">
      <c r="A611" s="236">
        <v>46072.0</v>
      </c>
      <c r="B611" s="218" t="s">
        <v>5318</v>
      </c>
      <c r="C611" s="9"/>
      <c r="D611" s="228" t="s">
        <v>5319</v>
      </c>
      <c r="E611" s="230">
        <v>9.177056777E9</v>
      </c>
      <c r="F611" s="221" t="s">
        <v>60</v>
      </c>
      <c r="G611" s="9" t="s">
        <v>5320</v>
      </c>
      <c r="H611" s="234"/>
      <c r="I611" s="232"/>
      <c r="J611" s="18"/>
      <c r="K611" s="18"/>
      <c r="L611" s="18"/>
      <c r="M611" s="18"/>
      <c r="N611" s="18"/>
      <c r="O611" s="18"/>
      <c r="P611" s="18"/>
      <c r="Q611" s="18"/>
      <c r="R611" s="18"/>
      <c r="S611" s="18"/>
      <c r="T611" s="18"/>
      <c r="U611" s="18"/>
      <c r="V611" s="18"/>
      <c r="W611" s="18"/>
      <c r="X611" s="18"/>
      <c r="Y611" s="18"/>
      <c r="Z611" s="18"/>
    </row>
    <row r="612" ht="22.5" customHeight="1">
      <c r="A612" s="236">
        <v>46072.0</v>
      </c>
      <c r="B612" s="218" t="s">
        <v>5321</v>
      </c>
      <c r="C612" s="9"/>
      <c r="D612" s="228"/>
      <c r="E612" s="230">
        <v>7.032362999E9</v>
      </c>
      <c r="F612" s="221" t="s">
        <v>241</v>
      </c>
      <c r="G612" s="9" t="s">
        <v>5322</v>
      </c>
      <c r="H612" s="234">
        <v>46073.0</v>
      </c>
      <c r="I612" s="232"/>
      <c r="J612" s="18"/>
      <c r="K612" s="18"/>
      <c r="L612" s="18"/>
      <c r="M612" s="18"/>
      <c r="N612" s="18"/>
      <c r="O612" s="18"/>
      <c r="P612" s="18"/>
      <c r="Q612" s="18"/>
      <c r="R612" s="18"/>
      <c r="S612" s="18"/>
      <c r="T612" s="18"/>
      <c r="U612" s="18"/>
      <c r="V612" s="18"/>
      <c r="W612" s="18"/>
      <c r="X612" s="18"/>
      <c r="Y612" s="18"/>
      <c r="Z612" s="18"/>
    </row>
    <row r="613" ht="22.5" customHeight="1">
      <c r="A613" s="236">
        <v>46072.0</v>
      </c>
      <c r="B613" s="218" t="s">
        <v>5323</v>
      </c>
      <c r="C613" s="9"/>
      <c r="D613" s="228"/>
      <c r="E613" s="230"/>
      <c r="F613" s="221" t="s">
        <v>73</v>
      </c>
      <c r="G613" s="9" t="s">
        <v>5324</v>
      </c>
      <c r="H613" s="234"/>
      <c r="I613" s="232"/>
      <c r="J613" s="18"/>
      <c r="K613" s="18"/>
      <c r="L613" s="18"/>
      <c r="M613" s="18"/>
      <c r="N613" s="18"/>
      <c r="O613" s="18"/>
      <c r="P613" s="18"/>
      <c r="Q613" s="18"/>
      <c r="R613" s="18"/>
      <c r="S613" s="18"/>
      <c r="T613" s="18"/>
      <c r="U613" s="18"/>
      <c r="V613" s="18"/>
      <c r="W613" s="18"/>
      <c r="X613" s="18"/>
      <c r="Y613" s="18"/>
      <c r="Z613" s="18"/>
    </row>
    <row r="614" ht="22.5" customHeight="1">
      <c r="A614" s="236">
        <v>46072.0</v>
      </c>
      <c r="B614" s="218" t="s">
        <v>5325</v>
      </c>
      <c r="C614" s="9"/>
      <c r="D614" s="228" t="s">
        <v>5326</v>
      </c>
      <c r="E614" s="230">
        <v>9.849849754E9</v>
      </c>
      <c r="F614" s="221" t="s">
        <v>73</v>
      </c>
      <c r="G614" s="9" t="s">
        <v>5327</v>
      </c>
      <c r="H614" s="234"/>
      <c r="I614" s="232"/>
      <c r="J614" s="18"/>
      <c r="K614" s="18"/>
      <c r="L614" s="18"/>
      <c r="M614" s="18"/>
      <c r="N614" s="18"/>
      <c r="O614" s="18"/>
      <c r="P614" s="18"/>
      <c r="Q614" s="18"/>
      <c r="R614" s="18"/>
      <c r="S614" s="18"/>
      <c r="T614" s="18"/>
      <c r="U614" s="18"/>
      <c r="V614" s="18"/>
      <c r="W614" s="18"/>
      <c r="X614" s="18"/>
      <c r="Y614" s="18"/>
      <c r="Z614" s="18"/>
    </row>
    <row r="615" ht="22.5" customHeight="1">
      <c r="A615" s="236">
        <v>46072.0</v>
      </c>
      <c r="B615" s="218" t="s">
        <v>5328</v>
      </c>
      <c r="C615" s="9"/>
      <c r="D615" s="228"/>
      <c r="E615" s="230"/>
      <c r="F615" s="221" t="s">
        <v>45</v>
      </c>
      <c r="G615" s="9" t="s">
        <v>5329</v>
      </c>
      <c r="H615" s="234"/>
      <c r="I615" s="232"/>
      <c r="J615" s="18"/>
      <c r="K615" s="18"/>
      <c r="L615" s="18"/>
      <c r="M615" s="18"/>
      <c r="N615" s="18"/>
      <c r="O615" s="18"/>
      <c r="P615" s="18"/>
      <c r="Q615" s="18"/>
      <c r="R615" s="18"/>
      <c r="S615" s="18"/>
      <c r="T615" s="18"/>
      <c r="U615" s="18"/>
      <c r="V615" s="18"/>
      <c r="W615" s="18"/>
      <c r="X615" s="18"/>
      <c r="Y615" s="18"/>
      <c r="Z615" s="18"/>
    </row>
    <row r="616" ht="22.5" customHeight="1">
      <c r="A616" s="236">
        <v>46072.0</v>
      </c>
      <c r="B616" s="218" t="s">
        <v>5330</v>
      </c>
      <c r="C616" s="9"/>
      <c r="D616" s="228" t="s">
        <v>1561</v>
      </c>
      <c r="E616" s="230">
        <v>9.700231851E9</v>
      </c>
      <c r="F616" s="221" t="s">
        <v>73</v>
      </c>
      <c r="G616" s="9" t="s">
        <v>5199</v>
      </c>
      <c r="H616" s="234"/>
      <c r="I616" s="232"/>
      <c r="J616" s="18"/>
      <c r="K616" s="18"/>
      <c r="L616" s="18"/>
      <c r="M616" s="18"/>
      <c r="N616" s="18"/>
      <c r="O616" s="18"/>
      <c r="P616" s="18"/>
      <c r="Q616" s="18"/>
      <c r="R616" s="18"/>
      <c r="S616" s="18"/>
      <c r="T616" s="18"/>
      <c r="U616" s="18"/>
      <c r="V616" s="18"/>
      <c r="W616" s="18"/>
      <c r="X616" s="18"/>
      <c r="Y616" s="18"/>
      <c r="Z616" s="18"/>
    </row>
    <row r="617" ht="22.5" customHeight="1">
      <c r="A617" s="236">
        <v>46072.0</v>
      </c>
      <c r="B617" s="218" t="s">
        <v>5331</v>
      </c>
      <c r="C617" s="9"/>
      <c r="D617" s="228" t="s">
        <v>5332</v>
      </c>
      <c r="E617" s="230">
        <v>8.978265222E9</v>
      </c>
      <c r="F617" s="221" t="s">
        <v>45</v>
      </c>
      <c r="G617" s="9" t="s">
        <v>5333</v>
      </c>
      <c r="H617" s="234"/>
      <c r="I617" s="232"/>
      <c r="J617" s="18"/>
      <c r="K617" s="18"/>
      <c r="L617" s="18"/>
      <c r="M617" s="18"/>
      <c r="N617" s="18"/>
      <c r="O617" s="18"/>
      <c r="P617" s="18"/>
      <c r="Q617" s="18"/>
      <c r="R617" s="18"/>
      <c r="S617" s="18"/>
      <c r="T617" s="18"/>
      <c r="U617" s="18"/>
      <c r="V617" s="18"/>
      <c r="W617" s="18"/>
      <c r="X617" s="18"/>
      <c r="Y617" s="18"/>
      <c r="Z617" s="18"/>
    </row>
    <row r="618" ht="22.5" customHeight="1">
      <c r="A618" s="236">
        <v>46072.0</v>
      </c>
      <c r="B618" s="218" t="s">
        <v>5334</v>
      </c>
      <c r="C618" s="9"/>
      <c r="D618" s="228" t="s">
        <v>5335</v>
      </c>
      <c r="E618" s="230">
        <v>8.341901102E9</v>
      </c>
      <c r="F618" s="221" t="s">
        <v>241</v>
      </c>
      <c r="G618" s="9" t="s">
        <v>5336</v>
      </c>
      <c r="H618" s="234"/>
      <c r="I618" s="232"/>
      <c r="J618" s="18"/>
      <c r="K618" s="18"/>
      <c r="L618" s="18"/>
      <c r="M618" s="18"/>
      <c r="N618" s="18"/>
      <c r="O618" s="18"/>
      <c r="P618" s="18"/>
      <c r="Q618" s="18"/>
      <c r="R618" s="18"/>
      <c r="S618" s="18"/>
      <c r="T618" s="18"/>
      <c r="U618" s="18"/>
      <c r="V618" s="18"/>
      <c r="W618" s="18"/>
      <c r="X618" s="18"/>
      <c r="Y618" s="18"/>
      <c r="Z618" s="18"/>
    </row>
    <row r="619" ht="22.5" customHeight="1">
      <c r="A619" s="236">
        <v>46072.0</v>
      </c>
      <c r="B619" s="218" t="s">
        <v>5337</v>
      </c>
      <c r="C619" s="9"/>
      <c r="D619" s="228"/>
      <c r="E619" s="230">
        <v>7.893354044E9</v>
      </c>
      <c r="F619" s="221" t="s">
        <v>96</v>
      </c>
      <c r="G619" s="9" t="s">
        <v>5338</v>
      </c>
      <c r="H619" s="234"/>
      <c r="I619" s="232"/>
      <c r="J619" s="18"/>
      <c r="K619" s="18"/>
      <c r="L619" s="18"/>
      <c r="M619" s="18"/>
      <c r="N619" s="18"/>
      <c r="O619" s="18"/>
      <c r="P619" s="18"/>
      <c r="Q619" s="18"/>
      <c r="R619" s="18"/>
      <c r="S619" s="18"/>
      <c r="T619" s="18"/>
      <c r="U619" s="18"/>
      <c r="V619" s="18"/>
      <c r="W619" s="18"/>
      <c r="X619" s="18"/>
      <c r="Y619" s="18"/>
      <c r="Z619" s="18"/>
    </row>
    <row r="620" ht="22.5" customHeight="1">
      <c r="A620" s="236">
        <v>46072.0</v>
      </c>
      <c r="B620" s="218" t="s">
        <v>5339</v>
      </c>
      <c r="C620" s="9"/>
      <c r="D620" s="228" t="s">
        <v>5340</v>
      </c>
      <c r="E620" s="230">
        <v>9.502201776E9</v>
      </c>
      <c r="F620" s="221" t="s">
        <v>96</v>
      </c>
      <c r="G620" s="9" t="s">
        <v>5341</v>
      </c>
      <c r="H620" s="234"/>
      <c r="I620" s="232"/>
      <c r="J620" s="18"/>
      <c r="K620" s="18"/>
      <c r="L620" s="18"/>
      <c r="M620" s="18"/>
      <c r="N620" s="18"/>
      <c r="O620" s="18"/>
      <c r="P620" s="18"/>
      <c r="Q620" s="18"/>
      <c r="R620" s="18"/>
      <c r="S620" s="18"/>
      <c r="T620" s="18"/>
      <c r="U620" s="18"/>
      <c r="V620" s="18"/>
      <c r="W620" s="18"/>
      <c r="X620" s="18"/>
      <c r="Y620" s="18"/>
      <c r="Z620" s="18"/>
    </row>
    <row r="621" ht="22.5" customHeight="1">
      <c r="A621" s="236">
        <v>46072.0</v>
      </c>
      <c r="B621" s="218" t="s">
        <v>1813</v>
      </c>
      <c r="C621" s="9" t="s">
        <v>1982</v>
      </c>
      <c r="D621" s="228" t="s">
        <v>5342</v>
      </c>
      <c r="E621" s="230"/>
      <c r="F621" s="221" t="s">
        <v>186</v>
      </c>
      <c r="G621" s="9" t="s">
        <v>5343</v>
      </c>
      <c r="H621" s="234"/>
      <c r="I621" s="232"/>
      <c r="J621" s="18"/>
      <c r="K621" s="18"/>
      <c r="L621" s="18"/>
      <c r="M621" s="18"/>
      <c r="N621" s="18"/>
      <c r="O621" s="18"/>
      <c r="P621" s="18"/>
      <c r="Q621" s="18"/>
      <c r="R621" s="18"/>
      <c r="S621" s="18"/>
      <c r="T621" s="18"/>
      <c r="U621" s="18"/>
      <c r="V621" s="18"/>
      <c r="W621" s="18"/>
      <c r="X621" s="18"/>
      <c r="Y621" s="18"/>
      <c r="Z621" s="18"/>
    </row>
    <row r="622" ht="22.5" customHeight="1">
      <c r="A622" s="236">
        <v>46072.0</v>
      </c>
      <c r="B622" s="218" t="s">
        <v>1861</v>
      </c>
      <c r="C622" s="9" t="s">
        <v>1999</v>
      </c>
      <c r="D622" s="228"/>
      <c r="E622" s="230"/>
      <c r="F622" s="221" t="s">
        <v>73</v>
      </c>
      <c r="G622" s="9" t="s">
        <v>5260</v>
      </c>
      <c r="H622" s="234"/>
      <c r="I622" s="232"/>
      <c r="J622" s="18"/>
      <c r="K622" s="18"/>
      <c r="L622" s="18"/>
      <c r="M622" s="18"/>
      <c r="N622" s="18"/>
      <c r="O622" s="18"/>
      <c r="P622" s="18"/>
      <c r="Q622" s="18"/>
      <c r="R622" s="18"/>
      <c r="S622" s="18"/>
      <c r="T622" s="18"/>
      <c r="U622" s="18"/>
      <c r="V622" s="18"/>
      <c r="W622" s="18"/>
      <c r="X622" s="18"/>
      <c r="Y622" s="18"/>
      <c r="Z622" s="18"/>
    </row>
    <row r="623" ht="22.5" customHeight="1">
      <c r="A623" s="236">
        <v>46072.0</v>
      </c>
      <c r="B623" s="218" t="s">
        <v>5344</v>
      </c>
      <c r="C623" s="9"/>
      <c r="D623" s="228" t="s">
        <v>5345</v>
      </c>
      <c r="E623" s="230">
        <v>9.989547754E9</v>
      </c>
      <c r="F623" s="221" t="s">
        <v>241</v>
      </c>
      <c r="G623" s="9" t="s">
        <v>5346</v>
      </c>
      <c r="H623" s="234"/>
      <c r="I623" s="232"/>
      <c r="J623" s="18"/>
      <c r="K623" s="18"/>
      <c r="L623" s="18"/>
      <c r="M623" s="18"/>
      <c r="N623" s="18"/>
      <c r="O623" s="18"/>
      <c r="P623" s="18"/>
      <c r="Q623" s="18"/>
      <c r="R623" s="18"/>
      <c r="S623" s="18"/>
      <c r="T623" s="18"/>
      <c r="U623" s="18"/>
      <c r="V623" s="18"/>
      <c r="W623" s="18"/>
      <c r="X623" s="18"/>
      <c r="Y623" s="18"/>
      <c r="Z623" s="18"/>
    </row>
    <row r="624" ht="22.5" customHeight="1">
      <c r="A624" s="236">
        <v>46072.0</v>
      </c>
      <c r="B624" s="218" t="s">
        <v>5347</v>
      </c>
      <c r="C624" s="9" t="s">
        <v>1982</v>
      </c>
      <c r="D624" s="228" t="s">
        <v>5348</v>
      </c>
      <c r="E624" s="230"/>
      <c r="F624" s="221" t="s">
        <v>186</v>
      </c>
      <c r="G624" s="9" t="s">
        <v>5349</v>
      </c>
      <c r="H624" s="234"/>
      <c r="I624" s="232"/>
      <c r="J624" s="18"/>
      <c r="K624" s="18"/>
      <c r="L624" s="18"/>
      <c r="M624" s="18"/>
      <c r="N624" s="18"/>
      <c r="O624" s="18"/>
      <c r="P624" s="18"/>
      <c r="Q624" s="18"/>
      <c r="R624" s="18"/>
      <c r="S624" s="18"/>
      <c r="T624" s="18"/>
      <c r="U624" s="18"/>
      <c r="V624" s="18"/>
      <c r="W624" s="18"/>
      <c r="X624" s="18"/>
      <c r="Y624" s="18"/>
      <c r="Z624" s="18"/>
    </row>
    <row r="625" ht="22.5" customHeight="1">
      <c r="A625" s="236">
        <v>46072.0</v>
      </c>
      <c r="B625" s="218" t="s">
        <v>5350</v>
      </c>
      <c r="C625" s="9"/>
      <c r="D625" s="228"/>
      <c r="E625" s="230">
        <v>9.1002255E9</v>
      </c>
      <c r="F625" s="221" t="s">
        <v>96</v>
      </c>
      <c r="G625" s="9" t="s">
        <v>5351</v>
      </c>
      <c r="H625" s="234"/>
      <c r="I625" s="232"/>
      <c r="J625" s="18"/>
      <c r="K625" s="18"/>
      <c r="L625" s="18"/>
      <c r="M625" s="18"/>
      <c r="N625" s="18"/>
      <c r="O625" s="18"/>
      <c r="P625" s="18"/>
      <c r="Q625" s="18"/>
      <c r="R625" s="18"/>
      <c r="S625" s="18"/>
      <c r="T625" s="18"/>
      <c r="U625" s="18"/>
      <c r="V625" s="18"/>
      <c r="W625" s="18"/>
      <c r="X625" s="18"/>
      <c r="Y625" s="18"/>
      <c r="Z625" s="18"/>
    </row>
    <row r="626" ht="22.5" customHeight="1">
      <c r="A626" s="236">
        <v>46072.0</v>
      </c>
      <c r="B626" s="218" t="s">
        <v>5352</v>
      </c>
      <c r="C626" s="9"/>
      <c r="D626" s="228" t="s">
        <v>3954</v>
      </c>
      <c r="E626" s="230">
        <v>7.981900413E9</v>
      </c>
      <c r="F626" s="221" t="s">
        <v>241</v>
      </c>
      <c r="G626" s="9" t="s">
        <v>5353</v>
      </c>
      <c r="H626" s="234"/>
      <c r="I626" s="232"/>
      <c r="J626" s="18"/>
      <c r="K626" s="18"/>
      <c r="L626" s="18"/>
      <c r="M626" s="18"/>
      <c r="N626" s="18"/>
      <c r="O626" s="18"/>
      <c r="P626" s="18"/>
      <c r="Q626" s="18"/>
      <c r="R626" s="18"/>
      <c r="S626" s="18"/>
      <c r="T626" s="18"/>
      <c r="U626" s="18"/>
      <c r="V626" s="18"/>
      <c r="W626" s="18"/>
      <c r="X626" s="18"/>
      <c r="Y626" s="18"/>
      <c r="Z626" s="18"/>
    </row>
    <row r="627" ht="22.5" customHeight="1">
      <c r="A627" s="236">
        <v>46072.0</v>
      </c>
      <c r="B627" s="218" t="s">
        <v>5354</v>
      </c>
      <c r="C627" s="9"/>
      <c r="D627" s="228" t="s">
        <v>5355</v>
      </c>
      <c r="E627" s="230">
        <v>6.304257429E9</v>
      </c>
      <c r="F627" s="221" t="s">
        <v>96</v>
      </c>
      <c r="G627" s="9" t="s">
        <v>5356</v>
      </c>
      <c r="H627" s="234"/>
      <c r="I627" s="232"/>
      <c r="J627" s="18"/>
      <c r="K627" s="18"/>
      <c r="L627" s="18"/>
      <c r="M627" s="18"/>
      <c r="N627" s="18"/>
      <c r="O627" s="18"/>
      <c r="P627" s="18"/>
      <c r="Q627" s="18"/>
      <c r="R627" s="18"/>
      <c r="S627" s="18"/>
      <c r="T627" s="18"/>
      <c r="U627" s="18"/>
      <c r="V627" s="18"/>
      <c r="W627" s="18"/>
      <c r="X627" s="18"/>
      <c r="Y627" s="18"/>
      <c r="Z627" s="18"/>
    </row>
    <row r="628" ht="22.5" customHeight="1">
      <c r="A628" s="236">
        <v>46072.0</v>
      </c>
      <c r="B628" s="218" t="s">
        <v>5357</v>
      </c>
      <c r="C628" s="9" t="s">
        <v>203</v>
      </c>
      <c r="D628" s="228"/>
      <c r="E628" s="230"/>
      <c r="F628" s="221" t="s">
        <v>3853</v>
      </c>
      <c r="G628" s="9" t="s">
        <v>5358</v>
      </c>
      <c r="H628" s="234"/>
      <c r="I628" s="232"/>
      <c r="J628" s="18"/>
      <c r="K628" s="18"/>
      <c r="L628" s="18"/>
      <c r="M628" s="18"/>
      <c r="N628" s="18"/>
      <c r="O628" s="18"/>
      <c r="P628" s="18"/>
      <c r="Q628" s="18"/>
      <c r="R628" s="18"/>
      <c r="S628" s="18"/>
      <c r="T628" s="18"/>
      <c r="U628" s="18"/>
      <c r="V628" s="18"/>
      <c r="W628" s="18"/>
      <c r="X628" s="18"/>
      <c r="Y628" s="18"/>
      <c r="Z628" s="18"/>
    </row>
    <row r="629" ht="22.5" customHeight="1">
      <c r="A629" s="236">
        <v>46072.0</v>
      </c>
      <c r="B629" s="218" t="s">
        <v>5359</v>
      </c>
      <c r="C629" s="9"/>
      <c r="D629" s="228" t="s">
        <v>5360</v>
      </c>
      <c r="E629" s="230"/>
      <c r="F629" s="221" t="s">
        <v>144</v>
      </c>
      <c r="G629" s="9" t="s">
        <v>4717</v>
      </c>
      <c r="H629" s="234"/>
      <c r="I629" s="232"/>
      <c r="J629" s="18"/>
      <c r="K629" s="18"/>
      <c r="L629" s="18"/>
      <c r="M629" s="18"/>
      <c r="N629" s="18"/>
      <c r="O629" s="18"/>
      <c r="P629" s="18"/>
      <c r="Q629" s="18"/>
      <c r="R629" s="18"/>
      <c r="S629" s="18"/>
      <c r="T629" s="18"/>
      <c r="U629" s="18"/>
      <c r="V629" s="18"/>
      <c r="W629" s="18"/>
      <c r="X629" s="18"/>
      <c r="Y629" s="18"/>
      <c r="Z629" s="18"/>
    </row>
    <row r="630" ht="22.5" customHeight="1">
      <c r="A630" s="236">
        <v>46072.0</v>
      </c>
      <c r="B630" s="218" t="s">
        <v>5361</v>
      </c>
      <c r="C630" s="9"/>
      <c r="D630" s="228"/>
      <c r="E630" s="230">
        <v>9.985076767E9</v>
      </c>
      <c r="F630" s="221" t="s">
        <v>73</v>
      </c>
      <c r="G630" s="9" t="s">
        <v>5362</v>
      </c>
      <c r="H630" s="234"/>
      <c r="I630" s="232"/>
      <c r="J630" s="18"/>
      <c r="K630" s="18"/>
      <c r="L630" s="18"/>
      <c r="M630" s="18"/>
      <c r="N630" s="18"/>
      <c r="O630" s="18"/>
      <c r="P630" s="18"/>
      <c r="Q630" s="18"/>
      <c r="R630" s="18"/>
      <c r="S630" s="18"/>
      <c r="T630" s="18"/>
      <c r="U630" s="18"/>
      <c r="V630" s="18"/>
      <c r="W630" s="18"/>
      <c r="X630" s="18"/>
      <c r="Y630" s="18"/>
      <c r="Z630" s="18"/>
    </row>
    <row r="631" ht="22.5" customHeight="1">
      <c r="A631" s="236">
        <v>46072.0</v>
      </c>
      <c r="B631" s="218" t="s">
        <v>5363</v>
      </c>
      <c r="C631" s="9"/>
      <c r="D631" s="228"/>
      <c r="E631" s="230"/>
      <c r="F631" s="221" t="s">
        <v>60</v>
      </c>
      <c r="G631" s="9" t="s">
        <v>5364</v>
      </c>
      <c r="H631" s="234"/>
      <c r="I631" s="232"/>
      <c r="J631" s="18"/>
      <c r="K631" s="18"/>
      <c r="L631" s="18"/>
      <c r="M631" s="18"/>
      <c r="N631" s="18"/>
      <c r="O631" s="18"/>
      <c r="P631" s="18"/>
      <c r="Q631" s="18"/>
      <c r="R631" s="18"/>
      <c r="S631" s="18"/>
      <c r="T631" s="18"/>
      <c r="U631" s="18"/>
      <c r="V631" s="18"/>
      <c r="W631" s="18"/>
      <c r="X631" s="18"/>
      <c r="Y631" s="18"/>
      <c r="Z631" s="18"/>
    </row>
    <row r="632" ht="22.5" customHeight="1">
      <c r="A632" s="236">
        <v>46072.0</v>
      </c>
      <c r="B632" s="218" t="s">
        <v>1742</v>
      </c>
      <c r="C632" s="9"/>
      <c r="D632" s="228"/>
      <c r="E632" s="230"/>
      <c r="F632" s="221" t="s">
        <v>60</v>
      </c>
      <c r="G632" s="121" t="s">
        <v>5365</v>
      </c>
      <c r="H632" s="234"/>
      <c r="I632" s="232"/>
      <c r="J632" s="18"/>
      <c r="K632" s="18"/>
      <c r="L632" s="18"/>
      <c r="M632" s="18"/>
      <c r="N632" s="18"/>
      <c r="O632" s="18"/>
      <c r="P632" s="18"/>
      <c r="Q632" s="18"/>
      <c r="R632" s="18"/>
      <c r="S632" s="18"/>
      <c r="T632" s="18"/>
      <c r="U632" s="18"/>
      <c r="V632" s="18"/>
      <c r="W632" s="18"/>
      <c r="X632" s="18"/>
      <c r="Y632" s="18"/>
      <c r="Z632" s="18"/>
    </row>
    <row r="633" ht="22.5" customHeight="1">
      <c r="A633" s="236">
        <v>46072.0</v>
      </c>
      <c r="B633" s="218" t="s">
        <v>5366</v>
      </c>
      <c r="C633" s="9" t="s">
        <v>1982</v>
      </c>
      <c r="D633" s="228" t="s">
        <v>5367</v>
      </c>
      <c r="E633" s="230"/>
      <c r="F633" s="221" t="s">
        <v>186</v>
      </c>
      <c r="G633" s="9" t="s">
        <v>5368</v>
      </c>
      <c r="H633" s="234"/>
      <c r="I633" s="232"/>
      <c r="J633" s="18"/>
      <c r="K633" s="18"/>
      <c r="L633" s="18"/>
      <c r="M633" s="18"/>
      <c r="N633" s="18"/>
      <c r="O633" s="18"/>
      <c r="P633" s="18"/>
      <c r="Q633" s="18"/>
      <c r="R633" s="18"/>
      <c r="S633" s="18"/>
      <c r="T633" s="18"/>
      <c r="U633" s="18"/>
      <c r="V633" s="18"/>
      <c r="W633" s="18"/>
      <c r="X633" s="18"/>
      <c r="Y633" s="18"/>
      <c r="Z633" s="18"/>
    </row>
    <row r="634" ht="22.5" customHeight="1">
      <c r="A634" s="236">
        <v>46072.0</v>
      </c>
      <c r="B634" s="218" t="s">
        <v>5369</v>
      </c>
      <c r="C634" s="9"/>
      <c r="D634" s="228" t="s">
        <v>5370</v>
      </c>
      <c r="E634" s="230">
        <v>8.0742365E9</v>
      </c>
      <c r="F634" s="221" t="s">
        <v>241</v>
      </c>
      <c r="G634" s="9" t="s">
        <v>5371</v>
      </c>
      <c r="H634" s="234"/>
      <c r="I634" s="232"/>
      <c r="J634" s="18"/>
      <c r="K634" s="18"/>
      <c r="L634" s="18"/>
      <c r="M634" s="18"/>
      <c r="N634" s="18"/>
      <c r="O634" s="18"/>
      <c r="P634" s="18"/>
      <c r="Q634" s="18"/>
      <c r="R634" s="18"/>
      <c r="S634" s="18"/>
      <c r="T634" s="18"/>
      <c r="U634" s="18"/>
      <c r="V634" s="18"/>
      <c r="W634" s="18"/>
      <c r="X634" s="18"/>
      <c r="Y634" s="18"/>
      <c r="Z634" s="18"/>
    </row>
    <row r="635" ht="22.5" customHeight="1">
      <c r="A635" s="236">
        <v>46072.0</v>
      </c>
      <c r="B635" s="218" t="s">
        <v>5372</v>
      </c>
      <c r="C635" s="9" t="s">
        <v>203</v>
      </c>
      <c r="D635" s="228" t="s">
        <v>3171</v>
      </c>
      <c r="E635" s="230">
        <v>8.341830787E9</v>
      </c>
      <c r="F635" s="221" t="s">
        <v>3853</v>
      </c>
      <c r="G635" s="9" t="s">
        <v>5373</v>
      </c>
      <c r="H635" s="234"/>
      <c r="I635" s="232"/>
      <c r="J635" s="18"/>
      <c r="K635" s="18"/>
      <c r="L635" s="18"/>
      <c r="M635" s="18"/>
      <c r="N635" s="18"/>
      <c r="O635" s="18"/>
      <c r="P635" s="18"/>
      <c r="Q635" s="18"/>
      <c r="R635" s="18"/>
      <c r="S635" s="18"/>
      <c r="T635" s="18"/>
      <c r="U635" s="18"/>
      <c r="V635" s="18"/>
      <c r="W635" s="18"/>
      <c r="X635" s="18"/>
      <c r="Y635" s="18"/>
      <c r="Z635" s="18"/>
    </row>
    <row r="636" ht="22.5" customHeight="1">
      <c r="A636" s="236">
        <v>46072.0</v>
      </c>
      <c r="B636" s="218" t="s">
        <v>5374</v>
      </c>
      <c r="C636" s="9"/>
      <c r="D636" s="228"/>
      <c r="E636" s="230"/>
      <c r="F636" s="221" t="s">
        <v>60</v>
      </c>
      <c r="G636" s="9" t="s">
        <v>5375</v>
      </c>
      <c r="H636" s="234"/>
      <c r="I636" s="232"/>
      <c r="J636" s="18"/>
      <c r="K636" s="18"/>
      <c r="L636" s="18"/>
      <c r="M636" s="18"/>
      <c r="N636" s="18"/>
      <c r="O636" s="18"/>
      <c r="P636" s="18"/>
      <c r="Q636" s="18"/>
      <c r="R636" s="18"/>
      <c r="S636" s="18"/>
      <c r="T636" s="18"/>
      <c r="U636" s="18"/>
      <c r="V636" s="18"/>
      <c r="W636" s="18"/>
      <c r="X636" s="18"/>
      <c r="Y636" s="18"/>
      <c r="Z636" s="18"/>
    </row>
    <row r="637" ht="22.5" customHeight="1">
      <c r="A637" s="236">
        <v>46072.0</v>
      </c>
      <c r="B637" s="218" t="s">
        <v>5376</v>
      </c>
      <c r="C637" s="9"/>
      <c r="D637" s="228"/>
      <c r="E637" s="230"/>
      <c r="F637" s="221" t="s">
        <v>60</v>
      </c>
      <c r="G637" s="9" t="s">
        <v>5377</v>
      </c>
      <c r="H637" s="234"/>
      <c r="I637" s="232"/>
      <c r="J637" s="18"/>
      <c r="K637" s="18"/>
      <c r="L637" s="18"/>
      <c r="M637" s="18"/>
      <c r="N637" s="18"/>
      <c r="O637" s="18"/>
      <c r="P637" s="18"/>
      <c r="Q637" s="18"/>
      <c r="R637" s="18"/>
      <c r="S637" s="18"/>
      <c r="T637" s="18"/>
      <c r="U637" s="18"/>
      <c r="V637" s="18"/>
      <c r="W637" s="18"/>
      <c r="X637" s="18"/>
      <c r="Y637" s="18"/>
      <c r="Z637" s="18"/>
    </row>
    <row r="638" ht="22.5" customHeight="1">
      <c r="A638" s="236">
        <v>46072.0</v>
      </c>
      <c r="B638" s="218" t="s">
        <v>5378</v>
      </c>
      <c r="C638" s="9"/>
      <c r="D638" s="228"/>
      <c r="E638" s="230"/>
      <c r="F638" s="221" t="s">
        <v>73</v>
      </c>
      <c r="G638" s="9" t="s">
        <v>5379</v>
      </c>
      <c r="H638" s="234"/>
      <c r="I638" s="232"/>
      <c r="J638" s="18"/>
      <c r="K638" s="18"/>
      <c r="L638" s="18"/>
      <c r="M638" s="18"/>
      <c r="N638" s="18"/>
      <c r="O638" s="18"/>
      <c r="P638" s="18"/>
      <c r="Q638" s="18"/>
      <c r="R638" s="18"/>
      <c r="S638" s="18"/>
      <c r="T638" s="18"/>
      <c r="U638" s="18"/>
      <c r="V638" s="18"/>
      <c r="W638" s="18"/>
      <c r="X638" s="18"/>
      <c r="Y638" s="18"/>
      <c r="Z638" s="18"/>
    </row>
    <row r="639" ht="22.5" customHeight="1">
      <c r="A639" s="236">
        <v>46072.0</v>
      </c>
      <c r="B639" s="218" t="s">
        <v>5380</v>
      </c>
      <c r="C639" s="9"/>
      <c r="D639" s="228"/>
      <c r="E639" s="230"/>
      <c r="F639" s="221" t="s">
        <v>96</v>
      </c>
      <c r="G639" s="9" t="s">
        <v>5381</v>
      </c>
      <c r="H639" s="234"/>
      <c r="I639" s="232"/>
      <c r="J639" s="18"/>
      <c r="K639" s="18"/>
      <c r="L639" s="18"/>
      <c r="M639" s="18"/>
      <c r="N639" s="18"/>
      <c r="O639" s="18"/>
      <c r="P639" s="18"/>
      <c r="Q639" s="18"/>
      <c r="R639" s="18"/>
      <c r="S639" s="18"/>
      <c r="T639" s="18"/>
      <c r="U639" s="18"/>
      <c r="V639" s="18"/>
      <c r="W639" s="18"/>
      <c r="X639" s="18"/>
      <c r="Y639" s="18"/>
      <c r="Z639" s="18"/>
    </row>
    <row r="640" ht="22.5" customHeight="1">
      <c r="A640" s="236">
        <v>46072.0</v>
      </c>
      <c r="B640" s="218" t="s">
        <v>5382</v>
      </c>
      <c r="C640" s="9"/>
      <c r="D640" s="228"/>
      <c r="E640" s="230">
        <v>9.94937333E8</v>
      </c>
      <c r="F640" s="221" t="s">
        <v>3853</v>
      </c>
      <c r="G640" s="9" t="s">
        <v>5383</v>
      </c>
      <c r="H640" s="234"/>
      <c r="I640" s="232"/>
      <c r="J640" s="18"/>
      <c r="K640" s="18"/>
      <c r="L640" s="18"/>
      <c r="M640" s="18"/>
      <c r="N640" s="18"/>
      <c r="O640" s="18"/>
      <c r="P640" s="18"/>
      <c r="Q640" s="18"/>
      <c r="R640" s="18"/>
      <c r="S640" s="18"/>
      <c r="T640" s="18"/>
      <c r="U640" s="18"/>
      <c r="V640" s="18"/>
      <c r="W640" s="18"/>
      <c r="X640" s="18"/>
      <c r="Y640" s="18"/>
      <c r="Z640" s="18"/>
    </row>
    <row r="641" ht="22.5" customHeight="1">
      <c r="A641" s="236">
        <v>46072.0</v>
      </c>
      <c r="B641" s="218" t="s">
        <v>5384</v>
      </c>
      <c r="C641" s="9"/>
      <c r="D641" s="228" t="s">
        <v>5385</v>
      </c>
      <c r="E641" s="230">
        <v>8.317528467E9</v>
      </c>
      <c r="F641" s="221" t="s">
        <v>241</v>
      </c>
      <c r="G641" s="9" t="s">
        <v>5386</v>
      </c>
      <c r="H641" s="234"/>
      <c r="I641" s="232"/>
      <c r="J641" s="18"/>
      <c r="K641" s="18"/>
      <c r="L641" s="18"/>
      <c r="M641" s="18"/>
      <c r="N641" s="18"/>
      <c r="O641" s="18"/>
      <c r="P641" s="18"/>
      <c r="Q641" s="18"/>
      <c r="R641" s="18"/>
      <c r="S641" s="18"/>
      <c r="T641" s="18"/>
      <c r="U641" s="18"/>
      <c r="V641" s="18"/>
      <c r="W641" s="18"/>
      <c r="X641" s="18"/>
      <c r="Y641" s="18"/>
      <c r="Z641" s="18"/>
    </row>
    <row r="642" ht="22.5" customHeight="1">
      <c r="A642" s="236">
        <v>46072.0</v>
      </c>
      <c r="B642" s="218" t="s">
        <v>5387</v>
      </c>
      <c r="C642" s="9"/>
      <c r="D642" s="228" t="s">
        <v>5388</v>
      </c>
      <c r="E642" s="230">
        <v>8.074223013E9</v>
      </c>
      <c r="F642" s="221" t="s">
        <v>248</v>
      </c>
      <c r="G642" s="9" t="s">
        <v>5389</v>
      </c>
      <c r="H642" s="234">
        <v>46072.0</v>
      </c>
      <c r="I642" s="232">
        <v>0.875</v>
      </c>
      <c r="J642" s="18"/>
      <c r="K642" s="18"/>
      <c r="L642" s="18"/>
      <c r="M642" s="18"/>
      <c r="N642" s="18"/>
      <c r="O642" s="18"/>
      <c r="P642" s="18"/>
      <c r="Q642" s="18"/>
      <c r="R642" s="18"/>
      <c r="S642" s="18"/>
      <c r="T642" s="18"/>
      <c r="U642" s="18"/>
      <c r="V642" s="18"/>
      <c r="W642" s="18"/>
      <c r="X642" s="18"/>
      <c r="Y642" s="18"/>
      <c r="Z642" s="18"/>
    </row>
    <row r="643" ht="22.5" customHeight="1">
      <c r="A643" s="236">
        <v>46072.0</v>
      </c>
      <c r="B643" s="218" t="s">
        <v>5390</v>
      </c>
      <c r="C643" s="9"/>
      <c r="D643" s="228"/>
      <c r="E643" s="230"/>
      <c r="F643" s="221" t="s">
        <v>96</v>
      </c>
      <c r="G643" s="9" t="s">
        <v>5391</v>
      </c>
      <c r="H643" s="234">
        <v>46076.0</v>
      </c>
      <c r="I643" s="232"/>
      <c r="J643" s="18"/>
      <c r="K643" s="18"/>
      <c r="L643" s="18"/>
      <c r="M643" s="18"/>
      <c r="N643" s="18"/>
      <c r="O643" s="18"/>
      <c r="P643" s="18"/>
      <c r="Q643" s="18"/>
      <c r="R643" s="18"/>
      <c r="S643" s="18"/>
      <c r="T643" s="18"/>
      <c r="U643" s="18"/>
      <c r="V643" s="18"/>
      <c r="W643" s="18"/>
      <c r="X643" s="18"/>
      <c r="Y643" s="18"/>
      <c r="Z643" s="18"/>
    </row>
    <row r="644" ht="22.5" customHeight="1">
      <c r="A644" s="236">
        <v>46072.0</v>
      </c>
      <c r="B644" s="218" t="s">
        <v>5392</v>
      </c>
      <c r="C644" s="9"/>
      <c r="D644" s="228"/>
      <c r="E644" s="230"/>
      <c r="F644" s="221" t="s">
        <v>45</v>
      </c>
      <c r="G644" s="9" t="s">
        <v>5393</v>
      </c>
      <c r="H644" s="234"/>
      <c r="I644" s="232"/>
      <c r="J644" s="18"/>
      <c r="K644" s="18"/>
      <c r="L644" s="18"/>
      <c r="M644" s="18"/>
      <c r="N644" s="18"/>
      <c r="O644" s="18"/>
      <c r="P644" s="18"/>
      <c r="Q644" s="18"/>
      <c r="R644" s="18"/>
      <c r="S644" s="18"/>
      <c r="T644" s="18"/>
      <c r="U644" s="18"/>
      <c r="V644" s="18"/>
      <c r="W644" s="18"/>
      <c r="X644" s="18"/>
      <c r="Y644" s="18"/>
      <c r="Z644" s="18"/>
    </row>
    <row r="645" ht="22.5" customHeight="1">
      <c r="A645" s="236">
        <v>46072.0</v>
      </c>
      <c r="B645" s="218" t="s">
        <v>5394</v>
      </c>
      <c r="C645" s="9"/>
      <c r="D645" s="228"/>
      <c r="E645" s="230"/>
      <c r="F645" s="221" t="s">
        <v>45</v>
      </c>
      <c r="G645" s="9" t="s">
        <v>5393</v>
      </c>
      <c r="H645" s="234"/>
      <c r="I645" s="232"/>
      <c r="J645" s="18"/>
      <c r="K645" s="18"/>
      <c r="L645" s="18"/>
      <c r="M645" s="18"/>
      <c r="N645" s="18"/>
      <c r="O645" s="18"/>
      <c r="P645" s="18"/>
      <c r="Q645" s="18"/>
      <c r="R645" s="18"/>
      <c r="S645" s="18"/>
      <c r="T645" s="18"/>
      <c r="U645" s="18"/>
      <c r="V645" s="18"/>
      <c r="W645" s="18"/>
      <c r="X645" s="18"/>
      <c r="Y645" s="18"/>
      <c r="Z645" s="18"/>
    </row>
    <row r="646" ht="22.5" customHeight="1">
      <c r="A646" s="236">
        <v>46072.0</v>
      </c>
      <c r="B646" s="218" t="s">
        <v>5395</v>
      </c>
      <c r="C646" s="9"/>
      <c r="D646" s="228"/>
      <c r="E646" s="230"/>
      <c r="F646" s="221" t="s">
        <v>45</v>
      </c>
      <c r="G646" s="9" t="s">
        <v>5393</v>
      </c>
      <c r="H646" s="234"/>
      <c r="I646" s="232"/>
      <c r="J646" s="18"/>
      <c r="K646" s="18"/>
      <c r="L646" s="18"/>
      <c r="M646" s="18"/>
      <c r="N646" s="18"/>
      <c r="O646" s="18"/>
      <c r="P646" s="18"/>
      <c r="Q646" s="18"/>
      <c r="R646" s="18"/>
      <c r="S646" s="18"/>
      <c r="T646" s="18"/>
      <c r="U646" s="18"/>
      <c r="V646" s="18"/>
      <c r="W646" s="18"/>
      <c r="X646" s="18"/>
      <c r="Y646" s="18"/>
      <c r="Z646" s="18"/>
    </row>
    <row r="647" ht="22.5" customHeight="1">
      <c r="A647" s="236">
        <v>46072.0</v>
      </c>
      <c r="B647" s="218" t="s">
        <v>5396</v>
      </c>
      <c r="C647" s="9"/>
      <c r="D647" s="228" t="s">
        <v>1534</v>
      </c>
      <c r="E647" s="230">
        <v>8.519905468E9</v>
      </c>
      <c r="F647" s="221" t="s">
        <v>96</v>
      </c>
      <c r="G647" s="9" t="s">
        <v>5397</v>
      </c>
      <c r="H647" s="234"/>
      <c r="I647" s="232"/>
      <c r="J647" s="18"/>
      <c r="K647" s="18"/>
      <c r="L647" s="18"/>
      <c r="M647" s="18"/>
      <c r="N647" s="18"/>
      <c r="O647" s="18"/>
      <c r="P647" s="18"/>
      <c r="Q647" s="18"/>
      <c r="R647" s="18"/>
      <c r="S647" s="18"/>
      <c r="T647" s="18"/>
      <c r="U647" s="18"/>
      <c r="V647" s="18"/>
      <c r="W647" s="18"/>
      <c r="X647" s="18"/>
      <c r="Y647" s="18"/>
      <c r="Z647" s="18"/>
    </row>
    <row r="648" ht="22.5" customHeight="1">
      <c r="A648" s="236">
        <v>46072.0</v>
      </c>
      <c r="B648" s="218" t="s">
        <v>5398</v>
      </c>
      <c r="C648" s="9" t="s">
        <v>903</v>
      </c>
      <c r="D648" s="228" t="s">
        <v>5399</v>
      </c>
      <c r="E648" s="230">
        <v>9.133711711E9</v>
      </c>
      <c r="F648" s="221" t="s">
        <v>241</v>
      </c>
      <c r="G648" s="9" t="s">
        <v>5400</v>
      </c>
      <c r="H648" s="234"/>
      <c r="I648" s="232"/>
      <c r="J648" s="18"/>
      <c r="K648" s="18"/>
      <c r="L648" s="18"/>
      <c r="M648" s="18"/>
      <c r="N648" s="18"/>
      <c r="O648" s="18"/>
      <c r="P648" s="18"/>
      <c r="Q648" s="18"/>
      <c r="R648" s="18"/>
      <c r="S648" s="18"/>
      <c r="T648" s="18"/>
      <c r="U648" s="18"/>
      <c r="V648" s="18"/>
      <c r="W648" s="18"/>
      <c r="X648" s="18"/>
      <c r="Y648" s="18"/>
      <c r="Z648" s="18"/>
    </row>
    <row r="649" ht="22.5" customHeight="1">
      <c r="A649" s="236">
        <v>46072.0</v>
      </c>
      <c r="B649" s="218" t="s">
        <v>5401</v>
      </c>
      <c r="C649" s="9"/>
      <c r="D649" s="228" t="s">
        <v>5402</v>
      </c>
      <c r="E649" s="230">
        <v>9.281492277E9</v>
      </c>
      <c r="F649" s="221" t="s">
        <v>1919</v>
      </c>
      <c r="G649" s="9" t="s">
        <v>5403</v>
      </c>
      <c r="H649" s="234">
        <v>46072.0</v>
      </c>
      <c r="I649" s="232">
        <v>0.7708333333333334</v>
      </c>
      <c r="J649" s="18"/>
      <c r="K649" s="18"/>
      <c r="L649" s="18"/>
      <c r="M649" s="18"/>
      <c r="N649" s="18"/>
      <c r="O649" s="18"/>
      <c r="P649" s="18"/>
      <c r="Q649" s="18"/>
      <c r="R649" s="18"/>
      <c r="S649" s="18"/>
      <c r="T649" s="18"/>
      <c r="U649" s="18"/>
      <c r="V649" s="18"/>
      <c r="W649" s="18"/>
      <c r="X649" s="18"/>
      <c r="Y649" s="18"/>
      <c r="Z649" s="18"/>
    </row>
    <row r="650" ht="22.5" customHeight="1">
      <c r="A650" s="236">
        <v>46072.0</v>
      </c>
      <c r="B650" s="218" t="s">
        <v>5404</v>
      </c>
      <c r="C650" s="9"/>
      <c r="D650" s="228" t="s">
        <v>5405</v>
      </c>
      <c r="E650" s="230">
        <v>9.441166869E9</v>
      </c>
      <c r="F650" s="221" t="s">
        <v>96</v>
      </c>
      <c r="G650" s="9" t="s">
        <v>5406</v>
      </c>
      <c r="H650" s="234"/>
      <c r="I650" s="232"/>
      <c r="J650" s="18"/>
      <c r="K650" s="18"/>
      <c r="L650" s="18"/>
      <c r="M650" s="18"/>
      <c r="N650" s="18"/>
      <c r="O650" s="18"/>
      <c r="P650" s="18"/>
      <c r="Q650" s="18"/>
      <c r="R650" s="18"/>
      <c r="S650" s="18"/>
      <c r="T650" s="18"/>
      <c r="U650" s="18"/>
      <c r="V650" s="18"/>
      <c r="W650" s="18"/>
      <c r="X650" s="18"/>
      <c r="Y650" s="18"/>
      <c r="Z650" s="18"/>
    </row>
    <row r="651" ht="22.5" customHeight="1">
      <c r="A651" s="236">
        <v>46072.0</v>
      </c>
      <c r="B651" s="218" t="s">
        <v>5407</v>
      </c>
      <c r="C651" s="9"/>
      <c r="D651" s="228" t="s">
        <v>5408</v>
      </c>
      <c r="E651" s="230"/>
      <c r="F651" s="221" t="s">
        <v>144</v>
      </c>
      <c r="G651" s="9" t="s">
        <v>5409</v>
      </c>
      <c r="H651" s="234"/>
      <c r="I651" s="232"/>
      <c r="J651" s="18"/>
      <c r="K651" s="18"/>
      <c r="L651" s="18"/>
      <c r="M651" s="18"/>
      <c r="N651" s="18"/>
      <c r="O651" s="18"/>
      <c r="P651" s="18"/>
      <c r="Q651" s="18"/>
      <c r="R651" s="18"/>
      <c r="S651" s="18"/>
      <c r="T651" s="18"/>
      <c r="U651" s="18"/>
      <c r="V651" s="18"/>
      <c r="W651" s="18"/>
      <c r="X651" s="18"/>
      <c r="Y651" s="18"/>
      <c r="Z651" s="18"/>
    </row>
    <row r="652" ht="22.5" customHeight="1">
      <c r="A652" s="236">
        <v>46072.0</v>
      </c>
      <c r="B652" s="218" t="s">
        <v>1700</v>
      </c>
      <c r="C652" s="9" t="s">
        <v>1999</v>
      </c>
      <c r="D652" s="228"/>
      <c r="E652" s="230"/>
      <c r="F652" s="221" t="s">
        <v>73</v>
      </c>
      <c r="G652" s="9" t="s">
        <v>5410</v>
      </c>
      <c r="H652" s="234"/>
      <c r="I652" s="232"/>
      <c r="J652" s="18"/>
      <c r="K652" s="18"/>
      <c r="L652" s="18"/>
      <c r="M652" s="18"/>
      <c r="N652" s="18"/>
      <c r="O652" s="18"/>
      <c r="P652" s="18"/>
      <c r="Q652" s="18"/>
      <c r="R652" s="18"/>
      <c r="S652" s="18"/>
      <c r="T652" s="18"/>
      <c r="U652" s="18"/>
      <c r="V652" s="18"/>
      <c r="W652" s="18"/>
      <c r="X652" s="18"/>
      <c r="Y652" s="18"/>
      <c r="Z652" s="18"/>
    </row>
    <row r="653" ht="22.5" customHeight="1">
      <c r="A653" s="236">
        <v>46072.0</v>
      </c>
      <c r="B653" s="218" t="s">
        <v>5411</v>
      </c>
      <c r="C653" s="9" t="s">
        <v>1804</v>
      </c>
      <c r="D653" s="228"/>
      <c r="E653" s="230"/>
      <c r="F653" s="221" t="s">
        <v>241</v>
      </c>
      <c r="G653" s="9" t="s">
        <v>4261</v>
      </c>
      <c r="H653" s="234"/>
      <c r="I653" s="232"/>
      <c r="J653" s="18"/>
      <c r="K653" s="18"/>
      <c r="L653" s="18"/>
      <c r="M653" s="18"/>
      <c r="N653" s="18"/>
      <c r="O653" s="18"/>
      <c r="P653" s="18"/>
      <c r="Q653" s="18"/>
      <c r="R653" s="18"/>
      <c r="S653" s="18"/>
      <c r="T653" s="18"/>
      <c r="U653" s="18"/>
      <c r="V653" s="18"/>
      <c r="W653" s="18"/>
      <c r="X653" s="18"/>
      <c r="Y653" s="18"/>
      <c r="Z653" s="18"/>
    </row>
    <row r="654" ht="22.5" customHeight="1">
      <c r="A654" s="236">
        <v>46072.0</v>
      </c>
      <c r="B654" s="218" t="s">
        <v>2126</v>
      </c>
      <c r="C654" s="9"/>
      <c r="D654" s="228"/>
      <c r="E654" s="230"/>
      <c r="F654" s="221" t="s">
        <v>96</v>
      </c>
      <c r="G654" s="9" t="s">
        <v>5412</v>
      </c>
      <c r="H654" s="234"/>
      <c r="I654" s="232"/>
      <c r="J654" s="18"/>
      <c r="K654" s="18"/>
      <c r="L654" s="18"/>
      <c r="M654" s="18"/>
      <c r="N654" s="18"/>
      <c r="O654" s="18"/>
      <c r="P654" s="18"/>
      <c r="Q654" s="18"/>
      <c r="R654" s="18"/>
      <c r="S654" s="18"/>
      <c r="T654" s="18"/>
      <c r="U654" s="18"/>
      <c r="V654" s="18"/>
      <c r="W654" s="18"/>
      <c r="X654" s="18"/>
      <c r="Y654" s="18"/>
      <c r="Z654" s="18"/>
    </row>
    <row r="655" ht="22.5" customHeight="1">
      <c r="A655" s="236">
        <v>46072.0</v>
      </c>
      <c r="B655" s="218" t="s">
        <v>5413</v>
      </c>
      <c r="C655" s="9" t="s">
        <v>1999</v>
      </c>
      <c r="D655" s="228"/>
      <c r="E655" s="230"/>
      <c r="F655" s="221" t="s">
        <v>73</v>
      </c>
      <c r="G655" s="9" t="s">
        <v>5260</v>
      </c>
      <c r="H655" s="234"/>
      <c r="I655" s="232"/>
      <c r="J655" s="18"/>
      <c r="K655" s="18"/>
      <c r="L655" s="18"/>
      <c r="M655" s="18"/>
      <c r="N655" s="18"/>
      <c r="O655" s="18"/>
      <c r="P655" s="18"/>
      <c r="Q655" s="18"/>
      <c r="R655" s="18"/>
      <c r="S655" s="18"/>
      <c r="T655" s="18"/>
      <c r="U655" s="18"/>
      <c r="V655" s="18"/>
      <c r="W655" s="18"/>
      <c r="X655" s="18"/>
      <c r="Y655" s="18"/>
      <c r="Z655" s="18"/>
    </row>
    <row r="656" ht="22.5" customHeight="1">
      <c r="A656" s="236">
        <v>46072.0</v>
      </c>
      <c r="B656" s="218" t="s">
        <v>5414</v>
      </c>
      <c r="C656" s="9"/>
      <c r="D656" s="228" t="s">
        <v>4450</v>
      </c>
      <c r="E656" s="230">
        <v>7.981933914E9</v>
      </c>
      <c r="F656" s="221" t="s">
        <v>248</v>
      </c>
      <c r="G656" s="9" t="s">
        <v>5415</v>
      </c>
      <c r="H656" s="234"/>
      <c r="I656" s="232"/>
      <c r="J656" s="18"/>
      <c r="K656" s="18"/>
      <c r="L656" s="18"/>
      <c r="M656" s="18"/>
      <c r="N656" s="18"/>
      <c r="O656" s="18"/>
      <c r="P656" s="18"/>
      <c r="Q656" s="18"/>
      <c r="R656" s="18"/>
      <c r="S656" s="18"/>
      <c r="T656" s="18"/>
      <c r="U656" s="18"/>
      <c r="V656" s="18"/>
      <c r="W656" s="18"/>
      <c r="X656" s="18"/>
      <c r="Y656" s="18"/>
      <c r="Z656" s="18"/>
    </row>
    <row r="657" ht="22.5" customHeight="1">
      <c r="A657" s="236">
        <v>46072.0</v>
      </c>
      <c r="B657" s="218" t="s">
        <v>5416</v>
      </c>
      <c r="C657" s="9" t="s">
        <v>203</v>
      </c>
      <c r="D657" s="228"/>
      <c r="E657" s="230"/>
      <c r="F657" s="221" t="s">
        <v>3853</v>
      </c>
      <c r="G657" s="9" t="s">
        <v>3862</v>
      </c>
      <c r="H657" s="234"/>
      <c r="I657" s="232"/>
      <c r="J657" s="18"/>
      <c r="K657" s="18"/>
      <c r="L657" s="18"/>
      <c r="M657" s="18"/>
      <c r="N657" s="18"/>
      <c r="O657" s="18"/>
      <c r="P657" s="18"/>
      <c r="Q657" s="18"/>
      <c r="R657" s="18"/>
      <c r="S657" s="18"/>
      <c r="T657" s="18"/>
      <c r="U657" s="18"/>
      <c r="V657" s="18"/>
      <c r="W657" s="18"/>
      <c r="X657" s="18"/>
      <c r="Y657" s="18"/>
      <c r="Z657" s="18"/>
    </row>
    <row r="658" ht="22.5" customHeight="1">
      <c r="A658" s="236">
        <v>46072.0</v>
      </c>
      <c r="B658" s="218" t="s">
        <v>5417</v>
      </c>
      <c r="C658" s="9"/>
      <c r="D658" s="228" t="s">
        <v>5418</v>
      </c>
      <c r="E658" s="230">
        <v>9.676370413E9</v>
      </c>
      <c r="F658" s="221" t="s">
        <v>248</v>
      </c>
      <c r="G658" s="9" t="s">
        <v>5419</v>
      </c>
      <c r="H658" s="234"/>
      <c r="I658" s="232"/>
      <c r="J658" s="18"/>
      <c r="K658" s="18"/>
      <c r="L658" s="18"/>
      <c r="M658" s="18"/>
      <c r="N658" s="18"/>
      <c r="O658" s="18"/>
      <c r="P658" s="18"/>
      <c r="Q658" s="18"/>
      <c r="R658" s="18"/>
      <c r="S658" s="18"/>
      <c r="T658" s="18"/>
      <c r="U658" s="18"/>
      <c r="V658" s="18"/>
      <c r="W658" s="18"/>
      <c r="X658" s="18"/>
      <c r="Y658" s="18"/>
      <c r="Z658" s="18"/>
    </row>
    <row r="659" ht="22.5" customHeight="1">
      <c r="A659" s="236">
        <v>46072.0</v>
      </c>
      <c r="B659" s="218" t="s">
        <v>5420</v>
      </c>
      <c r="C659" s="9"/>
      <c r="D659" s="228" t="s">
        <v>1736</v>
      </c>
      <c r="E659" s="230"/>
      <c r="F659" s="221" t="s">
        <v>144</v>
      </c>
      <c r="G659" s="9" t="s">
        <v>5421</v>
      </c>
      <c r="H659" s="234"/>
      <c r="I659" s="232"/>
      <c r="J659" s="18"/>
      <c r="K659" s="18"/>
      <c r="L659" s="18"/>
      <c r="M659" s="18"/>
      <c r="N659" s="18"/>
      <c r="O659" s="18"/>
      <c r="P659" s="18"/>
      <c r="Q659" s="18"/>
      <c r="R659" s="18"/>
      <c r="S659" s="18"/>
      <c r="T659" s="18"/>
      <c r="U659" s="18"/>
      <c r="V659" s="18"/>
      <c r="W659" s="18"/>
      <c r="X659" s="18"/>
      <c r="Y659" s="18"/>
      <c r="Z659" s="18"/>
    </row>
    <row r="660" ht="22.5" customHeight="1">
      <c r="A660" s="236">
        <v>46072.0</v>
      </c>
      <c r="B660" s="218" t="s">
        <v>5422</v>
      </c>
      <c r="C660" s="9"/>
      <c r="D660" s="228"/>
      <c r="E660" s="230"/>
      <c r="F660" s="221" t="s">
        <v>60</v>
      </c>
      <c r="G660" s="9" t="s">
        <v>5286</v>
      </c>
      <c r="H660" s="234"/>
      <c r="I660" s="232"/>
      <c r="J660" s="18"/>
      <c r="K660" s="18"/>
      <c r="L660" s="18"/>
      <c r="M660" s="18"/>
      <c r="N660" s="18"/>
      <c r="O660" s="18"/>
      <c r="P660" s="18"/>
      <c r="Q660" s="18"/>
      <c r="R660" s="18"/>
      <c r="S660" s="18"/>
      <c r="T660" s="18"/>
      <c r="U660" s="18"/>
      <c r="V660" s="18"/>
      <c r="W660" s="18"/>
      <c r="X660" s="18"/>
      <c r="Y660" s="18"/>
      <c r="Z660" s="18"/>
    </row>
    <row r="661" ht="22.5" customHeight="1">
      <c r="A661" s="236">
        <v>46072.0</v>
      </c>
      <c r="B661" s="218" t="s">
        <v>5423</v>
      </c>
      <c r="C661" s="9"/>
      <c r="D661" s="228"/>
      <c r="E661" s="230"/>
      <c r="F661" s="221" t="s">
        <v>96</v>
      </c>
      <c r="G661" s="9" t="s">
        <v>4053</v>
      </c>
      <c r="H661" s="234"/>
      <c r="I661" s="232"/>
      <c r="J661" s="18"/>
      <c r="K661" s="18"/>
      <c r="L661" s="18"/>
      <c r="M661" s="18"/>
      <c r="N661" s="18"/>
      <c r="O661" s="18"/>
      <c r="P661" s="18"/>
      <c r="Q661" s="18"/>
      <c r="R661" s="18"/>
      <c r="S661" s="18"/>
      <c r="T661" s="18"/>
      <c r="U661" s="18"/>
      <c r="V661" s="18"/>
      <c r="W661" s="18"/>
      <c r="X661" s="18"/>
      <c r="Y661" s="18"/>
      <c r="Z661" s="18"/>
    </row>
    <row r="662" ht="22.5" customHeight="1">
      <c r="A662" s="236">
        <v>46072.0</v>
      </c>
      <c r="B662" s="218" t="s">
        <v>5424</v>
      </c>
      <c r="C662" s="9"/>
      <c r="D662" s="228" t="s">
        <v>4750</v>
      </c>
      <c r="E662" s="230"/>
      <c r="F662" s="221" t="s">
        <v>144</v>
      </c>
      <c r="G662" s="9" t="s">
        <v>5425</v>
      </c>
      <c r="H662" s="234"/>
      <c r="I662" s="232"/>
      <c r="J662" s="18"/>
      <c r="K662" s="18"/>
      <c r="L662" s="18"/>
      <c r="M662" s="18"/>
      <c r="N662" s="18"/>
      <c r="O662" s="18"/>
      <c r="P662" s="18"/>
      <c r="Q662" s="18"/>
      <c r="R662" s="18"/>
      <c r="S662" s="18"/>
      <c r="T662" s="18"/>
      <c r="U662" s="18"/>
      <c r="V662" s="18"/>
      <c r="W662" s="18"/>
      <c r="X662" s="18"/>
      <c r="Y662" s="18"/>
      <c r="Z662" s="18"/>
    </row>
    <row r="663" ht="22.5" customHeight="1">
      <c r="A663" s="236">
        <v>46072.0</v>
      </c>
      <c r="B663" s="15" t="s">
        <v>5426</v>
      </c>
      <c r="C663" s="9"/>
      <c r="D663" s="218" t="s">
        <v>5427</v>
      </c>
      <c r="E663" s="230"/>
      <c r="F663" s="221" t="s">
        <v>45</v>
      </c>
      <c r="G663" s="9" t="s">
        <v>4261</v>
      </c>
      <c r="H663" s="234"/>
      <c r="I663" s="232"/>
      <c r="J663" s="18"/>
      <c r="K663" s="18"/>
      <c r="L663" s="18"/>
      <c r="M663" s="18"/>
      <c r="N663" s="18"/>
      <c r="O663" s="18"/>
      <c r="P663" s="18"/>
      <c r="Q663" s="18"/>
      <c r="R663" s="18"/>
      <c r="S663" s="18"/>
      <c r="T663" s="18"/>
      <c r="U663" s="18"/>
      <c r="V663" s="18"/>
      <c r="W663" s="18"/>
      <c r="X663" s="18"/>
      <c r="Y663" s="18"/>
      <c r="Z663" s="18"/>
    </row>
    <row r="664" ht="22.5" customHeight="1">
      <c r="A664" s="236">
        <v>46072.0</v>
      </c>
      <c r="B664" s="218" t="s">
        <v>5428</v>
      </c>
      <c r="C664" s="9"/>
      <c r="D664" s="228" t="s">
        <v>5429</v>
      </c>
      <c r="E664" s="230"/>
      <c r="F664" s="221" t="s">
        <v>3857</v>
      </c>
      <c r="G664" s="9" t="s">
        <v>5430</v>
      </c>
      <c r="H664" s="234"/>
      <c r="I664" s="232"/>
      <c r="J664" s="18"/>
      <c r="K664" s="18"/>
      <c r="L664" s="18"/>
      <c r="M664" s="18"/>
      <c r="N664" s="18"/>
      <c r="O664" s="18"/>
      <c r="P664" s="18"/>
      <c r="Q664" s="18"/>
      <c r="R664" s="18"/>
      <c r="S664" s="18"/>
      <c r="T664" s="18"/>
      <c r="U664" s="18"/>
      <c r="V664" s="18"/>
      <c r="W664" s="18"/>
      <c r="X664" s="18"/>
      <c r="Y664" s="18"/>
      <c r="Z664" s="18"/>
    </row>
    <row r="665" ht="22.5" customHeight="1">
      <c r="A665" s="236">
        <v>46072.0</v>
      </c>
      <c r="B665" s="218" t="s">
        <v>1688</v>
      </c>
      <c r="C665" s="9"/>
      <c r="D665" s="228"/>
      <c r="E665" s="230"/>
      <c r="F665" s="221" t="s">
        <v>73</v>
      </c>
      <c r="G665" s="9" t="s">
        <v>5260</v>
      </c>
      <c r="H665" s="234"/>
      <c r="I665" s="232"/>
      <c r="J665" s="18"/>
      <c r="K665" s="18"/>
      <c r="L665" s="18"/>
      <c r="M665" s="18"/>
      <c r="N665" s="18"/>
      <c r="O665" s="18"/>
      <c r="P665" s="18"/>
      <c r="Q665" s="18"/>
      <c r="R665" s="18"/>
      <c r="S665" s="18"/>
      <c r="T665" s="18"/>
      <c r="U665" s="18"/>
      <c r="V665" s="18"/>
      <c r="W665" s="18"/>
      <c r="X665" s="18"/>
      <c r="Y665" s="18"/>
      <c r="Z665" s="18"/>
    </row>
    <row r="666" ht="22.5" customHeight="1">
      <c r="A666" s="236">
        <v>46072.0</v>
      </c>
      <c r="B666" s="218" t="s">
        <v>5431</v>
      </c>
      <c r="C666" s="9"/>
      <c r="D666" s="228"/>
      <c r="E666" s="230"/>
      <c r="F666" s="221" t="s">
        <v>96</v>
      </c>
      <c r="G666" s="9" t="s">
        <v>5432</v>
      </c>
      <c r="H666" s="234"/>
      <c r="I666" s="232"/>
      <c r="J666" s="18"/>
      <c r="K666" s="18"/>
      <c r="L666" s="18"/>
      <c r="M666" s="18"/>
      <c r="N666" s="18"/>
      <c r="O666" s="18"/>
      <c r="P666" s="18"/>
      <c r="Q666" s="18"/>
      <c r="R666" s="18"/>
      <c r="S666" s="18"/>
      <c r="T666" s="18"/>
      <c r="U666" s="18"/>
      <c r="V666" s="18"/>
      <c r="W666" s="18"/>
      <c r="X666" s="18"/>
      <c r="Y666" s="18"/>
      <c r="Z666" s="18"/>
    </row>
    <row r="667" ht="22.5" customHeight="1">
      <c r="A667" s="236">
        <v>46072.0</v>
      </c>
      <c r="B667" s="218" t="s">
        <v>5433</v>
      </c>
      <c r="C667" s="9"/>
      <c r="D667" s="228"/>
      <c r="E667" s="230"/>
      <c r="F667" s="221" t="s">
        <v>3857</v>
      </c>
      <c r="G667" s="9" t="s">
        <v>5434</v>
      </c>
      <c r="H667" s="234"/>
      <c r="I667" s="232"/>
      <c r="J667" s="18"/>
      <c r="K667" s="18"/>
      <c r="L667" s="18"/>
      <c r="M667" s="18"/>
      <c r="N667" s="18"/>
      <c r="O667" s="18"/>
      <c r="P667" s="18"/>
      <c r="Q667" s="18"/>
      <c r="R667" s="18"/>
      <c r="S667" s="18"/>
      <c r="T667" s="18"/>
      <c r="U667" s="18"/>
      <c r="V667" s="18"/>
      <c r="W667" s="18"/>
      <c r="X667" s="18"/>
      <c r="Y667" s="18"/>
      <c r="Z667" s="18"/>
    </row>
    <row r="668" ht="22.5" customHeight="1">
      <c r="A668" s="236">
        <v>46072.0</v>
      </c>
      <c r="B668" s="218" t="s">
        <v>5435</v>
      </c>
      <c r="C668" s="9" t="s">
        <v>3851</v>
      </c>
      <c r="D668" s="228"/>
      <c r="E668" s="230">
        <f>917795003998</f>
        <v>917795003998</v>
      </c>
      <c r="F668" s="221" t="s">
        <v>3853</v>
      </c>
      <c r="G668" s="9" t="s">
        <v>5436</v>
      </c>
      <c r="H668" s="234">
        <v>46073.0</v>
      </c>
      <c r="I668" s="232">
        <v>0.7916666666666666</v>
      </c>
      <c r="J668" s="18"/>
      <c r="K668" s="18"/>
      <c r="L668" s="18"/>
      <c r="M668" s="18"/>
      <c r="N668" s="18"/>
      <c r="O668" s="18"/>
      <c r="P668" s="18"/>
      <c r="Q668" s="18"/>
      <c r="R668" s="18"/>
      <c r="S668" s="18"/>
      <c r="T668" s="18"/>
      <c r="U668" s="18"/>
      <c r="V668" s="18"/>
      <c r="W668" s="18"/>
      <c r="X668" s="18"/>
      <c r="Y668" s="18"/>
      <c r="Z668" s="18"/>
    </row>
    <row r="669" ht="22.5" customHeight="1">
      <c r="A669" s="240">
        <v>46073.0</v>
      </c>
      <c r="B669" s="218" t="s">
        <v>2013</v>
      </c>
      <c r="C669" s="9" t="s">
        <v>3346</v>
      </c>
      <c r="D669" s="228"/>
      <c r="E669" s="230"/>
      <c r="F669" s="221" t="s">
        <v>2014</v>
      </c>
      <c r="G669" s="9" t="s">
        <v>5437</v>
      </c>
      <c r="H669" s="234"/>
      <c r="I669" s="232"/>
      <c r="J669" s="18"/>
      <c r="K669" s="18"/>
      <c r="L669" s="18"/>
      <c r="M669" s="18"/>
      <c r="N669" s="18"/>
      <c r="O669" s="18"/>
      <c r="P669" s="18"/>
      <c r="Q669" s="18"/>
      <c r="R669" s="18"/>
      <c r="S669" s="18"/>
      <c r="T669" s="18"/>
      <c r="U669" s="18"/>
      <c r="V669" s="18"/>
      <c r="W669" s="18"/>
      <c r="X669" s="18"/>
      <c r="Y669" s="18"/>
      <c r="Z669" s="18"/>
    </row>
    <row r="670" ht="22.5" customHeight="1">
      <c r="A670" s="240">
        <v>46073.0</v>
      </c>
      <c r="B670" s="218" t="s">
        <v>5438</v>
      </c>
      <c r="C670" s="9" t="s">
        <v>3851</v>
      </c>
      <c r="D670" s="228"/>
      <c r="E670" s="230"/>
      <c r="F670" s="221" t="s">
        <v>3853</v>
      </c>
      <c r="G670" s="9" t="s">
        <v>5439</v>
      </c>
      <c r="H670" s="234"/>
      <c r="I670" s="232">
        <v>0.875</v>
      </c>
      <c r="J670" s="18"/>
      <c r="K670" s="18"/>
      <c r="L670" s="18"/>
      <c r="M670" s="18"/>
      <c r="N670" s="18"/>
      <c r="O670" s="18"/>
      <c r="P670" s="18"/>
      <c r="Q670" s="18"/>
      <c r="R670" s="18"/>
      <c r="S670" s="18"/>
      <c r="T670" s="18"/>
      <c r="U670" s="18"/>
      <c r="V670" s="18"/>
      <c r="W670" s="18"/>
      <c r="X670" s="18"/>
      <c r="Y670" s="18"/>
      <c r="Z670" s="18"/>
    </row>
    <row r="671" ht="22.5" customHeight="1">
      <c r="A671" s="240">
        <v>46073.0</v>
      </c>
      <c r="B671" s="218" t="s">
        <v>5440</v>
      </c>
      <c r="C671" s="9"/>
      <c r="D671" s="228" t="s">
        <v>5441</v>
      </c>
      <c r="E671" s="230"/>
      <c r="F671" s="221" t="s">
        <v>144</v>
      </c>
      <c r="G671" s="9" t="s">
        <v>5442</v>
      </c>
      <c r="H671" s="234">
        <v>46075.0</v>
      </c>
      <c r="I671" s="232"/>
      <c r="J671" s="18"/>
      <c r="K671" s="18"/>
      <c r="L671" s="18"/>
      <c r="M671" s="18"/>
      <c r="N671" s="18"/>
      <c r="O671" s="18"/>
      <c r="P671" s="18"/>
      <c r="Q671" s="18"/>
      <c r="R671" s="18"/>
      <c r="S671" s="18"/>
      <c r="T671" s="18"/>
      <c r="U671" s="18"/>
      <c r="V671" s="18"/>
      <c r="W671" s="18"/>
      <c r="X671" s="18"/>
      <c r="Y671" s="18"/>
      <c r="Z671" s="18"/>
    </row>
    <row r="672" ht="22.5" customHeight="1">
      <c r="A672" s="240">
        <v>46073.0</v>
      </c>
      <c r="B672" s="218" t="s">
        <v>5443</v>
      </c>
      <c r="C672" s="9" t="s">
        <v>3851</v>
      </c>
      <c r="D672" s="228"/>
      <c r="E672" s="230"/>
      <c r="F672" s="221" t="s">
        <v>3853</v>
      </c>
      <c r="G672" s="9" t="s">
        <v>5444</v>
      </c>
      <c r="H672" s="234"/>
      <c r="I672" s="232"/>
      <c r="J672" s="18"/>
      <c r="K672" s="18"/>
      <c r="L672" s="18"/>
      <c r="M672" s="18"/>
      <c r="N672" s="18"/>
      <c r="O672" s="18"/>
      <c r="P672" s="18"/>
      <c r="Q672" s="18"/>
      <c r="R672" s="18"/>
      <c r="S672" s="18"/>
      <c r="T672" s="18"/>
      <c r="U672" s="18"/>
      <c r="V672" s="18"/>
      <c r="W672" s="18"/>
      <c r="X672" s="18"/>
      <c r="Y672" s="18"/>
      <c r="Z672" s="18"/>
    </row>
    <row r="673" ht="22.5" customHeight="1">
      <c r="A673" s="240">
        <v>46073.0</v>
      </c>
      <c r="B673" s="218" t="s">
        <v>5445</v>
      </c>
      <c r="C673" s="9" t="s">
        <v>137</v>
      </c>
      <c r="D673" s="228" t="s">
        <v>5446</v>
      </c>
      <c r="E673" s="230">
        <v>7.89345611E9</v>
      </c>
      <c r="F673" s="221" t="s">
        <v>1919</v>
      </c>
      <c r="G673" s="9" t="s">
        <v>5447</v>
      </c>
      <c r="H673" s="234">
        <v>46073.0</v>
      </c>
      <c r="I673" s="232">
        <v>0.75</v>
      </c>
      <c r="J673" s="18"/>
      <c r="K673" s="18"/>
      <c r="L673" s="18"/>
      <c r="M673" s="18"/>
      <c r="N673" s="18"/>
      <c r="O673" s="18"/>
      <c r="P673" s="18"/>
      <c r="Q673" s="18"/>
      <c r="R673" s="18"/>
      <c r="S673" s="18"/>
      <c r="T673" s="18"/>
      <c r="U673" s="18"/>
      <c r="V673" s="18"/>
      <c r="W673" s="18"/>
      <c r="X673" s="18"/>
      <c r="Y673" s="18"/>
      <c r="Z673" s="18"/>
    </row>
    <row r="674" ht="22.5" customHeight="1">
      <c r="A674" s="240">
        <v>46073.0</v>
      </c>
      <c r="B674" s="218" t="s">
        <v>5448</v>
      </c>
      <c r="C674" s="9" t="s">
        <v>5449</v>
      </c>
      <c r="D674" s="228" t="s">
        <v>3496</v>
      </c>
      <c r="E674" s="230">
        <v>9.000239392E9</v>
      </c>
      <c r="F674" s="221" t="s">
        <v>2014</v>
      </c>
      <c r="G674" s="9" t="s">
        <v>5450</v>
      </c>
      <c r="H674" s="234"/>
      <c r="I674" s="232"/>
      <c r="J674" s="18"/>
      <c r="K674" s="18"/>
      <c r="L674" s="18"/>
      <c r="M674" s="18"/>
      <c r="N674" s="18"/>
      <c r="O674" s="18"/>
      <c r="P674" s="18"/>
      <c r="Q674" s="18"/>
      <c r="R674" s="18"/>
      <c r="S674" s="18"/>
      <c r="T674" s="18"/>
      <c r="U674" s="18"/>
      <c r="V674" s="18"/>
      <c r="W674" s="18"/>
      <c r="X674" s="18"/>
      <c r="Y674" s="18"/>
      <c r="Z674" s="18"/>
    </row>
    <row r="675" ht="22.5" customHeight="1">
      <c r="A675" s="240">
        <v>46073.0</v>
      </c>
      <c r="B675" s="218" t="s">
        <v>5451</v>
      </c>
      <c r="C675" s="9"/>
      <c r="D675" s="228"/>
      <c r="E675" s="230"/>
      <c r="F675" s="221" t="s">
        <v>73</v>
      </c>
      <c r="G675" s="9" t="s">
        <v>5452</v>
      </c>
      <c r="H675" s="234"/>
      <c r="I675" s="232"/>
      <c r="J675" s="18"/>
      <c r="K675" s="18"/>
      <c r="L675" s="18"/>
      <c r="M675" s="18"/>
      <c r="N675" s="18"/>
      <c r="O675" s="18"/>
      <c r="P675" s="18"/>
      <c r="Q675" s="18"/>
      <c r="R675" s="18"/>
      <c r="S675" s="18"/>
      <c r="T675" s="18"/>
      <c r="U675" s="18"/>
      <c r="V675" s="18"/>
      <c r="W675" s="18"/>
      <c r="X675" s="18"/>
      <c r="Y675" s="18"/>
      <c r="Z675" s="18"/>
    </row>
    <row r="676" ht="22.5" customHeight="1">
      <c r="A676" s="240">
        <v>46073.0</v>
      </c>
      <c r="B676" s="218" t="s">
        <v>5453</v>
      </c>
      <c r="C676" s="9"/>
      <c r="D676" s="228" t="s">
        <v>5454</v>
      </c>
      <c r="E676" s="230">
        <v>7.058580596E9</v>
      </c>
      <c r="F676" s="221" t="s">
        <v>2014</v>
      </c>
      <c r="G676" s="9" t="s">
        <v>5455</v>
      </c>
      <c r="H676" s="234"/>
      <c r="I676" s="232"/>
      <c r="J676" s="18"/>
      <c r="K676" s="18"/>
      <c r="L676" s="18"/>
      <c r="M676" s="18"/>
      <c r="N676" s="18"/>
      <c r="O676" s="18"/>
      <c r="P676" s="18"/>
      <c r="Q676" s="18"/>
      <c r="R676" s="18"/>
      <c r="S676" s="18"/>
      <c r="T676" s="18"/>
      <c r="U676" s="18"/>
      <c r="V676" s="18"/>
      <c r="W676" s="18"/>
      <c r="X676" s="18"/>
      <c r="Y676" s="18"/>
      <c r="Z676" s="18"/>
    </row>
    <row r="677" ht="22.5" customHeight="1">
      <c r="A677" s="240">
        <v>46073.0</v>
      </c>
      <c r="B677" s="218" t="s">
        <v>5456</v>
      </c>
      <c r="C677" s="9"/>
      <c r="D677" s="228"/>
      <c r="E677" s="230"/>
      <c r="F677" s="221" t="s">
        <v>96</v>
      </c>
      <c r="G677" s="9" t="s">
        <v>5457</v>
      </c>
      <c r="H677" s="234">
        <v>46073.0</v>
      </c>
      <c r="I677" s="232">
        <v>0.6666666666666666</v>
      </c>
      <c r="J677" s="18"/>
      <c r="K677" s="18"/>
      <c r="L677" s="18"/>
      <c r="M677" s="18"/>
      <c r="N677" s="18"/>
      <c r="O677" s="18"/>
      <c r="P677" s="18"/>
      <c r="Q677" s="18"/>
      <c r="R677" s="18"/>
      <c r="S677" s="18"/>
      <c r="T677" s="18"/>
      <c r="U677" s="18"/>
      <c r="V677" s="18"/>
      <c r="W677" s="18"/>
      <c r="X677" s="18"/>
      <c r="Y677" s="18"/>
      <c r="Z677" s="18"/>
    </row>
    <row r="678" ht="22.5" customHeight="1">
      <c r="A678" s="240">
        <v>46073.0</v>
      </c>
      <c r="B678" s="218" t="s">
        <v>5458</v>
      </c>
      <c r="C678" s="9"/>
      <c r="D678" s="228"/>
      <c r="E678" s="230"/>
      <c r="F678" s="221" t="s">
        <v>73</v>
      </c>
      <c r="G678" s="9" t="s">
        <v>4053</v>
      </c>
      <c r="H678" s="234"/>
      <c r="I678" s="232"/>
      <c r="J678" s="18"/>
      <c r="K678" s="18"/>
      <c r="L678" s="18"/>
      <c r="M678" s="18"/>
      <c r="N678" s="18"/>
      <c r="O678" s="18"/>
      <c r="P678" s="18"/>
      <c r="Q678" s="18"/>
      <c r="R678" s="18"/>
      <c r="S678" s="18"/>
      <c r="T678" s="18"/>
      <c r="U678" s="18"/>
      <c r="V678" s="18"/>
      <c r="W678" s="18"/>
      <c r="X678" s="18"/>
      <c r="Y678" s="18"/>
      <c r="Z678" s="18"/>
    </row>
    <row r="679" ht="22.5" customHeight="1">
      <c r="A679" s="240">
        <v>46073.0</v>
      </c>
      <c r="B679" s="218" t="s">
        <v>5459</v>
      </c>
      <c r="C679" s="9"/>
      <c r="D679" s="228" t="s">
        <v>5460</v>
      </c>
      <c r="E679" s="230">
        <v>7.702160273E9</v>
      </c>
      <c r="F679" s="221" t="s">
        <v>1919</v>
      </c>
      <c r="G679" s="9" t="s">
        <v>5461</v>
      </c>
      <c r="H679" s="234"/>
      <c r="I679" s="232"/>
      <c r="J679" s="18"/>
      <c r="K679" s="18"/>
      <c r="L679" s="18"/>
      <c r="M679" s="18"/>
      <c r="N679" s="18"/>
      <c r="O679" s="18"/>
      <c r="P679" s="18"/>
      <c r="Q679" s="18"/>
      <c r="R679" s="18"/>
      <c r="S679" s="18"/>
      <c r="T679" s="18"/>
      <c r="U679" s="18"/>
      <c r="V679" s="18"/>
      <c r="W679" s="18"/>
      <c r="X679" s="18"/>
      <c r="Y679" s="18"/>
      <c r="Z679" s="18"/>
    </row>
    <row r="680" ht="22.5" customHeight="1">
      <c r="A680" s="240">
        <v>46073.0</v>
      </c>
      <c r="B680" s="218" t="s">
        <v>5462</v>
      </c>
      <c r="C680" s="9" t="s">
        <v>5463</v>
      </c>
      <c r="D680" s="228" t="s">
        <v>656</v>
      </c>
      <c r="E680" s="230">
        <v>9.154323333E10</v>
      </c>
      <c r="F680" s="221" t="s">
        <v>2014</v>
      </c>
      <c r="G680" s="9" t="s">
        <v>5464</v>
      </c>
      <c r="H680" s="234"/>
      <c r="I680" s="232"/>
      <c r="J680" s="18"/>
      <c r="K680" s="18"/>
      <c r="L680" s="18"/>
      <c r="M680" s="18"/>
      <c r="N680" s="18"/>
      <c r="O680" s="18"/>
      <c r="P680" s="18"/>
      <c r="Q680" s="18"/>
      <c r="R680" s="18"/>
      <c r="S680" s="18"/>
      <c r="T680" s="18"/>
      <c r="U680" s="18"/>
      <c r="V680" s="18"/>
      <c r="W680" s="18"/>
      <c r="X680" s="18"/>
      <c r="Y680" s="18"/>
      <c r="Z680" s="18"/>
    </row>
    <row r="681" ht="22.5" customHeight="1">
      <c r="A681" s="240">
        <v>46073.0</v>
      </c>
      <c r="B681" s="218" t="s">
        <v>5465</v>
      </c>
      <c r="C681" s="9"/>
      <c r="D681" s="228"/>
      <c r="E681" s="230"/>
      <c r="F681" s="221" t="s">
        <v>2014</v>
      </c>
      <c r="G681" s="9" t="s">
        <v>5466</v>
      </c>
      <c r="H681" s="234"/>
      <c r="I681" s="232"/>
      <c r="J681" s="18"/>
      <c r="K681" s="18"/>
      <c r="L681" s="18"/>
      <c r="M681" s="18"/>
      <c r="N681" s="18"/>
      <c r="O681" s="18"/>
      <c r="P681" s="18"/>
      <c r="Q681" s="18"/>
      <c r="R681" s="18"/>
      <c r="S681" s="18"/>
      <c r="T681" s="18"/>
      <c r="U681" s="18"/>
      <c r="V681" s="18"/>
      <c r="W681" s="18"/>
      <c r="X681" s="18"/>
      <c r="Y681" s="18"/>
      <c r="Z681" s="18"/>
    </row>
    <row r="682" ht="22.5" customHeight="1">
      <c r="A682" s="240">
        <v>46073.0</v>
      </c>
      <c r="B682" s="218" t="s">
        <v>5467</v>
      </c>
      <c r="C682" s="9" t="s">
        <v>5468</v>
      </c>
      <c r="D682" s="228" t="s">
        <v>5469</v>
      </c>
      <c r="E682" s="214"/>
      <c r="F682" s="221" t="s">
        <v>3857</v>
      </c>
      <c r="G682" s="230" t="s">
        <v>5470</v>
      </c>
      <c r="H682" s="234"/>
      <c r="I682" s="232"/>
      <c r="J682" s="18"/>
      <c r="K682" s="18"/>
      <c r="L682" s="18"/>
      <c r="M682" s="18"/>
      <c r="N682" s="18"/>
      <c r="O682" s="18"/>
      <c r="P682" s="18"/>
      <c r="Q682" s="18"/>
      <c r="R682" s="18"/>
      <c r="S682" s="18"/>
      <c r="T682" s="18"/>
      <c r="U682" s="18"/>
      <c r="V682" s="18"/>
      <c r="W682" s="18"/>
      <c r="X682" s="18"/>
      <c r="Y682" s="18"/>
      <c r="Z682" s="18"/>
    </row>
    <row r="683" ht="22.5" customHeight="1">
      <c r="A683" s="240">
        <v>46073.0</v>
      </c>
      <c r="B683" s="218" t="s">
        <v>5471</v>
      </c>
      <c r="C683" s="9"/>
      <c r="D683" s="228" t="s">
        <v>5472</v>
      </c>
      <c r="E683" s="230"/>
      <c r="F683" s="221" t="s">
        <v>96</v>
      </c>
      <c r="G683" s="9" t="s">
        <v>5473</v>
      </c>
      <c r="H683" s="234"/>
      <c r="I683" s="232"/>
      <c r="J683" s="18"/>
      <c r="K683" s="18"/>
      <c r="L683" s="18"/>
      <c r="M683" s="18"/>
      <c r="N683" s="18"/>
      <c r="O683" s="18"/>
      <c r="P683" s="18"/>
      <c r="Q683" s="18"/>
      <c r="R683" s="18"/>
      <c r="S683" s="18"/>
      <c r="T683" s="18"/>
      <c r="U683" s="18"/>
      <c r="V683" s="18"/>
      <c r="W683" s="18"/>
      <c r="X683" s="18"/>
      <c r="Y683" s="18"/>
      <c r="Z683" s="18"/>
    </row>
    <row r="684" ht="22.5" customHeight="1">
      <c r="A684" s="240">
        <v>46073.0</v>
      </c>
      <c r="B684" s="218" t="s">
        <v>5474</v>
      </c>
      <c r="C684" s="9"/>
      <c r="D684" s="228" t="s">
        <v>5475</v>
      </c>
      <c r="E684" s="230"/>
      <c r="F684" s="221" t="s">
        <v>144</v>
      </c>
      <c r="G684" s="9" t="s">
        <v>5476</v>
      </c>
      <c r="H684" s="234">
        <v>46073.0</v>
      </c>
      <c r="I684" s="232">
        <v>0.8333333333333334</v>
      </c>
      <c r="J684" s="18"/>
      <c r="K684" s="18"/>
      <c r="L684" s="18"/>
      <c r="M684" s="18"/>
      <c r="N684" s="18"/>
      <c r="O684" s="18"/>
      <c r="P684" s="18"/>
      <c r="Q684" s="18"/>
      <c r="R684" s="18"/>
      <c r="S684" s="18"/>
      <c r="T684" s="18"/>
      <c r="U684" s="18"/>
      <c r="V684" s="18"/>
      <c r="W684" s="18"/>
      <c r="X684" s="18"/>
      <c r="Y684" s="18"/>
      <c r="Z684" s="18"/>
    </row>
    <row r="685" ht="22.5" customHeight="1">
      <c r="A685" s="240">
        <v>46073.0</v>
      </c>
      <c r="B685" s="218" t="s">
        <v>5477</v>
      </c>
      <c r="C685" s="9" t="s">
        <v>5478</v>
      </c>
      <c r="D685" s="228" t="s">
        <v>5479</v>
      </c>
      <c r="E685" s="230">
        <v>6.305727049E9</v>
      </c>
      <c r="F685" s="221" t="s">
        <v>1919</v>
      </c>
      <c r="G685" s="9" t="s">
        <v>5480</v>
      </c>
      <c r="H685" s="234">
        <v>46073.0</v>
      </c>
      <c r="I685" s="232">
        <v>0.6666666666666666</v>
      </c>
      <c r="J685" s="18"/>
      <c r="K685" s="18"/>
      <c r="L685" s="18"/>
      <c r="M685" s="18"/>
      <c r="N685" s="18"/>
      <c r="O685" s="18"/>
      <c r="P685" s="18"/>
      <c r="Q685" s="18"/>
      <c r="R685" s="18"/>
      <c r="S685" s="18"/>
      <c r="T685" s="18"/>
      <c r="U685" s="18"/>
      <c r="V685" s="18"/>
      <c r="W685" s="18"/>
      <c r="X685" s="18"/>
      <c r="Y685" s="18"/>
      <c r="Z685" s="18"/>
    </row>
    <row r="686" ht="22.5" customHeight="1">
      <c r="A686" s="240">
        <v>46073.0</v>
      </c>
      <c r="B686" s="218" t="s">
        <v>5481</v>
      </c>
      <c r="C686" s="9"/>
      <c r="D686" s="228" t="s">
        <v>5482</v>
      </c>
      <c r="E686" s="230">
        <v>9.17700583E9</v>
      </c>
      <c r="F686" s="221" t="s">
        <v>3857</v>
      </c>
      <c r="G686" s="9" t="s">
        <v>5483</v>
      </c>
      <c r="H686" s="234">
        <v>46076.0</v>
      </c>
      <c r="I686" s="232"/>
      <c r="J686" s="18"/>
      <c r="K686" s="18"/>
      <c r="L686" s="18"/>
      <c r="M686" s="18"/>
      <c r="N686" s="18"/>
      <c r="O686" s="18"/>
      <c r="P686" s="18"/>
      <c r="Q686" s="18"/>
      <c r="R686" s="18"/>
      <c r="S686" s="18"/>
      <c r="T686" s="18"/>
      <c r="U686" s="18"/>
      <c r="V686" s="18"/>
      <c r="W686" s="18"/>
      <c r="X686" s="18"/>
      <c r="Y686" s="18"/>
      <c r="Z686" s="18"/>
    </row>
    <row r="687" ht="22.5" customHeight="1">
      <c r="A687" s="240">
        <v>46073.0</v>
      </c>
      <c r="B687" s="218" t="s">
        <v>5484</v>
      </c>
      <c r="C687" s="9"/>
      <c r="D687" s="228"/>
      <c r="E687" s="230"/>
      <c r="F687" s="221" t="s">
        <v>96</v>
      </c>
      <c r="G687" s="9" t="s">
        <v>5485</v>
      </c>
      <c r="H687" s="234"/>
      <c r="I687" s="232"/>
      <c r="J687" s="18"/>
      <c r="K687" s="18"/>
      <c r="L687" s="18"/>
      <c r="M687" s="18"/>
      <c r="N687" s="18"/>
      <c r="O687" s="18"/>
      <c r="P687" s="18"/>
      <c r="Q687" s="18"/>
      <c r="R687" s="18"/>
      <c r="S687" s="18"/>
      <c r="T687" s="18"/>
      <c r="U687" s="18"/>
      <c r="V687" s="18"/>
      <c r="W687" s="18"/>
      <c r="X687" s="18"/>
      <c r="Y687" s="18"/>
      <c r="Z687" s="18"/>
    </row>
    <row r="688" ht="22.5" customHeight="1">
      <c r="A688" s="240">
        <v>46073.0</v>
      </c>
      <c r="B688" s="218" t="s">
        <v>5486</v>
      </c>
      <c r="C688" s="9" t="s">
        <v>5487</v>
      </c>
      <c r="D688" s="228"/>
      <c r="E688" s="230">
        <v>7.396231414E9</v>
      </c>
      <c r="F688" s="221" t="s">
        <v>1919</v>
      </c>
      <c r="G688" s="9" t="s">
        <v>5488</v>
      </c>
      <c r="H688" s="234">
        <v>46076.0</v>
      </c>
      <c r="I688" s="232"/>
      <c r="J688" s="18"/>
      <c r="K688" s="18"/>
      <c r="L688" s="18"/>
      <c r="M688" s="18"/>
      <c r="N688" s="18"/>
      <c r="O688" s="18"/>
      <c r="P688" s="18"/>
      <c r="Q688" s="18"/>
      <c r="R688" s="18"/>
      <c r="S688" s="18"/>
      <c r="T688" s="18"/>
      <c r="U688" s="18"/>
      <c r="V688" s="18"/>
      <c r="W688" s="18"/>
      <c r="X688" s="18"/>
      <c r="Y688" s="18"/>
      <c r="Z688" s="18"/>
    </row>
    <row r="689" ht="22.5" customHeight="1">
      <c r="A689" s="240">
        <v>46073.0</v>
      </c>
      <c r="B689" s="218" t="s">
        <v>5489</v>
      </c>
      <c r="C689" s="9"/>
      <c r="D689" s="228"/>
      <c r="E689" s="230"/>
      <c r="F689" s="221" t="s">
        <v>2014</v>
      </c>
      <c r="G689" s="9" t="s">
        <v>5490</v>
      </c>
      <c r="H689" s="234"/>
      <c r="I689" s="232"/>
      <c r="J689" s="18"/>
      <c r="K689" s="18"/>
      <c r="L689" s="18"/>
      <c r="M689" s="18"/>
      <c r="N689" s="18"/>
      <c r="O689" s="18"/>
      <c r="P689" s="18"/>
      <c r="Q689" s="18"/>
      <c r="R689" s="18"/>
      <c r="S689" s="18"/>
      <c r="T689" s="18"/>
      <c r="U689" s="18"/>
      <c r="V689" s="18"/>
      <c r="W689" s="18"/>
      <c r="X689" s="18"/>
      <c r="Y689" s="18"/>
      <c r="Z689" s="18"/>
    </row>
    <row r="690" ht="22.5" customHeight="1">
      <c r="A690" s="240">
        <v>46073.0</v>
      </c>
      <c r="B690" s="218" t="s">
        <v>5491</v>
      </c>
      <c r="C690" s="9"/>
      <c r="D690" s="228"/>
      <c r="E690" s="230"/>
      <c r="F690" s="221" t="s">
        <v>241</v>
      </c>
      <c r="G690" s="9" t="s">
        <v>5492</v>
      </c>
      <c r="H690" s="234"/>
      <c r="I690" s="232"/>
      <c r="J690" s="18"/>
      <c r="K690" s="18"/>
      <c r="L690" s="18"/>
      <c r="M690" s="18"/>
      <c r="N690" s="18"/>
      <c r="O690" s="18"/>
      <c r="P690" s="18"/>
      <c r="Q690" s="18"/>
      <c r="R690" s="18"/>
      <c r="S690" s="18"/>
      <c r="T690" s="18"/>
      <c r="U690" s="18"/>
      <c r="V690" s="18"/>
      <c r="W690" s="18"/>
      <c r="X690" s="18"/>
      <c r="Y690" s="18"/>
      <c r="Z690" s="18"/>
    </row>
    <row r="691" ht="22.5" customHeight="1">
      <c r="A691" s="240">
        <v>46073.0</v>
      </c>
      <c r="B691" s="218" t="s">
        <v>5493</v>
      </c>
      <c r="C691" s="9"/>
      <c r="D691" s="228"/>
      <c r="E691" s="230"/>
      <c r="F691" s="221" t="s">
        <v>144</v>
      </c>
      <c r="G691" s="9" t="s">
        <v>5494</v>
      </c>
      <c r="H691" s="234"/>
      <c r="I691" s="232"/>
      <c r="J691" s="18"/>
      <c r="K691" s="18"/>
      <c r="L691" s="18"/>
      <c r="M691" s="18"/>
      <c r="N691" s="18"/>
      <c r="O691" s="18"/>
      <c r="P691" s="18"/>
      <c r="Q691" s="18"/>
      <c r="R691" s="18"/>
      <c r="S691" s="18"/>
      <c r="T691" s="18"/>
      <c r="U691" s="18"/>
      <c r="V691" s="18"/>
      <c r="W691" s="18"/>
      <c r="X691" s="18"/>
      <c r="Y691" s="18"/>
      <c r="Z691" s="18"/>
    </row>
    <row r="692" ht="22.5" customHeight="1">
      <c r="A692" s="240">
        <v>46073.0</v>
      </c>
      <c r="B692" s="218" t="s">
        <v>5495</v>
      </c>
      <c r="C692" s="9"/>
      <c r="D692" s="228" t="s">
        <v>5496</v>
      </c>
      <c r="E692" s="230"/>
      <c r="F692" s="221" t="s">
        <v>73</v>
      </c>
      <c r="G692" s="9" t="s">
        <v>4980</v>
      </c>
      <c r="H692" s="234"/>
      <c r="I692" s="232"/>
      <c r="J692" s="18"/>
      <c r="K692" s="18"/>
      <c r="L692" s="18"/>
      <c r="M692" s="18"/>
      <c r="N692" s="18"/>
      <c r="O692" s="18"/>
      <c r="P692" s="18"/>
      <c r="Q692" s="18"/>
      <c r="R692" s="18"/>
      <c r="S692" s="18"/>
      <c r="T692" s="18"/>
      <c r="U692" s="18"/>
      <c r="V692" s="18"/>
      <c r="W692" s="18"/>
      <c r="X692" s="18"/>
      <c r="Y692" s="18"/>
      <c r="Z692" s="18"/>
    </row>
    <row r="693" ht="22.5" customHeight="1">
      <c r="A693" s="240">
        <v>46073.0</v>
      </c>
      <c r="B693" s="218" t="s">
        <v>5497</v>
      </c>
      <c r="C693" s="9"/>
      <c r="D693" s="228" t="s">
        <v>5498</v>
      </c>
      <c r="E693" s="230">
        <v>9.494167001E9</v>
      </c>
      <c r="F693" s="221" t="s">
        <v>60</v>
      </c>
      <c r="G693" s="9" t="s">
        <v>5499</v>
      </c>
      <c r="H693" s="234">
        <v>46073.0</v>
      </c>
      <c r="I693" s="232">
        <v>0.625</v>
      </c>
      <c r="J693" s="18"/>
      <c r="K693" s="18"/>
      <c r="L693" s="18"/>
      <c r="M693" s="18"/>
      <c r="N693" s="18"/>
      <c r="O693" s="18"/>
      <c r="P693" s="18"/>
      <c r="Q693" s="18"/>
      <c r="R693" s="18"/>
      <c r="S693" s="18"/>
      <c r="T693" s="18"/>
      <c r="U693" s="18"/>
      <c r="V693" s="18"/>
      <c r="W693" s="18"/>
      <c r="X693" s="18"/>
      <c r="Y693" s="18"/>
      <c r="Z693" s="18"/>
    </row>
    <row r="694" ht="22.5" customHeight="1">
      <c r="A694" s="240">
        <v>46073.0</v>
      </c>
      <c r="B694" s="218" t="s">
        <v>5500</v>
      </c>
      <c r="C694" s="9"/>
      <c r="D694" s="228" t="s">
        <v>3118</v>
      </c>
      <c r="E694" s="230">
        <v>8.977779072E9</v>
      </c>
      <c r="F694" s="221" t="s">
        <v>73</v>
      </c>
      <c r="G694" s="9" t="s">
        <v>5501</v>
      </c>
      <c r="H694" s="234"/>
      <c r="I694" s="232"/>
      <c r="J694" s="18"/>
      <c r="K694" s="18"/>
      <c r="L694" s="18"/>
      <c r="M694" s="18"/>
      <c r="N694" s="18"/>
      <c r="O694" s="18"/>
      <c r="P694" s="18"/>
      <c r="Q694" s="18"/>
      <c r="R694" s="18"/>
      <c r="S694" s="18"/>
      <c r="T694" s="18"/>
      <c r="U694" s="18"/>
      <c r="V694" s="18"/>
      <c r="W694" s="18"/>
      <c r="X694" s="18"/>
      <c r="Y694" s="18"/>
      <c r="Z694" s="18"/>
    </row>
    <row r="695" ht="22.5" customHeight="1">
      <c r="A695" s="240">
        <v>46073.0</v>
      </c>
      <c r="B695" s="218" t="s">
        <v>5502</v>
      </c>
      <c r="C695" s="9"/>
      <c r="D695" s="228" t="s">
        <v>5503</v>
      </c>
      <c r="E695" s="230">
        <v>7.207083888E9</v>
      </c>
      <c r="F695" s="221" t="s">
        <v>1919</v>
      </c>
      <c r="G695" s="9" t="s">
        <v>5504</v>
      </c>
      <c r="H695" s="234">
        <v>46073.0</v>
      </c>
      <c r="I695" s="232">
        <v>0.8541666666666666</v>
      </c>
      <c r="J695" s="18"/>
      <c r="K695" s="18"/>
      <c r="L695" s="18"/>
      <c r="M695" s="18"/>
      <c r="N695" s="18"/>
      <c r="O695" s="18"/>
      <c r="P695" s="18"/>
      <c r="Q695" s="18"/>
      <c r="R695" s="18"/>
      <c r="S695" s="18"/>
      <c r="T695" s="18"/>
      <c r="U695" s="18"/>
      <c r="V695" s="18"/>
      <c r="W695" s="18"/>
      <c r="X695" s="18"/>
      <c r="Y695" s="18"/>
      <c r="Z695" s="18"/>
    </row>
    <row r="696" ht="22.5" customHeight="1">
      <c r="A696" s="240">
        <v>46073.0</v>
      </c>
      <c r="B696" s="218" t="s">
        <v>5505</v>
      </c>
      <c r="C696" s="9"/>
      <c r="D696" s="228"/>
      <c r="E696" s="230"/>
      <c r="F696" s="221" t="s">
        <v>241</v>
      </c>
      <c r="G696" s="9" t="s">
        <v>5506</v>
      </c>
      <c r="H696" s="234"/>
      <c r="I696" s="232"/>
      <c r="J696" s="18"/>
      <c r="K696" s="18"/>
      <c r="L696" s="18"/>
      <c r="M696" s="18"/>
      <c r="N696" s="18"/>
      <c r="O696" s="18"/>
      <c r="P696" s="18"/>
      <c r="Q696" s="18"/>
      <c r="R696" s="18"/>
      <c r="S696" s="18"/>
      <c r="T696" s="18"/>
      <c r="U696" s="18"/>
      <c r="V696" s="18"/>
      <c r="W696" s="18"/>
      <c r="X696" s="18"/>
      <c r="Y696" s="18"/>
      <c r="Z696" s="18"/>
    </row>
    <row r="697" ht="22.5" customHeight="1">
      <c r="A697" s="240">
        <v>46073.0</v>
      </c>
      <c r="B697" s="218" t="s">
        <v>5507</v>
      </c>
      <c r="C697" s="9"/>
      <c r="D697" s="228" t="s">
        <v>5508</v>
      </c>
      <c r="E697" s="230">
        <v>7.396928999E9</v>
      </c>
      <c r="F697" s="221" t="s">
        <v>241</v>
      </c>
      <c r="G697" s="9" t="s">
        <v>5509</v>
      </c>
      <c r="H697" s="234"/>
      <c r="I697" s="232"/>
      <c r="J697" s="18"/>
      <c r="K697" s="18"/>
      <c r="L697" s="18"/>
      <c r="M697" s="18"/>
      <c r="N697" s="18"/>
      <c r="O697" s="18"/>
      <c r="P697" s="18"/>
      <c r="Q697" s="18"/>
      <c r="R697" s="18"/>
      <c r="S697" s="18"/>
      <c r="T697" s="18"/>
      <c r="U697" s="18"/>
      <c r="V697" s="18"/>
      <c r="W697" s="18"/>
      <c r="X697" s="18"/>
      <c r="Y697" s="18"/>
      <c r="Z697" s="18"/>
    </row>
    <row r="698" ht="22.5" customHeight="1">
      <c r="A698" s="240">
        <v>46073.0</v>
      </c>
      <c r="B698" s="218" t="s">
        <v>5510</v>
      </c>
      <c r="C698" s="9"/>
      <c r="D698" s="228" t="s">
        <v>4032</v>
      </c>
      <c r="E698" s="230">
        <v>7.396368972E9</v>
      </c>
      <c r="F698" s="221" t="s">
        <v>241</v>
      </c>
      <c r="G698" s="9" t="s">
        <v>5511</v>
      </c>
      <c r="H698" s="234"/>
      <c r="I698" s="232"/>
      <c r="J698" s="18"/>
      <c r="K698" s="18"/>
      <c r="L698" s="18"/>
      <c r="M698" s="18"/>
      <c r="N698" s="18"/>
      <c r="O698" s="18"/>
      <c r="P698" s="18"/>
      <c r="Q698" s="18"/>
      <c r="R698" s="18"/>
      <c r="S698" s="18"/>
      <c r="T698" s="18"/>
      <c r="U698" s="18"/>
      <c r="V698" s="18"/>
      <c r="W698" s="18"/>
      <c r="X698" s="18"/>
      <c r="Y698" s="18"/>
      <c r="Z698" s="18"/>
    </row>
    <row r="699" ht="22.5" customHeight="1">
      <c r="A699" s="240">
        <v>46073.0</v>
      </c>
      <c r="B699" s="218" t="s">
        <v>5512</v>
      </c>
      <c r="C699" s="9"/>
      <c r="D699" s="228" t="s">
        <v>5513</v>
      </c>
      <c r="E699" s="230">
        <v>6.30097803E9</v>
      </c>
      <c r="F699" s="221" t="s">
        <v>241</v>
      </c>
      <c r="G699" s="9" t="s">
        <v>5514</v>
      </c>
      <c r="H699" s="234"/>
      <c r="I699" s="232"/>
      <c r="J699" s="18"/>
      <c r="K699" s="18"/>
      <c r="L699" s="18"/>
      <c r="M699" s="18"/>
      <c r="N699" s="18"/>
      <c r="O699" s="18"/>
      <c r="P699" s="18"/>
      <c r="Q699" s="18"/>
      <c r="R699" s="18"/>
      <c r="S699" s="18"/>
      <c r="T699" s="18"/>
      <c r="U699" s="18"/>
      <c r="V699" s="18"/>
      <c r="W699" s="18"/>
      <c r="X699" s="18"/>
      <c r="Y699" s="18"/>
      <c r="Z699" s="18"/>
    </row>
    <row r="700" ht="22.5" customHeight="1">
      <c r="A700" s="240">
        <v>46073.0</v>
      </c>
      <c r="B700" s="218" t="s">
        <v>5515</v>
      </c>
      <c r="C700" s="9"/>
      <c r="D700" s="228" t="s">
        <v>5516</v>
      </c>
      <c r="E700" s="230">
        <v>8.142488588E9</v>
      </c>
      <c r="F700" s="221" t="s">
        <v>241</v>
      </c>
      <c r="G700" s="9" t="s">
        <v>5517</v>
      </c>
      <c r="H700" s="234"/>
      <c r="I700" s="232"/>
      <c r="J700" s="18"/>
      <c r="K700" s="18"/>
      <c r="L700" s="18"/>
      <c r="M700" s="18"/>
      <c r="N700" s="18"/>
      <c r="O700" s="18"/>
      <c r="P700" s="18"/>
      <c r="Q700" s="18"/>
      <c r="R700" s="18"/>
      <c r="S700" s="18"/>
      <c r="T700" s="18"/>
      <c r="U700" s="18"/>
      <c r="V700" s="18"/>
      <c r="W700" s="18"/>
      <c r="X700" s="18"/>
      <c r="Y700" s="18"/>
      <c r="Z700" s="18"/>
    </row>
    <row r="701" ht="22.5" customHeight="1">
      <c r="A701" s="240">
        <v>46073.0</v>
      </c>
      <c r="B701" s="218" t="s">
        <v>5518</v>
      </c>
      <c r="C701" s="9"/>
      <c r="D701" s="228" t="s">
        <v>3265</v>
      </c>
      <c r="E701" s="230">
        <v>8.096301302E9</v>
      </c>
      <c r="F701" s="221" t="s">
        <v>241</v>
      </c>
      <c r="G701" s="9" t="s">
        <v>5519</v>
      </c>
      <c r="H701" s="234"/>
      <c r="I701" s="232"/>
      <c r="J701" s="18"/>
      <c r="K701" s="18"/>
      <c r="L701" s="18"/>
      <c r="M701" s="18"/>
      <c r="N701" s="18"/>
      <c r="O701" s="18"/>
      <c r="P701" s="18"/>
      <c r="Q701" s="18"/>
      <c r="R701" s="18"/>
      <c r="S701" s="18"/>
      <c r="T701" s="18"/>
      <c r="U701" s="18"/>
      <c r="V701" s="18"/>
      <c r="W701" s="18"/>
      <c r="X701" s="18"/>
      <c r="Y701" s="18"/>
      <c r="Z701" s="18"/>
    </row>
    <row r="702" ht="22.5" customHeight="1">
      <c r="A702" s="240">
        <v>46073.0</v>
      </c>
      <c r="B702" s="218" t="s">
        <v>5520</v>
      </c>
      <c r="C702" s="9"/>
      <c r="D702" s="228"/>
      <c r="E702" s="230"/>
      <c r="F702" s="221" t="s">
        <v>73</v>
      </c>
      <c r="G702" s="9" t="s">
        <v>5521</v>
      </c>
      <c r="H702" s="234"/>
      <c r="I702" s="232"/>
      <c r="J702" s="18"/>
      <c r="K702" s="18"/>
      <c r="L702" s="18"/>
      <c r="M702" s="18"/>
      <c r="N702" s="18"/>
      <c r="O702" s="18"/>
      <c r="P702" s="18"/>
      <c r="Q702" s="18"/>
      <c r="R702" s="18"/>
      <c r="S702" s="18"/>
      <c r="T702" s="18"/>
      <c r="U702" s="18"/>
      <c r="V702" s="18"/>
      <c r="W702" s="18"/>
      <c r="X702" s="18"/>
      <c r="Y702" s="18"/>
      <c r="Z702" s="18"/>
    </row>
    <row r="703" ht="22.5" customHeight="1">
      <c r="A703" s="240">
        <v>46073.0</v>
      </c>
      <c r="B703" s="218" t="s">
        <v>5522</v>
      </c>
      <c r="C703" s="9"/>
      <c r="D703" s="228" t="s">
        <v>4222</v>
      </c>
      <c r="E703" s="230">
        <v>7.893787203E9</v>
      </c>
      <c r="F703" s="221" t="s">
        <v>241</v>
      </c>
      <c r="G703" s="9" t="s">
        <v>5523</v>
      </c>
      <c r="H703" s="234"/>
      <c r="I703" s="232"/>
      <c r="J703" s="18"/>
      <c r="K703" s="18"/>
      <c r="L703" s="18"/>
      <c r="M703" s="18"/>
      <c r="N703" s="18"/>
      <c r="O703" s="18"/>
      <c r="P703" s="18"/>
      <c r="Q703" s="18"/>
      <c r="R703" s="18"/>
      <c r="S703" s="18"/>
      <c r="T703" s="18"/>
      <c r="U703" s="18"/>
      <c r="V703" s="18"/>
      <c r="W703" s="18"/>
      <c r="X703" s="18"/>
      <c r="Y703" s="18"/>
      <c r="Z703" s="18"/>
    </row>
    <row r="704" ht="22.5" customHeight="1">
      <c r="A704" s="240">
        <v>46073.0</v>
      </c>
      <c r="B704" s="218" t="s">
        <v>5524</v>
      </c>
      <c r="C704" s="9"/>
      <c r="D704" s="228" t="s">
        <v>5525</v>
      </c>
      <c r="E704" s="230">
        <v>9.000939335E9</v>
      </c>
      <c r="F704" s="221" t="s">
        <v>144</v>
      </c>
      <c r="G704" s="9" t="s">
        <v>5526</v>
      </c>
      <c r="H704" s="234">
        <v>46074.0</v>
      </c>
      <c r="I704" s="232">
        <v>0.4166666666666667</v>
      </c>
      <c r="J704" s="18"/>
      <c r="K704" s="18"/>
      <c r="L704" s="18"/>
      <c r="M704" s="18"/>
      <c r="N704" s="18"/>
      <c r="O704" s="18"/>
      <c r="P704" s="18"/>
      <c r="Q704" s="18"/>
      <c r="R704" s="18"/>
      <c r="S704" s="18"/>
      <c r="T704" s="18"/>
      <c r="U704" s="18"/>
      <c r="V704" s="18"/>
      <c r="W704" s="18"/>
      <c r="X704" s="18"/>
      <c r="Y704" s="18"/>
      <c r="Z704" s="18"/>
    </row>
    <row r="705" ht="22.5" customHeight="1">
      <c r="A705" s="240">
        <v>46073.0</v>
      </c>
      <c r="B705" s="218" t="s">
        <v>5527</v>
      </c>
      <c r="C705" s="9"/>
      <c r="D705" s="228"/>
      <c r="E705" s="230"/>
      <c r="F705" s="221" t="s">
        <v>73</v>
      </c>
      <c r="G705" s="9" t="s">
        <v>5528</v>
      </c>
      <c r="H705" s="234">
        <v>46073.0</v>
      </c>
      <c r="I705" s="232">
        <v>0.6666666666666666</v>
      </c>
      <c r="J705" s="18"/>
      <c r="K705" s="18"/>
      <c r="L705" s="18"/>
      <c r="M705" s="18"/>
      <c r="N705" s="18"/>
      <c r="O705" s="18"/>
      <c r="P705" s="18"/>
      <c r="Q705" s="18"/>
      <c r="R705" s="18"/>
      <c r="S705" s="18"/>
      <c r="T705" s="18"/>
      <c r="U705" s="18"/>
      <c r="V705" s="18"/>
      <c r="W705" s="18"/>
      <c r="X705" s="18"/>
      <c r="Y705" s="18"/>
      <c r="Z705" s="18"/>
    </row>
    <row r="706" ht="22.5" customHeight="1">
      <c r="A706" s="240">
        <v>46073.0</v>
      </c>
      <c r="B706" s="218" t="s">
        <v>5529</v>
      </c>
      <c r="C706" s="9"/>
      <c r="D706" s="228" t="s">
        <v>4344</v>
      </c>
      <c r="E706" s="230"/>
      <c r="F706" s="221" t="s">
        <v>144</v>
      </c>
      <c r="G706" s="9" t="s">
        <v>5530</v>
      </c>
      <c r="H706" s="234">
        <v>46073.0</v>
      </c>
      <c r="I706" s="232">
        <v>0.6666666666666666</v>
      </c>
      <c r="J706" s="18"/>
      <c r="K706" s="18"/>
      <c r="L706" s="18"/>
      <c r="M706" s="18"/>
      <c r="N706" s="18"/>
      <c r="O706" s="18"/>
      <c r="P706" s="18"/>
      <c r="Q706" s="18"/>
      <c r="R706" s="18"/>
      <c r="S706" s="18"/>
      <c r="T706" s="18"/>
      <c r="U706" s="18"/>
      <c r="V706" s="18"/>
      <c r="W706" s="18"/>
      <c r="X706" s="18"/>
      <c r="Y706" s="18"/>
      <c r="Z706" s="18"/>
    </row>
    <row r="707" ht="22.5" customHeight="1">
      <c r="A707" s="240">
        <v>46073.0</v>
      </c>
      <c r="B707" s="218" t="s">
        <v>5531</v>
      </c>
      <c r="C707" s="9"/>
      <c r="D707" s="228" t="s">
        <v>5532</v>
      </c>
      <c r="E707" s="230">
        <v>8.074507215E9</v>
      </c>
      <c r="F707" s="221" t="s">
        <v>73</v>
      </c>
      <c r="G707" s="9" t="s">
        <v>5533</v>
      </c>
      <c r="H707" s="234"/>
      <c r="I707" s="232"/>
      <c r="J707" s="18"/>
      <c r="K707" s="18"/>
      <c r="L707" s="18"/>
      <c r="M707" s="18"/>
      <c r="N707" s="18"/>
      <c r="O707" s="18"/>
      <c r="P707" s="18"/>
      <c r="Q707" s="18"/>
      <c r="R707" s="18"/>
      <c r="S707" s="18"/>
      <c r="T707" s="18"/>
      <c r="U707" s="18"/>
      <c r="V707" s="18"/>
      <c r="W707" s="18"/>
      <c r="X707" s="18"/>
      <c r="Y707" s="18"/>
      <c r="Z707" s="18"/>
    </row>
    <row r="708" ht="22.5" customHeight="1">
      <c r="A708" s="240">
        <v>46073.0</v>
      </c>
      <c r="B708" s="218" t="s">
        <v>5534</v>
      </c>
      <c r="C708" s="9"/>
      <c r="D708" s="228"/>
      <c r="E708" s="230"/>
      <c r="F708" s="221" t="s">
        <v>60</v>
      </c>
      <c r="G708" s="9" t="s">
        <v>5535</v>
      </c>
      <c r="H708" s="234"/>
      <c r="I708" s="232"/>
      <c r="J708" s="18"/>
      <c r="K708" s="18"/>
      <c r="L708" s="18"/>
      <c r="M708" s="18"/>
      <c r="N708" s="18"/>
      <c r="O708" s="18"/>
      <c r="P708" s="18"/>
      <c r="Q708" s="18"/>
      <c r="R708" s="18"/>
      <c r="S708" s="18"/>
      <c r="T708" s="18"/>
      <c r="U708" s="18"/>
      <c r="V708" s="18"/>
      <c r="W708" s="18"/>
      <c r="X708" s="18"/>
      <c r="Y708" s="18"/>
      <c r="Z708" s="18"/>
    </row>
    <row r="709" ht="22.5" customHeight="1">
      <c r="A709" s="240">
        <v>46073.0</v>
      </c>
      <c r="B709" s="218" t="s">
        <v>5536</v>
      </c>
      <c r="C709" s="9"/>
      <c r="D709" s="228" t="s">
        <v>5537</v>
      </c>
      <c r="E709" s="230">
        <v>9.705995817E9</v>
      </c>
      <c r="F709" s="221" t="s">
        <v>144</v>
      </c>
      <c r="G709" s="9" t="s">
        <v>5538</v>
      </c>
      <c r="H709" s="234"/>
      <c r="I709" s="232"/>
      <c r="J709" s="18"/>
      <c r="K709" s="18"/>
      <c r="L709" s="18"/>
      <c r="M709" s="18"/>
      <c r="N709" s="18"/>
      <c r="O709" s="18"/>
      <c r="P709" s="18"/>
      <c r="Q709" s="18"/>
      <c r="R709" s="18"/>
      <c r="S709" s="18"/>
      <c r="T709" s="18"/>
      <c r="U709" s="18"/>
      <c r="V709" s="18"/>
      <c r="W709" s="18"/>
      <c r="X709" s="18"/>
      <c r="Y709" s="18"/>
      <c r="Z709" s="18"/>
    </row>
    <row r="710" ht="22.5" customHeight="1">
      <c r="A710" s="240">
        <v>46073.0</v>
      </c>
      <c r="B710" s="218" t="s">
        <v>5539</v>
      </c>
      <c r="C710" s="9" t="s">
        <v>4343</v>
      </c>
      <c r="D710" s="228" t="s">
        <v>5540</v>
      </c>
      <c r="E710" s="230">
        <v>9.642302809E9</v>
      </c>
      <c r="F710" s="221" t="s">
        <v>3853</v>
      </c>
      <c r="G710" s="9" t="s">
        <v>5541</v>
      </c>
      <c r="H710" s="234"/>
      <c r="I710" s="232"/>
      <c r="J710" s="18"/>
      <c r="K710" s="18"/>
      <c r="L710" s="18"/>
      <c r="M710" s="18"/>
      <c r="N710" s="18"/>
      <c r="O710" s="18"/>
      <c r="P710" s="18"/>
      <c r="Q710" s="18"/>
      <c r="R710" s="18"/>
      <c r="S710" s="18"/>
      <c r="T710" s="18"/>
      <c r="U710" s="18"/>
      <c r="V710" s="18"/>
      <c r="W710" s="18"/>
      <c r="X710" s="18"/>
      <c r="Y710" s="18"/>
      <c r="Z710" s="18"/>
    </row>
    <row r="711" ht="22.5" customHeight="1">
      <c r="A711" s="240">
        <v>46073.0</v>
      </c>
      <c r="B711" s="218" t="s">
        <v>5542</v>
      </c>
      <c r="C711" s="9"/>
      <c r="D711" s="228" t="s">
        <v>5543</v>
      </c>
      <c r="E711" s="230"/>
      <c r="F711" s="221" t="s">
        <v>241</v>
      </c>
      <c r="G711" s="9" t="s">
        <v>5544</v>
      </c>
      <c r="H711" s="234"/>
      <c r="I711" s="232"/>
      <c r="J711" s="18"/>
      <c r="K711" s="18"/>
      <c r="L711" s="18"/>
      <c r="M711" s="18"/>
      <c r="N711" s="18"/>
      <c r="O711" s="18"/>
      <c r="P711" s="18"/>
      <c r="Q711" s="18"/>
      <c r="R711" s="18"/>
      <c r="S711" s="18"/>
      <c r="T711" s="18"/>
      <c r="U711" s="18"/>
      <c r="V711" s="18"/>
      <c r="W711" s="18"/>
      <c r="X711" s="18"/>
      <c r="Y711" s="18"/>
      <c r="Z711" s="18"/>
    </row>
    <row r="712" ht="22.5" customHeight="1">
      <c r="A712" s="240">
        <v>46073.0</v>
      </c>
      <c r="B712" s="218" t="s">
        <v>5545</v>
      </c>
      <c r="C712" s="9"/>
      <c r="D712" s="228" t="s">
        <v>5546</v>
      </c>
      <c r="E712" s="230">
        <v>9.493512255E9</v>
      </c>
      <c r="F712" s="221" t="s">
        <v>144</v>
      </c>
      <c r="G712" s="9" t="s">
        <v>5547</v>
      </c>
      <c r="H712" s="234">
        <v>46076.0</v>
      </c>
      <c r="I712" s="232"/>
      <c r="J712" s="18"/>
      <c r="K712" s="18"/>
      <c r="L712" s="18"/>
      <c r="M712" s="18"/>
      <c r="N712" s="18"/>
      <c r="O712" s="18"/>
      <c r="P712" s="18"/>
      <c r="Q712" s="18"/>
      <c r="R712" s="18"/>
      <c r="S712" s="18"/>
      <c r="T712" s="18"/>
      <c r="U712" s="18"/>
      <c r="V712" s="18"/>
      <c r="W712" s="18"/>
      <c r="X712" s="18"/>
      <c r="Y712" s="18"/>
      <c r="Z712" s="18"/>
    </row>
    <row r="713" ht="22.5" customHeight="1">
      <c r="A713" s="240">
        <v>46073.0</v>
      </c>
      <c r="B713" s="218" t="s">
        <v>5548</v>
      </c>
      <c r="C713" s="9"/>
      <c r="D713" s="228"/>
      <c r="E713" s="230">
        <v>9.908662728E9</v>
      </c>
      <c r="F713" s="221" t="s">
        <v>241</v>
      </c>
      <c r="G713" s="9" t="s">
        <v>5549</v>
      </c>
      <c r="H713" s="234"/>
      <c r="I713" s="232"/>
      <c r="J713" s="18"/>
      <c r="K713" s="18"/>
      <c r="L713" s="18"/>
      <c r="M713" s="18"/>
      <c r="N713" s="18"/>
      <c r="O713" s="18"/>
      <c r="P713" s="18"/>
      <c r="Q713" s="18"/>
      <c r="R713" s="18"/>
      <c r="S713" s="18"/>
      <c r="T713" s="18"/>
      <c r="U713" s="18"/>
      <c r="V713" s="18"/>
      <c r="W713" s="18"/>
      <c r="X713" s="18"/>
      <c r="Y713" s="18"/>
      <c r="Z713" s="18"/>
    </row>
    <row r="714" ht="22.5" customHeight="1">
      <c r="A714" s="240">
        <v>46073.0</v>
      </c>
      <c r="B714" s="218" t="s">
        <v>5550</v>
      </c>
      <c r="C714" s="9"/>
      <c r="D714" s="228"/>
      <c r="E714" s="230"/>
      <c r="F714" s="221" t="s">
        <v>73</v>
      </c>
      <c r="G714" s="9" t="s">
        <v>5551</v>
      </c>
      <c r="H714" s="234"/>
      <c r="I714" s="232"/>
      <c r="J714" s="18"/>
      <c r="K714" s="18"/>
      <c r="L714" s="18"/>
      <c r="M714" s="18"/>
      <c r="N714" s="18"/>
      <c r="O714" s="18"/>
      <c r="P714" s="18"/>
      <c r="Q714" s="18"/>
      <c r="R714" s="18"/>
      <c r="S714" s="18"/>
      <c r="T714" s="18"/>
      <c r="U714" s="18"/>
      <c r="V714" s="18"/>
      <c r="W714" s="18"/>
      <c r="X714" s="18"/>
      <c r="Y714" s="18"/>
      <c r="Z714" s="18"/>
    </row>
    <row r="715" ht="22.5" customHeight="1">
      <c r="A715" s="240">
        <v>46073.0</v>
      </c>
      <c r="B715" s="218" t="s">
        <v>5552</v>
      </c>
      <c r="C715" s="9"/>
      <c r="D715" s="228"/>
      <c r="E715" s="230"/>
      <c r="F715" s="221" t="s">
        <v>2014</v>
      </c>
      <c r="G715" s="9" t="s">
        <v>5553</v>
      </c>
      <c r="H715" s="234"/>
      <c r="I715" s="232"/>
      <c r="J715" s="18"/>
      <c r="K715" s="18"/>
      <c r="L715" s="18"/>
      <c r="M715" s="18"/>
      <c r="N715" s="18"/>
      <c r="O715" s="18"/>
      <c r="P715" s="18"/>
      <c r="Q715" s="18"/>
      <c r="R715" s="18"/>
      <c r="S715" s="18"/>
      <c r="T715" s="18"/>
      <c r="U715" s="18"/>
      <c r="V715" s="18"/>
      <c r="W715" s="18"/>
      <c r="X715" s="18"/>
      <c r="Y715" s="18"/>
      <c r="Z715" s="18"/>
    </row>
    <row r="716" ht="22.5" customHeight="1">
      <c r="A716" s="240">
        <v>46073.0</v>
      </c>
      <c r="B716" s="218" t="s">
        <v>5554</v>
      </c>
      <c r="C716" s="9"/>
      <c r="D716" s="228"/>
      <c r="E716" s="230">
        <v>6.300044131E9</v>
      </c>
      <c r="F716" s="221" t="s">
        <v>241</v>
      </c>
      <c r="G716" s="9" t="s">
        <v>5555</v>
      </c>
      <c r="H716" s="234"/>
      <c r="I716" s="232"/>
      <c r="J716" s="18"/>
      <c r="K716" s="18"/>
      <c r="L716" s="18"/>
      <c r="M716" s="18"/>
      <c r="N716" s="18"/>
      <c r="O716" s="18"/>
      <c r="P716" s="18"/>
      <c r="Q716" s="18"/>
      <c r="R716" s="18"/>
      <c r="S716" s="18"/>
      <c r="T716" s="18"/>
      <c r="U716" s="18"/>
      <c r="V716" s="18"/>
      <c r="W716" s="18"/>
      <c r="X716" s="18"/>
      <c r="Y716" s="18"/>
      <c r="Z716" s="18"/>
    </row>
    <row r="717" ht="22.5" customHeight="1">
      <c r="A717" s="240">
        <v>46073.0</v>
      </c>
      <c r="B717" s="218" t="s">
        <v>5556</v>
      </c>
      <c r="C717" s="9"/>
      <c r="D717" s="228"/>
      <c r="E717" s="230">
        <v>8.37457252E9</v>
      </c>
      <c r="F717" s="221" t="s">
        <v>2014</v>
      </c>
      <c r="G717" s="9" t="s">
        <v>5557</v>
      </c>
      <c r="H717" s="234">
        <v>46076.0</v>
      </c>
      <c r="I717" s="232"/>
      <c r="J717" s="18"/>
      <c r="K717" s="18"/>
      <c r="L717" s="18"/>
      <c r="M717" s="18"/>
      <c r="N717" s="18"/>
      <c r="O717" s="18"/>
      <c r="P717" s="18"/>
      <c r="Q717" s="18"/>
      <c r="R717" s="18"/>
      <c r="S717" s="18"/>
      <c r="T717" s="18"/>
      <c r="U717" s="18"/>
      <c r="V717" s="18"/>
      <c r="W717" s="18"/>
      <c r="X717" s="18"/>
      <c r="Y717" s="18"/>
      <c r="Z717" s="18"/>
    </row>
    <row r="718" ht="22.5" customHeight="1">
      <c r="A718" s="240">
        <v>46073.0</v>
      </c>
      <c r="B718" s="218" t="s">
        <v>1910</v>
      </c>
      <c r="C718" s="9"/>
      <c r="D718" s="228"/>
      <c r="E718" s="230"/>
      <c r="F718" s="221" t="s">
        <v>241</v>
      </c>
      <c r="G718" s="9" t="s">
        <v>5558</v>
      </c>
      <c r="H718" s="234"/>
      <c r="I718" s="232"/>
      <c r="J718" s="18"/>
      <c r="K718" s="18"/>
      <c r="L718" s="18"/>
      <c r="M718" s="18"/>
      <c r="N718" s="18"/>
      <c r="O718" s="18"/>
      <c r="P718" s="18"/>
      <c r="Q718" s="18"/>
      <c r="R718" s="18"/>
      <c r="S718" s="18"/>
      <c r="T718" s="18"/>
      <c r="U718" s="18"/>
      <c r="V718" s="18"/>
      <c r="W718" s="18"/>
      <c r="X718" s="18"/>
      <c r="Y718" s="18"/>
      <c r="Z718" s="18"/>
    </row>
    <row r="719" ht="22.5" customHeight="1">
      <c r="A719" s="240">
        <v>46073.0</v>
      </c>
      <c r="B719" s="218" t="s">
        <v>5559</v>
      </c>
      <c r="C719" s="9"/>
      <c r="D719" s="228" t="s">
        <v>5560</v>
      </c>
      <c r="E719" s="230">
        <v>9.61854168E9</v>
      </c>
      <c r="F719" s="221" t="s">
        <v>73</v>
      </c>
      <c r="G719" s="9" t="s">
        <v>4980</v>
      </c>
      <c r="H719" s="234">
        <v>46073.0</v>
      </c>
      <c r="I719" s="232">
        <v>0.7916666666666666</v>
      </c>
      <c r="J719" s="18"/>
      <c r="K719" s="18"/>
      <c r="L719" s="18"/>
      <c r="M719" s="18"/>
      <c r="N719" s="18"/>
      <c r="O719" s="18"/>
      <c r="P719" s="18"/>
      <c r="Q719" s="18"/>
      <c r="R719" s="18"/>
      <c r="S719" s="18"/>
      <c r="T719" s="18"/>
      <c r="U719" s="18"/>
      <c r="V719" s="18"/>
      <c r="W719" s="18"/>
      <c r="X719" s="18"/>
      <c r="Y719" s="18"/>
      <c r="Z719" s="18"/>
    </row>
    <row r="720" ht="22.5" customHeight="1">
      <c r="A720" s="240">
        <v>46073.0</v>
      </c>
      <c r="B720" s="218" t="s">
        <v>5561</v>
      </c>
      <c r="C720" s="9"/>
      <c r="D720" s="228" t="s">
        <v>5562</v>
      </c>
      <c r="E720" s="230"/>
      <c r="F720" s="221" t="s">
        <v>2014</v>
      </c>
      <c r="G720" s="9" t="s">
        <v>5563</v>
      </c>
      <c r="H720" s="234"/>
      <c r="I720" s="232"/>
      <c r="J720" s="18"/>
      <c r="K720" s="18"/>
      <c r="L720" s="18"/>
      <c r="M720" s="18"/>
      <c r="N720" s="18"/>
      <c r="O720" s="18"/>
      <c r="P720" s="18"/>
      <c r="Q720" s="18"/>
      <c r="R720" s="18"/>
      <c r="S720" s="18"/>
      <c r="T720" s="18"/>
      <c r="U720" s="18"/>
      <c r="V720" s="18"/>
      <c r="W720" s="18"/>
      <c r="X720" s="18"/>
      <c r="Y720" s="18"/>
      <c r="Z720" s="18"/>
    </row>
    <row r="721" ht="22.5" customHeight="1">
      <c r="A721" s="240">
        <v>46073.0</v>
      </c>
      <c r="B721" s="218" t="s">
        <v>5564</v>
      </c>
      <c r="C721" s="9"/>
      <c r="D721" s="228"/>
      <c r="E721" s="230"/>
      <c r="F721" s="221" t="s">
        <v>60</v>
      </c>
      <c r="G721" s="9" t="s">
        <v>5565</v>
      </c>
      <c r="H721" s="234"/>
      <c r="I721" s="232"/>
      <c r="J721" s="18"/>
      <c r="K721" s="18"/>
      <c r="L721" s="18"/>
      <c r="M721" s="18"/>
      <c r="N721" s="18"/>
      <c r="O721" s="18"/>
      <c r="P721" s="18"/>
      <c r="Q721" s="18"/>
      <c r="R721" s="18"/>
      <c r="S721" s="18"/>
      <c r="T721" s="18"/>
      <c r="U721" s="18"/>
      <c r="V721" s="18"/>
      <c r="W721" s="18"/>
      <c r="X721" s="18"/>
      <c r="Y721" s="18"/>
      <c r="Z721" s="18"/>
    </row>
    <row r="722" ht="22.5" customHeight="1">
      <c r="A722" s="240">
        <v>46073.0</v>
      </c>
      <c r="B722" s="218" t="s">
        <v>5566</v>
      </c>
      <c r="C722" s="9"/>
      <c r="D722" s="228"/>
      <c r="E722" s="230"/>
      <c r="F722" s="221" t="s">
        <v>73</v>
      </c>
      <c r="G722" s="9" t="s">
        <v>5567</v>
      </c>
      <c r="H722" s="234"/>
      <c r="I722" s="232"/>
      <c r="J722" s="18"/>
      <c r="K722" s="18"/>
      <c r="L722" s="18"/>
      <c r="M722" s="18"/>
      <c r="N722" s="18"/>
      <c r="O722" s="18"/>
      <c r="P722" s="18"/>
      <c r="Q722" s="18"/>
      <c r="R722" s="18"/>
      <c r="S722" s="18"/>
      <c r="T722" s="18"/>
      <c r="U722" s="18"/>
      <c r="V722" s="18"/>
      <c r="W722" s="18"/>
      <c r="X722" s="18"/>
      <c r="Y722" s="18"/>
      <c r="Z722" s="18"/>
    </row>
    <row r="723" ht="22.5" customHeight="1">
      <c r="A723" s="240">
        <v>46073.0</v>
      </c>
      <c r="B723" s="218" t="s">
        <v>5568</v>
      </c>
      <c r="C723" s="9"/>
      <c r="D723" s="228"/>
      <c r="E723" s="230"/>
      <c r="F723" s="221" t="s">
        <v>241</v>
      </c>
      <c r="G723" s="9" t="s">
        <v>5569</v>
      </c>
      <c r="H723" s="234"/>
      <c r="I723" s="232"/>
      <c r="J723" s="18"/>
      <c r="K723" s="18"/>
      <c r="L723" s="18"/>
      <c r="M723" s="18"/>
      <c r="N723" s="18"/>
      <c r="O723" s="18"/>
      <c r="P723" s="18"/>
      <c r="Q723" s="18"/>
      <c r="R723" s="18"/>
      <c r="S723" s="18"/>
      <c r="T723" s="18"/>
      <c r="U723" s="18"/>
      <c r="V723" s="18"/>
      <c r="W723" s="18"/>
      <c r="X723" s="18"/>
      <c r="Y723" s="18"/>
      <c r="Z723" s="18"/>
    </row>
    <row r="724" ht="22.5" customHeight="1">
      <c r="A724" s="240">
        <v>46073.0</v>
      </c>
      <c r="B724" s="218" t="s">
        <v>2023</v>
      </c>
      <c r="C724" s="9"/>
      <c r="D724" s="228"/>
      <c r="E724" s="230"/>
      <c r="F724" s="221" t="s">
        <v>241</v>
      </c>
      <c r="G724" s="9" t="s">
        <v>5570</v>
      </c>
      <c r="H724" s="234"/>
      <c r="I724" s="232"/>
      <c r="J724" s="18"/>
      <c r="K724" s="18"/>
      <c r="L724" s="18"/>
      <c r="M724" s="18"/>
      <c r="N724" s="18"/>
      <c r="O724" s="18"/>
      <c r="P724" s="18"/>
      <c r="Q724" s="18"/>
      <c r="R724" s="18"/>
      <c r="S724" s="18"/>
      <c r="T724" s="18"/>
      <c r="U724" s="18"/>
      <c r="V724" s="18"/>
      <c r="W724" s="18"/>
      <c r="X724" s="18"/>
      <c r="Y724" s="18"/>
      <c r="Z724" s="18"/>
    </row>
    <row r="725" ht="22.5" customHeight="1">
      <c r="A725" s="240">
        <v>46073.0</v>
      </c>
      <c r="B725" s="218" t="s">
        <v>5571</v>
      </c>
      <c r="C725" s="9"/>
      <c r="D725" s="228" t="s">
        <v>244</v>
      </c>
      <c r="E725" s="230">
        <v>6.300745703E9</v>
      </c>
      <c r="F725" s="221" t="s">
        <v>241</v>
      </c>
      <c r="G725" s="9" t="s">
        <v>5572</v>
      </c>
      <c r="H725" s="234"/>
      <c r="I725" s="232"/>
      <c r="J725" s="18"/>
      <c r="K725" s="18"/>
      <c r="L725" s="18"/>
      <c r="M725" s="18"/>
      <c r="N725" s="18"/>
      <c r="O725" s="18"/>
      <c r="P725" s="18"/>
      <c r="Q725" s="18"/>
      <c r="R725" s="18"/>
      <c r="S725" s="18"/>
      <c r="T725" s="18"/>
      <c r="U725" s="18"/>
      <c r="V725" s="18"/>
      <c r="W725" s="18"/>
      <c r="X725" s="18"/>
      <c r="Y725" s="18"/>
      <c r="Z725" s="18"/>
    </row>
    <row r="726" ht="22.5" customHeight="1">
      <c r="A726" s="240">
        <v>46073.0</v>
      </c>
      <c r="B726" s="218" t="s">
        <v>5573</v>
      </c>
      <c r="C726" s="9"/>
      <c r="D726" s="228" t="s">
        <v>5574</v>
      </c>
      <c r="E726" s="230">
        <v>8.179825296E9</v>
      </c>
      <c r="F726" s="221" t="s">
        <v>73</v>
      </c>
      <c r="G726" s="9" t="s">
        <v>5575</v>
      </c>
      <c r="H726" s="234"/>
      <c r="I726" s="232"/>
      <c r="J726" s="18"/>
      <c r="K726" s="18"/>
      <c r="L726" s="18"/>
      <c r="M726" s="18"/>
      <c r="N726" s="18"/>
      <c r="O726" s="18"/>
      <c r="P726" s="18"/>
      <c r="Q726" s="18"/>
      <c r="R726" s="18"/>
      <c r="S726" s="18"/>
      <c r="T726" s="18"/>
      <c r="U726" s="18"/>
      <c r="V726" s="18"/>
      <c r="W726" s="18"/>
      <c r="X726" s="18"/>
      <c r="Y726" s="18"/>
      <c r="Z726" s="18"/>
    </row>
    <row r="727" ht="22.5" customHeight="1">
      <c r="A727" s="240">
        <v>46073.0</v>
      </c>
      <c r="B727" s="218" t="s">
        <v>5576</v>
      </c>
      <c r="C727" s="9"/>
      <c r="D727" s="228" t="s">
        <v>5577</v>
      </c>
      <c r="E727" s="230">
        <v>8.897966743E9</v>
      </c>
      <c r="F727" s="221" t="s">
        <v>60</v>
      </c>
      <c r="G727" s="9" t="s">
        <v>5578</v>
      </c>
      <c r="H727" s="234">
        <v>46076.0</v>
      </c>
      <c r="I727" s="232"/>
      <c r="J727" s="18"/>
      <c r="K727" s="18"/>
      <c r="L727" s="18"/>
      <c r="M727" s="18"/>
      <c r="N727" s="18"/>
      <c r="O727" s="18"/>
      <c r="P727" s="18"/>
      <c r="Q727" s="18"/>
      <c r="R727" s="18"/>
      <c r="S727" s="18"/>
      <c r="T727" s="18"/>
      <c r="U727" s="18"/>
      <c r="V727" s="18"/>
      <c r="W727" s="18"/>
      <c r="X727" s="18"/>
      <c r="Y727" s="18"/>
      <c r="Z727" s="18"/>
    </row>
    <row r="728" ht="22.5" customHeight="1">
      <c r="A728" s="240">
        <v>46073.0</v>
      </c>
      <c r="B728" s="218" t="s">
        <v>5579</v>
      </c>
      <c r="C728" s="9"/>
      <c r="D728" s="228" t="s">
        <v>5580</v>
      </c>
      <c r="E728" s="230">
        <v>9.063076187E9</v>
      </c>
      <c r="F728" s="221" t="s">
        <v>241</v>
      </c>
      <c r="G728" s="9" t="s">
        <v>5581</v>
      </c>
      <c r="H728" s="234"/>
      <c r="I728" s="232"/>
      <c r="J728" s="18"/>
      <c r="K728" s="18"/>
      <c r="L728" s="18"/>
      <c r="M728" s="18"/>
      <c r="N728" s="18"/>
      <c r="O728" s="18"/>
      <c r="P728" s="18"/>
      <c r="Q728" s="18"/>
      <c r="R728" s="18"/>
      <c r="S728" s="18"/>
      <c r="T728" s="18"/>
      <c r="U728" s="18"/>
      <c r="V728" s="18"/>
      <c r="W728" s="18"/>
      <c r="X728" s="18"/>
      <c r="Y728" s="18"/>
      <c r="Z728" s="18"/>
    </row>
    <row r="729" ht="22.5" customHeight="1">
      <c r="A729" s="240">
        <v>46073.0</v>
      </c>
      <c r="B729" s="218" t="s">
        <v>5582</v>
      </c>
      <c r="C729" s="9"/>
      <c r="D729" s="228"/>
      <c r="E729" s="230"/>
      <c r="F729" s="221" t="s">
        <v>241</v>
      </c>
      <c r="G729" s="9" t="s">
        <v>3948</v>
      </c>
      <c r="H729" s="234"/>
      <c r="I729" s="232"/>
      <c r="J729" s="18"/>
      <c r="K729" s="18"/>
      <c r="L729" s="18"/>
      <c r="M729" s="18"/>
      <c r="N729" s="18"/>
      <c r="O729" s="18"/>
      <c r="P729" s="18"/>
      <c r="Q729" s="18"/>
      <c r="R729" s="18"/>
      <c r="S729" s="18"/>
      <c r="T729" s="18"/>
      <c r="U729" s="18"/>
      <c r="V729" s="18"/>
      <c r="W729" s="18"/>
      <c r="X729" s="18"/>
      <c r="Y729" s="18"/>
      <c r="Z729" s="18"/>
    </row>
    <row r="730" ht="22.5" customHeight="1">
      <c r="A730" s="240">
        <v>46073.0</v>
      </c>
      <c r="B730" s="218" t="s">
        <v>5583</v>
      </c>
      <c r="C730" s="9" t="s">
        <v>4113</v>
      </c>
      <c r="D730" s="228"/>
      <c r="E730" s="230"/>
      <c r="F730" s="221" t="s">
        <v>96</v>
      </c>
      <c r="G730" s="9" t="s">
        <v>5584</v>
      </c>
      <c r="H730" s="234"/>
      <c r="I730" s="232"/>
      <c r="J730" s="18"/>
      <c r="K730" s="18"/>
      <c r="L730" s="18"/>
      <c r="M730" s="18"/>
      <c r="N730" s="18"/>
      <c r="O730" s="18"/>
      <c r="P730" s="18"/>
      <c r="Q730" s="18"/>
      <c r="R730" s="18"/>
      <c r="S730" s="18"/>
      <c r="T730" s="18"/>
      <c r="U730" s="18"/>
      <c r="V730" s="18"/>
      <c r="W730" s="18"/>
      <c r="X730" s="18"/>
      <c r="Y730" s="18"/>
      <c r="Z730" s="18"/>
    </row>
    <row r="731" ht="22.5" customHeight="1">
      <c r="A731" s="240">
        <v>46073.0</v>
      </c>
      <c r="B731" s="218" t="s">
        <v>5585</v>
      </c>
      <c r="C731" s="9"/>
      <c r="D731" s="228"/>
      <c r="E731" s="230"/>
      <c r="F731" s="221" t="s">
        <v>60</v>
      </c>
      <c r="G731" s="9" t="s">
        <v>5586</v>
      </c>
      <c r="H731" s="234">
        <v>46080.0</v>
      </c>
      <c r="I731" s="232"/>
      <c r="J731" s="18"/>
      <c r="K731" s="18"/>
      <c r="L731" s="18"/>
      <c r="M731" s="18"/>
      <c r="N731" s="18"/>
      <c r="O731" s="18"/>
      <c r="P731" s="18"/>
      <c r="Q731" s="18"/>
      <c r="R731" s="18"/>
      <c r="S731" s="18"/>
      <c r="T731" s="18"/>
      <c r="U731" s="18"/>
      <c r="V731" s="18"/>
      <c r="W731" s="18"/>
      <c r="X731" s="18"/>
      <c r="Y731" s="18"/>
      <c r="Z731" s="18"/>
    </row>
    <row r="732" ht="22.5" customHeight="1">
      <c r="A732" s="240">
        <v>46073.0</v>
      </c>
      <c r="B732" s="218" t="s">
        <v>5587</v>
      </c>
      <c r="C732" s="9"/>
      <c r="D732" s="228"/>
      <c r="E732" s="230"/>
      <c r="F732" s="221" t="s">
        <v>60</v>
      </c>
      <c r="G732" s="9" t="s">
        <v>5588</v>
      </c>
      <c r="H732" s="234"/>
      <c r="I732" s="232"/>
      <c r="J732" s="18"/>
      <c r="K732" s="18"/>
      <c r="L732" s="18"/>
      <c r="M732" s="18"/>
      <c r="N732" s="18"/>
      <c r="O732" s="18"/>
      <c r="P732" s="18"/>
      <c r="Q732" s="18"/>
      <c r="R732" s="18"/>
      <c r="S732" s="18"/>
      <c r="T732" s="18"/>
      <c r="U732" s="18"/>
      <c r="V732" s="18"/>
      <c r="W732" s="18"/>
      <c r="X732" s="18"/>
      <c r="Y732" s="18"/>
      <c r="Z732" s="18"/>
    </row>
    <row r="733" ht="22.5" customHeight="1">
      <c r="A733" s="240">
        <v>46073.0</v>
      </c>
      <c r="B733" s="218" t="s">
        <v>5589</v>
      </c>
      <c r="C733" s="9"/>
      <c r="D733" s="228"/>
      <c r="E733" s="230"/>
      <c r="F733" s="221" t="s">
        <v>60</v>
      </c>
      <c r="G733" s="9" t="s">
        <v>5590</v>
      </c>
      <c r="H733" s="234">
        <v>46074.0</v>
      </c>
      <c r="I733" s="232"/>
      <c r="J733" s="35" t="s">
        <v>5591</v>
      </c>
      <c r="K733" s="18"/>
      <c r="L733" s="18"/>
      <c r="M733" s="18"/>
      <c r="N733" s="18"/>
      <c r="O733" s="18"/>
      <c r="P733" s="18"/>
      <c r="Q733" s="18"/>
      <c r="R733" s="18"/>
      <c r="S733" s="18"/>
      <c r="T733" s="18"/>
      <c r="U733" s="18"/>
      <c r="V733" s="18"/>
      <c r="W733" s="18"/>
      <c r="X733" s="18"/>
      <c r="Y733" s="18"/>
      <c r="Z733" s="18"/>
    </row>
    <row r="734" ht="22.5" customHeight="1">
      <c r="A734" s="240">
        <v>46073.0</v>
      </c>
      <c r="B734" s="218" t="s">
        <v>5592</v>
      </c>
      <c r="C734" s="9"/>
      <c r="D734" s="228"/>
      <c r="E734" s="230">
        <v>8.88636606E9</v>
      </c>
      <c r="F734" s="221" t="s">
        <v>60</v>
      </c>
      <c r="G734" s="9" t="s">
        <v>5593</v>
      </c>
      <c r="H734" s="234"/>
      <c r="I734" s="232"/>
      <c r="J734" s="18"/>
      <c r="K734" s="18"/>
      <c r="L734" s="18"/>
      <c r="M734" s="18"/>
      <c r="N734" s="18"/>
      <c r="O734" s="18"/>
      <c r="P734" s="18"/>
      <c r="Q734" s="18"/>
      <c r="R734" s="18"/>
      <c r="S734" s="18"/>
      <c r="T734" s="18"/>
      <c r="U734" s="18"/>
      <c r="V734" s="18"/>
      <c r="W734" s="18"/>
      <c r="X734" s="18"/>
      <c r="Y734" s="18"/>
      <c r="Z734" s="18"/>
    </row>
    <row r="735" ht="22.5" customHeight="1">
      <c r="A735" s="240">
        <v>46073.0</v>
      </c>
      <c r="B735" s="218" t="s">
        <v>5594</v>
      </c>
      <c r="C735" s="9"/>
      <c r="D735" s="228"/>
      <c r="E735" s="230"/>
      <c r="F735" s="221" t="s">
        <v>60</v>
      </c>
      <c r="G735" s="9" t="s">
        <v>5595</v>
      </c>
      <c r="H735" s="234">
        <v>46076.0</v>
      </c>
      <c r="I735" s="232"/>
      <c r="J735" s="18"/>
      <c r="K735" s="18"/>
      <c r="L735" s="18"/>
      <c r="M735" s="18"/>
      <c r="N735" s="18"/>
      <c r="O735" s="18"/>
      <c r="P735" s="18"/>
      <c r="Q735" s="18"/>
      <c r="R735" s="18"/>
      <c r="S735" s="18"/>
      <c r="T735" s="18"/>
      <c r="U735" s="18"/>
      <c r="V735" s="18"/>
      <c r="W735" s="18"/>
      <c r="X735" s="18"/>
      <c r="Y735" s="18"/>
      <c r="Z735" s="18"/>
    </row>
    <row r="736" ht="22.5" customHeight="1">
      <c r="A736" s="240">
        <v>46073.0</v>
      </c>
      <c r="B736" s="218" t="s">
        <v>5596</v>
      </c>
      <c r="C736" s="9"/>
      <c r="D736" s="228" t="s">
        <v>5402</v>
      </c>
      <c r="E736" s="230">
        <v>9.642787697E9</v>
      </c>
      <c r="F736" s="221" t="s">
        <v>1919</v>
      </c>
      <c r="G736" s="9" t="s">
        <v>5597</v>
      </c>
      <c r="H736" s="234"/>
      <c r="I736" s="232"/>
      <c r="J736" s="18"/>
      <c r="K736" s="18"/>
      <c r="L736" s="18"/>
      <c r="M736" s="18"/>
      <c r="N736" s="18"/>
      <c r="O736" s="18"/>
      <c r="P736" s="18"/>
      <c r="Q736" s="18"/>
      <c r="R736" s="18"/>
      <c r="S736" s="18"/>
      <c r="T736" s="18"/>
      <c r="U736" s="18"/>
      <c r="V736" s="18"/>
      <c r="W736" s="18"/>
      <c r="X736" s="18"/>
      <c r="Y736" s="18"/>
      <c r="Z736" s="18"/>
    </row>
    <row r="737" ht="22.5" customHeight="1">
      <c r="A737" s="240">
        <v>46073.0</v>
      </c>
      <c r="B737" s="218" t="s">
        <v>5598</v>
      </c>
      <c r="C737" s="9"/>
      <c r="D737" s="228"/>
      <c r="E737" s="230"/>
      <c r="F737" s="221" t="s">
        <v>60</v>
      </c>
      <c r="G737" s="9" t="s">
        <v>5599</v>
      </c>
      <c r="H737" s="234">
        <v>46076.0</v>
      </c>
      <c r="I737" s="232"/>
      <c r="J737" s="18"/>
      <c r="K737" s="18"/>
      <c r="L737" s="18"/>
      <c r="M737" s="18"/>
      <c r="N737" s="18"/>
      <c r="O737" s="18"/>
      <c r="P737" s="18"/>
      <c r="Q737" s="18"/>
      <c r="R737" s="18"/>
      <c r="S737" s="18"/>
      <c r="T737" s="18"/>
      <c r="U737" s="18"/>
      <c r="V737" s="18"/>
      <c r="W737" s="18"/>
      <c r="X737" s="18"/>
      <c r="Y737" s="18"/>
      <c r="Z737" s="18"/>
    </row>
    <row r="738" ht="22.5" customHeight="1">
      <c r="A738" s="240">
        <v>46073.0</v>
      </c>
      <c r="B738" s="218" t="s">
        <v>5600</v>
      </c>
      <c r="C738" s="9"/>
      <c r="D738" s="228"/>
      <c r="E738" s="230"/>
      <c r="F738" s="221" t="s">
        <v>3857</v>
      </c>
      <c r="G738" s="9" t="s">
        <v>5601</v>
      </c>
      <c r="H738" s="234"/>
      <c r="I738" s="232"/>
      <c r="J738" s="18"/>
      <c r="K738" s="18"/>
      <c r="L738" s="18"/>
      <c r="M738" s="18"/>
      <c r="N738" s="18"/>
      <c r="O738" s="18"/>
      <c r="P738" s="18"/>
      <c r="Q738" s="18"/>
      <c r="R738" s="18"/>
      <c r="S738" s="18"/>
      <c r="T738" s="18"/>
      <c r="U738" s="18"/>
      <c r="V738" s="18"/>
      <c r="W738" s="18"/>
      <c r="X738" s="18"/>
      <c r="Y738" s="18"/>
      <c r="Z738" s="18"/>
    </row>
    <row r="739" ht="22.5" customHeight="1">
      <c r="A739" s="240">
        <v>46073.0</v>
      </c>
      <c r="B739" s="218" t="s">
        <v>5602</v>
      </c>
      <c r="C739" s="9"/>
      <c r="D739" s="228" t="s">
        <v>5603</v>
      </c>
      <c r="E739" s="230"/>
      <c r="F739" s="221" t="s">
        <v>186</v>
      </c>
      <c r="G739" s="9" t="s">
        <v>5604</v>
      </c>
      <c r="H739" s="234"/>
      <c r="I739" s="232"/>
      <c r="J739" s="18"/>
      <c r="K739" s="18"/>
      <c r="L739" s="18"/>
      <c r="M739" s="18"/>
      <c r="N739" s="18"/>
      <c r="O739" s="18"/>
      <c r="P739" s="18"/>
      <c r="Q739" s="18"/>
      <c r="R739" s="18"/>
      <c r="S739" s="18"/>
      <c r="T739" s="18"/>
      <c r="U739" s="18"/>
      <c r="V739" s="18"/>
      <c r="W739" s="18"/>
      <c r="X739" s="18"/>
      <c r="Y739" s="18"/>
      <c r="Z739" s="18"/>
    </row>
    <row r="740" ht="22.5" customHeight="1">
      <c r="A740" s="240">
        <v>46073.0</v>
      </c>
      <c r="B740" s="218" t="s">
        <v>5605</v>
      </c>
      <c r="C740" s="9" t="s">
        <v>2089</v>
      </c>
      <c r="D740" s="228" t="s">
        <v>5606</v>
      </c>
      <c r="E740" s="230"/>
      <c r="F740" s="221" t="s">
        <v>186</v>
      </c>
      <c r="G740" s="9" t="s">
        <v>5607</v>
      </c>
      <c r="H740" s="234"/>
      <c r="I740" s="232"/>
      <c r="J740" s="18"/>
      <c r="K740" s="18"/>
      <c r="L740" s="18"/>
      <c r="M740" s="18"/>
      <c r="N740" s="18"/>
      <c r="O740" s="18"/>
      <c r="P740" s="18"/>
      <c r="Q740" s="18"/>
      <c r="R740" s="18"/>
      <c r="S740" s="18"/>
      <c r="T740" s="18"/>
      <c r="U740" s="18"/>
      <c r="V740" s="18"/>
      <c r="W740" s="18"/>
      <c r="X740" s="18"/>
      <c r="Y740" s="18"/>
      <c r="Z740" s="18"/>
    </row>
    <row r="741" ht="22.5" customHeight="1">
      <c r="A741" s="240">
        <v>46073.0</v>
      </c>
      <c r="B741" s="218" t="s">
        <v>5608</v>
      </c>
      <c r="C741" s="9"/>
      <c r="D741" s="228" t="s">
        <v>5609</v>
      </c>
      <c r="E741" s="230">
        <v>9.34768181E9</v>
      </c>
      <c r="F741" s="221" t="s">
        <v>96</v>
      </c>
      <c r="G741" s="9" t="s">
        <v>5610</v>
      </c>
      <c r="H741" s="234">
        <v>46076.0</v>
      </c>
      <c r="I741" s="232">
        <v>0.4166666666666667</v>
      </c>
      <c r="J741" s="18"/>
      <c r="K741" s="18"/>
      <c r="L741" s="18"/>
      <c r="M741" s="18"/>
      <c r="N741" s="18"/>
      <c r="O741" s="18"/>
      <c r="P741" s="18"/>
      <c r="Q741" s="18"/>
      <c r="R741" s="18"/>
      <c r="S741" s="18"/>
      <c r="T741" s="18"/>
      <c r="U741" s="18"/>
      <c r="V741" s="18"/>
      <c r="W741" s="18"/>
      <c r="X741" s="18"/>
      <c r="Y741" s="18"/>
      <c r="Z741" s="18"/>
    </row>
    <row r="742" ht="22.5" customHeight="1">
      <c r="A742" s="240">
        <v>46073.0</v>
      </c>
      <c r="B742" s="218" t="s">
        <v>5611</v>
      </c>
      <c r="C742" s="9"/>
      <c r="D742" s="228"/>
      <c r="E742" s="230"/>
      <c r="F742" s="221" t="s">
        <v>1919</v>
      </c>
      <c r="G742" s="9" t="s">
        <v>5612</v>
      </c>
      <c r="H742" s="234"/>
      <c r="I742" s="232"/>
      <c r="J742" s="18"/>
      <c r="K742" s="18"/>
      <c r="L742" s="18"/>
      <c r="M742" s="18"/>
      <c r="N742" s="18"/>
      <c r="O742" s="18"/>
      <c r="P742" s="18"/>
      <c r="Q742" s="18"/>
      <c r="R742" s="18"/>
      <c r="S742" s="18"/>
      <c r="T742" s="18"/>
      <c r="U742" s="18"/>
      <c r="V742" s="18"/>
      <c r="W742" s="18"/>
      <c r="X742" s="18"/>
      <c r="Y742" s="18"/>
      <c r="Z742" s="18"/>
    </row>
    <row r="743" ht="22.5" customHeight="1">
      <c r="A743" s="240">
        <v>46073.0</v>
      </c>
      <c r="B743" s="218" t="s">
        <v>5613</v>
      </c>
      <c r="C743" s="9"/>
      <c r="D743" s="228" t="s">
        <v>5614</v>
      </c>
      <c r="E743" s="230">
        <v>7.981113402E9</v>
      </c>
      <c r="F743" s="221" t="s">
        <v>1919</v>
      </c>
      <c r="G743" s="9" t="s">
        <v>5615</v>
      </c>
      <c r="H743" s="234">
        <v>46077.0</v>
      </c>
      <c r="I743" s="232"/>
      <c r="J743" s="18"/>
      <c r="K743" s="18"/>
      <c r="L743" s="18"/>
      <c r="M743" s="18"/>
      <c r="N743" s="18"/>
      <c r="O743" s="18"/>
      <c r="P743" s="18"/>
      <c r="Q743" s="18"/>
      <c r="R743" s="18"/>
      <c r="S743" s="18"/>
      <c r="T743" s="18"/>
      <c r="U743" s="18"/>
      <c r="V743" s="18"/>
      <c r="W743" s="18"/>
      <c r="X743" s="18"/>
      <c r="Y743" s="18"/>
      <c r="Z743" s="18"/>
    </row>
    <row r="744" ht="22.5" customHeight="1">
      <c r="A744" s="240">
        <v>46073.0</v>
      </c>
      <c r="B744" s="218" t="s">
        <v>3369</v>
      </c>
      <c r="C744" s="9"/>
      <c r="D744" s="228" t="s">
        <v>5616</v>
      </c>
      <c r="E744" s="230">
        <v>9.908336133E9</v>
      </c>
      <c r="F744" s="221" t="s">
        <v>96</v>
      </c>
      <c r="G744" s="9" t="s">
        <v>5617</v>
      </c>
      <c r="H744" s="234"/>
      <c r="I744" s="232"/>
      <c r="J744" s="18"/>
      <c r="K744" s="18"/>
      <c r="L744" s="18"/>
      <c r="M744" s="18"/>
      <c r="N744" s="18"/>
      <c r="O744" s="18"/>
      <c r="P744" s="18"/>
      <c r="Q744" s="18"/>
      <c r="R744" s="18"/>
      <c r="S744" s="18"/>
      <c r="T744" s="18"/>
      <c r="U744" s="18"/>
      <c r="V744" s="18"/>
      <c r="W744" s="18"/>
      <c r="X744" s="18"/>
      <c r="Y744" s="18"/>
      <c r="Z744" s="18"/>
    </row>
    <row r="745" ht="22.5" customHeight="1">
      <c r="A745" s="240">
        <v>46073.0</v>
      </c>
      <c r="B745" s="218" t="s">
        <v>5618</v>
      </c>
      <c r="C745" s="9"/>
      <c r="D745" s="228" t="s">
        <v>1460</v>
      </c>
      <c r="E745" s="230">
        <v>9.553442334E9</v>
      </c>
      <c r="F745" s="221" t="s">
        <v>1919</v>
      </c>
      <c r="G745" s="9" t="s">
        <v>5619</v>
      </c>
      <c r="H745" s="234"/>
      <c r="I745" s="232"/>
      <c r="J745" s="18"/>
      <c r="K745" s="18"/>
      <c r="L745" s="18"/>
      <c r="M745" s="18"/>
      <c r="N745" s="18"/>
      <c r="O745" s="18"/>
      <c r="P745" s="18"/>
      <c r="Q745" s="18"/>
      <c r="R745" s="18"/>
      <c r="S745" s="18"/>
      <c r="T745" s="18"/>
      <c r="U745" s="18"/>
      <c r="V745" s="18"/>
      <c r="W745" s="18"/>
      <c r="X745" s="18"/>
      <c r="Y745" s="18"/>
      <c r="Z745" s="18"/>
    </row>
    <row r="746" ht="22.5" customHeight="1">
      <c r="A746" s="240">
        <v>46073.0</v>
      </c>
      <c r="B746" s="218" t="s">
        <v>5620</v>
      </c>
      <c r="C746" s="9"/>
      <c r="D746" s="228"/>
      <c r="E746" s="230"/>
      <c r="F746" s="221" t="s">
        <v>96</v>
      </c>
      <c r="G746" s="9" t="s">
        <v>5621</v>
      </c>
      <c r="H746" s="234"/>
      <c r="I746" s="232"/>
      <c r="J746" s="18"/>
      <c r="K746" s="18"/>
      <c r="L746" s="18"/>
      <c r="M746" s="18"/>
      <c r="N746" s="18"/>
      <c r="O746" s="18"/>
      <c r="P746" s="18"/>
      <c r="Q746" s="18"/>
      <c r="R746" s="18"/>
      <c r="S746" s="18"/>
      <c r="T746" s="18"/>
      <c r="U746" s="18"/>
      <c r="V746" s="18"/>
      <c r="W746" s="18"/>
      <c r="X746" s="18"/>
      <c r="Y746" s="18"/>
      <c r="Z746" s="18"/>
    </row>
    <row r="747" ht="22.5" customHeight="1">
      <c r="A747" s="240">
        <v>46073.0</v>
      </c>
      <c r="B747" s="218" t="s">
        <v>5622</v>
      </c>
      <c r="C747" s="9"/>
      <c r="D747" s="228"/>
      <c r="E747" s="230"/>
      <c r="F747" s="221" t="s">
        <v>3853</v>
      </c>
      <c r="G747" s="9" t="s">
        <v>5623</v>
      </c>
      <c r="H747" s="234"/>
      <c r="I747" s="232"/>
      <c r="J747" s="18"/>
      <c r="K747" s="18"/>
      <c r="L747" s="18"/>
      <c r="M747" s="18"/>
      <c r="N747" s="18"/>
      <c r="O747" s="18"/>
      <c r="P747" s="18"/>
      <c r="Q747" s="18"/>
      <c r="R747" s="18"/>
      <c r="S747" s="18"/>
      <c r="T747" s="18"/>
      <c r="U747" s="18"/>
      <c r="V747" s="18"/>
      <c r="W747" s="18"/>
      <c r="X747" s="18"/>
      <c r="Y747" s="18"/>
      <c r="Z747" s="18"/>
    </row>
    <row r="748" ht="22.5" customHeight="1">
      <c r="A748" s="241">
        <v>46074.0</v>
      </c>
      <c r="B748" s="218" t="s">
        <v>5624</v>
      </c>
      <c r="C748" s="9"/>
      <c r="D748" s="228" t="s">
        <v>5625</v>
      </c>
      <c r="E748" s="230">
        <v>7.995740832E9</v>
      </c>
      <c r="F748" s="221" t="s">
        <v>241</v>
      </c>
      <c r="G748" s="9" t="s">
        <v>5626</v>
      </c>
      <c r="H748" s="234"/>
      <c r="I748" s="232"/>
      <c r="J748" s="35" t="s">
        <v>5627</v>
      </c>
      <c r="K748" s="18"/>
      <c r="L748" s="18"/>
      <c r="M748" s="18"/>
      <c r="N748" s="18"/>
      <c r="O748" s="18"/>
      <c r="P748" s="18"/>
      <c r="Q748" s="18"/>
      <c r="R748" s="18"/>
      <c r="S748" s="18"/>
      <c r="T748" s="18"/>
      <c r="U748" s="18"/>
      <c r="V748" s="18"/>
      <c r="W748" s="18"/>
      <c r="X748" s="18"/>
      <c r="Y748" s="18"/>
      <c r="Z748" s="18"/>
    </row>
    <row r="749" ht="22.5" customHeight="1">
      <c r="A749" s="241">
        <v>46074.0</v>
      </c>
      <c r="B749" s="218" t="s">
        <v>5628</v>
      </c>
      <c r="C749" s="9"/>
      <c r="D749" s="228"/>
      <c r="E749" s="230"/>
      <c r="F749" s="221" t="s">
        <v>241</v>
      </c>
      <c r="G749" s="9" t="s">
        <v>5629</v>
      </c>
      <c r="H749" s="234"/>
      <c r="I749" s="232"/>
      <c r="J749" s="35" t="s">
        <v>5630</v>
      </c>
      <c r="K749" s="18"/>
      <c r="L749" s="18"/>
      <c r="M749" s="18"/>
      <c r="N749" s="18"/>
      <c r="O749" s="18"/>
      <c r="P749" s="18"/>
      <c r="Q749" s="18"/>
      <c r="R749" s="18"/>
      <c r="S749" s="18"/>
      <c r="T749" s="18"/>
      <c r="U749" s="18"/>
      <c r="V749" s="18"/>
      <c r="W749" s="18"/>
      <c r="X749" s="18"/>
      <c r="Y749" s="18"/>
      <c r="Z749" s="18"/>
    </row>
    <row r="750" ht="22.5" customHeight="1">
      <c r="A750" s="241">
        <v>46074.0</v>
      </c>
      <c r="B750" s="218" t="s">
        <v>5631</v>
      </c>
      <c r="C750" s="9"/>
      <c r="D750" s="228" t="s">
        <v>5632</v>
      </c>
      <c r="E750" s="230">
        <v>9.44004922E9</v>
      </c>
      <c r="F750" s="221" t="s">
        <v>241</v>
      </c>
      <c r="G750" s="9" t="s">
        <v>5633</v>
      </c>
      <c r="H750" s="234"/>
      <c r="I750" s="232"/>
      <c r="J750" s="35" t="s">
        <v>5634</v>
      </c>
      <c r="K750" s="18"/>
      <c r="L750" s="18"/>
      <c r="M750" s="18"/>
      <c r="N750" s="18"/>
      <c r="O750" s="18"/>
      <c r="P750" s="18"/>
      <c r="Q750" s="18"/>
      <c r="R750" s="18"/>
      <c r="S750" s="18"/>
      <c r="T750" s="18"/>
      <c r="U750" s="18"/>
      <c r="V750" s="18"/>
      <c r="W750" s="18"/>
      <c r="X750" s="18"/>
      <c r="Y750" s="18"/>
      <c r="Z750" s="18"/>
    </row>
    <row r="751" ht="22.5" customHeight="1">
      <c r="A751" s="241">
        <v>46074.0</v>
      </c>
      <c r="B751" s="218" t="s">
        <v>5635</v>
      </c>
      <c r="C751" s="9"/>
      <c r="D751" s="228" t="s">
        <v>5636</v>
      </c>
      <c r="E751" s="230">
        <v>9.96665808E9</v>
      </c>
      <c r="F751" s="221" t="s">
        <v>241</v>
      </c>
      <c r="G751" s="9" t="s">
        <v>5637</v>
      </c>
      <c r="H751" s="234"/>
      <c r="I751" s="232"/>
      <c r="J751" s="35" t="s">
        <v>5638</v>
      </c>
      <c r="K751" s="18"/>
      <c r="L751" s="18"/>
      <c r="M751" s="18"/>
      <c r="N751" s="18"/>
      <c r="O751" s="18"/>
      <c r="P751" s="18"/>
      <c r="Q751" s="18"/>
      <c r="R751" s="18"/>
      <c r="S751" s="18"/>
      <c r="T751" s="18"/>
      <c r="U751" s="18"/>
      <c r="V751" s="18"/>
      <c r="W751" s="18"/>
      <c r="X751" s="18"/>
      <c r="Y751" s="18"/>
      <c r="Z751" s="18"/>
    </row>
    <row r="752" ht="22.5" customHeight="1">
      <c r="A752" s="241">
        <v>46074.0</v>
      </c>
      <c r="B752" s="218" t="s">
        <v>5639</v>
      </c>
      <c r="C752" s="9"/>
      <c r="D752" s="228" t="s">
        <v>5640</v>
      </c>
      <c r="E752" s="230">
        <v>9.666601617E9</v>
      </c>
      <c r="F752" s="221" t="s">
        <v>144</v>
      </c>
      <c r="G752" s="9" t="s">
        <v>5641</v>
      </c>
      <c r="H752" s="234"/>
      <c r="I752" s="232"/>
      <c r="J752" s="35" t="s">
        <v>5642</v>
      </c>
      <c r="K752" s="18"/>
      <c r="L752" s="18"/>
      <c r="M752" s="18"/>
      <c r="N752" s="18"/>
      <c r="O752" s="18"/>
      <c r="P752" s="18"/>
      <c r="Q752" s="18"/>
      <c r="R752" s="18"/>
      <c r="S752" s="18"/>
      <c r="T752" s="18"/>
      <c r="U752" s="18"/>
      <c r="V752" s="18"/>
      <c r="W752" s="18"/>
      <c r="X752" s="18"/>
      <c r="Y752" s="18"/>
      <c r="Z752" s="18"/>
    </row>
    <row r="753" ht="22.5" customHeight="1">
      <c r="A753" s="241">
        <v>46074.0</v>
      </c>
      <c r="B753" s="218" t="s">
        <v>5643</v>
      </c>
      <c r="C753" s="9"/>
      <c r="D753" s="228"/>
      <c r="E753" s="230"/>
      <c r="F753" s="221" t="s">
        <v>241</v>
      </c>
      <c r="G753" s="9" t="s">
        <v>5644</v>
      </c>
      <c r="H753" s="234"/>
      <c r="I753" s="232"/>
      <c r="J753" s="35" t="s">
        <v>5645</v>
      </c>
      <c r="K753" s="18"/>
      <c r="L753" s="18"/>
      <c r="M753" s="18"/>
      <c r="N753" s="18"/>
      <c r="O753" s="18"/>
      <c r="P753" s="18"/>
      <c r="Q753" s="18"/>
      <c r="R753" s="18"/>
      <c r="S753" s="18"/>
      <c r="T753" s="18"/>
      <c r="U753" s="18"/>
      <c r="V753" s="18"/>
      <c r="W753" s="18"/>
      <c r="X753" s="18"/>
      <c r="Y753" s="18"/>
      <c r="Z753" s="18"/>
    </row>
    <row r="754" ht="22.5" customHeight="1">
      <c r="A754" s="241">
        <v>46074.0</v>
      </c>
      <c r="B754" s="218" t="s">
        <v>5646</v>
      </c>
      <c r="C754" s="9"/>
      <c r="D754" s="228"/>
      <c r="E754" s="230"/>
      <c r="F754" s="221" t="s">
        <v>45</v>
      </c>
      <c r="G754" s="9" t="s">
        <v>5647</v>
      </c>
      <c r="H754" s="234"/>
      <c r="I754" s="232"/>
      <c r="J754" s="35" t="s">
        <v>5648</v>
      </c>
      <c r="K754" s="18"/>
      <c r="L754" s="18"/>
      <c r="M754" s="18"/>
      <c r="N754" s="18"/>
      <c r="O754" s="18"/>
      <c r="P754" s="18"/>
      <c r="Q754" s="18"/>
      <c r="R754" s="18"/>
      <c r="S754" s="18"/>
      <c r="T754" s="18"/>
      <c r="U754" s="18"/>
      <c r="V754" s="18"/>
      <c r="W754" s="18"/>
      <c r="X754" s="18"/>
      <c r="Y754" s="18"/>
      <c r="Z754" s="18"/>
    </row>
    <row r="755" ht="22.5" customHeight="1">
      <c r="A755" s="241">
        <v>46074.0</v>
      </c>
      <c r="B755" s="218" t="s">
        <v>5649</v>
      </c>
      <c r="C755" s="9"/>
      <c r="D755" s="228"/>
      <c r="E755" s="230"/>
      <c r="F755" s="221" t="s">
        <v>3853</v>
      </c>
      <c r="G755" s="9" t="s">
        <v>5650</v>
      </c>
      <c r="H755" s="234"/>
      <c r="I755" s="232"/>
      <c r="J755" s="35" t="s">
        <v>5651</v>
      </c>
      <c r="K755" s="18"/>
      <c r="L755" s="18"/>
      <c r="M755" s="18"/>
      <c r="N755" s="18"/>
      <c r="O755" s="18"/>
      <c r="P755" s="18"/>
      <c r="Q755" s="18"/>
      <c r="R755" s="18"/>
      <c r="S755" s="18"/>
      <c r="T755" s="18"/>
      <c r="U755" s="18"/>
      <c r="V755" s="18"/>
      <c r="W755" s="18"/>
      <c r="X755" s="18"/>
      <c r="Y755" s="18"/>
      <c r="Z755" s="18"/>
    </row>
    <row r="756" ht="22.5" customHeight="1">
      <c r="A756" s="241">
        <v>46074.0</v>
      </c>
      <c r="B756" s="218" t="s">
        <v>5652</v>
      </c>
      <c r="C756" s="9"/>
      <c r="D756" s="228"/>
      <c r="E756" s="230"/>
      <c r="F756" s="221" t="s">
        <v>241</v>
      </c>
      <c r="G756" s="9" t="s">
        <v>5653</v>
      </c>
      <c r="H756" s="234"/>
      <c r="I756" s="232"/>
      <c r="J756" s="35" t="s">
        <v>5654</v>
      </c>
      <c r="K756" s="18"/>
      <c r="L756" s="18"/>
      <c r="M756" s="18"/>
      <c r="N756" s="18"/>
      <c r="O756" s="18"/>
      <c r="P756" s="18"/>
      <c r="Q756" s="18"/>
      <c r="R756" s="18"/>
      <c r="S756" s="18"/>
      <c r="T756" s="18"/>
      <c r="U756" s="18"/>
      <c r="V756" s="18"/>
      <c r="W756" s="18"/>
      <c r="X756" s="18"/>
      <c r="Y756" s="18"/>
      <c r="Z756" s="18"/>
    </row>
    <row r="757" ht="22.5" customHeight="1">
      <c r="A757" s="241">
        <v>46074.0</v>
      </c>
      <c r="B757" s="218" t="s">
        <v>5655</v>
      </c>
      <c r="C757" s="9"/>
      <c r="D757" s="228" t="s">
        <v>5656</v>
      </c>
      <c r="E757" s="230">
        <v>9.640067678E9</v>
      </c>
      <c r="F757" s="221" t="s">
        <v>241</v>
      </c>
      <c r="G757" s="9" t="s">
        <v>5657</v>
      </c>
      <c r="H757" s="234">
        <v>46077.0</v>
      </c>
      <c r="I757" s="232">
        <v>0.5833333333333334</v>
      </c>
      <c r="J757" s="140" t="s">
        <v>5658</v>
      </c>
      <c r="K757" s="18"/>
      <c r="L757" s="18"/>
      <c r="M757" s="18"/>
      <c r="N757" s="18"/>
      <c r="O757" s="18"/>
      <c r="P757" s="18"/>
      <c r="Q757" s="18"/>
      <c r="R757" s="18"/>
      <c r="S757" s="18"/>
      <c r="T757" s="18"/>
      <c r="U757" s="18"/>
      <c r="V757" s="18"/>
      <c r="W757" s="18"/>
      <c r="X757" s="18"/>
      <c r="Y757" s="18"/>
      <c r="Z757" s="18"/>
    </row>
    <row r="758" ht="22.5" customHeight="1">
      <c r="A758" s="241">
        <v>46074.0</v>
      </c>
      <c r="B758" s="218" t="s">
        <v>5659</v>
      </c>
      <c r="C758" s="9"/>
      <c r="D758" s="228" t="s">
        <v>4222</v>
      </c>
      <c r="E758" s="230">
        <v>8.499081111E9</v>
      </c>
      <c r="F758" s="221" t="s">
        <v>45</v>
      </c>
      <c r="G758" s="9" t="s">
        <v>5660</v>
      </c>
      <c r="H758" s="234"/>
      <c r="I758" s="232"/>
      <c r="J758" s="140" t="s">
        <v>5661</v>
      </c>
      <c r="K758" s="18"/>
      <c r="L758" s="18"/>
      <c r="M758" s="18"/>
      <c r="N758" s="18"/>
      <c r="O758" s="18"/>
      <c r="P758" s="18"/>
      <c r="Q758" s="18"/>
      <c r="R758" s="18"/>
      <c r="S758" s="18"/>
      <c r="T758" s="18"/>
      <c r="U758" s="18"/>
      <c r="V758" s="18"/>
      <c r="W758" s="18"/>
      <c r="X758" s="18"/>
      <c r="Y758" s="18"/>
      <c r="Z758" s="18"/>
    </row>
    <row r="759" ht="22.5" customHeight="1">
      <c r="A759" s="241">
        <v>46074.0</v>
      </c>
      <c r="B759" s="218" t="s">
        <v>5662</v>
      </c>
      <c r="C759" s="9"/>
      <c r="D759" s="228" t="s">
        <v>5663</v>
      </c>
      <c r="E759" s="230">
        <v>9.885001581E9</v>
      </c>
      <c r="F759" s="221" t="s">
        <v>3853</v>
      </c>
      <c r="G759" s="9" t="s">
        <v>5664</v>
      </c>
      <c r="H759" s="234">
        <v>46074.0</v>
      </c>
      <c r="I759" s="232">
        <v>0.5833333333333334</v>
      </c>
      <c r="J759" s="140" t="s">
        <v>5665</v>
      </c>
      <c r="K759" s="18"/>
      <c r="L759" s="18"/>
      <c r="M759" s="18"/>
      <c r="N759" s="18"/>
      <c r="O759" s="18"/>
      <c r="P759" s="18"/>
      <c r="Q759" s="18"/>
      <c r="R759" s="18"/>
      <c r="S759" s="18"/>
      <c r="T759" s="18"/>
      <c r="U759" s="18"/>
      <c r="V759" s="18"/>
      <c r="W759" s="18"/>
      <c r="X759" s="18"/>
      <c r="Y759" s="18"/>
      <c r="Z759" s="18"/>
    </row>
    <row r="760" ht="22.5" customHeight="1">
      <c r="A760" s="241">
        <v>46074.0</v>
      </c>
      <c r="B760" s="218" t="s">
        <v>5666</v>
      </c>
      <c r="C760" s="9"/>
      <c r="D760" s="228" t="s">
        <v>5667</v>
      </c>
      <c r="E760" s="230">
        <v>7.013883666E9</v>
      </c>
      <c r="F760" s="221" t="s">
        <v>241</v>
      </c>
      <c r="G760" s="9" t="s">
        <v>5668</v>
      </c>
      <c r="H760" s="234"/>
      <c r="I760" s="232"/>
      <c r="J760" s="140" t="s">
        <v>5669</v>
      </c>
      <c r="K760" s="18"/>
      <c r="L760" s="18"/>
      <c r="M760" s="18"/>
      <c r="N760" s="18"/>
      <c r="O760" s="18"/>
      <c r="P760" s="18"/>
      <c r="Q760" s="18"/>
      <c r="R760" s="18"/>
      <c r="S760" s="18"/>
      <c r="T760" s="18"/>
      <c r="U760" s="18"/>
      <c r="V760" s="18"/>
      <c r="W760" s="18"/>
      <c r="X760" s="18"/>
      <c r="Y760" s="18"/>
      <c r="Z760" s="18"/>
    </row>
    <row r="761" ht="22.5" customHeight="1">
      <c r="A761" s="241">
        <v>46074.0</v>
      </c>
      <c r="B761" s="218" t="s">
        <v>5670</v>
      </c>
      <c r="C761" s="9"/>
      <c r="D761" s="228"/>
      <c r="E761" s="230"/>
      <c r="F761" s="221" t="s">
        <v>3853</v>
      </c>
      <c r="G761" s="9" t="s">
        <v>5671</v>
      </c>
      <c r="H761" s="234">
        <v>46074.0</v>
      </c>
      <c r="I761" s="232">
        <v>0.5833333333333334</v>
      </c>
      <c r="J761" s="140" t="s">
        <v>5672</v>
      </c>
      <c r="K761" s="18"/>
      <c r="L761" s="18"/>
      <c r="M761" s="18"/>
      <c r="N761" s="18"/>
      <c r="O761" s="18"/>
      <c r="P761" s="18"/>
      <c r="Q761" s="18"/>
      <c r="R761" s="18"/>
      <c r="S761" s="18"/>
      <c r="T761" s="18"/>
      <c r="U761" s="18"/>
      <c r="V761" s="18"/>
      <c r="W761" s="18"/>
      <c r="X761" s="18"/>
      <c r="Y761" s="18"/>
      <c r="Z761" s="18"/>
    </row>
    <row r="762" ht="22.5" customHeight="1">
      <c r="A762" s="241">
        <v>46074.0</v>
      </c>
      <c r="B762" s="218" t="s">
        <v>5673</v>
      </c>
      <c r="C762" s="9"/>
      <c r="D762" s="228"/>
      <c r="E762" s="230"/>
      <c r="F762" s="221" t="s">
        <v>144</v>
      </c>
      <c r="G762" s="9" t="s">
        <v>5674</v>
      </c>
      <c r="H762" s="234"/>
      <c r="I762" s="232"/>
      <c r="J762" s="18"/>
      <c r="K762" s="18"/>
      <c r="L762" s="18"/>
      <c r="M762" s="18"/>
      <c r="N762" s="18"/>
      <c r="O762" s="18"/>
      <c r="P762" s="18"/>
      <c r="Q762" s="18"/>
      <c r="R762" s="18"/>
      <c r="S762" s="18"/>
      <c r="T762" s="18"/>
      <c r="U762" s="18"/>
      <c r="V762" s="18"/>
      <c r="W762" s="18"/>
      <c r="X762" s="18"/>
      <c r="Y762" s="18"/>
      <c r="Z762" s="18"/>
    </row>
    <row r="763" ht="22.5" customHeight="1">
      <c r="A763" s="241">
        <v>46074.0</v>
      </c>
      <c r="B763" s="218" t="s">
        <v>5675</v>
      </c>
      <c r="C763" s="9"/>
      <c r="D763" s="228"/>
      <c r="E763" s="230"/>
      <c r="F763" s="221" t="s">
        <v>144</v>
      </c>
      <c r="G763" s="9" t="s">
        <v>5674</v>
      </c>
      <c r="H763" s="234"/>
      <c r="I763" s="232"/>
      <c r="J763" s="18"/>
      <c r="K763" s="18"/>
      <c r="L763" s="18"/>
      <c r="M763" s="18"/>
      <c r="N763" s="18"/>
      <c r="O763" s="18"/>
      <c r="P763" s="18"/>
      <c r="Q763" s="18"/>
      <c r="R763" s="18"/>
      <c r="S763" s="18"/>
      <c r="T763" s="18"/>
      <c r="U763" s="18"/>
      <c r="V763" s="18"/>
      <c r="W763" s="18"/>
      <c r="X763" s="18"/>
      <c r="Y763" s="18"/>
      <c r="Z763" s="18"/>
    </row>
    <row r="764" ht="22.5" customHeight="1">
      <c r="A764" s="241">
        <v>46074.0</v>
      </c>
      <c r="B764" s="218" t="s">
        <v>5676</v>
      </c>
      <c r="C764" s="9"/>
      <c r="D764" s="228" t="s">
        <v>5677</v>
      </c>
      <c r="E764" s="230">
        <v>9.618033021E9</v>
      </c>
      <c r="F764" s="221" t="s">
        <v>45</v>
      </c>
      <c r="G764" s="9" t="s">
        <v>5678</v>
      </c>
      <c r="H764" s="234"/>
      <c r="I764" s="232"/>
      <c r="J764" s="35" t="s">
        <v>5679</v>
      </c>
      <c r="K764" s="18"/>
      <c r="L764" s="18"/>
      <c r="M764" s="18"/>
      <c r="N764" s="18"/>
      <c r="O764" s="18"/>
      <c r="P764" s="18"/>
      <c r="Q764" s="18"/>
      <c r="R764" s="18"/>
      <c r="S764" s="18"/>
      <c r="T764" s="18"/>
      <c r="U764" s="18"/>
      <c r="V764" s="18"/>
      <c r="W764" s="18"/>
      <c r="X764" s="18"/>
      <c r="Y764" s="18"/>
      <c r="Z764" s="18"/>
    </row>
    <row r="765" ht="22.5" customHeight="1">
      <c r="A765" s="241">
        <v>46074.0</v>
      </c>
      <c r="B765" s="218" t="s">
        <v>5680</v>
      </c>
      <c r="C765" s="9"/>
      <c r="D765" s="228"/>
      <c r="E765" s="230"/>
      <c r="F765" s="221" t="s">
        <v>3853</v>
      </c>
      <c r="G765" s="9" t="s">
        <v>5681</v>
      </c>
      <c r="H765" s="234">
        <v>46074.0</v>
      </c>
      <c r="I765" s="232">
        <v>0.5416666666666666</v>
      </c>
      <c r="J765" s="35" t="s">
        <v>5682</v>
      </c>
      <c r="K765" s="18"/>
      <c r="L765" s="18"/>
      <c r="M765" s="18"/>
      <c r="N765" s="18"/>
      <c r="O765" s="18"/>
      <c r="P765" s="18"/>
      <c r="Q765" s="18"/>
      <c r="R765" s="18"/>
      <c r="S765" s="18"/>
      <c r="T765" s="18"/>
      <c r="U765" s="18"/>
      <c r="V765" s="18"/>
      <c r="W765" s="18"/>
      <c r="X765" s="18"/>
      <c r="Y765" s="18"/>
      <c r="Z765" s="18"/>
    </row>
    <row r="766" ht="22.5" customHeight="1">
      <c r="A766" s="241">
        <v>46074.0</v>
      </c>
      <c r="B766" s="218" t="s">
        <v>5683</v>
      </c>
      <c r="C766" s="9"/>
      <c r="D766" s="228" t="s">
        <v>936</v>
      </c>
      <c r="E766" s="230"/>
      <c r="F766" s="221" t="s">
        <v>186</v>
      </c>
      <c r="G766" s="9" t="s">
        <v>5684</v>
      </c>
      <c r="H766" s="234"/>
      <c r="I766" s="232"/>
      <c r="J766" s="35" t="s">
        <v>5685</v>
      </c>
      <c r="K766" s="18"/>
      <c r="L766" s="18"/>
      <c r="M766" s="18"/>
      <c r="N766" s="18"/>
      <c r="O766" s="18"/>
      <c r="P766" s="18"/>
      <c r="Q766" s="18"/>
      <c r="R766" s="18"/>
      <c r="S766" s="18"/>
      <c r="T766" s="18"/>
      <c r="U766" s="18"/>
      <c r="V766" s="18"/>
      <c r="W766" s="18"/>
      <c r="X766" s="18"/>
      <c r="Y766" s="18"/>
      <c r="Z766" s="18"/>
    </row>
    <row r="767" ht="22.5" customHeight="1">
      <c r="A767" s="241">
        <v>46074.0</v>
      </c>
      <c r="B767" s="218" t="s">
        <v>5686</v>
      </c>
      <c r="C767" s="9"/>
      <c r="D767" s="228" t="s">
        <v>5687</v>
      </c>
      <c r="E767" s="230">
        <v>9.912733258E9</v>
      </c>
      <c r="F767" s="221" t="s">
        <v>241</v>
      </c>
      <c r="G767" s="9" t="s">
        <v>5688</v>
      </c>
      <c r="H767" s="234"/>
      <c r="I767" s="232"/>
      <c r="J767" s="9" t="s">
        <v>5689</v>
      </c>
      <c r="K767" s="18"/>
      <c r="L767" s="18"/>
      <c r="M767" s="18"/>
      <c r="N767" s="18"/>
      <c r="O767" s="18"/>
      <c r="P767" s="18"/>
      <c r="Q767" s="18"/>
      <c r="R767" s="18"/>
      <c r="S767" s="18"/>
      <c r="T767" s="18"/>
      <c r="U767" s="18"/>
      <c r="V767" s="18"/>
      <c r="W767" s="18"/>
      <c r="X767" s="18"/>
      <c r="Y767" s="18"/>
      <c r="Z767" s="18"/>
    </row>
    <row r="768" ht="22.5" customHeight="1">
      <c r="A768" s="241">
        <v>46074.0</v>
      </c>
      <c r="B768" s="218" t="s">
        <v>5690</v>
      </c>
      <c r="C768" s="9"/>
      <c r="D768" s="228"/>
      <c r="E768" s="230"/>
      <c r="F768" s="221" t="s">
        <v>241</v>
      </c>
      <c r="G768" s="9" t="s">
        <v>5691</v>
      </c>
      <c r="H768" s="234">
        <v>46076.0</v>
      </c>
      <c r="I768" s="232"/>
      <c r="J768" s="9" t="s">
        <v>5692</v>
      </c>
      <c r="K768" s="18"/>
      <c r="L768" s="18"/>
      <c r="M768" s="18"/>
      <c r="N768" s="18"/>
      <c r="O768" s="18"/>
      <c r="P768" s="18"/>
      <c r="Q768" s="18"/>
      <c r="R768" s="18"/>
      <c r="S768" s="18"/>
      <c r="T768" s="18"/>
      <c r="U768" s="18"/>
      <c r="V768" s="18"/>
      <c r="W768" s="18"/>
      <c r="X768" s="18"/>
      <c r="Y768" s="18"/>
      <c r="Z768" s="18"/>
    </row>
    <row r="769" ht="22.5" customHeight="1">
      <c r="A769" s="241">
        <v>46074.0</v>
      </c>
      <c r="B769" s="218" t="s">
        <v>5693</v>
      </c>
      <c r="C769" s="9"/>
      <c r="D769" s="228" t="s">
        <v>5399</v>
      </c>
      <c r="E769" s="230">
        <v>8.790072864E9</v>
      </c>
      <c r="F769" s="221" t="s">
        <v>3853</v>
      </c>
      <c r="G769" s="9" t="s">
        <v>5694</v>
      </c>
      <c r="H769" s="234">
        <v>46076.0</v>
      </c>
      <c r="I769" s="232">
        <v>0.6666666666666666</v>
      </c>
      <c r="J769" s="9" t="s">
        <v>5695</v>
      </c>
      <c r="K769" s="18"/>
      <c r="L769" s="18"/>
      <c r="M769" s="18"/>
      <c r="N769" s="18"/>
      <c r="O769" s="18"/>
      <c r="P769" s="18"/>
      <c r="Q769" s="18"/>
      <c r="R769" s="18"/>
      <c r="S769" s="18"/>
      <c r="T769" s="18"/>
      <c r="U769" s="18"/>
      <c r="V769" s="18"/>
      <c r="W769" s="18"/>
      <c r="X769" s="18"/>
      <c r="Y769" s="18"/>
      <c r="Z769" s="18"/>
    </row>
    <row r="770" ht="22.5" customHeight="1">
      <c r="A770" s="241">
        <v>46074.0</v>
      </c>
      <c r="B770" s="218" t="s">
        <v>5696</v>
      </c>
      <c r="C770" s="9"/>
      <c r="D770" s="228"/>
      <c r="E770" s="230"/>
      <c r="F770" s="221" t="s">
        <v>3853</v>
      </c>
      <c r="G770" s="9" t="s">
        <v>5697</v>
      </c>
      <c r="H770" s="234">
        <v>46074.0</v>
      </c>
      <c r="I770" s="232">
        <v>0.7916666666666666</v>
      </c>
      <c r="J770" s="9" t="s">
        <v>5698</v>
      </c>
      <c r="K770" s="18"/>
      <c r="L770" s="18"/>
      <c r="M770" s="18"/>
      <c r="N770" s="18"/>
      <c r="O770" s="18"/>
      <c r="P770" s="18"/>
      <c r="Q770" s="18"/>
      <c r="R770" s="18"/>
      <c r="S770" s="18"/>
      <c r="T770" s="18"/>
      <c r="U770" s="18"/>
      <c r="V770" s="18"/>
      <c r="W770" s="18"/>
      <c r="X770" s="18"/>
      <c r="Y770" s="18"/>
      <c r="Z770" s="18"/>
    </row>
    <row r="771" ht="22.5" customHeight="1">
      <c r="A771" s="241">
        <v>46074.0</v>
      </c>
      <c r="B771" s="218" t="s">
        <v>5699</v>
      </c>
      <c r="C771" s="9"/>
      <c r="D771" s="228" t="s">
        <v>5700</v>
      </c>
      <c r="E771" s="230"/>
      <c r="F771" s="221" t="s">
        <v>144</v>
      </c>
      <c r="G771" s="9" t="s">
        <v>5701</v>
      </c>
      <c r="H771" s="234">
        <v>46074.0</v>
      </c>
      <c r="I771" s="232">
        <v>0.6666666666666666</v>
      </c>
      <c r="J771" s="9" t="s">
        <v>5702</v>
      </c>
      <c r="K771" s="18"/>
      <c r="L771" s="18"/>
      <c r="M771" s="18"/>
      <c r="N771" s="18"/>
      <c r="O771" s="18"/>
      <c r="P771" s="18"/>
      <c r="Q771" s="18"/>
      <c r="R771" s="18"/>
      <c r="S771" s="18"/>
      <c r="T771" s="18"/>
      <c r="U771" s="18"/>
      <c r="V771" s="18"/>
      <c r="W771" s="18"/>
      <c r="X771" s="18"/>
      <c r="Y771" s="18"/>
      <c r="Z771" s="18"/>
    </row>
    <row r="772" ht="22.5" customHeight="1">
      <c r="A772" s="241">
        <v>46074.0</v>
      </c>
      <c r="B772" s="218" t="s">
        <v>5539</v>
      </c>
      <c r="C772" s="9"/>
      <c r="D772" s="228"/>
      <c r="E772" s="230"/>
      <c r="F772" s="221" t="s">
        <v>144</v>
      </c>
      <c r="G772" s="9" t="s">
        <v>5703</v>
      </c>
      <c r="H772" s="234">
        <v>46074.0</v>
      </c>
      <c r="I772" s="232">
        <v>0.5416666666666666</v>
      </c>
      <c r="J772" s="18"/>
      <c r="K772" s="18"/>
      <c r="L772" s="18"/>
      <c r="M772" s="18"/>
      <c r="N772" s="18"/>
      <c r="O772" s="18"/>
      <c r="P772" s="18"/>
      <c r="Q772" s="18"/>
      <c r="R772" s="18"/>
      <c r="S772" s="18"/>
      <c r="T772" s="18"/>
      <c r="U772" s="18"/>
      <c r="V772" s="18"/>
      <c r="W772" s="18"/>
      <c r="X772" s="18"/>
      <c r="Y772" s="18"/>
      <c r="Z772" s="18"/>
    </row>
    <row r="773" ht="22.5" customHeight="1">
      <c r="A773" s="241">
        <v>46074.0</v>
      </c>
      <c r="B773" s="218" t="s">
        <v>5704</v>
      </c>
      <c r="C773" s="9"/>
      <c r="D773" s="228"/>
      <c r="E773" s="230"/>
      <c r="F773" s="221" t="s">
        <v>3853</v>
      </c>
      <c r="G773" s="9" t="s">
        <v>5705</v>
      </c>
      <c r="H773" s="234"/>
      <c r="I773" s="232"/>
      <c r="J773" s="9" t="s">
        <v>5706</v>
      </c>
      <c r="K773" s="18"/>
      <c r="L773" s="18"/>
      <c r="M773" s="18"/>
      <c r="N773" s="18"/>
      <c r="O773" s="18"/>
      <c r="P773" s="18"/>
      <c r="Q773" s="18"/>
      <c r="R773" s="18"/>
      <c r="S773" s="18"/>
      <c r="T773" s="18"/>
      <c r="U773" s="18"/>
      <c r="V773" s="18"/>
      <c r="W773" s="18"/>
      <c r="X773" s="18"/>
      <c r="Y773" s="18"/>
      <c r="Z773" s="18"/>
    </row>
    <row r="774" ht="22.5" customHeight="1">
      <c r="A774" s="241">
        <v>46074.0</v>
      </c>
      <c r="B774" s="218" t="s">
        <v>5707</v>
      </c>
      <c r="C774" s="9"/>
      <c r="D774" s="228" t="s">
        <v>5708</v>
      </c>
      <c r="E774" s="230">
        <v>8.121685645E9</v>
      </c>
      <c r="F774" s="221" t="s">
        <v>1919</v>
      </c>
      <c r="G774" s="9" t="s">
        <v>5709</v>
      </c>
      <c r="H774" s="234">
        <v>46074.0</v>
      </c>
      <c r="I774" s="232">
        <v>0.7083333333333334</v>
      </c>
      <c r="J774" s="140" t="s">
        <v>5710</v>
      </c>
      <c r="K774" s="18"/>
      <c r="L774" s="18"/>
      <c r="M774" s="18"/>
      <c r="N774" s="18"/>
      <c r="O774" s="18"/>
      <c r="P774" s="18"/>
      <c r="Q774" s="18"/>
      <c r="R774" s="18"/>
      <c r="S774" s="18"/>
      <c r="T774" s="18"/>
      <c r="U774" s="18"/>
      <c r="V774" s="18"/>
      <c r="W774" s="18"/>
      <c r="X774" s="18"/>
      <c r="Y774" s="18"/>
      <c r="Z774" s="18"/>
    </row>
    <row r="775" ht="22.5" customHeight="1">
      <c r="A775" s="241">
        <v>46074.0</v>
      </c>
      <c r="B775" s="218" t="s">
        <v>5711</v>
      </c>
      <c r="C775" s="9"/>
      <c r="D775" s="228" t="s">
        <v>5508</v>
      </c>
      <c r="E775" s="230"/>
      <c r="F775" s="221" t="s">
        <v>144</v>
      </c>
      <c r="G775" s="9" t="s">
        <v>5712</v>
      </c>
      <c r="H775" s="234">
        <v>46074.0</v>
      </c>
      <c r="I775" s="232">
        <v>0.6666666666666666</v>
      </c>
      <c r="K775" s="14"/>
      <c r="L775" s="14"/>
      <c r="M775" s="14"/>
      <c r="N775" s="14"/>
      <c r="O775" s="14"/>
      <c r="P775" s="14"/>
      <c r="Q775" s="14"/>
      <c r="R775" s="14"/>
      <c r="S775" s="14"/>
      <c r="T775" s="14"/>
      <c r="U775" s="14"/>
      <c r="V775" s="14"/>
      <c r="W775" s="14"/>
      <c r="X775" s="14"/>
      <c r="Y775" s="14"/>
      <c r="Z775" s="14"/>
    </row>
    <row r="776" ht="22.5" customHeight="1">
      <c r="A776" s="241">
        <v>46074.0</v>
      </c>
      <c r="B776" s="218" t="s">
        <v>5713</v>
      </c>
      <c r="C776" s="9"/>
      <c r="D776" s="228"/>
      <c r="E776" s="230"/>
      <c r="F776" s="221" t="s">
        <v>45</v>
      </c>
      <c r="G776" s="9" t="s">
        <v>5714</v>
      </c>
      <c r="H776" s="234">
        <v>46074.0</v>
      </c>
      <c r="I776" s="232">
        <v>0.6666666666666666</v>
      </c>
      <c r="J776" s="9" t="s">
        <v>5715</v>
      </c>
      <c r="K776" s="18"/>
      <c r="L776" s="18"/>
      <c r="M776" s="18"/>
      <c r="N776" s="18"/>
      <c r="O776" s="18"/>
      <c r="P776" s="18"/>
      <c r="Q776" s="18"/>
      <c r="R776" s="18"/>
      <c r="S776" s="18"/>
      <c r="T776" s="18"/>
      <c r="U776" s="18"/>
      <c r="V776" s="18"/>
      <c r="W776" s="18"/>
      <c r="X776" s="18"/>
      <c r="Y776" s="18"/>
      <c r="Z776" s="18"/>
    </row>
    <row r="777" ht="22.5" customHeight="1">
      <c r="A777" s="241">
        <v>46074.0</v>
      </c>
      <c r="B777" s="218" t="s">
        <v>5716</v>
      </c>
      <c r="C777" s="9"/>
      <c r="D777" s="228"/>
      <c r="E777" s="230"/>
      <c r="F777" s="221" t="s">
        <v>45</v>
      </c>
      <c r="G777" s="9" t="s">
        <v>5717</v>
      </c>
      <c r="H777" s="234"/>
      <c r="I777" s="232"/>
      <c r="J777" s="35" t="s">
        <v>5718</v>
      </c>
      <c r="K777" s="18"/>
      <c r="L777" s="18"/>
      <c r="M777" s="18"/>
      <c r="N777" s="18"/>
      <c r="O777" s="18"/>
      <c r="P777" s="18"/>
      <c r="Q777" s="18"/>
      <c r="R777" s="18"/>
      <c r="S777" s="18"/>
      <c r="T777" s="18"/>
      <c r="U777" s="18"/>
      <c r="V777" s="18"/>
      <c r="W777" s="18"/>
      <c r="X777" s="18"/>
      <c r="Y777" s="18"/>
      <c r="Z777" s="18"/>
    </row>
    <row r="778" ht="22.5" customHeight="1">
      <c r="A778" s="241">
        <v>46074.0</v>
      </c>
      <c r="B778" s="218" t="s">
        <v>5719</v>
      </c>
      <c r="C778" s="9"/>
      <c r="D778" s="228"/>
      <c r="E778" s="230"/>
      <c r="F778" s="221" t="s">
        <v>96</v>
      </c>
      <c r="G778" s="9" t="s">
        <v>5720</v>
      </c>
      <c r="H778" s="234"/>
      <c r="I778" s="232"/>
      <c r="J778" s="140" t="s">
        <v>5721</v>
      </c>
      <c r="K778" s="18"/>
      <c r="L778" s="18"/>
      <c r="M778" s="18"/>
      <c r="N778" s="18"/>
      <c r="O778" s="18"/>
      <c r="P778" s="18"/>
      <c r="Q778" s="18"/>
      <c r="R778" s="18"/>
      <c r="S778" s="18"/>
      <c r="T778" s="18"/>
      <c r="U778" s="18"/>
      <c r="V778" s="18"/>
      <c r="W778" s="18"/>
      <c r="X778" s="18"/>
      <c r="Y778" s="18"/>
      <c r="Z778" s="18"/>
    </row>
    <row r="779" ht="22.5" customHeight="1">
      <c r="A779" s="241">
        <v>46074.0</v>
      </c>
      <c r="B779" s="218" t="s">
        <v>5722</v>
      </c>
      <c r="C779" s="9"/>
      <c r="D779" s="228"/>
      <c r="E779" s="230"/>
      <c r="F779" s="221" t="s">
        <v>45</v>
      </c>
      <c r="G779" s="9" t="s">
        <v>5723</v>
      </c>
      <c r="H779" s="234"/>
      <c r="I779" s="232"/>
      <c r="J779" s="18"/>
      <c r="K779" s="18"/>
      <c r="L779" s="18"/>
      <c r="M779" s="18"/>
      <c r="N779" s="18"/>
      <c r="O779" s="18"/>
      <c r="P779" s="18"/>
      <c r="Q779" s="18"/>
      <c r="R779" s="18"/>
      <c r="S779" s="18"/>
      <c r="T779" s="18"/>
      <c r="U779" s="18"/>
      <c r="V779" s="18"/>
      <c r="W779" s="18"/>
      <c r="X779" s="18"/>
      <c r="Y779" s="18"/>
      <c r="Z779" s="18"/>
    </row>
    <row r="780" ht="22.5" customHeight="1">
      <c r="A780" s="241">
        <v>46074.0</v>
      </c>
      <c r="B780" s="218" t="s">
        <v>5724</v>
      </c>
      <c r="C780" s="9"/>
      <c r="E780" s="230">
        <v>9.515752647E9</v>
      </c>
      <c r="F780" s="221" t="s">
        <v>144</v>
      </c>
      <c r="G780" s="9" t="s">
        <v>5725</v>
      </c>
      <c r="H780" s="234">
        <v>46074.0</v>
      </c>
      <c r="I780" s="232">
        <v>0.5833333333333334</v>
      </c>
      <c r="J780" s="18"/>
      <c r="K780" s="18"/>
      <c r="L780" s="18"/>
      <c r="M780" s="18"/>
      <c r="N780" s="18"/>
      <c r="O780" s="18"/>
      <c r="P780" s="18"/>
      <c r="Q780" s="18"/>
      <c r="R780" s="18"/>
      <c r="S780" s="18"/>
      <c r="T780" s="18"/>
      <c r="U780" s="18"/>
      <c r="V780" s="18"/>
      <c r="W780" s="18"/>
      <c r="X780" s="18"/>
      <c r="Y780" s="18"/>
      <c r="Z780" s="18"/>
    </row>
    <row r="781" ht="22.5" customHeight="1">
      <c r="A781" s="241">
        <v>46074.0</v>
      </c>
      <c r="B781" s="218" t="s">
        <v>5527</v>
      </c>
      <c r="C781" s="9"/>
      <c r="D781" s="228" t="s">
        <v>5726</v>
      </c>
      <c r="E781" s="230">
        <v>9.032833756E9</v>
      </c>
      <c r="F781" s="221" t="s">
        <v>1919</v>
      </c>
      <c r="G781" s="9" t="s">
        <v>5727</v>
      </c>
      <c r="H781" s="234">
        <v>46076.0</v>
      </c>
      <c r="I781" s="232"/>
      <c r="J781" s="35" t="s">
        <v>5728</v>
      </c>
      <c r="K781" s="18"/>
      <c r="L781" s="18"/>
      <c r="M781" s="18"/>
      <c r="N781" s="18"/>
      <c r="O781" s="18"/>
      <c r="P781" s="18"/>
      <c r="Q781" s="18"/>
      <c r="R781" s="18"/>
      <c r="S781" s="18"/>
      <c r="T781" s="18"/>
      <c r="U781" s="18"/>
      <c r="V781" s="18"/>
      <c r="W781" s="18"/>
      <c r="X781" s="18"/>
      <c r="Y781" s="18"/>
      <c r="Z781" s="18"/>
    </row>
    <row r="782" ht="22.5" customHeight="1">
      <c r="A782" s="241">
        <v>46074.0</v>
      </c>
      <c r="B782" s="218" t="s">
        <v>5729</v>
      </c>
      <c r="C782" s="9"/>
      <c r="D782" s="228" t="s">
        <v>5730</v>
      </c>
      <c r="E782" s="230"/>
      <c r="F782" s="221" t="s">
        <v>186</v>
      </c>
      <c r="G782" s="9" t="s">
        <v>5731</v>
      </c>
      <c r="H782" s="234"/>
      <c r="I782" s="232"/>
      <c r="J782" s="18"/>
      <c r="K782" s="18"/>
      <c r="L782" s="18"/>
      <c r="M782" s="18"/>
      <c r="N782" s="18"/>
      <c r="O782" s="18"/>
      <c r="P782" s="18"/>
      <c r="Q782" s="18"/>
      <c r="R782" s="18"/>
      <c r="S782" s="18"/>
      <c r="T782" s="18"/>
      <c r="U782" s="18"/>
      <c r="V782" s="18"/>
      <c r="W782" s="18"/>
      <c r="X782" s="18"/>
      <c r="Y782" s="18"/>
      <c r="Z782" s="18"/>
    </row>
    <row r="783" ht="22.5" customHeight="1">
      <c r="A783" s="241">
        <v>46074.0</v>
      </c>
      <c r="B783" s="218" t="s">
        <v>5732</v>
      </c>
      <c r="C783" s="9"/>
      <c r="D783" s="228"/>
      <c r="E783" s="230">
        <v>9.1600061E9</v>
      </c>
      <c r="F783" s="221" t="s">
        <v>3853</v>
      </c>
      <c r="G783" s="9" t="s">
        <v>5733</v>
      </c>
      <c r="H783" s="234">
        <v>46074.0</v>
      </c>
      <c r="I783" s="232">
        <v>0.75</v>
      </c>
      <c r="J783" s="18"/>
      <c r="K783" s="18"/>
      <c r="L783" s="18"/>
      <c r="M783" s="18"/>
      <c r="N783" s="18"/>
      <c r="O783" s="18"/>
      <c r="P783" s="18"/>
      <c r="Q783" s="18"/>
      <c r="R783" s="18"/>
      <c r="S783" s="18"/>
      <c r="T783" s="18"/>
      <c r="U783" s="18"/>
      <c r="V783" s="18"/>
      <c r="W783" s="18"/>
      <c r="X783" s="18"/>
      <c r="Y783" s="18"/>
      <c r="Z783" s="18"/>
    </row>
    <row r="784" ht="22.5" customHeight="1">
      <c r="A784" s="241">
        <v>46074.0</v>
      </c>
      <c r="B784" s="218" t="s">
        <v>5734</v>
      </c>
      <c r="C784" s="9"/>
      <c r="D784" s="228"/>
      <c r="E784" s="230"/>
      <c r="F784" s="221" t="s">
        <v>1919</v>
      </c>
      <c r="G784" s="9" t="s">
        <v>5735</v>
      </c>
      <c r="H784" s="234">
        <v>46074.0</v>
      </c>
      <c r="I784" s="232">
        <v>0.625</v>
      </c>
      <c r="J784" s="140" t="s">
        <v>5736</v>
      </c>
      <c r="K784" s="18"/>
      <c r="L784" s="18"/>
      <c r="M784" s="18"/>
      <c r="N784" s="18"/>
      <c r="O784" s="18"/>
      <c r="P784" s="18"/>
      <c r="Q784" s="18"/>
      <c r="R784" s="18"/>
      <c r="S784" s="18"/>
      <c r="T784" s="18"/>
      <c r="U784" s="18"/>
      <c r="V784" s="18"/>
      <c r="W784" s="18"/>
      <c r="X784" s="18"/>
      <c r="Y784" s="18"/>
      <c r="Z784" s="18"/>
    </row>
    <row r="785" ht="22.5" customHeight="1">
      <c r="A785" s="241">
        <v>46074.0</v>
      </c>
      <c r="B785" s="218" t="s">
        <v>5737</v>
      </c>
      <c r="C785" s="9"/>
      <c r="D785" s="228"/>
      <c r="E785" s="230">
        <v>9.64249849E9</v>
      </c>
      <c r="F785" s="221" t="s">
        <v>144</v>
      </c>
      <c r="G785" s="9" t="s">
        <v>5738</v>
      </c>
      <c r="H785" s="234"/>
      <c r="I785" s="232"/>
      <c r="J785" s="9" t="s">
        <v>5739</v>
      </c>
      <c r="K785" s="18"/>
      <c r="L785" s="18"/>
      <c r="M785" s="18"/>
      <c r="N785" s="18"/>
      <c r="O785" s="18"/>
      <c r="P785" s="18"/>
      <c r="Q785" s="18"/>
      <c r="R785" s="18"/>
      <c r="S785" s="18"/>
      <c r="T785" s="18"/>
      <c r="U785" s="18"/>
      <c r="V785" s="18"/>
      <c r="W785" s="18"/>
      <c r="X785" s="18"/>
      <c r="Y785" s="18"/>
      <c r="Z785" s="18"/>
    </row>
    <row r="786" ht="22.5" customHeight="1">
      <c r="A786" s="241">
        <v>46074.0</v>
      </c>
      <c r="B786" s="218" t="s">
        <v>4866</v>
      </c>
      <c r="C786" s="9"/>
      <c r="D786" s="228" t="s">
        <v>2695</v>
      </c>
      <c r="E786" s="230">
        <v>8.374223982E9</v>
      </c>
      <c r="F786" s="221" t="s">
        <v>96</v>
      </c>
      <c r="G786" s="9" t="s">
        <v>5740</v>
      </c>
      <c r="H786" s="234"/>
      <c r="I786" s="232"/>
      <c r="J786" s="18"/>
      <c r="K786" s="18"/>
      <c r="L786" s="18"/>
      <c r="M786" s="18"/>
      <c r="N786" s="18"/>
      <c r="O786" s="18"/>
      <c r="P786" s="18"/>
      <c r="Q786" s="18"/>
      <c r="R786" s="18"/>
      <c r="S786" s="18"/>
      <c r="T786" s="18"/>
      <c r="U786" s="18"/>
      <c r="V786" s="18"/>
      <c r="W786" s="18"/>
      <c r="X786" s="18"/>
      <c r="Y786" s="18"/>
      <c r="Z786" s="18"/>
    </row>
    <row r="787" ht="22.5" customHeight="1">
      <c r="A787" s="241">
        <v>46074.0</v>
      </c>
      <c r="B787" s="218" t="s">
        <v>5741</v>
      </c>
      <c r="C787" s="9"/>
      <c r="D787" s="228"/>
      <c r="E787" s="230"/>
      <c r="F787" s="221" t="s">
        <v>3853</v>
      </c>
      <c r="G787" s="9" t="s">
        <v>5733</v>
      </c>
      <c r="H787" s="234">
        <v>46074.0</v>
      </c>
      <c r="I787" s="232">
        <v>0.75</v>
      </c>
      <c r="J787" s="9" t="s">
        <v>5742</v>
      </c>
      <c r="K787" s="18"/>
      <c r="L787" s="18"/>
      <c r="M787" s="18"/>
      <c r="N787" s="18"/>
      <c r="O787" s="18"/>
      <c r="P787" s="18"/>
      <c r="Q787" s="18"/>
      <c r="R787" s="18"/>
      <c r="S787" s="18"/>
      <c r="T787" s="18"/>
      <c r="U787" s="18"/>
      <c r="V787" s="18"/>
      <c r="W787" s="18"/>
      <c r="X787" s="18"/>
      <c r="Y787" s="18"/>
      <c r="Z787" s="18"/>
    </row>
    <row r="788" ht="22.5" customHeight="1">
      <c r="A788" s="241">
        <v>46074.0</v>
      </c>
      <c r="B788" s="218" t="s">
        <v>5743</v>
      </c>
      <c r="C788" s="9"/>
      <c r="D788" s="228" t="s">
        <v>5744</v>
      </c>
      <c r="E788" s="230">
        <v>6.39410162E9</v>
      </c>
      <c r="F788" s="221" t="s">
        <v>1919</v>
      </c>
      <c r="G788" s="9" t="s">
        <v>5745</v>
      </c>
      <c r="H788" s="234">
        <v>46074.0</v>
      </c>
      <c r="I788" s="232">
        <v>0.625</v>
      </c>
      <c r="J788" s="18"/>
      <c r="K788" s="18"/>
      <c r="L788" s="18"/>
      <c r="M788" s="18"/>
      <c r="N788" s="18"/>
      <c r="O788" s="18"/>
      <c r="P788" s="18"/>
      <c r="Q788" s="18"/>
      <c r="R788" s="18"/>
      <c r="S788" s="18"/>
      <c r="T788" s="18"/>
      <c r="U788" s="18"/>
      <c r="V788" s="18"/>
      <c r="W788" s="18"/>
      <c r="X788" s="18"/>
      <c r="Y788" s="18"/>
      <c r="Z788" s="18"/>
    </row>
    <row r="789" ht="22.5" customHeight="1">
      <c r="A789" s="241">
        <v>46074.0</v>
      </c>
      <c r="B789" s="218" t="s">
        <v>5746</v>
      </c>
      <c r="C789" s="9"/>
      <c r="D789" s="228" t="s">
        <v>5148</v>
      </c>
      <c r="E789" s="230">
        <v>9.912104569E9</v>
      </c>
      <c r="F789" s="221" t="s">
        <v>3853</v>
      </c>
      <c r="G789" s="9" t="s">
        <v>5747</v>
      </c>
      <c r="H789" s="234">
        <v>46074.0</v>
      </c>
      <c r="I789" s="232">
        <v>0.8333333333333334</v>
      </c>
      <c r="J789" s="9" t="s">
        <v>5748</v>
      </c>
      <c r="K789" s="18"/>
      <c r="L789" s="18"/>
      <c r="M789" s="18"/>
      <c r="N789" s="18"/>
      <c r="O789" s="18"/>
      <c r="P789" s="18"/>
      <c r="Q789" s="18"/>
      <c r="R789" s="18"/>
      <c r="S789" s="18"/>
      <c r="T789" s="18"/>
      <c r="U789" s="18"/>
      <c r="V789" s="18"/>
      <c r="W789" s="18"/>
      <c r="X789" s="18"/>
      <c r="Y789" s="18"/>
      <c r="Z789" s="18"/>
    </row>
    <row r="790" ht="22.5" customHeight="1">
      <c r="A790" s="241">
        <v>46074.0</v>
      </c>
      <c r="B790" s="218" t="s">
        <v>5749</v>
      </c>
      <c r="C790" s="9"/>
      <c r="D790" s="228" t="s">
        <v>5750</v>
      </c>
      <c r="E790" s="230"/>
      <c r="F790" s="221" t="s">
        <v>241</v>
      </c>
      <c r="G790" s="9" t="s">
        <v>5751</v>
      </c>
      <c r="H790" s="234">
        <v>46077.0</v>
      </c>
      <c r="I790" s="232">
        <v>0.625</v>
      </c>
      <c r="J790" s="9" t="s">
        <v>5752</v>
      </c>
      <c r="K790" s="18"/>
      <c r="L790" s="18"/>
      <c r="M790" s="18"/>
      <c r="N790" s="18"/>
      <c r="O790" s="18"/>
      <c r="P790" s="18"/>
      <c r="Q790" s="18"/>
      <c r="R790" s="18"/>
      <c r="S790" s="18"/>
      <c r="T790" s="18"/>
      <c r="U790" s="18"/>
      <c r="V790" s="18"/>
      <c r="W790" s="18"/>
      <c r="X790" s="18"/>
      <c r="Y790" s="18"/>
      <c r="Z790" s="18"/>
    </row>
    <row r="791" ht="22.5" customHeight="1">
      <c r="A791" s="241">
        <v>46074.0</v>
      </c>
      <c r="B791" s="218" t="s">
        <v>5753</v>
      </c>
      <c r="C791" s="9"/>
      <c r="D791" s="228" t="s">
        <v>5754</v>
      </c>
      <c r="E791" s="230">
        <v>9.000003851E9</v>
      </c>
      <c r="F791" s="221" t="s">
        <v>3853</v>
      </c>
      <c r="G791" s="9" t="s">
        <v>5755</v>
      </c>
      <c r="H791" s="234">
        <v>46076.0</v>
      </c>
      <c r="I791" s="232">
        <v>0.5833333333333334</v>
      </c>
      <c r="J791" s="9" t="s">
        <v>5756</v>
      </c>
      <c r="K791" s="18"/>
      <c r="L791" s="18"/>
      <c r="M791" s="18"/>
      <c r="N791" s="18"/>
      <c r="O791" s="18"/>
      <c r="P791" s="18"/>
      <c r="Q791" s="18"/>
      <c r="R791" s="18"/>
      <c r="S791" s="18"/>
      <c r="T791" s="18"/>
      <c r="U791" s="18"/>
      <c r="V791" s="18"/>
      <c r="W791" s="18"/>
      <c r="X791" s="18"/>
      <c r="Y791" s="18"/>
      <c r="Z791" s="18"/>
    </row>
    <row r="792" ht="22.5" customHeight="1">
      <c r="A792" s="241">
        <v>46074.0</v>
      </c>
      <c r="B792" s="218" t="s">
        <v>5757</v>
      </c>
      <c r="C792" s="9"/>
      <c r="D792" s="228"/>
      <c r="E792" s="230"/>
      <c r="F792" s="221" t="s">
        <v>45</v>
      </c>
      <c r="G792" s="9" t="s">
        <v>5758</v>
      </c>
      <c r="H792" s="234"/>
      <c r="I792" s="232"/>
      <c r="J792" s="79" t="s">
        <v>5759</v>
      </c>
      <c r="K792" s="242"/>
      <c r="L792" s="242"/>
      <c r="M792" s="242"/>
      <c r="N792" s="242"/>
      <c r="O792" s="242"/>
      <c r="P792" s="242"/>
      <c r="Q792" s="242"/>
      <c r="R792" s="242"/>
      <c r="S792" s="242"/>
      <c r="T792" s="242"/>
      <c r="U792" s="242"/>
      <c r="V792" s="242"/>
      <c r="W792" s="242"/>
      <c r="X792" s="242"/>
      <c r="Y792" s="242"/>
      <c r="Z792" s="242"/>
    </row>
    <row r="793" ht="22.5" customHeight="1">
      <c r="A793" s="241">
        <v>46074.0</v>
      </c>
      <c r="B793" s="218" t="s">
        <v>5760</v>
      </c>
      <c r="C793" s="9"/>
      <c r="D793" s="228"/>
      <c r="E793" s="230"/>
      <c r="F793" s="221" t="s">
        <v>45</v>
      </c>
      <c r="G793" s="9" t="s">
        <v>5758</v>
      </c>
      <c r="H793" s="234"/>
      <c r="I793" s="232"/>
      <c r="J793" s="79" t="s">
        <v>5759</v>
      </c>
      <c r="K793" s="242"/>
      <c r="L793" s="242"/>
      <c r="M793" s="242"/>
      <c r="N793" s="242"/>
      <c r="O793" s="242"/>
      <c r="P793" s="242"/>
      <c r="Q793" s="242"/>
      <c r="R793" s="242"/>
      <c r="S793" s="242"/>
      <c r="T793" s="242"/>
      <c r="U793" s="242"/>
      <c r="V793" s="242"/>
      <c r="W793" s="242"/>
      <c r="X793" s="242"/>
      <c r="Y793" s="242"/>
      <c r="Z793" s="242"/>
    </row>
    <row r="794" ht="22.5" customHeight="1">
      <c r="A794" s="241">
        <v>46074.0</v>
      </c>
      <c r="B794" s="218" t="s">
        <v>2751</v>
      </c>
      <c r="C794" s="9"/>
      <c r="D794" s="228"/>
      <c r="E794" s="230">
        <v>9.885649456E9</v>
      </c>
      <c r="F794" s="221" t="s">
        <v>3853</v>
      </c>
      <c r="G794" s="9" t="s">
        <v>5761</v>
      </c>
      <c r="H794" s="234">
        <v>46076.0</v>
      </c>
      <c r="I794" s="232"/>
      <c r="J794" s="9" t="s">
        <v>5762</v>
      </c>
      <c r="K794" s="18"/>
      <c r="L794" s="18"/>
      <c r="M794" s="18"/>
      <c r="N794" s="18"/>
      <c r="O794" s="18"/>
      <c r="P794" s="18"/>
      <c r="Q794" s="18"/>
      <c r="R794" s="18"/>
      <c r="S794" s="18"/>
      <c r="T794" s="18"/>
      <c r="U794" s="18"/>
      <c r="V794" s="18"/>
      <c r="W794" s="18"/>
      <c r="X794" s="18"/>
      <c r="Y794" s="18"/>
      <c r="Z794" s="18"/>
    </row>
    <row r="795" ht="22.5" customHeight="1">
      <c r="A795" s="241">
        <v>46074.0</v>
      </c>
      <c r="B795" s="218" t="s">
        <v>5763</v>
      </c>
      <c r="C795" s="9"/>
      <c r="D795" s="228" t="s">
        <v>5764</v>
      </c>
      <c r="E795" s="230"/>
      <c r="F795" s="221" t="s">
        <v>1919</v>
      </c>
      <c r="G795" s="9" t="s">
        <v>5765</v>
      </c>
      <c r="H795" s="234"/>
      <c r="I795" s="232"/>
      <c r="J795" s="140" t="s">
        <v>5766</v>
      </c>
      <c r="K795" s="18"/>
      <c r="L795" s="18"/>
      <c r="M795" s="18"/>
      <c r="N795" s="18"/>
      <c r="O795" s="18"/>
      <c r="P795" s="18"/>
      <c r="Q795" s="18"/>
      <c r="R795" s="18"/>
      <c r="S795" s="18"/>
      <c r="T795" s="18"/>
      <c r="U795" s="18"/>
      <c r="V795" s="18"/>
      <c r="W795" s="18"/>
      <c r="X795" s="18"/>
      <c r="Y795" s="18"/>
      <c r="Z795" s="18"/>
    </row>
    <row r="796" ht="22.5" customHeight="1">
      <c r="A796" s="241">
        <v>46074.0</v>
      </c>
      <c r="B796" s="218" t="s">
        <v>5767</v>
      </c>
      <c r="C796" s="9"/>
      <c r="D796" s="228" t="s">
        <v>5768</v>
      </c>
      <c r="E796" s="230"/>
      <c r="F796" s="221" t="s">
        <v>144</v>
      </c>
      <c r="G796" s="9" t="s">
        <v>5769</v>
      </c>
      <c r="H796" s="234">
        <v>46074.0</v>
      </c>
      <c r="I796" s="232">
        <v>0.6666666666666666</v>
      </c>
      <c r="J796" s="9" t="s">
        <v>5770</v>
      </c>
      <c r="K796" s="18"/>
      <c r="L796" s="18"/>
      <c r="M796" s="18"/>
      <c r="N796" s="18"/>
      <c r="O796" s="18"/>
      <c r="P796" s="18"/>
      <c r="Q796" s="18"/>
      <c r="R796" s="18"/>
      <c r="S796" s="18"/>
      <c r="T796" s="18"/>
      <c r="U796" s="18"/>
      <c r="V796" s="18"/>
      <c r="W796" s="18"/>
      <c r="X796" s="18"/>
      <c r="Y796" s="18"/>
      <c r="Z796" s="18"/>
    </row>
    <row r="797" ht="22.5" customHeight="1">
      <c r="A797" s="241">
        <v>46074.0</v>
      </c>
      <c r="B797" s="218" t="s">
        <v>5771</v>
      </c>
      <c r="C797" s="9"/>
      <c r="D797" s="228"/>
      <c r="E797" s="230"/>
      <c r="F797" s="221" t="s">
        <v>96</v>
      </c>
      <c r="G797" s="9" t="s">
        <v>5772</v>
      </c>
      <c r="H797" s="234"/>
      <c r="I797" s="232"/>
      <c r="J797" s="9"/>
      <c r="K797" s="18"/>
      <c r="L797" s="18"/>
      <c r="M797" s="18"/>
      <c r="N797" s="18"/>
      <c r="O797" s="18"/>
      <c r="P797" s="18"/>
      <c r="Q797" s="18"/>
      <c r="R797" s="18"/>
      <c r="S797" s="18"/>
      <c r="T797" s="18"/>
      <c r="U797" s="18"/>
      <c r="V797" s="18"/>
      <c r="W797" s="18"/>
      <c r="X797" s="18"/>
      <c r="Y797" s="18"/>
      <c r="Z797" s="18"/>
    </row>
    <row r="798" ht="22.5" customHeight="1">
      <c r="A798" s="241">
        <v>46074.0</v>
      </c>
      <c r="B798" s="218" t="s">
        <v>5773</v>
      </c>
      <c r="C798" s="9"/>
      <c r="D798" s="228"/>
      <c r="E798" s="230"/>
      <c r="F798" s="221" t="s">
        <v>144</v>
      </c>
      <c r="G798" s="9" t="s">
        <v>5774</v>
      </c>
      <c r="H798" s="234">
        <v>46076.0</v>
      </c>
      <c r="I798" s="232"/>
      <c r="J798" s="9" t="s">
        <v>5775</v>
      </c>
      <c r="K798" s="18"/>
      <c r="L798" s="18"/>
      <c r="M798" s="18"/>
      <c r="N798" s="18"/>
      <c r="O798" s="18"/>
      <c r="P798" s="18"/>
      <c r="Q798" s="18"/>
      <c r="R798" s="18"/>
      <c r="S798" s="18"/>
      <c r="T798" s="18"/>
      <c r="U798" s="18"/>
      <c r="V798" s="18"/>
      <c r="W798" s="18"/>
      <c r="X798" s="18"/>
      <c r="Y798" s="18"/>
      <c r="Z798" s="18"/>
    </row>
    <row r="799" ht="22.5" customHeight="1">
      <c r="A799" s="241">
        <v>46074.0</v>
      </c>
      <c r="B799" s="218" t="s">
        <v>5776</v>
      </c>
      <c r="C799" s="9"/>
      <c r="D799" s="228"/>
      <c r="E799" s="230">
        <v>6.304208062E9</v>
      </c>
      <c r="F799" s="221" t="s">
        <v>3853</v>
      </c>
      <c r="G799" s="9" t="s">
        <v>5777</v>
      </c>
      <c r="H799" s="234">
        <v>46077.0</v>
      </c>
      <c r="I799" s="232"/>
      <c r="J799" s="9" t="s">
        <v>5778</v>
      </c>
      <c r="K799" s="18"/>
      <c r="L799" s="18"/>
      <c r="M799" s="18"/>
      <c r="N799" s="18"/>
      <c r="O799" s="18"/>
      <c r="P799" s="18"/>
      <c r="Q799" s="18"/>
      <c r="R799" s="18"/>
      <c r="S799" s="18"/>
      <c r="T799" s="18"/>
      <c r="U799" s="18"/>
      <c r="V799" s="18"/>
      <c r="W799" s="18"/>
      <c r="X799" s="18"/>
      <c r="Y799" s="18"/>
      <c r="Z799" s="18"/>
    </row>
    <row r="800" ht="22.5" customHeight="1">
      <c r="A800" s="241">
        <v>46074.0</v>
      </c>
      <c r="B800" s="218" t="s">
        <v>5779</v>
      </c>
      <c r="C800" s="9"/>
      <c r="D800" s="228" t="s">
        <v>5780</v>
      </c>
      <c r="E800" s="230">
        <v>7.893194466E9</v>
      </c>
      <c r="F800" s="221" t="s">
        <v>45</v>
      </c>
      <c r="G800" s="9" t="s">
        <v>5781</v>
      </c>
      <c r="H800" s="234"/>
      <c r="I800" s="232"/>
      <c r="J800" s="9" t="s">
        <v>5782</v>
      </c>
      <c r="K800" s="18"/>
      <c r="L800" s="18"/>
      <c r="M800" s="18"/>
      <c r="N800" s="18"/>
      <c r="O800" s="18"/>
      <c r="P800" s="18"/>
      <c r="Q800" s="18"/>
      <c r="R800" s="18"/>
      <c r="S800" s="18"/>
      <c r="T800" s="18"/>
      <c r="U800" s="18"/>
      <c r="V800" s="18"/>
      <c r="W800" s="18"/>
      <c r="X800" s="18"/>
      <c r="Y800" s="18"/>
      <c r="Z800" s="18"/>
    </row>
    <row r="801" ht="22.5" customHeight="1">
      <c r="A801" s="241">
        <v>46074.0</v>
      </c>
      <c r="B801" s="218" t="s">
        <v>5783</v>
      </c>
      <c r="C801" s="9"/>
      <c r="D801" s="228"/>
      <c r="E801" s="230"/>
      <c r="F801" s="221" t="s">
        <v>96</v>
      </c>
      <c r="G801" s="9" t="s">
        <v>5784</v>
      </c>
      <c r="H801" s="234"/>
      <c r="I801" s="232"/>
      <c r="J801" s="9" t="s">
        <v>5785</v>
      </c>
      <c r="K801" s="18"/>
      <c r="L801" s="18"/>
      <c r="M801" s="18"/>
      <c r="N801" s="18"/>
      <c r="O801" s="18"/>
      <c r="P801" s="18"/>
      <c r="Q801" s="18"/>
      <c r="R801" s="18"/>
      <c r="S801" s="18"/>
      <c r="T801" s="18"/>
      <c r="U801" s="18"/>
      <c r="V801" s="18"/>
      <c r="W801" s="18"/>
      <c r="X801" s="18"/>
      <c r="Y801" s="18"/>
      <c r="Z801" s="18"/>
    </row>
    <row r="802" ht="22.5" customHeight="1">
      <c r="A802" s="241">
        <v>46074.0</v>
      </c>
      <c r="B802" s="218" t="s">
        <v>5786</v>
      </c>
      <c r="C802" s="9"/>
      <c r="D802" s="228" t="s">
        <v>5787</v>
      </c>
      <c r="E802" s="230">
        <v>8.97874752E9</v>
      </c>
      <c r="F802" s="221" t="s">
        <v>1919</v>
      </c>
      <c r="G802" s="9" t="s">
        <v>5788</v>
      </c>
      <c r="H802" s="234"/>
      <c r="I802" s="232"/>
      <c r="J802" s="9" t="s">
        <v>5789</v>
      </c>
      <c r="K802" s="18"/>
      <c r="L802" s="18"/>
      <c r="M802" s="18"/>
      <c r="N802" s="18"/>
      <c r="O802" s="18"/>
      <c r="P802" s="18"/>
      <c r="Q802" s="18"/>
      <c r="R802" s="18"/>
      <c r="S802" s="18"/>
      <c r="T802" s="18"/>
      <c r="U802" s="18"/>
      <c r="V802" s="18"/>
      <c r="W802" s="18"/>
      <c r="X802" s="18"/>
      <c r="Y802" s="18"/>
      <c r="Z802" s="18"/>
    </row>
    <row r="803" ht="22.5" customHeight="1">
      <c r="A803" s="241">
        <v>46074.0</v>
      </c>
      <c r="B803" s="218" t="s">
        <v>5790</v>
      </c>
      <c r="C803" s="9"/>
      <c r="D803" s="228" t="s">
        <v>4352</v>
      </c>
      <c r="E803" s="230"/>
      <c r="F803" s="221" t="s">
        <v>186</v>
      </c>
      <c r="G803" s="9" t="s">
        <v>5791</v>
      </c>
      <c r="H803" s="234"/>
      <c r="I803" s="232"/>
      <c r="J803" s="9" t="s">
        <v>5792</v>
      </c>
      <c r="K803" s="18"/>
      <c r="L803" s="18"/>
      <c r="M803" s="18"/>
      <c r="N803" s="18"/>
      <c r="O803" s="18"/>
      <c r="P803" s="18"/>
      <c r="Q803" s="18"/>
      <c r="R803" s="18"/>
      <c r="S803" s="18"/>
      <c r="T803" s="18"/>
      <c r="U803" s="18"/>
      <c r="V803" s="18"/>
      <c r="W803" s="18"/>
      <c r="X803" s="18"/>
      <c r="Y803" s="18"/>
      <c r="Z803" s="18"/>
    </row>
    <row r="804" ht="22.5" customHeight="1">
      <c r="A804" s="241">
        <v>46074.0</v>
      </c>
      <c r="B804" s="218" t="s">
        <v>5793</v>
      </c>
      <c r="C804" s="9"/>
      <c r="D804" s="228" t="s">
        <v>4352</v>
      </c>
      <c r="E804" s="230"/>
      <c r="F804" s="221" t="s">
        <v>186</v>
      </c>
      <c r="G804" s="9" t="s">
        <v>5791</v>
      </c>
      <c r="H804" s="234"/>
      <c r="I804" s="232"/>
      <c r="J804" s="9"/>
      <c r="K804" s="18"/>
      <c r="L804" s="18"/>
      <c r="M804" s="18"/>
      <c r="N804" s="18"/>
      <c r="O804" s="18"/>
      <c r="P804" s="18"/>
      <c r="Q804" s="18"/>
      <c r="R804" s="18"/>
      <c r="S804" s="18"/>
      <c r="T804" s="18"/>
      <c r="U804" s="18"/>
      <c r="V804" s="18"/>
      <c r="W804" s="18"/>
      <c r="X804" s="18"/>
      <c r="Y804" s="18"/>
      <c r="Z804" s="18"/>
    </row>
    <row r="805" ht="22.5" customHeight="1">
      <c r="A805" s="241">
        <v>46074.0</v>
      </c>
      <c r="B805" s="218" t="s">
        <v>5794</v>
      </c>
      <c r="C805" s="9"/>
      <c r="D805" s="228"/>
      <c r="E805" s="230"/>
      <c r="F805" s="221" t="s">
        <v>3853</v>
      </c>
      <c r="G805" s="9" t="s">
        <v>5795</v>
      </c>
      <c r="H805" s="234">
        <v>46076.0</v>
      </c>
      <c r="I805" s="232">
        <v>0.875</v>
      </c>
      <c r="J805" s="9" t="s">
        <v>5796</v>
      </c>
      <c r="K805" s="18"/>
      <c r="L805" s="18"/>
      <c r="M805" s="18"/>
      <c r="N805" s="18"/>
      <c r="O805" s="18"/>
      <c r="P805" s="18"/>
      <c r="Q805" s="18"/>
      <c r="R805" s="18"/>
      <c r="S805" s="18"/>
      <c r="T805" s="18"/>
      <c r="U805" s="18"/>
      <c r="V805" s="18"/>
      <c r="W805" s="18"/>
      <c r="X805" s="18"/>
      <c r="Y805" s="18"/>
      <c r="Z805" s="18"/>
    </row>
    <row r="806" ht="22.5" customHeight="1">
      <c r="A806" s="241">
        <v>46074.0</v>
      </c>
      <c r="B806" s="218" t="s">
        <v>5797</v>
      </c>
      <c r="C806" s="9"/>
      <c r="D806" s="228"/>
      <c r="E806" s="230"/>
      <c r="F806" s="221" t="s">
        <v>96</v>
      </c>
      <c r="G806" s="9" t="s">
        <v>5798</v>
      </c>
      <c r="H806" s="234">
        <v>46076.0</v>
      </c>
      <c r="I806" s="232"/>
      <c r="J806" s="140" t="s">
        <v>5799</v>
      </c>
      <c r="K806" s="18"/>
      <c r="L806" s="18"/>
      <c r="M806" s="18"/>
      <c r="N806" s="18"/>
      <c r="O806" s="18"/>
      <c r="P806" s="18"/>
      <c r="Q806" s="18"/>
      <c r="R806" s="18"/>
      <c r="S806" s="18"/>
      <c r="T806" s="18"/>
      <c r="U806" s="18"/>
      <c r="V806" s="18"/>
      <c r="W806" s="18"/>
      <c r="X806" s="18"/>
      <c r="Y806" s="18"/>
      <c r="Z806" s="18"/>
    </row>
    <row r="807" ht="22.5" customHeight="1">
      <c r="A807" s="241">
        <v>46074.0</v>
      </c>
      <c r="B807" s="218" t="s">
        <v>5800</v>
      </c>
      <c r="C807" s="9"/>
      <c r="D807" s="228"/>
      <c r="E807" s="230"/>
      <c r="F807" s="221" t="s">
        <v>186</v>
      </c>
      <c r="G807" s="9" t="s">
        <v>5801</v>
      </c>
      <c r="H807" s="234">
        <v>46076.0</v>
      </c>
      <c r="I807" s="232"/>
      <c r="J807" s="9" t="s">
        <v>5802</v>
      </c>
      <c r="K807" s="18"/>
      <c r="L807" s="18"/>
      <c r="M807" s="18"/>
      <c r="N807" s="18"/>
      <c r="O807" s="18"/>
      <c r="P807" s="18"/>
      <c r="Q807" s="18"/>
      <c r="R807" s="18"/>
      <c r="S807" s="18"/>
      <c r="T807" s="18"/>
      <c r="U807" s="18"/>
      <c r="V807" s="18"/>
      <c r="W807" s="18"/>
      <c r="X807" s="18"/>
      <c r="Y807" s="18"/>
      <c r="Z807" s="18"/>
    </row>
    <row r="808" ht="22.5" customHeight="1">
      <c r="A808" s="241">
        <v>46074.0</v>
      </c>
      <c r="B808" s="218" t="s">
        <v>5803</v>
      </c>
      <c r="C808" s="9"/>
      <c r="D808" s="228" t="s">
        <v>5340</v>
      </c>
      <c r="E808" s="230">
        <v>9.18264695E9</v>
      </c>
      <c r="F808" s="221" t="s">
        <v>45</v>
      </c>
      <c r="G808" s="9" t="s">
        <v>5804</v>
      </c>
      <c r="H808" s="234"/>
      <c r="I808" s="232"/>
      <c r="J808" s="9" t="s">
        <v>5805</v>
      </c>
      <c r="K808" s="18"/>
      <c r="L808" s="18"/>
      <c r="M808" s="18"/>
      <c r="N808" s="18"/>
      <c r="O808" s="18"/>
      <c r="P808" s="18"/>
      <c r="Q808" s="18"/>
      <c r="R808" s="18"/>
      <c r="S808" s="18"/>
      <c r="T808" s="18"/>
      <c r="U808" s="18"/>
      <c r="V808" s="18"/>
      <c r="W808" s="18"/>
      <c r="X808" s="18"/>
      <c r="Y808" s="18"/>
      <c r="Z808" s="18"/>
    </row>
    <row r="809" ht="22.5" customHeight="1">
      <c r="A809" s="241">
        <v>46074.0</v>
      </c>
      <c r="B809" s="218" t="s">
        <v>5806</v>
      </c>
      <c r="C809" s="9"/>
      <c r="D809" s="228"/>
      <c r="E809" s="230"/>
      <c r="F809" s="221" t="s">
        <v>45</v>
      </c>
      <c r="G809" s="9" t="s">
        <v>4714</v>
      </c>
      <c r="H809" s="234"/>
      <c r="I809" s="232"/>
      <c r="J809" s="9" t="s">
        <v>5807</v>
      </c>
      <c r="K809" s="18"/>
      <c r="L809" s="18"/>
      <c r="M809" s="18"/>
      <c r="N809" s="18"/>
      <c r="O809" s="18"/>
      <c r="P809" s="18"/>
      <c r="Q809" s="18"/>
      <c r="R809" s="18"/>
      <c r="S809" s="18"/>
      <c r="T809" s="18"/>
      <c r="U809" s="18"/>
      <c r="V809" s="18"/>
      <c r="W809" s="18"/>
      <c r="X809" s="18"/>
      <c r="Y809" s="18"/>
      <c r="Z809" s="18"/>
    </row>
    <row r="810" ht="22.5" customHeight="1">
      <c r="A810" s="241">
        <v>46074.0</v>
      </c>
      <c r="B810" s="218" t="s">
        <v>5808</v>
      </c>
      <c r="C810" s="9"/>
      <c r="D810" s="228"/>
      <c r="E810" s="230"/>
      <c r="F810" s="221" t="s">
        <v>144</v>
      </c>
      <c r="G810" s="9" t="s">
        <v>5809</v>
      </c>
      <c r="H810" s="234">
        <v>46075.0</v>
      </c>
      <c r="I810" s="232">
        <v>0.5416666666666666</v>
      </c>
      <c r="J810" s="9" t="s">
        <v>5810</v>
      </c>
      <c r="K810" s="18"/>
      <c r="L810" s="18"/>
      <c r="M810" s="18"/>
      <c r="N810" s="18"/>
      <c r="O810" s="18"/>
      <c r="P810" s="18"/>
      <c r="Q810" s="18"/>
      <c r="R810" s="18"/>
      <c r="S810" s="18"/>
      <c r="T810" s="18"/>
      <c r="U810" s="18"/>
      <c r="V810" s="18"/>
      <c r="W810" s="18"/>
      <c r="X810" s="18"/>
      <c r="Y810" s="18"/>
      <c r="Z810" s="18"/>
    </row>
    <row r="811" ht="22.5" customHeight="1">
      <c r="A811" s="241">
        <v>46074.0</v>
      </c>
      <c r="B811" s="9" t="s">
        <v>5811</v>
      </c>
      <c r="C811" s="9"/>
      <c r="D811" s="228"/>
      <c r="E811" s="230"/>
      <c r="F811" s="221" t="s">
        <v>45</v>
      </c>
      <c r="G811" s="15" t="s">
        <v>5812</v>
      </c>
      <c r="H811" s="234"/>
      <c r="I811" s="232"/>
      <c r="J811" s="9"/>
      <c r="K811" s="18"/>
      <c r="L811" s="18"/>
      <c r="M811" s="18"/>
      <c r="N811" s="18"/>
      <c r="O811" s="18"/>
      <c r="P811" s="18"/>
      <c r="Q811" s="18"/>
      <c r="R811" s="18"/>
      <c r="S811" s="18"/>
      <c r="T811" s="18"/>
      <c r="U811" s="18"/>
      <c r="V811" s="18"/>
      <c r="W811" s="18"/>
      <c r="X811" s="18"/>
      <c r="Y811" s="18"/>
      <c r="Z811" s="18"/>
    </row>
    <row r="812" ht="22.5" customHeight="1">
      <c r="A812" s="241">
        <v>46074.0</v>
      </c>
      <c r="B812" s="218" t="s">
        <v>5813</v>
      </c>
      <c r="C812" s="9"/>
      <c r="D812" s="228"/>
      <c r="E812" s="230"/>
      <c r="F812" s="221" t="s">
        <v>45</v>
      </c>
      <c r="G812" s="9" t="s">
        <v>5814</v>
      </c>
      <c r="H812" s="234"/>
      <c r="I812" s="232"/>
      <c r="J812" s="9" t="s">
        <v>5815</v>
      </c>
      <c r="K812" s="18"/>
      <c r="L812" s="18"/>
      <c r="M812" s="18"/>
      <c r="N812" s="18"/>
      <c r="O812" s="18"/>
      <c r="P812" s="18"/>
      <c r="Q812" s="18"/>
      <c r="R812" s="18"/>
      <c r="S812" s="18"/>
      <c r="T812" s="18"/>
      <c r="U812" s="18"/>
      <c r="V812" s="18"/>
      <c r="W812" s="18"/>
      <c r="X812" s="18"/>
      <c r="Y812" s="18"/>
      <c r="Z812" s="18"/>
    </row>
    <row r="813" ht="22.5" customHeight="1">
      <c r="A813" s="241">
        <v>46074.0</v>
      </c>
      <c r="B813" s="218" t="s">
        <v>5816</v>
      </c>
      <c r="C813" s="9"/>
      <c r="D813" s="228"/>
      <c r="E813" s="230"/>
      <c r="F813" s="221" t="s">
        <v>3853</v>
      </c>
      <c r="G813" s="9" t="s">
        <v>5817</v>
      </c>
      <c r="H813" s="234"/>
      <c r="I813" s="232"/>
      <c r="J813" s="9" t="s">
        <v>5818</v>
      </c>
      <c r="K813" s="18"/>
      <c r="L813" s="18"/>
      <c r="M813" s="18"/>
      <c r="N813" s="18"/>
      <c r="O813" s="18"/>
      <c r="P813" s="18"/>
      <c r="Q813" s="18"/>
      <c r="R813" s="18"/>
      <c r="S813" s="18"/>
      <c r="T813" s="18"/>
      <c r="U813" s="18"/>
      <c r="V813" s="18"/>
      <c r="W813" s="18"/>
      <c r="X813" s="18"/>
      <c r="Y813" s="18"/>
      <c r="Z813" s="18"/>
    </row>
    <row r="814" ht="22.5" customHeight="1">
      <c r="A814" s="241">
        <v>46074.0</v>
      </c>
      <c r="B814" s="218" t="s">
        <v>5819</v>
      </c>
      <c r="C814" s="9"/>
      <c r="D814" s="228"/>
      <c r="E814" s="230"/>
      <c r="F814" s="221" t="s">
        <v>96</v>
      </c>
      <c r="G814" s="9" t="s">
        <v>5820</v>
      </c>
      <c r="H814" s="234">
        <v>46076.0</v>
      </c>
      <c r="I814" s="232"/>
      <c r="J814" s="9"/>
      <c r="K814" s="18"/>
      <c r="L814" s="18"/>
      <c r="M814" s="18"/>
      <c r="N814" s="18"/>
      <c r="O814" s="18"/>
      <c r="P814" s="18"/>
      <c r="Q814" s="18"/>
      <c r="R814" s="18"/>
      <c r="S814" s="18"/>
      <c r="T814" s="18"/>
      <c r="U814" s="18"/>
      <c r="V814" s="18"/>
      <c r="W814" s="18"/>
      <c r="X814" s="18"/>
      <c r="Y814" s="18"/>
      <c r="Z814" s="18"/>
    </row>
    <row r="815" ht="22.5" customHeight="1">
      <c r="A815" s="241">
        <v>46074.0</v>
      </c>
      <c r="B815" s="218" t="s">
        <v>5821</v>
      </c>
      <c r="C815" s="9"/>
      <c r="D815" s="228" t="s">
        <v>5822</v>
      </c>
      <c r="E815" s="230">
        <v>8.639727263E9</v>
      </c>
      <c r="F815" s="221" t="s">
        <v>3853</v>
      </c>
      <c r="G815" s="9" t="s">
        <v>5823</v>
      </c>
      <c r="H815" s="234">
        <v>46076.0</v>
      </c>
      <c r="I815" s="232"/>
      <c r="J815" s="79" t="s">
        <v>5824</v>
      </c>
      <c r="K815" s="242"/>
      <c r="L815" s="242"/>
      <c r="M815" s="242"/>
      <c r="N815" s="242"/>
      <c r="O815" s="242"/>
      <c r="P815" s="242"/>
      <c r="Q815" s="242"/>
      <c r="R815" s="242"/>
      <c r="S815" s="242"/>
      <c r="T815" s="242"/>
      <c r="U815" s="242"/>
      <c r="V815" s="242"/>
      <c r="W815" s="242"/>
      <c r="X815" s="242"/>
      <c r="Y815" s="242"/>
      <c r="Z815" s="242"/>
    </row>
    <row r="816" ht="22.5" customHeight="1">
      <c r="A816" s="241">
        <v>46074.0</v>
      </c>
      <c r="B816" s="218" t="s">
        <v>5825</v>
      </c>
      <c r="C816" s="9"/>
      <c r="D816" s="228"/>
      <c r="E816" s="230"/>
      <c r="F816" s="221" t="s">
        <v>1919</v>
      </c>
      <c r="G816" s="9" t="s">
        <v>5826</v>
      </c>
      <c r="H816" s="234">
        <v>46076.0</v>
      </c>
      <c r="I816" s="232"/>
      <c r="J816" s="243" t="s">
        <v>5827</v>
      </c>
      <c r="K816" s="242"/>
      <c r="L816" s="242"/>
      <c r="M816" s="242"/>
      <c r="N816" s="242"/>
      <c r="O816" s="242"/>
      <c r="P816" s="242"/>
      <c r="Q816" s="242"/>
      <c r="R816" s="242"/>
      <c r="S816" s="242"/>
      <c r="T816" s="242"/>
      <c r="U816" s="242"/>
      <c r="V816" s="242"/>
      <c r="W816" s="242"/>
      <c r="X816" s="242"/>
      <c r="Y816" s="242"/>
      <c r="Z816" s="242"/>
    </row>
    <row r="817" ht="22.5" customHeight="1">
      <c r="A817" s="241">
        <v>46074.0</v>
      </c>
      <c r="B817" s="218" t="s">
        <v>5828</v>
      </c>
      <c r="C817" s="9"/>
      <c r="D817" s="228" t="s">
        <v>5829</v>
      </c>
      <c r="E817" s="230"/>
      <c r="F817" s="221" t="s">
        <v>96</v>
      </c>
      <c r="G817" s="9" t="s">
        <v>5830</v>
      </c>
      <c r="H817" s="234">
        <v>46078.0</v>
      </c>
      <c r="I817" s="232"/>
      <c r="J817" s="9"/>
      <c r="K817" s="18"/>
      <c r="L817" s="18"/>
      <c r="M817" s="18"/>
      <c r="N817" s="18"/>
      <c r="O817" s="18"/>
      <c r="P817" s="18"/>
      <c r="Q817" s="18"/>
      <c r="R817" s="18"/>
      <c r="S817" s="18"/>
      <c r="T817" s="18"/>
      <c r="U817" s="18"/>
      <c r="V817" s="18"/>
      <c r="W817" s="18"/>
      <c r="X817" s="18"/>
      <c r="Y817" s="18"/>
      <c r="Z817" s="18"/>
    </row>
    <row r="818" ht="22.5" customHeight="1">
      <c r="A818" s="241">
        <v>46074.0</v>
      </c>
      <c r="B818" s="218" t="s">
        <v>5831</v>
      </c>
      <c r="C818" s="9"/>
      <c r="D818" s="9" t="s">
        <v>5832</v>
      </c>
      <c r="E818" s="230">
        <v>9.502752106E9</v>
      </c>
      <c r="F818" s="221" t="s">
        <v>3853</v>
      </c>
      <c r="G818" s="9" t="s">
        <v>5833</v>
      </c>
      <c r="H818" s="234"/>
      <c r="I818" s="232"/>
      <c r="J818" s="9" t="s">
        <v>5834</v>
      </c>
      <c r="K818" s="18"/>
      <c r="L818" s="18"/>
      <c r="M818" s="18"/>
      <c r="N818" s="18"/>
      <c r="O818" s="18"/>
      <c r="P818" s="18"/>
      <c r="Q818" s="18"/>
      <c r="R818" s="18"/>
      <c r="S818" s="18"/>
      <c r="T818" s="18"/>
      <c r="U818" s="18"/>
      <c r="V818" s="18"/>
      <c r="W818" s="18"/>
      <c r="X818" s="18"/>
      <c r="Y818" s="18"/>
      <c r="Z818" s="18"/>
    </row>
    <row r="819" ht="22.5" customHeight="1">
      <c r="A819" s="241">
        <v>46074.0</v>
      </c>
      <c r="B819" s="218" t="s">
        <v>5835</v>
      </c>
      <c r="C819" s="9"/>
      <c r="D819" s="228"/>
      <c r="E819" s="230">
        <v>6.30959061E9</v>
      </c>
      <c r="F819" s="221" t="s">
        <v>96</v>
      </c>
      <c r="G819" s="15" t="s">
        <v>5836</v>
      </c>
      <c r="H819" s="234"/>
      <c r="I819" s="232"/>
      <c r="J819" s="140" t="s">
        <v>5837</v>
      </c>
      <c r="K819" s="18"/>
      <c r="L819" s="18"/>
      <c r="M819" s="18"/>
      <c r="N819" s="18"/>
      <c r="O819" s="18"/>
      <c r="P819" s="18"/>
      <c r="Q819" s="18"/>
      <c r="R819" s="18"/>
      <c r="S819" s="18"/>
      <c r="T819" s="18"/>
      <c r="U819" s="18"/>
      <c r="V819" s="18"/>
      <c r="W819" s="18"/>
      <c r="X819" s="18"/>
      <c r="Y819" s="18"/>
      <c r="Z819" s="18"/>
    </row>
    <row r="820" ht="22.5" customHeight="1">
      <c r="A820" s="241">
        <v>46074.0</v>
      </c>
      <c r="B820" s="218" t="s">
        <v>887</v>
      </c>
      <c r="C820" s="9"/>
      <c r="D820" s="228"/>
      <c r="E820" s="230">
        <v>8.121749748E9</v>
      </c>
      <c r="F820" s="221" t="s">
        <v>3853</v>
      </c>
      <c r="G820" s="9" t="s">
        <v>5838</v>
      </c>
      <c r="H820" s="234"/>
      <c r="I820" s="232"/>
      <c r="J820" s="9" t="s">
        <v>5839</v>
      </c>
      <c r="K820" s="18"/>
      <c r="L820" s="18"/>
      <c r="M820" s="18"/>
      <c r="N820" s="18"/>
      <c r="O820" s="18"/>
      <c r="P820" s="18"/>
      <c r="Q820" s="18"/>
      <c r="R820" s="18"/>
      <c r="S820" s="18"/>
      <c r="T820" s="18"/>
      <c r="U820" s="18"/>
      <c r="V820" s="18"/>
      <c r="W820" s="18"/>
      <c r="X820" s="18"/>
      <c r="Y820" s="18"/>
      <c r="Z820" s="18"/>
    </row>
    <row r="821" ht="22.5" customHeight="1">
      <c r="A821" s="241">
        <v>46074.0</v>
      </c>
      <c r="B821" s="15" t="s">
        <v>5840</v>
      </c>
      <c r="C821" s="9"/>
      <c r="D821" s="228"/>
      <c r="E821" s="230"/>
      <c r="F821" s="221" t="s">
        <v>241</v>
      </c>
      <c r="G821" s="9" t="s">
        <v>3862</v>
      </c>
      <c r="H821" s="234"/>
      <c r="I821" s="232"/>
      <c r="J821" s="9" t="s">
        <v>5841</v>
      </c>
      <c r="K821" s="18"/>
      <c r="L821" s="18"/>
      <c r="M821" s="18"/>
      <c r="N821" s="18"/>
      <c r="O821" s="18"/>
      <c r="P821" s="18"/>
      <c r="Q821" s="18"/>
      <c r="R821" s="18"/>
      <c r="S821" s="18"/>
      <c r="T821" s="18"/>
      <c r="U821" s="18"/>
      <c r="V821" s="18"/>
      <c r="W821" s="18"/>
      <c r="X821" s="18"/>
      <c r="Y821" s="18"/>
      <c r="Z821" s="18"/>
    </row>
    <row r="822" ht="22.5" customHeight="1">
      <c r="A822" s="241">
        <v>46074.0</v>
      </c>
      <c r="B822" s="218" t="s">
        <v>5842</v>
      </c>
      <c r="C822" s="9"/>
      <c r="D822" s="228"/>
      <c r="E822" s="230"/>
      <c r="F822" s="221" t="s">
        <v>241</v>
      </c>
      <c r="G822" s="9" t="s">
        <v>3862</v>
      </c>
      <c r="H822" s="234"/>
      <c r="I822" s="232"/>
      <c r="J822" s="9"/>
      <c r="K822" s="18"/>
      <c r="L822" s="18"/>
      <c r="M822" s="18"/>
      <c r="N822" s="18"/>
      <c r="O822" s="18"/>
      <c r="P822" s="18"/>
      <c r="Q822" s="18"/>
      <c r="R822" s="18"/>
      <c r="S822" s="18"/>
      <c r="T822" s="18"/>
      <c r="U822" s="18"/>
      <c r="V822" s="18"/>
      <c r="W822" s="18"/>
      <c r="X822" s="18"/>
      <c r="Y822" s="18"/>
      <c r="Z822" s="18"/>
    </row>
    <row r="823" ht="22.5" customHeight="1">
      <c r="A823" s="241">
        <v>46074.0</v>
      </c>
      <c r="B823" s="218" t="s">
        <v>5843</v>
      </c>
      <c r="C823" s="9"/>
      <c r="D823" s="228"/>
      <c r="E823" s="230"/>
      <c r="F823" s="221" t="s">
        <v>241</v>
      </c>
      <c r="G823" s="9" t="s">
        <v>3862</v>
      </c>
      <c r="H823" s="234"/>
      <c r="I823" s="232"/>
      <c r="J823" s="9"/>
      <c r="K823" s="18"/>
      <c r="L823" s="18"/>
      <c r="M823" s="18"/>
      <c r="N823" s="18"/>
      <c r="O823" s="18"/>
      <c r="P823" s="18"/>
      <c r="Q823" s="18"/>
      <c r="R823" s="18"/>
      <c r="S823" s="18"/>
      <c r="T823" s="18"/>
      <c r="U823" s="18"/>
      <c r="V823" s="18"/>
      <c r="W823" s="18"/>
      <c r="X823" s="18"/>
      <c r="Y823" s="18"/>
      <c r="Z823" s="18"/>
    </row>
    <row r="824" ht="22.5" customHeight="1">
      <c r="A824" s="241">
        <v>46074.0</v>
      </c>
      <c r="B824" s="218" t="s">
        <v>5844</v>
      </c>
      <c r="C824" s="9"/>
      <c r="D824" s="228"/>
      <c r="E824" s="230"/>
      <c r="F824" s="221" t="s">
        <v>241</v>
      </c>
      <c r="G824" s="9" t="s">
        <v>3862</v>
      </c>
      <c r="H824" s="234"/>
      <c r="I824" s="232"/>
      <c r="J824" s="9"/>
      <c r="K824" s="18"/>
      <c r="L824" s="18"/>
      <c r="M824" s="18"/>
      <c r="N824" s="18"/>
      <c r="O824" s="18"/>
      <c r="P824" s="18"/>
      <c r="Q824" s="18"/>
      <c r="R824" s="18"/>
      <c r="S824" s="18"/>
      <c r="T824" s="18"/>
      <c r="U824" s="18"/>
      <c r="V824" s="18"/>
      <c r="W824" s="18"/>
      <c r="X824" s="18"/>
      <c r="Y824" s="18"/>
      <c r="Z824" s="18"/>
    </row>
    <row r="825" ht="22.5" customHeight="1">
      <c r="A825" s="241">
        <v>46074.0</v>
      </c>
      <c r="B825" s="218" t="s">
        <v>5845</v>
      </c>
      <c r="C825" s="9"/>
      <c r="D825" s="228"/>
      <c r="E825" s="230">
        <v>8.125178871E9</v>
      </c>
      <c r="F825" s="221" t="s">
        <v>3853</v>
      </c>
      <c r="G825" s="9" t="s">
        <v>5846</v>
      </c>
      <c r="H825" s="234">
        <v>46078.0</v>
      </c>
      <c r="I825" s="232"/>
      <c r="J825" s="9" t="s">
        <v>5847</v>
      </c>
      <c r="K825" s="18"/>
      <c r="L825" s="18"/>
      <c r="M825" s="18"/>
      <c r="N825" s="18"/>
      <c r="O825" s="18"/>
      <c r="P825" s="18"/>
      <c r="Q825" s="18"/>
      <c r="R825" s="18"/>
      <c r="S825" s="18"/>
      <c r="T825" s="18"/>
      <c r="U825" s="18"/>
      <c r="V825" s="18"/>
      <c r="W825" s="18"/>
      <c r="X825" s="18"/>
      <c r="Y825" s="18"/>
      <c r="Z825" s="18"/>
    </row>
    <row r="826" ht="22.5" customHeight="1">
      <c r="A826" s="241">
        <v>46074.0</v>
      </c>
      <c r="B826" s="218" t="s">
        <v>5848</v>
      </c>
      <c r="C826" s="9"/>
      <c r="D826" s="228" t="s">
        <v>5849</v>
      </c>
      <c r="E826" s="214">
        <f>916284003952</f>
        <v>916284003952</v>
      </c>
      <c r="F826" s="221" t="s">
        <v>3853</v>
      </c>
      <c r="G826" s="9" t="s">
        <v>5850</v>
      </c>
      <c r="H826" s="234"/>
      <c r="I826" s="232"/>
      <c r="J826" s="9" t="s">
        <v>5847</v>
      </c>
      <c r="K826" s="18"/>
      <c r="L826" s="18"/>
      <c r="M826" s="18"/>
      <c r="N826" s="18"/>
      <c r="O826" s="18"/>
      <c r="P826" s="18"/>
      <c r="Q826" s="18"/>
      <c r="R826" s="18"/>
      <c r="S826" s="18"/>
      <c r="T826" s="18"/>
      <c r="U826" s="18"/>
      <c r="V826" s="18"/>
      <c r="W826" s="18"/>
      <c r="X826" s="18"/>
      <c r="Y826" s="18"/>
      <c r="Z826" s="18"/>
    </row>
    <row r="827" ht="22.5" customHeight="1">
      <c r="A827" s="244">
        <v>46076.0</v>
      </c>
      <c r="B827" s="218" t="s">
        <v>5851</v>
      </c>
      <c r="C827" s="9"/>
      <c r="D827" s="228" t="s">
        <v>5852</v>
      </c>
      <c r="E827" s="215"/>
      <c r="F827" s="221" t="s">
        <v>241</v>
      </c>
      <c r="G827" s="9" t="s">
        <v>5853</v>
      </c>
      <c r="H827" s="234"/>
      <c r="I827" s="232"/>
      <c r="J827" s="9" t="s">
        <v>5854</v>
      </c>
      <c r="K827" s="18"/>
      <c r="L827" s="18"/>
      <c r="M827" s="18"/>
      <c r="N827" s="18"/>
      <c r="O827" s="18"/>
      <c r="P827" s="18"/>
      <c r="Q827" s="18"/>
      <c r="R827" s="18"/>
      <c r="S827" s="18"/>
      <c r="T827" s="18"/>
      <c r="U827" s="18"/>
      <c r="V827" s="18"/>
      <c r="W827" s="18"/>
      <c r="X827" s="18"/>
      <c r="Y827" s="18"/>
      <c r="Z827" s="18"/>
    </row>
    <row r="828" ht="22.5" customHeight="1">
      <c r="A828" s="244">
        <v>46076.0</v>
      </c>
      <c r="B828" s="218" t="s">
        <v>5855</v>
      </c>
      <c r="C828" s="9"/>
      <c r="D828" s="228" t="s">
        <v>5856</v>
      </c>
      <c r="E828" s="216">
        <v>8.121825518E9</v>
      </c>
      <c r="F828" s="221" t="s">
        <v>241</v>
      </c>
      <c r="G828" s="9" t="s">
        <v>5857</v>
      </c>
      <c r="H828" s="234"/>
      <c r="I828" s="232"/>
      <c r="J828" s="9" t="s">
        <v>5858</v>
      </c>
      <c r="K828" s="18"/>
      <c r="L828" s="18"/>
      <c r="M828" s="18"/>
      <c r="N828" s="18"/>
      <c r="O828" s="18"/>
      <c r="P828" s="18"/>
      <c r="Q828" s="18"/>
      <c r="R828" s="18"/>
      <c r="S828" s="18"/>
      <c r="T828" s="18"/>
      <c r="U828" s="18"/>
      <c r="V828" s="18"/>
      <c r="W828" s="18"/>
      <c r="X828" s="18"/>
      <c r="Y828" s="18"/>
      <c r="Z828" s="18"/>
    </row>
    <row r="829" ht="22.5" customHeight="1">
      <c r="A829" s="244">
        <v>46076.0</v>
      </c>
      <c r="B829" s="218" t="s">
        <v>5859</v>
      </c>
      <c r="C829" s="228" t="s">
        <v>5860</v>
      </c>
      <c r="E829" s="216"/>
      <c r="F829" s="221" t="s">
        <v>73</v>
      </c>
      <c r="G829" s="9" t="s">
        <v>5861</v>
      </c>
      <c r="H829" s="234"/>
      <c r="I829" s="232"/>
      <c r="J829" s="9"/>
      <c r="K829" s="18"/>
      <c r="L829" s="18"/>
      <c r="M829" s="18"/>
      <c r="N829" s="18"/>
      <c r="O829" s="18"/>
      <c r="P829" s="18"/>
      <c r="Q829" s="18"/>
      <c r="R829" s="18"/>
      <c r="S829" s="18"/>
      <c r="T829" s="18"/>
      <c r="U829" s="18"/>
      <c r="V829" s="18"/>
      <c r="W829" s="18"/>
      <c r="X829" s="18"/>
      <c r="Y829" s="18"/>
      <c r="Z829" s="18"/>
    </row>
    <row r="830" ht="22.5" customHeight="1">
      <c r="A830" s="244">
        <v>46076.0</v>
      </c>
      <c r="B830" s="218" t="s">
        <v>5862</v>
      </c>
      <c r="C830" s="228" t="s">
        <v>5860</v>
      </c>
      <c r="E830" s="216"/>
      <c r="F830" s="221" t="s">
        <v>73</v>
      </c>
      <c r="G830" s="9" t="s">
        <v>5861</v>
      </c>
      <c r="H830" s="234"/>
      <c r="I830" s="232"/>
      <c r="J830" s="9"/>
      <c r="K830" s="18"/>
      <c r="L830" s="18"/>
      <c r="M830" s="18"/>
      <c r="N830" s="18"/>
      <c r="O830" s="18"/>
      <c r="P830" s="18"/>
      <c r="Q830" s="18"/>
      <c r="R830" s="18"/>
      <c r="S830" s="18"/>
      <c r="T830" s="18"/>
      <c r="U830" s="18"/>
      <c r="V830" s="18"/>
      <c r="W830" s="18"/>
      <c r="X830" s="18"/>
      <c r="Y830" s="18"/>
      <c r="Z830" s="18"/>
    </row>
    <row r="831" ht="22.5" customHeight="1">
      <c r="A831" s="244">
        <v>46076.0</v>
      </c>
      <c r="B831" s="218" t="s">
        <v>5863</v>
      </c>
      <c r="C831" s="9"/>
      <c r="D831" s="218" t="s">
        <v>5864</v>
      </c>
      <c r="E831" s="220">
        <v>8.686943703E9</v>
      </c>
      <c r="F831" s="221" t="s">
        <v>241</v>
      </c>
      <c r="G831" s="218" t="s">
        <v>5865</v>
      </c>
      <c r="H831" s="234"/>
      <c r="I831" s="232"/>
      <c r="J831" s="9" t="s">
        <v>5866</v>
      </c>
      <c r="K831" s="18"/>
      <c r="L831" s="18"/>
      <c r="M831" s="18"/>
      <c r="N831" s="18"/>
      <c r="O831" s="18"/>
      <c r="P831" s="18"/>
      <c r="Q831" s="18"/>
      <c r="R831" s="18"/>
      <c r="S831" s="18"/>
      <c r="T831" s="18"/>
      <c r="U831" s="18"/>
      <c r="V831" s="18"/>
      <c r="W831" s="18"/>
      <c r="X831" s="18"/>
      <c r="Y831" s="18"/>
      <c r="Z831" s="18"/>
    </row>
    <row r="832" ht="22.5" customHeight="1">
      <c r="A832" s="244">
        <v>46076.0</v>
      </c>
      <c r="B832" s="218" t="s">
        <v>5867</v>
      </c>
      <c r="C832" s="9"/>
      <c r="D832" s="228" t="s">
        <v>5868</v>
      </c>
      <c r="E832" s="220">
        <v>9.700112955E9</v>
      </c>
      <c r="F832" s="221" t="s">
        <v>241</v>
      </c>
      <c r="G832" s="9" t="s">
        <v>5869</v>
      </c>
      <c r="H832" s="234"/>
      <c r="I832" s="232"/>
      <c r="J832" s="9" t="s">
        <v>5870</v>
      </c>
      <c r="K832" s="18"/>
      <c r="L832" s="18"/>
      <c r="M832" s="18"/>
      <c r="N832" s="18"/>
      <c r="O832" s="18"/>
      <c r="P832" s="18"/>
      <c r="Q832" s="18"/>
      <c r="R832" s="18"/>
      <c r="S832" s="18"/>
      <c r="T832" s="18"/>
      <c r="U832" s="18"/>
      <c r="V832" s="18"/>
      <c r="W832" s="18"/>
      <c r="X832" s="18"/>
      <c r="Y832" s="18"/>
      <c r="Z832" s="18"/>
    </row>
    <row r="833" ht="22.5" customHeight="1">
      <c r="A833" s="244">
        <v>46076.0</v>
      </c>
      <c r="B833" s="218" t="s">
        <v>5871</v>
      </c>
      <c r="C833" s="9"/>
      <c r="D833" s="228"/>
      <c r="E833" s="215"/>
      <c r="F833" s="221" t="s">
        <v>73</v>
      </c>
      <c r="G833" s="218" t="s">
        <v>5872</v>
      </c>
      <c r="H833" s="234"/>
      <c r="I833" s="232"/>
      <c r="J833" s="9" t="s">
        <v>5873</v>
      </c>
      <c r="K833" s="18"/>
      <c r="L833" s="18"/>
      <c r="M833" s="18"/>
      <c r="N833" s="18"/>
      <c r="O833" s="18"/>
      <c r="P833" s="18"/>
      <c r="Q833" s="18"/>
      <c r="R833" s="18"/>
      <c r="S833" s="18"/>
      <c r="T833" s="18"/>
      <c r="U833" s="18"/>
      <c r="V833" s="18"/>
      <c r="W833" s="18"/>
      <c r="X833" s="18"/>
      <c r="Y833" s="18"/>
      <c r="Z833" s="18"/>
    </row>
    <row r="834" ht="22.5" customHeight="1">
      <c r="A834" s="244">
        <v>46076.0</v>
      </c>
      <c r="B834" s="218" t="s">
        <v>5874</v>
      </c>
      <c r="C834" s="9"/>
      <c r="D834" s="228"/>
      <c r="E834" s="215"/>
      <c r="F834" s="221" t="s">
        <v>45</v>
      </c>
      <c r="G834" s="218" t="s">
        <v>5875</v>
      </c>
      <c r="H834" s="234">
        <v>46076.0</v>
      </c>
      <c r="I834" s="232">
        <v>0.5416666666666666</v>
      </c>
      <c r="J834" s="9" t="s">
        <v>5876</v>
      </c>
      <c r="K834" s="18"/>
      <c r="L834" s="18"/>
      <c r="M834" s="18"/>
      <c r="N834" s="18"/>
      <c r="O834" s="18"/>
      <c r="P834" s="18"/>
      <c r="Q834" s="18"/>
      <c r="R834" s="18"/>
      <c r="S834" s="18"/>
      <c r="T834" s="18"/>
      <c r="U834" s="18"/>
      <c r="V834" s="18"/>
      <c r="W834" s="18"/>
      <c r="X834" s="18"/>
      <c r="Y834" s="18"/>
      <c r="Z834" s="18"/>
    </row>
    <row r="835" ht="22.5" customHeight="1">
      <c r="A835" s="244">
        <v>46076.0</v>
      </c>
      <c r="B835" s="218" t="s">
        <v>5877</v>
      </c>
      <c r="C835" s="9"/>
      <c r="D835" s="228"/>
      <c r="E835" s="215"/>
      <c r="F835" s="221" t="s">
        <v>45</v>
      </c>
      <c r="G835" s="218" t="s">
        <v>5878</v>
      </c>
      <c r="H835" s="234">
        <v>46076.0</v>
      </c>
      <c r="I835" s="232">
        <v>0.5833333333333334</v>
      </c>
      <c r="J835" s="9" t="s">
        <v>5879</v>
      </c>
      <c r="K835" s="18"/>
      <c r="L835" s="18"/>
      <c r="M835" s="18"/>
      <c r="N835" s="18"/>
      <c r="O835" s="18"/>
      <c r="P835" s="18"/>
      <c r="Q835" s="18"/>
      <c r="R835" s="18"/>
      <c r="S835" s="18"/>
      <c r="T835" s="18"/>
      <c r="U835" s="18"/>
      <c r="V835" s="18"/>
      <c r="W835" s="18"/>
      <c r="X835" s="18"/>
      <c r="Y835" s="18"/>
      <c r="Z835" s="18"/>
    </row>
    <row r="836" ht="22.5" customHeight="1">
      <c r="A836" s="244">
        <v>46076.0</v>
      </c>
      <c r="B836" s="218" t="s">
        <v>5880</v>
      </c>
      <c r="C836" s="9"/>
      <c r="D836" s="228" t="s">
        <v>5881</v>
      </c>
      <c r="E836" s="216">
        <v>9.177712111E9</v>
      </c>
      <c r="F836" s="221" t="s">
        <v>1919</v>
      </c>
      <c r="G836" s="9" t="s">
        <v>5882</v>
      </c>
      <c r="H836" s="234">
        <v>46076.0</v>
      </c>
      <c r="I836" s="232">
        <v>0.6666666666666666</v>
      </c>
      <c r="J836" s="245" t="s">
        <v>5883</v>
      </c>
      <c r="K836" s="246"/>
      <c r="L836" s="246"/>
      <c r="M836" s="246"/>
      <c r="N836" s="246"/>
      <c r="O836" s="246"/>
      <c r="P836" s="246"/>
      <c r="Q836" s="246"/>
      <c r="R836" s="246"/>
      <c r="S836" s="246"/>
      <c r="T836" s="246"/>
      <c r="U836" s="246"/>
      <c r="V836" s="246"/>
      <c r="W836" s="246"/>
      <c r="X836" s="246"/>
      <c r="Y836" s="246"/>
      <c r="Z836" s="246"/>
    </row>
    <row r="837" ht="22.5" customHeight="1">
      <c r="A837" s="244">
        <v>46076.0</v>
      </c>
      <c r="B837" s="218" t="s">
        <v>5884</v>
      </c>
      <c r="C837" s="9"/>
      <c r="D837" s="228" t="s">
        <v>5885</v>
      </c>
      <c r="E837" s="216">
        <v>8.886775599E9</v>
      </c>
      <c r="F837" s="221" t="s">
        <v>73</v>
      </c>
      <c r="G837" s="9" t="s">
        <v>5886</v>
      </c>
      <c r="H837" s="234">
        <v>46077.0</v>
      </c>
      <c r="I837" s="232"/>
      <c r="J837" s="9" t="s">
        <v>5887</v>
      </c>
      <c r="K837" s="18"/>
      <c r="L837" s="18"/>
      <c r="M837" s="18"/>
      <c r="N837" s="18"/>
      <c r="O837" s="18"/>
      <c r="P837" s="18"/>
      <c r="Q837" s="18"/>
      <c r="R837" s="18"/>
      <c r="S837" s="18"/>
      <c r="T837" s="18"/>
      <c r="U837" s="18"/>
      <c r="V837" s="18"/>
      <c r="W837" s="18"/>
      <c r="X837" s="18"/>
      <c r="Y837" s="18"/>
      <c r="Z837" s="18"/>
    </row>
    <row r="838" ht="22.5" customHeight="1">
      <c r="A838" s="244">
        <v>46076.0</v>
      </c>
      <c r="B838" s="218" t="s">
        <v>5888</v>
      </c>
      <c r="C838" s="9"/>
      <c r="D838" s="228"/>
      <c r="E838" s="220">
        <v>9.494569463E9</v>
      </c>
      <c r="F838" s="221" t="s">
        <v>45</v>
      </c>
      <c r="G838" s="218" t="s">
        <v>5889</v>
      </c>
      <c r="H838" s="234"/>
      <c r="I838" s="232"/>
      <c r="J838" s="9" t="s">
        <v>5890</v>
      </c>
      <c r="K838" s="18"/>
      <c r="L838" s="18"/>
      <c r="M838" s="18"/>
      <c r="N838" s="18"/>
      <c r="O838" s="18"/>
      <c r="P838" s="18"/>
      <c r="Q838" s="18"/>
      <c r="R838" s="18"/>
      <c r="S838" s="18"/>
      <c r="T838" s="18"/>
      <c r="U838" s="18"/>
      <c r="V838" s="18"/>
      <c r="W838" s="18"/>
      <c r="X838" s="18"/>
      <c r="Y838" s="18"/>
      <c r="Z838" s="18"/>
    </row>
    <row r="839" ht="22.5" customHeight="1">
      <c r="A839" s="244">
        <v>46076.0</v>
      </c>
      <c r="B839" s="218" t="s">
        <v>5891</v>
      </c>
      <c r="C839" s="9"/>
      <c r="D839" s="228" t="s">
        <v>5892</v>
      </c>
      <c r="E839" s="215"/>
      <c r="F839" s="221" t="s">
        <v>3857</v>
      </c>
      <c r="G839" s="218" t="s">
        <v>5528</v>
      </c>
      <c r="H839" s="234">
        <v>46076.0</v>
      </c>
      <c r="I839" s="232">
        <v>0.6666666666666666</v>
      </c>
      <c r="J839" s="9" t="s">
        <v>5893</v>
      </c>
      <c r="K839" s="18"/>
      <c r="L839" s="18"/>
      <c r="M839" s="18"/>
      <c r="N839" s="18"/>
      <c r="O839" s="18"/>
      <c r="P839" s="18"/>
      <c r="Q839" s="18"/>
      <c r="R839" s="18"/>
      <c r="S839" s="18"/>
      <c r="T839" s="18"/>
      <c r="U839" s="18"/>
      <c r="V839" s="18"/>
      <c r="W839" s="18"/>
      <c r="X839" s="18"/>
      <c r="Y839" s="18"/>
      <c r="Z839" s="18"/>
    </row>
    <row r="840" ht="22.5" customHeight="1">
      <c r="A840" s="244">
        <v>46076.0</v>
      </c>
      <c r="B840" s="218" t="s">
        <v>5894</v>
      </c>
      <c r="C840" s="9"/>
      <c r="D840" s="228" t="s">
        <v>5895</v>
      </c>
      <c r="E840" s="216">
        <v>7.995546937E9</v>
      </c>
      <c r="F840" s="221" t="s">
        <v>73</v>
      </c>
      <c r="G840" s="218" t="s">
        <v>5896</v>
      </c>
      <c r="H840" s="234">
        <v>46076.0</v>
      </c>
      <c r="I840" s="232">
        <v>0.5833333333333334</v>
      </c>
      <c r="J840" s="9" t="s">
        <v>5897</v>
      </c>
      <c r="K840" s="18"/>
      <c r="L840" s="18"/>
      <c r="M840" s="18"/>
      <c r="N840" s="18"/>
      <c r="O840" s="18"/>
      <c r="P840" s="18"/>
      <c r="Q840" s="18"/>
      <c r="R840" s="18"/>
      <c r="S840" s="18"/>
      <c r="T840" s="18"/>
      <c r="U840" s="18"/>
      <c r="V840" s="18"/>
      <c r="W840" s="18"/>
      <c r="X840" s="18"/>
      <c r="Y840" s="18"/>
      <c r="Z840" s="18"/>
    </row>
    <row r="841" ht="22.5" customHeight="1">
      <c r="A841" s="244">
        <v>46076.0</v>
      </c>
      <c r="B841" s="15" t="s">
        <v>5898</v>
      </c>
      <c r="C841" s="9"/>
      <c r="D841" s="228"/>
      <c r="E841" s="215"/>
      <c r="F841" s="221" t="s">
        <v>1919</v>
      </c>
      <c r="G841" s="9" t="s">
        <v>5899</v>
      </c>
      <c r="H841" s="234"/>
      <c r="I841" s="232"/>
      <c r="J841" s="140" t="s">
        <v>5900</v>
      </c>
      <c r="K841" s="18"/>
      <c r="L841" s="18"/>
      <c r="M841" s="18"/>
      <c r="N841" s="18"/>
      <c r="O841" s="18"/>
      <c r="P841" s="18"/>
      <c r="Q841" s="18"/>
      <c r="R841" s="18"/>
      <c r="S841" s="18"/>
      <c r="T841" s="18"/>
      <c r="U841" s="18"/>
      <c r="V841" s="18"/>
      <c r="W841" s="18"/>
      <c r="X841" s="18"/>
      <c r="Y841" s="18"/>
      <c r="Z841" s="18"/>
    </row>
    <row r="842" ht="22.5" customHeight="1">
      <c r="A842" s="244">
        <v>46076.0</v>
      </c>
      <c r="B842" s="218" t="s">
        <v>5901</v>
      </c>
      <c r="C842" s="9"/>
      <c r="D842" s="228"/>
      <c r="E842" s="215"/>
      <c r="F842" s="221" t="s">
        <v>45</v>
      </c>
      <c r="G842" s="9" t="s">
        <v>5902</v>
      </c>
      <c r="H842" s="234">
        <v>46076.0</v>
      </c>
      <c r="I842" s="232">
        <v>0.5416666666666666</v>
      </c>
      <c r="J842" s="9" t="s">
        <v>5903</v>
      </c>
      <c r="K842" s="18"/>
      <c r="L842" s="18"/>
      <c r="M842" s="18"/>
      <c r="N842" s="18"/>
      <c r="O842" s="18"/>
      <c r="P842" s="18"/>
      <c r="Q842" s="18"/>
      <c r="R842" s="18"/>
      <c r="S842" s="18"/>
      <c r="T842" s="18"/>
      <c r="U842" s="18"/>
      <c r="V842" s="18"/>
      <c r="W842" s="18"/>
      <c r="X842" s="18"/>
      <c r="Y842" s="18"/>
      <c r="Z842" s="18"/>
    </row>
    <row r="843" ht="22.5" customHeight="1">
      <c r="A843" s="244">
        <v>46076.0</v>
      </c>
      <c r="B843" s="15" t="s">
        <v>5904</v>
      </c>
      <c r="C843" s="9"/>
      <c r="D843" s="228" t="s">
        <v>5905</v>
      </c>
      <c r="E843" s="216">
        <v>9.393316686E9</v>
      </c>
      <c r="F843" s="221" t="s">
        <v>3857</v>
      </c>
      <c r="G843" s="9" t="s">
        <v>5906</v>
      </c>
      <c r="H843" s="234">
        <v>46077.0</v>
      </c>
      <c r="I843" s="232"/>
      <c r="J843" s="9" t="s">
        <v>5907</v>
      </c>
      <c r="K843" s="18"/>
      <c r="L843" s="18"/>
      <c r="M843" s="18"/>
      <c r="N843" s="18"/>
      <c r="O843" s="18"/>
      <c r="P843" s="18"/>
      <c r="Q843" s="18"/>
      <c r="R843" s="18"/>
      <c r="S843" s="18"/>
      <c r="T843" s="18"/>
      <c r="U843" s="18"/>
      <c r="V843" s="18"/>
      <c r="W843" s="18"/>
      <c r="X843" s="18"/>
      <c r="Y843" s="18"/>
      <c r="Z843" s="18"/>
    </row>
    <row r="844" ht="22.5" customHeight="1">
      <c r="A844" s="244">
        <v>46076.0</v>
      </c>
      <c r="B844" s="218" t="s">
        <v>5693</v>
      </c>
      <c r="C844" s="9" t="s">
        <v>2949</v>
      </c>
      <c r="D844" s="228" t="s">
        <v>5908</v>
      </c>
      <c r="E844" s="215"/>
      <c r="F844" s="221" t="s">
        <v>1919</v>
      </c>
      <c r="G844" s="9" t="s">
        <v>5909</v>
      </c>
      <c r="H844" s="234"/>
      <c r="I844" s="232"/>
      <c r="J844" s="79" t="s">
        <v>5910</v>
      </c>
      <c r="K844" s="242"/>
      <c r="L844" s="242"/>
      <c r="M844" s="242"/>
      <c r="N844" s="242"/>
      <c r="O844" s="242"/>
      <c r="P844" s="242"/>
      <c r="Q844" s="242"/>
      <c r="R844" s="242"/>
      <c r="S844" s="242"/>
      <c r="T844" s="242"/>
      <c r="U844" s="242"/>
      <c r="V844" s="242"/>
      <c r="W844" s="242"/>
      <c r="X844" s="242"/>
      <c r="Y844" s="242"/>
      <c r="Z844" s="242"/>
    </row>
    <row r="845" ht="22.5" customHeight="1">
      <c r="A845" s="244">
        <v>46076.0</v>
      </c>
      <c r="B845" s="218" t="s">
        <v>5911</v>
      </c>
      <c r="C845" s="9"/>
      <c r="D845" s="228" t="s">
        <v>5603</v>
      </c>
      <c r="E845" s="216">
        <v>9.440221946E9</v>
      </c>
      <c r="F845" s="221" t="s">
        <v>3857</v>
      </c>
      <c r="G845" s="9" t="s">
        <v>5912</v>
      </c>
      <c r="H845" s="234">
        <v>46076.0</v>
      </c>
      <c r="I845" s="232">
        <v>0.6458333333333334</v>
      </c>
      <c r="J845" s="79" t="s">
        <v>5913</v>
      </c>
      <c r="K845" s="242"/>
      <c r="L845" s="242"/>
      <c r="M845" s="242"/>
      <c r="N845" s="242"/>
      <c r="O845" s="242"/>
      <c r="P845" s="242"/>
      <c r="Q845" s="242"/>
      <c r="R845" s="242"/>
      <c r="S845" s="242"/>
      <c r="T845" s="242"/>
      <c r="U845" s="242"/>
      <c r="V845" s="242"/>
      <c r="W845" s="242"/>
      <c r="X845" s="242"/>
      <c r="Y845" s="242"/>
      <c r="Z845" s="242"/>
    </row>
    <row r="846" ht="22.5" customHeight="1">
      <c r="A846" s="244">
        <v>46076.0</v>
      </c>
      <c r="B846" s="218" t="s">
        <v>5914</v>
      </c>
      <c r="C846" s="9"/>
      <c r="D846" s="228"/>
      <c r="E846" s="216">
        <v>9.391777337E9</v>
      </c>
      <c r="F846" s="221" t="s">
        <v>3853</v>
      </c>
      <c r="G846" s="9" t="s">
        <v>5915</v>
      </c>
      <c r="H846" s="234">
        <v>46077.0</v>
      </c>
      <c r="I846" s="232"/>
      <c r="J846" s="9" t="s">
        <v>5916</v>
      </c>
      <c r="K846" s="18"/>
      <c r="L846" s="18"/>
      <c r="M846" s="18"/>
      <c r="N846" s="18"/>
      <c r="O846" s="18"/>
      <c r="P846" s="18"/>
      <c r="Q846" s="18"/>
      <c r="R846" s="18"/>
      <c r="S846" s="18"/>
      <c r="T846" s="18"/>
      <c r="U846" s="18"/>
      <c r="V846" s="18"/>
      <c r="W846" s="18"/>
      <c r="X846" s="18"/>
      <c r="Y846" s="18"/>
      <c r="Z846" s="18"/>
    </row>
    <row r="847" ht="22.5" customHeight="1">
      <c r="A847" s="244">
        <v>46076.0</v>
      </c>
      <c r="B847" s="218" t="s">
        <v>5917</v>
      </c>
      <c r="C847" s="9"/>
      <c r="D847" s="228"/>
      <c r="E847" s="215"/>
      <c r="F847" s="221" t="s">
        <v>241</v>
      </c>
      <c r="G847" s="9" t="s">
        <v>5918</v>
      </c>
      <c r="H847" s="234"/>
      <c r="I847" s="232"/>
      <c r="J847" s="9"/>
      <c r="K847" s="18"/>
      <c r="L847" s="18"/>
      <c r="M847" s="18"/>
      <c r="N847" s="18"/>
      <c r="O847" s="18"/>
      <c r="P847" s="18"/>
      <c r="Q847" s="18"/>
      <c r="R847" s="18"/>
      <c r="S847" s="18"/>
      <c r="T847" s="18"/>
      <c r="U847" s="18"/>
      <c r="V847" s="18"/>
      <c r="W847" s="18"/>
      <c r="X847" s="18"/>
      <c r="Y847" s="18"/>
      <c r="Z847" s="18"/>
    </row>
    <row r="848" ht="22.5" customHeight="1">
      <c r="A848" s="244">
        <v>46076.0</v>
      </c>
      <c r="B848" s="218" t="s">
        <v>5919</v>
      </c>
      <c r="C848" s="9"/>
      <c r="D848" s="228"/>
      <c r="E848" s="216">
        <v>7.416151947E9</v>
      </c>
      <c r="F848" s="221" t="s">
        <v>3853</v>
      </c>
      <c r="G848" s="9" t="s">
        <v>5920</v>
      </c>
      <c r="H848" s="234">
        <v>46076.0</v>
      </c>
      <c r="I848" s="232">
        <v>0.5833333333333334</v>
      </c>
      <c r="J848" s="9" t="s">
        <v>5921</v>
      </c>
      <c r="K848" s="18"/>
      <c r="L848" s="18"/>
      <c r="M848" s="18"/>
      <c r="N848" s="18"/>
      <c r="O848" s="18"/>
      <c r="P848" s="18"/>
      <c r="Q848" s="18"/>
      <c r="R848" s="18"/>
      <c r="S848" s="18"/>
      <c r="T848" s="18"/>
      <c r="U848" s="18"/>
      <c r="V848" s="18"/>
      <c r="W848" s="18"/>
      <c r="X848" s="18"/>
      <c r="Y848" s="18"/>
      <c r="Z848" s="18"/>
    </row>
    <row r="849" ht="22.5" customHeight="1">
      <c r="A849" s="244">
        <v>46076.0</v>
      </c>
      <c r="B849" s="218" t="s">
        <v>5922</v>
      </c>
      <c r="C849" s="9"/>
      <c r="D849" s="228"/>
      <c r="E849" s="216">
        <v>9.966440312E9</v>
      </c>
      <c r="F849" s="221" t="s">
        <v>1919</v>
      </c>
      <c r="G849" s="9" t="s">
        <v>5923</v>
      </c>
      <c r="H849" s="234">
        <v>46076.0</v>
      </c>
      <c r="I849" s="232">
        <v>0.625</v>
      </c>
      <c r="J849" s="35" t="s">
        <v>5924</v>
      </c>
      <c r="K849" s="18"/>
      <c r="L849" s="18"/>
      <c r="M849" s="18"/>
      <c r="N849" s="18"/>
      <c r="O849" s="18"/>
      <c r="P849" s="18"/>
      <c r="Q849" s="18"/>
      <c r="R849" s="18"/>
      <c r="S849" s="18"/>
      <c r="T849" s="18"/>
      <c r="U849" s="18"/>
      <c r="V849" s="18"/>
      <c r="W849" s="18"/>
      <c r="X849" s="18"/>
      <c r="Y849" s="18"/>
      <c r="Z849" s="18"/>
    </row>
    <row r="850" ht="22.5" customHeight="1">
      <c r="A850" s="244">
        <v>46076.0</v>
      </c>
      <c r="B850" s="218" t="s">
        <v>5925</v>
      </c>
      <c r="C850" s="9"/>
      <c r="D850" s="228"/>
      <c r="E850" s="215"/>
      <c r="F850" s="221" t="s">
        <v>3853</v>
      </c>
      <c r="G850" s="9" t="s">
        <v>4679</v>
      </c>
      <c r="H850" s="234">
        <v>46076.0</v>
      </c>
      <c r="I850" s="232"/>
      <c r="J850" s="9" t="s">
        <v>5926</v>
      </c>
      <c r="K850" s="18"/>
      <c r="L850" s="18"/>
      <c r="M850" s="18"/>
      <c r="N850" s="18"/>
      <c r="O850" s="18"/>
      <c r="P850" s="18"/>
      <c r="Q850" s="18"/>
      <c r="R850" s="18"/>
      <c r="S850" s="18"/>
      <c r="T850" s="18"/>
      <c r="U850" s="18"/>
      <c r="V850" s="18"/>
      <c r="W850" s="18"/>
      <c r="X850" s="18"/>
      <c r="Y850" s="18"/>
      <c r="Z850" s="18"/>
    </row>
    <row r="851" ht="22.5" customHeight="1">
      <c r="A851" s="244">
        <v>46076.0</v>
      </c>
      <c r="B851" s="218" t="s">
        <v>5927</v>
      </c>
      <c r="C851" s="9"/>
      <c r="D851" s="228" t="s">
        <v>5928</v>
      </c>
      <c r="E851" s="216">
        <v>9.833858958E9</v>
      </c>
      <c r="F851" s="221" t="s">
        <v>241</v>
      </c>
      <c r="G851" s="9" t="s">
        <v>5929</v>
      </c>
      <c r="H851" s="234">
        <v>46077.0</v>
      </c>
      <c r="I851" s="232"/>
      <c r="J851" s="9" t="s">
        <v>5930</v>
      </c>
      <c r="K851" s="18"/>
      <c r="L851" s="18"/>
      <c r="M851" s="18"/>
      <c r="N851" s="18"/>
      <c r="O851" s="18"/>
      <c r="P851" s="18"/>
      <c r="Q851" s="18"/>
      <c r="R851" s="18"/>
      <c r="S851" s="18"/>
      <c r="T851" s="18"/>
      <c r="U851" s="18"/>
      <c r="V851" s="18"/>
      <c r="W851" s="18"/>
      <c r="X851" s="18"/>
      <c r="Y851" s="18"/>
      <c r="Z851" s="18"/>
    </row>
    <row r="852" ht="22.5" customHeight="1">
      <c r="A852" s="244">
        <v>46076.0</v>
      </c>
      <c r="B852" s="218" t="s">
        <v>5931</v>
      </c>
      <c r="C852" s="9"/>
      <c r="D852" s="228" t="s">
        <v>3950</v>
      </c>
      <c r="E852" s="215"/>
      <c r="F852" s="221" t="s">
        <v>3853</v>
      </c>
      <c r="G852" s="9" t="s">
        <v>5932</v>
      </c>
      <c r="H852" s="234">
        <v>46076.0</v>
      </c>
      <c r="I852" s="232">
        <v>0.7916666666666666</v>
      </c>
      <c r="J852" s="9" t="s">
        <v>5933</v>
      </c>
      <c r="K852" s="18"/>
      <c r="L852" s="18"/>
      <c r="M852" s="18"/>
      <c r="N852" s="18"/>
      <c r="O852" s="18"/>
      <c r="P852" s="18"/>
      <c r="Q852" s="18"/>
      <c r="R852" s="18"/>
      <c r="S852" s="18"/>
      <c r="T852" s="18"/>
      <c r="U852" s="18"/>
      <c r="V852" s="18"/>
      <c r="W852" s="18"/>
      <c r="X852" s="18"/>
      <c r="Y852" s="18"/>
      <c r="Z852" s="18"/>
    </row>
    <row r="853" ht="22.5" customHeight="1">
      <c r="A853" s="244">
        <v>46076.0</v>
      </c>
      <c r="B853" s="218" t="s">
        <v>5934</v>
      </c>
      <c r="C853" s="9"/>
      <c r="D853" s="228" t="s">
        <v>5935</v>
      </c>
      <c r="E853" s="216"/>
      <c r="F853" s="221" t="s">
        <v>3857</v>
      </c>
      <c r="G853" s="9" t="s">
        <v>5936</v>
      </c>
      <c r="H853" s="234"/>
      <c r="I853" s="232"/>
      <c r="J853" s="9"/>
      <c r="K853" s="18"/>
      <c r="L853" s="18"/>
      <c r="M853" s="18"/>
      <c r="N853" s="18"/>
      <c r="O853" s="18"/>
      <c r="P853" s="18"/>
      <c r="Q853" s="18"/>
      <c r="R853" s="18"/>
      <c r="S853" s="18"/>
      <c r="T853" s="18"/>
      <c r="U853" s="18"/>
      <c r="V853" s="18"/>
      <c r="W853" s="18"/>
      <c r="X853" s="18"/>
      <c r="Y853" s="18"/>
      <c r="Z853" s="18"/>
    </row>
    <row r="854" ht="22.5" customHeight="1">
      <c r="A854" s="244">
        <v>46076.0</v>
      </c>
      <c r="B854" s="218" t="s">
        <v>4188</v>
      </c>
      <c r="C854" s="9"/>
      <c r="D854" s="228"/>
      <c r="E854" s="215"/>
      <c r="F854" s="221" t="s">
        <v>1919</v>
      </c>
      <c r="G854" s="9" t="s">
        <v>5937</v>
      </c>
      <c r="H854" s="234"/>
      <c r="I854" s="232"/>
      <c r="J854" s="9"/>
      <c r="K854" s="18"/>
      <c r="L854" s="18"/>
      <c r="M854" s="18"/>
      <c r="N854" s="18"/>
      <c r="O854" s="18"/>
      <c r="P854" s="18"/>
      <c r="Q854" s="18"/>
      <c r="R854" s="18"/>
      <c r="S854" s="18"/>
      <c r="T854" s="18"/>
      <c r="U854" s="18"/>
      <c r="V854" s="18"/>
      <c r="W854" s="18"/>
      <c r="X854" s="18"/>
      <c r="Y854" s="18"/>
      <c r="Z854" s="18"/>
    </row>
    <row r="855" ht="22.5" customHeight="1">
      <c r="A855" s="244">
        <v>46076.0</v>
      </c>
      <c r="B855" s="218" t="s">
        <v>5938</v>
      </c>
      <c r="C855" s="9"/>
      <c r="D855" s="218" t="s">
        <v>5939</v>
      </c>
      <c r="E855" s="216">
        <v>7.993021641E9</v>
      </c>
      <c r="F855" s="221" t="s">
        <v>241</v>
      </c>
      <c r="G855" s="9" t="s">
        <v>5940</v>
      </c>
      <c r="H855" s="234"/>
      <c r="I855" s="232"/>
      <c r="J855" s="9" t="s">
        <v>5941</v>
      </c>
      <c r="K855" s="18"/>
      <c r="L855" s="18"/>
      <c r="M855" s="18"/>
      <c r="N855" s="18"/>
      <c r="O855" s="18"/>
      <c r="P855" s="18"/>
      <c r="Q855" s="18"/>
      <c r="R855" s="18"/>
      <c r="S855" s="18"/>
      <c r="T855" s="18"/>
      <c r="U855" s="18"/>
      <c r="V855" s="18"/>
      <c r="W855" s="18"/>
      <c r="X855" s="18"/>
      <c r="Y855" s="18"/>
      <c r="Z855" s="18"/>
    </row>
    <row r="856" ht="22.5" customHeight="1">
      <c r="A856" s="244">
        <v>46076.0</v>
      </c>
      <c r="B856" s="15" t="s">
        <v>5942</v>
      </c>
      <c r="C856" s="9"/>
      <c r="D856" s="228"/>
      <c r="E856" s="215"/>
      <c r="F856" s="221" t="s">
        <v>73</v>
      </c>
      <c r="G856" s="9" t="s">
        <v>5943</v>
      </c>
      <c r="H856" s="234"/>
      <c r="I856" s="232"/>
      <c r="J856" s="9" t="s">
        <v>5944</v>
      </c>
      <c r="K856" s="18"/>
      <c r="L856" s="18"/>
      <c r="M856" s="18"/>
      <c r="N856" s="18"/>
      <c r="O856" s="18"/>
      <c r="P856" s="18"/>
      <c r="Q856" s="18"/>
      <c r="R856" s="18"/>
      <c r="S856" s="18"/>
      <c r="T856" s="18"/>
      <c r="U856" s="18"/>
      <c r="V856" s="18"/>
      <c r="W856" s="18"/>
      <c r="X856" s="18"/>
      <c r="Y856" s="18"/>
      <c r="Z856" s="18"/>
    </row>
    <row r="857" ht="22.5" customHeight="1">
      <c r="A857" s="244">
        <v>46076.0</v>
      </c>
      <c r="B857" s="218" t="s">
        <v>5945</v>
      </c>
      <c r="C857" s="9"/>
      <c r="D857" s="228"/>
      <c r="E857" s="215"/>
      <c r="F857" s="221" t="s">
        <v>241</v>
      </c>
      <c r="G857" s="9" t="s">
        <v>5946</v>
      </c>
      <c r="H857" s="234"/>
      <c r="I857" s="232"/>
      <c r="J857" s="9"/>
      <c r="K857" s="18"/>
      <c r="L857" s="18"/>
      <c r="M857" s="18"/>
      <c r="N857" s="18"/>
      <c r="O857" s="18"/>
      <c r="P857" s="18"/>
      <c r="Q857" s="18"/>
      <c r="R857" s="18"/>
      <c r="S857" s="18"/>
      <c r="T857" s="18"/>
      <c r="U857" s="18"/>
      <c r="V857" s="18"/>
      <c r="W857" s="18"/>
      <c r="X857" s="18"/>
      <c r="Y857" s="18"/>
      <c r="Z857" s="18"/>
    </row>
    <row r="858" ht="22.5" customHeight="1">
      <c r="A858" s="244">
        <v>46076.0</v>
      </c>
      <c r="B858" s="218" t="s">
        <v>5947</v>
      </c>
      <c r="C858" s="9"/>
      <c r="D858" s="228" t="s">
        <v>5948</v>
      </c>
      <c r="E858" s="216">
        <v>9.030079776E9</v>
      </c>
      <c r="F858" s="221" t="s">
        <v>3857</v>
      </c>
      <c r="G858" s="9" t="s">
        <v>5949</v>
      </c>
      <c r="H858" s="234">
        <v>46076.0</v>
      </c>
      <c r="I858" s="232">
        <v>0.75</v>
      </c>
      <c r="J858" s="9" t="s">
        <v>5950</v>
      </c>
      <c r="K858" s="18"/>
      <c r="L858" s="18"/>
      <c r="M858" s="18"/>
      <c r="N858" s="18"/>
      <c r="O858" s="18"/>
      <c r="P858" s="18"/>
      <c r="Q858" s="18"/>
      <c r="R858" s="18"/>
      <c r="S858" s="18"/>
      <c r="T858" s="18"/>
      <c r="U858" s="18"/>
      <c r="V858" s="18"/>
      <c r="W858" s="18"/>
      <c r="X858" s="18"/>
      <c r="Y858" s="18"/>
      <c r="Z858" s="18"/>
    </row>
    <row r="859" ht="22.5" customHeight="1">
      <c r="A859" s="244">
        <v>46076.0</v>
      </c>
      <c r="B859" s="218" t="s">
        <v>5951</v>
      </c>
      <c r="C859" s="9"/>
      <c r="D859" s="228" t="s">
        <v>5952</v>
      </c>
      <c r="E859" s="216">
        <v>9.703736799E9</v>
      </c>
      <c r="F859" s="221" t="s">
        <v>3857</v>
      </c>
      <c r="G859" s="9" t="s">
        <v>5953</v>
      </c>
      <c r="H859" s="234">
        <v>46077.0</v>
      </c>
      <c r="I859" s="232"/>
      <c r="J859" s="9"/>
      <c r="K859" s="18"/>
      <c r="L859" s="18"/>
      <c r="M859" s="18"/>
      <c r="N859" s="18"/>
      <c r="O859" s="18"/>
      <c r="P859" s="18"/>
      <c r="Q859" s="18"/>
      <c r="R859" s="18"/>
      <c r="S859" s="18"/>
      <c r="T859" s="18"/>
      <c r="U859" s="18"/>
      <c r="V859" s="18"/>
      <c r="W859" s="18"/>
      <c r="X859" s="18"/>
      <c r="Y859" s="18"/>
      <c r="Z859" s="18"/>
    </row>
    <row r="860" ht="22.5" customHeight="1">
      <c r="A860" s="244">
        <v>46076.0</v>
      </c>
      <c r="B860" s="218" t="s">
        <v>5954</v>
      </c>
      <c r="C860" s="9"/>
      <c r="D860" s="228" t="s">
        <v>5955</v>
      </c>
      <c r="E860" s="216">
        <v>9.440457994E9</v>
      </c>
      <c r="F860" s="221" t="s">
        <v>241</v>
      </c>
      <c r="G860" s="9" t="s">
        <v>5956</v>
      </c>
      <c r="H860" s="234"/>
      <c r="I860" s="232"/>
      <c r="J860" s="9" t="s">
        <v>5957</v>
      </c>
      <c r="K860" s="18"/>
      <c r="L860" s="18"/>
      <c r="M860" s="18"/>
      <c r="N860" s="18"/>
      <c r="O860" s="18"/>
      <c r="P860" s="18"/>
      <c r="Q860" s="18"/>
      <c r="R860" s="18"/>
      <c r="S860" s="18"/>
      <c r="T860" s="18"/>
      <c r="U860" s="18"/>
      <c r="V860" s="18"/>
      <c r="W860" s="18"/>
      <c r="X860" s="18"/>
      <c r="Y860" s="18"/>
      <c r="Z860" s="18"/>
    </row>
    <row r="861" ht="22.5" customHeight="1">
      <c r="A861" s="244">
        <v>46076.0</v>
      </c>
      <c r="B861" s="218" t="s">
        <v>5958</v>
      </c>
      <c r="C861" s="9"/>
      <c r="D861" s="228" t="s">
        <v>5959</v>
      </c>
      <c r="E861" s="216">
        <v>8.099706321E9</v>
      </c>
      <c r="F861" s="221" t="s">
        <v>73</v>
      </c>
      <c r="G861" s="9" t="s">
        <v>5960</v>
      </c>
      <c r="H861" s="234"/>
      <c r="I861" s="232"/>
      <c r="J861" s="9" t="s">
        <v>5961</v>
      </c>
      <c r="K861" s="18"/>
      <c r="L861" s="18"/>
      <c r="M861" s="18"/>
      <c r="N861" s="18"/>
      <c r="O861" s="18"/>
      <c r="P861" s="18"/>
      <c r="Q861" s="18"/>
      <c r="R861" s="18"/>
      <c r="S861" s="18"/>
      <c r="T861" s="18"/>
      <c r="U861" s="18"/>
      <c r="V861" s="18"/>
      <c r="W861" s="18"/>
      <c r="X861" s="18"/>
      <c r="Y861" s="18"/>
      <c r="Z861" s="18"/>
    </row>
    <row r="862" ht="22.5" customHeight="1">
      <c r="A862" s="244">
        <v>46076.0</v>
      </c>
      <c r="B862" s="218" t="s">
        <v>5962</v>
      </c>
      <c r="C862" s="9"/>
      <c r="D862" s="228"/>
      <c r="E862" s="216"/>
      <c r="F862" s="221" t="s">
        <v>1919</v>
      </c>
      <c r="G862" s="9" t="s">
        <v>5963</v>
      </c>
      <c r="H862" s="234"/>
      <c r="I862" s="232"/>
      <c r="J862" s="9" t="s">
        <v>5964</v>
      </c>
      <c r="K862" s="18"/>
      <c r="L862" s="18"/>
      <c r="M862" s="18"/>
      <c r="N862" s="18"/>
      <c r="O862" s="18"/>
      <c r="P862" s="18"/>
      <c r="Q862" s="18"/>
      <c r="R862" s="18"/>
      <c r="S862" s="18"/>
      <c r="T862" s="18"/>
      <c r="U862" s="18"/>
      <c r="V862" s="18"/>
      <c r="W862" s="18"/>
      <c r="X862" s="18"/>
      <c r="Y862" s="18"/>
      <c r="Z862" s="18"/>
    </row>
    <row r="863" ht="22.5" customHeight="1">
      <c r="A863" s="244">
        <v>46076.0</v>
      </c>
      <c r="B863" s="218" t="s">
        <v>5965</v>
      </c>
      <c r="C863" s="9"/>
      <c r="D863" s="228" t="s">
        <v>5966</v>
      </c>
      <c r="E863" s="216">
        <v>6.301560085E9</v>
      </c>
      <c r="F863" s="221" t="s">
        <v>3853</v>
      </c>
      <c r="G863" s="9" t="s">
        <v>5967</v>
      </c>
      <c r="H863" s="234"/>
      <c r="I863" s="232"/>
      <c r="J863" s="9" t="s">
        <v>5968</v>
      </c>
      <c r="K863" s="18"/>
      <c r="L863" s="18"/>
      <c r="M863" s="18"/>
      <c r="N863" s="18"/>
      <c r="O863" s="18"/>
      <c r="P863" s="18"/>
      <c r="Q863" s="18"/>
      <c r="R863" s="18"/>
      <c r="S863" s="18"/>
      <c r="T863" s="18"/>
      <c r="U863" s="18"/>
      <c r="V863" s="18"/>
      <c r="W863" s="18"/>
      <c r="X863" s="18"/>
      <c r="Y863" s="18"/>
      <c r="Z863" s="18"/>
    </row>
    <row r="864" ht="22.5" customHeight="1">
      <c r="A864" s="244">
        <v>46076.0</v>
      </c>
      <c r="B864" s="218" t="s">
        <v>5969</v>
      </c>
      <c r="C864" s="9"/>
      <c r="D864" s="228" t="s">
        <v>5970</v>
      </c>
      <c r="E864" s="216">
        <v>9.160602449E9</v>
      </c>
      <c r="F864" s="221" t="s">
        <v>3857</v>
      </c>
      <c r="G864" s="9" t="s">
        <v>5971</v>
      </c>
      <c r="H864" s="234"/>
      <c r="I864" s="232"/>
      <c r="J864" s="9" t="s">
        <v>5972</v>
      </c>
      <c r="K864" s="18"/>
      <c r="L864" s="18"/>
      <c r="M864" s="18"/>
      <c r="N864" s="18"/>
      <c r="O864" s="18"/>
      <c r="P864" s="18"/>
      <c r="Q864" s="18"/>
      <c r="R864" s="18"/>
      <c r="S864" s="18"/>
      <c r="T864" s="18"/>
      <c r="U864" s="18"/>
      <c r="V864" s="18"/>
      <c r="W864" s="18"/>
      <c r="X864" s="18"/>
      <c r="Y864" s="18"/>
      <c r="Z864" s="18"/>
    </row>
    <row r="865" ht="22.5" customHeight="1">
      <c r="A865" s="244">
        <v>46076.0</v>
      </c>
      <c r="B865" s="218" t="s">
        <v>5973</v>
      </c>
      <c r="C865" s="9"/>
      <c r="D865" s="228"/>
      <c r="E865" s="216"/>
      <c r="F865" s="221" t="s">
        <v>241</v>
      </c>
      <c r="G865" s="9" t="s">
        <v>5974</v>
      </c>
      <c r="H865" s="234"/>
      <c r="I865" s="232"/>
      <c r="J865" s="9" t="s">
        <v>5975</v>
      </c>
      <c r="K865" s="18"/>
      <c r="L865" s="18"/>
      <c r="M865" s="18"/>
      <c r="N865" s="18"/>
      <c r="O865" s="18"/>
      <c r="P865" s="18"/>
      <c r="Q865" s="18"/>
      <c r="R865" s="18"/>
      <c r="S865" s="18"/>
      <c r="T865" s="18"/>
      <c r="U865" s="18"/>
      <c r="V865" s="18"/>
      <c r="W865" s="18"/>
      <c r="X865" s="18"/>
      <c r="Y865" s="18"/>
      <c r="Z865" s="18"/>
    </row>
    <row r="866" ht="22.5" customHeight="1">
      <c r="A866" s="244">
        <v>46076.0</v>
      </c>
      <c r="B866" s="218" t="s">
        <v>5976</v>
      </c>
      <c r="C866" s="9"/>
      <c r="D866" s="228"/>
      <c r="E866" s="216"/>
      <c r="F866" s="221" t="s">
        <v>45</v>
      </c>
      <c r="G866" s="9" t="s">
        <v>5977</v>
      </c>
      <c r="H866" s="234"/>
      <c r="I866" s="232"/>
      <c r="J866" s="9" t="s">
        <v>5978</v>
      </c>
      <c r="K866" s="18"/>
      <c r="L866" s="18"/>
      <c r="M866" s="18"/>
      <c r="N866" s="18"/>
      <c r="O866" s="18"/>
      <c r="P866" s="18"/>
      <c r="Q866" s="18"/>
      <c r="R866" s="18"/>
      <c r="S866" s="18"/>
      <c r="T866" s="18"/>
      <c r="U866" s="18"/>
      <c r="V866" s="18"/>
      <c r="W866" s="18"/>
      <c r="X866" s="18"/>
      <c r="Y866" s="18"/>
      <c r="Z866" s="18"/>
    </row>
    <row r="867" ht="22.5" customHeight="1">
      <c r="A867" s="244">
        <v>46076.0</v>
      </c>
      <c r="B867" s="9" t="s">
        <v>5979</v>
      </c>
      <c r="C867" s="9"/>
      <c r="D867" s="228"/>
      <c r="E867" s="216">
        <v>8.247717177E9</v>
      </c>
      <c r="F867" s="221" t="s">
        <v>73</v>
      </c>
      <c r="G867" s="9" t="s">
        <v>5980</v>
      </c>
      <c r="H867" s="234">
        <v>46076.0</v>
      </c>
      <c r="I867" s="232">
        <v>0.7083333333333334</v>
      </c>
      <c r="J867" s="9" t="s">
        <v>5981</v>
      </c>
      <c r="K867" s="18"/>
      <c r="L867" s="18"/>
      <c r="M867" s="18"/>
      <c r="N867" s="18"/>
      <c r="O867" s="18"/>
      <c r="P867" s="18"/>
      <c r="Q867" s="18"/>
      <c r="R867" s="18"/>
      <c r="S867" s="18"/>
      <c r="T867" s="18"/>
      <c r="U867" s="18"/>
      <c r="V867" s="18"/>
      <c r="W867" s="18"/>
      <c r="X867" s="18"/>
      <c r="Y867" s="18"/>
      <c r="Z867" s="18"/>
    </row>
    <row r="868" ht="22.5" customHeight="1">
      <c r="A868" s="244">
        <v>46076.0</v>
      </c>
      <c r="B868" s="218" t="s">
        <v>5982</v>
      </c>
      <c r="C868" s="9"/>
      <c r="D868" s="228" t="s">
        <v>4684</v>
      </c>
      <c r="E868" s="216">
        <v>9.700116661E9</v>
      </c>
      <c r="F868" s="221" t="s">
        <v>45</v>
      </c>
      <c r="G868" s="9" t="s">
        <v>5983</v>
      </c>
      <c r="H868" s="234">
        <v>46077.0</v>
      </c>
      <c r="I868" s="232"/>
      <c r="J868" s="9"/>
      <c r="K868" s="18"/>
      <c r="L868" s="18"/>
      <c r="M868" s="18"/>
      <c r="N868" s="18"/>
      <c r="O868" s="18"/>
      <c r="P868" s="18"/>
      <c r="Q868" s="18"/>
      <c r="R868" s="18"/>
      <c r="S868" s="18"/>
      <c r="T868" s="18"/>
      <c r="U868" s="18"/>
      <c r="V868" s="18"/>
      <c r="W868" s="18"/>
      <c r="X868" s="18"/>
      <c r="Y868" s="18"/>
      <c r="Z868" s="18"/>
    </row>
    <row r="869" ht="22.5" customHeight="1">
      <c r="A869" s="244">
        <v>46076.0</v>
      </c>
      <c r="B869" s="218" t="s">
        <v>5984</v>
      </c>
      <c r="C869" s="9"/>
      <c r="D869" s="228"/>
      <c r="E869" s="216"/>
      <c r="F869" s="221" t="s">
        <v>1919</v>
      </c>
      <c r="G869" s="9" t="s">
        <v>5985</v>
      </c>
      <c r="H869" s="234">
        <v>46076.0</v>
      </c>
      <c r="I869" s="232">
        <v>0.6666666666666666</v>
      </c>
      <c r="J869" s="9"/>
      <c r="K869" s="18"/>
      <c r="L869" s="18"/>
      <c r="M869" s="18"/>
      <c r="N869" s="18"/>
      <c r="O869" s="18"/>
      <c r="P869" s="18"/>
      <c r="Q869" s="18"/>
      <c r="R869" s="18"/>
      <c r="S869" s="18"/>
      <c r="T869" s="18"/>
      <c r="U869" s="18"/>
      <c r="V869" s="18"/>
      <c r="W869" s="18"/>
      <c r="X869" s="18"/>
      <c r="Y869" s="18"/>
      <c r="Z869" s="18"/>
    </row>
    <row r="870" ht="22.5" customHeight="1">
      <c r="A870" s="244">
        <v>46076.0</v>
      </c>
      <c r="B870" s="218" t="s">
        <v>5986</v>
      </c>
      <c r="C870" s="9"/>
      <c r="D870" s="228" t="s">
        <v>5987</v>
      </c>
      <c r="E870" s="216">
        <v>7.993472121E9</v>
      </c>
      <c r="F870" s="221" t="s">
        <v>3853</v>
      </c>
      <c r="G870" s="9" t="s">
        <v>5988</v>
      </c>
      <c r="H870" s="234"/>
      <c r="I870" s="232"/>
      <c r="J870" s="9" t="s">
        <v>5989</v>
      </c>
      <c r="K870" s="18"/>
      <c r="L870" s="18"/>
      <c r="M870" s="18"/>
      <c r="N870" s="18"/>
      <c r="O870" s="18"/>
      <c r="P870" s="18"/>
      <c r="Q870" s="18"/>
      <c r="R870" s="18"/>
      <c r="S870" s="18"/>
      <c r="T870" s="18"/>
      <c r="U870" s="18"/>
      <c r="V870" s="18"/>
      <c r="W870" s="18"/>
      <c r="X870" s="18"/>
      <c r="Y870" s="18"/>
      <c r="Z870" s="18"/>
    </row>
    <row r="871" ht="22.5" customHeight="1">
      <c r="A871" s="244">
        <v>46076.0</v>
      </c>
      <c r="B871" s="218" t="s">
        <v>5990</v>
      </c>
      <c r="C871" s="9"/>
      <c r="D871" s="228" t="s">
        <v>5991</v>
      </c>
      <c r="E871" s="216"/>
      <c r="F871" s="221" t="s">
        <v>3857</v>
      </c>
      <c r="G871" s="9" t="s">
        <v>5992</v>
      </c>
      <c r="H871" s="234"/>
      <c r="I871" s="232"/>
      <c r="J871" s="9" t="s">
        <v>5993</v>
      </c>
      <c r="K871" s="18"/>
      <c r="L871" s="18"/>
      <c r="M871" s="18"/>
      <c r="N871" s="18"/>
      <c r="O871" s="18"/>
      <c r="P871" s="18"/>
      <c r="Q871" s="18"/>
      <c r="R871" s="18"/>
      <c r="S871" s="18"/>
      <c r="T871" s="18"/>
      <c r="U871" s="18"/>
      <c r="V871" s="18"/>
      <c r="W871" s="18"/>
      <c r="X871" s="18"/>
      <c r="Y871" s="18"/>
      <c r="Z871" s="18"/>
    </row>
    <row r="872" ht="22.5" customHeight="1">
      <c r="A872" s="244">
        <v>46076.0</v>
      </c>
      <c r="B872" s="218" t="s">
        <v>5994</v>
      </c>
      <c r="C872" s="9"/>
      <c r="D872" s="228" t="s">
        <v>5995</v>
      </c>
      <c r="E872" s="216">
        <v>8.297740515E9</v>
      </c>
      <c r="F872" s="221" t="s">
        <v>45</v>
      </c>
      <c r="G872" s="9" t="s">
        <v>5996</v>
      </c>
      <c r="H872" s="234"/>
      <c r="I872" s="232"/>
      <c r="J872" s="9"/>
      <c r="K872" s="18"/>
      <c r="L872" s="18"/>
      <c r="M872" s="18"/>
      <c r="N872" s="18"/>
      <c r="O872" s="18"/>
      <c r="P872" s="18"/>
      <c r="Q872" s="18"/>
      <c r="R872" s="18"/>
      <c r="S872" s="18"/>
      <c r="T872" s="18"/>
      <c r="U872" s="18"/>
      <c r="V872" s="18"/>
      <c r="W872" s="18"/>
      <c r="X872" s="18"/>
      <c r="Y872" s="18"/>
      <c r="Z872" s="18"/>
    </row>
    <row r="873" ht="22.5" customHeight="1">
      <c r="A873" s="244">
        <v>46076.0</v>
      </c>
      <c r="B873" s="218" t="s">
        <v>5997</v>
      </c>
      <c r="C873" s="9"/>
      <c r="D873" s="228" t="s">
        <v>5184</v>
      </c>
      <c r="E873" s="216">
        <v>8.131917627E9</v>
      </c>
      <c r="F873" s="221" t="s">
        <v>3857</v>
      </c>
      <c r="G873" s="9" t="s">
        <v>5998</v>
      </c>
      <c r="H873" s="234"/>
      <c r="I873" s="232"/>
      <c r="J873" s="9"/>
      <c r="K873" s="18"/>
      <c r="L873" s="18"/>
      <c r="M873" s="18"/>
      <c r="N873" s="18"/>
      <c r="O873" s="18"/>
      <c r="P873" s="18"/>
      <c r="Q873" s="18"/>
      <c r="R873" s="18"/>
      <c r="S873" s="18"/>
      <c r="T873" s="18"/>
      <c r="U873" s="18"/>
      <c r="V873" s="18"/>
      <c r="W873" s="18"/>
      <c r="X873" s="18"/>
      <c r="Y873" s="18"/>
      <c r="Z873" s="18"/>
    </row>
    <row r="874" ht="22.5" customHeight="1">
      <c r="A874" s="244">
        <v>46076.0</v>
      </c>
      <c r="B874" s="218" t="s">
        <v>5999</v>
      </c>
      <c r="C874" s="9"/>
      <c r="D874" s="228"/>
      <c r="E874" s="215"/>
      <c r="F874" s="221" t="s">
        <v>45</v>
      </c>
      <c r="G874" s="9" t="s">
        <v>6000</v>
      </c>
      <c r="H874" s="234"/>
      <c r="I874" s="232"/>
      <c r="J874" s="9" t="s">
        <v>6001</v>
      </c>
      <c r="K874" s="18"/>
      <c r="L874" s="18"/>
      <c r="M874" s="18"/>
      <c r="N874" s="18"/>
      <c r="O874" s="18"/>
      <c r="P874" s="18"/>
      <c r="Q874" s="18"/>
      <c r="R874" s="18"/>
      <c r="S874" s="18"/>
      <c r="T874" s="18"/>
      <c r="U874" s="18"/>
      <c r="V874" s="18"/>
      <c r="W874" s="18"/>
      <c r="X874" s="18"/>
      <c r="Y874" s="18"/>
      <c r="Z874" s="18"/>
    </row>
    <row r="875" ht="22.5" customHeight="1">
      <c r="A875" s="244">
        <v>46076.0</v>
      </c>
      <c r="B875" s="218" t="s">
        <v>6002</v>
      </c>
      <c r="C875" s="9"/>
      <c r="D875" s="228"/>
      <c r="E875" s="216"/>
      <c r="F875" s="221" t="s">
        <v>45</v>
      </c>
      <c r="G875" s="9" t="s">
        <v>6003</v>
      </c>
      <c r="H875" s="234"/>
      <c r="I875" s="232"/>
      <c r="J875" s="9" t="s">
        <v>6004</v>
      </c>
      <c r="K875" s="18"/>
      <c r="L875" s="18"/>
      <c r="M875" s="18"/>
      <c r="N875" s="18"/>
      <c r="O875" s="18"/>
      <c r="P875" s="18"/>
      <c r="Q875" s="18"/>
      <c r="R875" s="18"/>
      <c r="S875" s="18"/>
      <c r="T875" s="18"/>
      <c r="U875" s="18"/>
      <c r="V875" s="18"/>
      <c r="W875" s="18"/>
      <c r="X875" s="18"/>
      <c r="Y875" s="18"/>
      <c r="Z875" s="18"/>
    </row>
    <row r="876" ht="22.5" customHeight="1">
      <c r="A876" s="244">
        <v>46076.0</v>
      </c>
      <c r="B876" s="218" t="s">
        <v>6005</v>
      </c>
      <c r="C876" s="9"/>
      <c r="D876" s="228"/>
      <c r="E876" s="216"/>
      <c r="F876" s="221" t="s">
        <v>45</v>
      </c>
      <c r="G876" s="9" t="s">
        <v>6006</v>
      </c>
      <c r="H876" s="234">
        <v>46079.0</v>
      </c>
      <c r="I876" s="232"/>
      <c r="J876" s="9"/>
      <c r="K876" s="18"/>
      <c r="L876" s="18"/>
      <c r="M876" s="18"/>
      <c r="N876" s="18"/>
      <c r="O876" s="18"/>
      <c r="P876" s="18"/>
      <c r="Q876" s="18"/>
      <c r="R876" s="18"/>
      <c r="S876" s="18"/>
      <c r="T876" s="18"/>
      <c r="U876" s="18"/>
      <c r="V876" s="18"/>
      <c r="W876" s="18"/>
      <c r="X876" s="18"/>
      <c r="Y876" s="18"/>
      <c r="Z876" s="18"/>
    </row>
    <row r="877" ht="22.5" customHeight="1">
      <c r="A877" s="244">
        <v>46076.0</v>
      </c>
      <c r="B877" s="15" t="s">
        <v>6007</v>
      </c>
      <c r="C877" s="9"/>
      <c r="D877" s="228" t="s">
        <v>6008</v>
      </c>
      <c r="E877" s="216">
        <v>7.032929468E9</v>
      </c>
      <c r="F877" s="221" t="s">
        <v>45</v>
      </c>
      <c r="G877" s="9" t="s">
        <v>6009</v>
      </c>
      <c r="H877" s="234"/>
      <c r="I877" s="232"/>
      <c r="J877" s="9" t="s">
        <v>6010</v>
      </c>
      <c r="K877" s="18"/>
      <c r="L877" s="18"/>
      <c r="M877" s="18"/>
      <c r="N877" s="18"/>
      <c r="O877" s="18"/>
      <c r="P877" s="18"/>
      <c r="Q877" s="18"/>
      <c r="R877" s="18"/>
      <c r="S877" s="18"/>
      <c r="T877" s="18"/>
      <c r="U877" s="18"/>
      <c r="V877" s="18"/>
      <c r="W877" s="18"/>
      <c r="X877" s="18"/>
      <c r="Y877" s="18"/>
      <c r="Z877" s="18"/>
    </row>
    <row r="878" ht="22.5" customHeight="1">
      <c r="A878" s="244">
        <v>46076.0</v>
      </c>
      <c r="B878" s="218" t="s">
        <v>6011</v>
      </c>
      <c r="C878" s="9"/>
      <c r="D878" s="228" t="s">
        <v>6012</v>
      </c>
      <c r="E878" s="216">
        <v>9.985151185E9</v>
      </c>
      <c r="F878" s="221" t="s">
        <v>3857</v>
      </c>
      <c r="G878" s="9" t="s">
        <v>6013</v>
      </c>
      <c r="H878" s="234">
        <v>46076.0</v>
      </c>
      <c r="I878" s="232">
        <v>0.875</v>
      </c>
      <c r="J878" s="9"/>
      <c r="K878" s="18"/>
      <c r="L878" s="18"/>
      <c r="M878" s="18"/>
      <c r="N878" s="18"/>
      <c r="O878" s="18"/>
      <c r="P878" s="18"/>
      <c r="Q878" s="18"/>
      <c r="R878" s="18"/>
      <c r="S878" s="18"/>
      <c r="T878" s="18"/>
      <c r="U878" s="18"/>
      <c r="V878" s="18"/>
      <c r="W878" s="18"/>
      <c r="X878" s="18"/>
      <c r="Y878" s="18"/>
      <c r="Z878" s="18"/>
    </row>
    <row r="879" ht="22.5" customHeight="1">
      <c r="A879" s="244">
        <v>46076.0</v>
      </c>
      <c r="B879" s="218" t="s">
        <v>6014</v>
      </c>
      <c r="C879" s="9"/>
      <c r="D879" s="228" t="s">
        <v>6015</v>
      </c>
      <c r="E879" s="216">
        <v>9.989188881E9</v>
      </c>
      <c r="F879" s="221" t="s">
        <v>3853</v>
      </c>
      <c r="G879" s="9" t="s">
        <v>6016</v>
      </c>
      <c r="H879" s="234"/>
      <c r="I879" s="232"/>
      <c r="J879" s="9" t="s">
        <v>6017</v>
      </c>
      <c r="K879" s="18"/>
      <c r="L879" s="18"/>
      <c r="M879" s="18"/>
      <c r="N879" s="18"/>
      <c r="O879" s="18"/>
      <c r="P879" s="18"/>
      <c r="Q879" s="18"/>
      <c r="R879" s="18"/>
      <c r="S879" s="18"/>
      <c r="T879" s="18"/>
      <c r="U879" s="18"/>
      <c r="V879" s="18"/>
      <c r="W879" s="18"/>
      <c r="X879" s="18"/>
      <c r="Y879" s="18"/>
      <c r="Z879" s="18"/>
    </row>
    <row r="880" ht="22.5" customHeight="1">
      <c r="A880" s="244">
        <v>46076.0</v>
      </c>
      <c r="B880" s="218" t="s">
        <v>6018</v>
      </c>
      <c r="C880" s="9"/>
      <c r="D880" s="228" t="s">
        <v>6019</v>
      </c>
      <c r="E880" s="216">
        <v>9.100425287E9</v>
      </c>
      <c r="F880" s="221" t="s">
        <v>73</v>
      </c>
      <c r="G880" s="9" t="s">
        <v>6020</v>
      </c>
      <c r="H880" s="234"/>
      <c r="I880" s="232"/>
      <c r="J880" s="9"/>
      <c r="K880" s="18"/>
      <c r="L880" s="18"/>
      <c r="M880" s="18"/>
      <c r="N880" s="18"/>
      <c r="O880" s="18"/>
      <c r="P880" s="18"/>
      <c r="Q880" s="18"/>
      <c r="R880" s="18"/>
      <c r="S880" s="18"/>
      <c r="T880" s="18"/>
      <c r="U880" s="18"/>
      <c r="V880" s="18"/>
      <c r="W880" s="18"/>
      <c r="X880" s="18"/>
      <c r="Y880" s="18"/>
      <c r="Z880" s="18"/>
    </row>
    <row r="881" ht="22.5" customHeight="1">
      <c r="A881" s="244">
        <v>46076.0</v>
      </c>
      <c r="B881" s="218" t="s">
        <v>6021</v>
      </c>
      <c r="C881" s="9"/>
      <c r="D881" s="228"/>
      <c r="E881" s="216"/>
      <c r="F881" s="221" t="s">
        <v>241</v>
      </c>
      <c r="G881" s="9" t="s">
        <v>6022</v>
      </c>
      <c r="H881" s="234"/>
      <c r="I881" s="232"/>
      <c r="J881" s="9" t="s">
        <v>6023</v>
      </c>
      <c r="K881" s="18"/>
      <c r="L881" s="18"/>
      <c r="M881" s="18"/>
      <c r="N881" s="18"/>
      <c r="O881" s="18"/>
      <c r="P881" s="18"/>
      <c r="Q881" s="18"/>
      <c r="R881" s="18"/>
      <c r="S881" s="18"/>
      <c r="T881" s="18"/>
      <c r="U881" s="18"/>
      <c r="V881" s="18"/>
      <c r="W881" s="18"/>
      <c r="X881" s="18"/>
      <c r="Y881" s="18"/>
      <c r="Z881" s="18"/>
    </row>
    <row r="882" ht="22.5" customHeight="1">
      <c r="A882" s="244">
        <v>46076.0</v>
      </c>
      <c r="B882" s="218" t="s">
        <v>6024</v>
      </c>
      <c r="C882" s="9"/>
      <c r="D882" s="228" t="s">
        <v>6025</v>
      </c>
      <c r="E882" s="216">
        <v>8.347797111E9</v>
      </c>
      <c r="F882" s="221" t="s">
        <v>45</v>
      </c>
      <c r="G882" s="9" t="s">
        <v>6026</v>
      </c>
      <c r="H882" s="234"/>
      <c r="I882" s="232"/>
      <c r="J882" s="9"/>
      <c r="K882" s="18"/>
      <c r="L882" s="18"/>
      <c r="M882" s="18"/>
      <c r="N882" s="18"/>
      <c r="O882" s="18"/>
      <c r="P882" s="18"/>
      <c r="Q882" s="18"/>
      <c r="R882" s="18"/>
      <c r="S882" s="18"/>
      <c r="T882" s="18"/>
      <c r="U882" s="18"/>
      <c r="V882" s="18"/>
      <c r="W882" s="18"/>
      <c r="X882" s="18"/>
      <c r="Y882" s="18"/>
      <c r="Z882" s="18"/>
    </row>
    <row r="883" ht="22.5" customHeight="1">
      <c r="A883" s="244">
        <v>46076.0</v>
      </c>
      <c r="B883" s="218" t="s">
        <v>6027</v>
      </c>
      <c r="D883" s="9" t="s">
        <v>6028</v>
      </c>
      <c r="E883" s="230">
        <v>8.885442441E9</v>
      </c>
      <c r="F883" s="221" t="s">
        <v>1919</v>
      </c>
      <c r="G883" s="9" t="s">
        <v>6029</v>
      </c>
      <c r="H883" s="234">
        <v>46076.0</v>
      </c>
      <c r="I883" s="232">
        <v>0.6666666666666666</v>
      </c>
      <c r="J883" s="9" t="s">
        <v>6030</v>
      </c>
      <c r="K883" s="18"/>
      <c r="L883" s="18"/>
      <c r="M883" s="18"/>
      <c r="N883" s="18"/>
      <c r="O883" s="18"/>
      <c r="P883" s="18"/>
      <c r="Q883" s="18"/>
      <c r="R883" s="18"/>
      <c r="S883" s="18"/>
      <c r="T883" s="18"/>
      <c r="U883" s="18"/>
      <c r="V883" s="18"/>
      <c r="W883" s="18"/>
      <c r="X883" s="18"/>
      <c r="Y883" s="18"/>
      <c r="Z883" s="18"/>
    </row>
    <row r="884" ht="22.5" customHeight="1">
      <c r="A884" s="244">
        <v>46076.0</v>
      </c>
      <c r="B884" s="218" t="s">
        <v>6031</v>
      </c>
      <c r="C884" s="9"/>
      <c r="D884" s="228"/>
      <c r="E884" s="216"/>
      <c r="F884" s="221" t="s">
        <v>3853</v>
      </c>
      <c r="G884" s="9" t="s">
        <v>6032</v>
      </c>
      <c r="H884" s="234"/>
      <c r="I884" s="232"/>
      <c r="J884" s="9" t="s">
        <v>6033</v>
      </c>
      <c r="K884" s="18"/>
      <c r="L884" s="18"/>
      <c r="M884" s="18"/>
      <c r="N884" s="18"/>
      <c r="O884" s="18"/>
      <c r="P884" s="18"/>
      <c r="Q884" s="18"/>
      <c r="R884" s="18"/>
      <c r="S884" s="18"/>
      <c r="T884" s="18"/>
      <c r="U884" s="18"/>
      <c r="V884" s="18"/>
      <c r="W884" s="18"/>
      <c r="X884" s="18"/>
      <c r="Y884" s="18"/>
      <c r="Z884" s="18"/>
    </row>
    <row r="885" ht="22.5" customHeight="1">
      <c r="A885" s="244">
        <v>46076.0</v>
      </c>
      <c r="B885" s="218" t="s">
        <v>6034</v>
      </c>
      <c r="C885" s="9"/>
      <c r="D885" s="228"/>
      <c r="E885" s="216"/>
      <c r="F885" s="221" t="s">
        <v>45</v>
      </c>
      <c r="G885" s="9" t="s">
        <v>5723</v>
      </c>
      <c r="H885" s="234"/>
      <c r="I885" s="232"/>
      <c r="J885" s="9" t="s">
        <v>6035</v>
      </c>
      <c r="K885" s="18"/>
      <c r="L885" s="18"/>
      <c r="M885" s="18"/>
      <c r="N885" s="18"/>
      <c r="O885" s="18"/>
      <c r="P885" s="18"/>
      <c r="Q885" s="18"/>
      <c r="R885" s="18"/>
      <c r="S885" s="18"/>
      <c r="T885" s="18"/>
      <c r="U885" s="18"/>
      <c r="V885" s="18"/>
      <c r="W885" s="18"/>
      <c r="X885" s="18"/>
      <c r="Y885" s="18"/>
      <c r="Z885" s="18"/>
    </row>
    <row r="886" ht="22.5" customHeight="1">
      <c r="A886" s="244">
        <v>46076.0</v>
      </c>
      <c r="B886" s="218" t="s">
        <v>6036</v>
      </c>
      <c r="C886" s="9"/>
      <c r="D886" s="228" t="s">
        <v>6037</v>
      </c>
      <c r="E886" s="216">
        <v>6.281371177E9</v>
      </c>
      <c r="F886" s="221" t="s">
        <v>73</v>
      </c>
      <c r="G886" s="9" t="s">
        <v>6038</v>
      </c>
      <c r="H886" s="234"/>
      <c r="I886" s="232"/>
      <c r="J886" s="9"/>
      <c r="K886" s="18"/>
      <c r="L886" s="18"/>
      <c r="M886" s="18"/>
      <c r="N886" s="18"/>
      <c r="O886" s="18"/>
      <c r="P886" s="18"/>
      <c r="Q886" s="18"/>
      <c r="R886" s="18"/>
      <c r="S886" s="18"/>
      <c r="T886" s="18"/>
      <c r="U886" s="18"/>
      <c r="V886" s="18"/>
      <c r="W886" s="18"/>
      <c r="X886" s="18"/>
      <c r="Y886" s="18"/>
      <c r="Z886" s="18"/>
    </row>
    <row r="887" ht="22.5" customHeight="1">
      <c r="A887" s="244">
        <v>46076.0</v>
      </c>
      <c r="B887" s="218" t="s">
        <v>6039</v>
      </c>
      <c r="C887" s="9"/>
      <c r="D887" s="228"/>
      <c r="E887" s="216"/>
      <c r="F887" s="221" t="s">
        <v>241</v>
      </c>
      <c r="G887" s="9" t="s">
        <v>6040</v>
      </c>
      <c r="H887" s="234"/>
      <c r="I887" s="232"/>
      <c r="J887" s="9"/>
      <c r="K887" s="18"/>
      <c r="L887" s="18"/>
      <c r="M887" s="18"/>
      <c r="N887" s="18"/>
      <c r="O887" s="18"/>
      <c r="P887" s="18"/>
      <c r="Q887" s="18"/>
      <c r="R887" s="18"/>
      <c r="S887" s="18"/>
      <c r="T887" s="18"/>
      <c r="U887" s="18"/>
      <c r="V887" s="18"/>
      <c r="W887" s="18"/>
      <c r="X887" s="18"/>
      <c r="Y887" s="18"/>
      <c r="Z887" s="18"/>
    </row>
    <row r="888" ht="22.5" customHeight="1">
      <c r="A888" s="244">
        <v>46076.0</v>
      </c>
      <c r="B888" s="218" t="s">
        <v>6041</v>
      </c>
      <c r="C888" s="9"/>
      <c r="D888" s="228"/>
      <c r="E888" s="216">
        <v>8.977656268E9</v>
      </c>
      <c r="F888" s="221" t="s">
        <v>3853</v>
      </c>
      <c r="G888" s="9" t="s">
        <v>6042</v>
      </c>
      <c r="H888" s="234">
        <v>46076.0</v>
      </c>
      <c r="I888" s="232">
        <v>0.875</v>
      </c>
      <c r="J888" s="9" t="s">
        <v>6043</v>
      </c>
      <c r="K888" s="18"/>
      <c r="L888" s="18"/>
      <c r="M888" s="18"/>
      <c r="N888" s="18"/>
      <c r="O888" s="18"/>
      <c r="P888" s="18"/>
      <c r="Q888" s="18"/>
      <c r="R888" s="18"/>
      <c r="S888" s="18"/>
      <c r="T888" s="18"/>
      <c r="U888" s="18"/>
      <c r="V888" s="18"/>
      <c r="W888" s="18"/>
      <c r="X888" s="18"/>
      <c r="Y888" s="18"/>
      <c r="Z888" s="18"/>
    </row>
    <row r="889" ht="22.5" customHeight="1">
      <c r="A889" s="244">
        <v>46076.0</v>
      </c>
      <c r="B889" s="218" t="s">
        <v>6044</v>
      </c>
      <c r="C889" s="9" t="s">
        <v>389</v>
      </c>
      <c r="D889" s="228" t="s">
        <v>6045</v>
      </c>
      <c r="E889" s="215"/>
      <c r="F889" s="221" t="s">
        <v>186</v>
      </c>
      <c r="G889" s="9" t="s">
        <v>6046</v>
      </c>
      <c r="H889" s="234"/>
      <c r="I889" s="232"/>
      <c r="J889" s="9"/>
      <c r="K889" s="18"/>
      <c r="L889" s="18"/>
      <c r="M889" s="18"/>
      <c r="N889" s="18"/>
      <c r="O889" s="18"/>
      <c r="P889" s="18"/>
      <c r="Q889" s="18"/>
      <c r="R889" s="18"/>
      <c r="S889" s="18"/>
      <c r="T889" s="18"/>
      <c r="U889" s="18"/>
      <c r="V889" s="18"/>
      <c r="W889" s="18"/>
      <c r="X889" s="18"/>
      <c r="Y889" s="18"/>
      <c r="Z889" s="18"/>
    </row>
    <row r="890" ht="22.5" customHeight="1">
      <c r="A890" s="244">
        <v>46076.0</v>
      </c>
      <c r="B890" s="218" t="s">
        <v>6047</v>
      </c>
      <c r="C890" s="9"/>
      <c r="D890" s="228"/>
      <c r="E890" s="216">
        <v>6.301481281E9</v>
      </c>
      <c r="F890" s="221" t="s">
        <v>241</v>
      </c>
      <c r="G890" s="9" t="s">
        <v>6048</v>
      </c>
      <c r="H890" s="234">
        <v>46076.0</v>
      </c>
      <c r="I890" s="232">
        <v>0.8333333333333334</v>
      </c>
      <c r="J890" s="9"/>
      <c r="K890" s="18"/>
      <c r="L890" s="18"/>
      <c r="M890" s="18"/>
      <c r="N890" s="18"/>
      <c r="O890" s="18"/>
      <c r="P890" s="18"/>
      <c r="Q890" s="18"/>
      <c r="R890" s="18"/>
      <c r="S890" s="18"/>
      <c r="T890" s="18"/>
      <c r="U890" s="18"/>
      <c r="V890" s="18"/>
      <c r="W890" s="18"/>
      <c r="X890" s="18"/>
      <c r="Y890" s="18"/>
      <c r="Z890" s="18"/>
    </row>
    <row r="891" ht="22.5" customHeight="1">
      <c r="A891" s="244">
        <v>46076.0</v>
      </c>
      <c r="B891" s="218" t="s">
        <v>6049</v>
      </c>
      <c r="C891" s="9"/>
      <c r="D891" s="228"/>
      <c r="E891" s="216"/>
      <c r="F891" s="221" t="s">
        <v>45</v>
      </c>
      <c r="G891" s="9" t="s">
        <v>6050</v>
      </c>
      <c r="H891" s="234"/>
      <c r="I891" s="232"/>
      <c r="J891" s="9"/>
      <c r="K891" s="18"/>
      <c r="L891" s="18"/>
      <c r="M891" s="18"/>
      <c r="N891" s="18"/>
      <c r="O891" s="18"/>
      <c r="P891" s="18"/>
      <c r="Q891" s="18"/>
      <c r="R891" s="18"/>
      <c r="S891" s="18"/>
      <c r="T891" s="18"/>
      <c r="U891" s="18"/>
      <c r="V891" s="18"/>
      <c r="W891" s="18"/>
      <c r="X891" s="18"/>
      <c r="Y891" s="18"/>
      <c r="Z891" s="18"/>
    </row>
    <row r="892" ht="22.5" customHeight="1">
      <c r="A892" s="244">
        <v>46076.0</v>
      </c>
      <c r="B892" s="218" t="s">
        <v>6051</v>
      </c>
      <c r="C892" s="9"/>
      <c r="D892" s="228" t="s">
        <v>6052</v>
      </c>
      <c r="E892" s="216">
        <v>9.177944625E9</v>
      </c>
      <c r="F892" s="221" t="s">
        <v>241</v>
      </c>
      <c r="G892" s="9" t="s">
        <v>6053</v>
      </c>
      <c r="H892" s="234"/>
      <c r="I892" s="232"/>
      <c r="J892" s="9" t="s">
        <v>6054</v>
      </c>
      <c r="K892" s="18"/>
      <c r="L892" s="18"/>
      <c r="M892" s="18"/>
      <c r="N892" s="18"/>
      <c r="O892" s="18"/>
      <c r="P892" s="18"/>
      <c r="Q892" s="18"/>
      <c r="R892" s="18"/>
      <c r="S892" s="18"/>
      <c r="T892" s="18"/>
      <c r="U892" s="18"/>
      <c r="V892" s="18"/>
      <c r="W892" s="18"/>
      <c r="X892" s="18"/>
      <c r="Y892" s="18"/>
      <c r="Z892" s="18"/>
    </row>
    <row r="893" ht="22.5" customHeight="1">
      <c r="A893" s="244">
        <v>46076.0</v>
      </c>
      <c r="B893" s="218" t="s">
        <v>6055</v>
      </c>
      <c r="C893" s="9" t="s">
        <v>389</v>
      </c>
      <c r="D893" s="228" t="s">
        <v>6045</v>
      </c>
      <c r="E893" s="215"/>
      <c r="F893" s="221" t="s">
        <v>186</v>
      </c>
      <c r="G893" s="9" t="s">
        <v>6046</v>
      </c>
      <c r="H893" s="234"/>
      <c r="I893" s="232"/>
      <c r="J893" s="9"/>
      <c r="K893" s="18"/>
      <c r="L893" s="18"/>
      <c r="M893" s="18"/>
      <c r="N893" s="18"/>
      <c r="O893" s="18"/>
      <c r="P893" s="18"/>
      <c r="Q893" s="18"/>
      <c r="R893" s="18"/>
      <c r="S893" s="18"/>
      <c r="T893" s="18"/>
      <c r="U893" s="18"/>
      <c r="V893" s="18"/>
      <c r="W893" s="18"/>
      <c r="X893" s="18"/>
      <c r="Y893" s="18"/>
      <c r="Z893" s="18"/>
    </row>
    <row r="894" ht="22.5" customHeight="1">
      <c r="A894" s="244">
        <v>46076.0</v>
      </c>
      <c r="B894" s="218" t="s">
        <v>6056</v>
      </c>
      <c r="C894" s="9"/>
      <c r="D894" s="228"/>
      <c r="E894" s="216"/>
      <c r="F894" s="221" t="s">
        <v>241</v>
      </c>
      <c r="G894" s="9" t="s">
        <v>6057</v>
      </c>
      <c r="H894" s="234"/>
      <c r="I894" s="232"/>
      <c r="J894" s="9"/>
      <c r="K894" s="18"/>
      <c r="L894" s="18"/>
      <c r="M894" s="18"/>
      <c r="N894" s="18"/>
      <c r="O894" s="18"/>
      <c r="P894" s="18"/>
      <c r="Q894" s="18"/>
      <c r="R894" s="18"/>
      <c r="S894" s="18"/>
      <c r="T894" s="18"/>
      <c r="U894" s="18"/>
      <c r="V894" s="18"/>
      <c r="W894" s="18"/>
      <c r="X894" s="18"/>
      <c r="Y894" s="18"/>
      <c r="Z894" s="18"/>
    </row>
    <row r="895" ht="22.5" customHeight="1">
      <c r="A895" s="244">
        <v>46076.0</v>
      </c>
      <c r="B895" s="218" t="s">
        <v>6058</v>
      </c>
      <c r="C895" s="9"/>
      <c r="D895" s="228"/>
      <c r="E895" s="216"/>
      <c r="F895" s="221" t="s">
        <v>3853</v>
      </c>
      <c r="G895" s="9" t="s">
        <v>6059</v>
      </c>
      <c r="H895" s="234"/>
      <c r="I895" s="232"/>
      <c r="J895" s="9" t="s">
        <v>6060</v>
      </c>
      <c r="K895" s="18"/>
      <c r="L895" s="18"/>
      <c r="M895" s="18"/>
      <c r="N895" s="18"/>
      <c r="O895" s="18"/>
      <c r="P895" s="18"/>
      <c r="Q895" s="18"/>
      <c r="R895" s="18"/>
      <c r="S895" s="18"/>
      <c r="T895" s="18"/>
      <c r="U895" s="18"/>
      <c r="V895" s="18"/>
      <c r="W895" s="18"/>
      <c r="X895" s="18"/>
      <c r="Y895" s="18"/>
      <c r="Z895" s="18"/>
    </row>
    <row r="896" ht="22.5" customHeight="1">
      <c r="A896" s="244">
        <v>46076.0</v>
      </c>
      <c r="B896" s="218" t="s">
        <v>6061</v>
      </c>
      <c r="C896" s="9"/>
      <c r="D896" s="228" t="s">
        <v>6062</v>
      </c>
      <c r="E896" s="216">
        <v>7.993012727E9</v>
      </c>
      <c r="F896" s="221" t="s">
        <v>1919</v>
      </c>
      <c r="G896" s="9" t="s">
        <v>6063</v>
      </c>
      <c r="H896" s="234"/>
      <c r="I896" s="232"/>
      <c r="J896" s="9" t="s">
        <v>6064</v>
      </c>
      <c r="K896" s="18"/>
      <c r="L896" s="18"/>
      <c r="M896" s="18"/>
      <c r="N896" s="18"/>
      <c r="O896" s="18"/>
      <c r="P896" s="18"/>
      <c r="Q896" s="18"/>
      <c r="R896" s="18"/>
      <c r="S896" s="18"/>
      <c r="T896" s="18"/>
      <c r="U896" s="18"/>
      <c r="V896" s="18"/>
      <c r="W896" s="18"/>
      <c r="X896" s="18"/>
      <c r="Y896" s="18"/>
      <c r="Z896" s="18"/>
    </row>
    <row r="897" ht="22.5" customHeight="1">
      <c r="A897" s="244">
        <v>46076.0</v>
      </c>
      <c r="B897" s="218" t="s">
        <v>2278</v>
      </c>
      <c r="C897" s="218" t="s">
        <v>389</v>
      </c>
      <c r="D897" s="228" t="s">
        <v>2280</v>
      </c>
      <c r="E897" s="215"/>
      <c r="F897" s="221" t="s">
        <v>186</v>
      </c>
      <c r="G897" s="9" t="s">
        <v>6065</v>
      </c>
      <c r="H897" s="234"/>
      <c r="I897" s="232"/>
      <c r="J897" s="9"/>
      <c r="K897" s="18"/>
      <c r="L897" s="18"/>
      <c r="M897" s="18"/>
      <c r="N897" s="18"/>
      <c r="O897" s="18"/>
      <c r="P897" s="18"/>
      <c r="Q897" s="18"/>
      <c r="R897" s="18"/>
      <c r="S897" s="18"/>
      <c r="T897" s="18"/>
      <c r="U897" s="18"/>
      <c r="V897" s="18"/>
      <c r="W897" s="18"/>
      <c r="X897" s="18"/>
      <c r="Y897" s="18"/>
      <c r="Z897" s="18"/>
    </row>
    <row r="898" ht="22.5" customHeight="1">
      <c r="A898" s="244">
        <v>46076.0</v>
      </c>
      <c r="B898" s="218" t="s">
        <v>2202</v>
      </c>
      <c r="C898" s="228" t="s">
        <v>147</v>
      </c>
      <c r="D898" s="15" t="s">
        <v>3628</v>
      </c>
      <c r="E898" s="216"/>
      <c r="F898" s="221" t="s">
        <v>186</v>
      </c>
      <c r="G898" s="9" t="s">
        <v>6066</v>
      </c>
      <c r="H898" s="234"/>
      <c r="I898" s="232"/>
      <c r="J898" s="9" t="s">
        <v>6067</v>
      </c>
      <c r="K898" s="18"/>
      <c r="L898" s="18"/>
      <c r="M898" s="18"/>
      <c r="N898" s="18"/>
      <c r="O898" s="18"/>
      <c r="P898" s="18"/>
      <c r="Q898" s="18"/>
      <c r="R898" s="18"/>
      <c r="S898" s="18"/>
      <c r="T898" s="18"/>
      <c r="U898" s="18"/>
      <c r="V898" s="18"/>
      <c r="W898" s="18"/>
      <c r="X898" s="18"/>
      <c r="Y898" s="18"/>
      <c r="Z898" s="18"/>
    </row>
    <row r="899" ht="22.5" customHeight="1">
      <c r="A899" s="244">
        <v>46076.0</v>
      </c>
      <c r="B899" s="218" t="s">
        <v>6068</v>
      </c>
      <c r="C899" s="9"/>
      <c r="D899" s="228" t="s">
        <v>6069</v>
      </c>
      <c r="E899" s="216">
        <v>9.550514455E9</v>
      </c>
      <c r="F899" s="221" t="s">
        <v>73</v>
      </c>
      <c r="G899" s="9" t="s">
        <v>6070</v>
      </c>
      <c r="H899" s="234">
        <v>46076.0</v>
      </c>
      <c r="I899" s="232">
        <v>0.75</v>
      </c>
      <c r="J899" s="9" t="s">
        <v>6071</v>
      </c>
      <c r="K899" s="18"/>
      <c r="L899" s="18"/>
      <c r="M899" s="18"/>
      <c r="N899" s="18"/>
      <c r="O899" s="18"/>
      <c r="P899" s="18"/>
      <c r="Q899" s="18"/>
      <c r="R899" s="18"/>
      <c r="S899" s="18"/>
      <c r="T899" s="18"/>
      <c r="U899" s="18"/>
      <c r="V899" s="18"/>
      <c r="W899" s="18"/>
      <c r="X899" s="18"/>
      <c r="Y899" s="18"/>
      <c r="Z899" s="18"/>
    </row>
    <row r="900" ht="22.5" customHeight="1">
      <c r="A900" s="244">
        <v>46076.0</v>
      </c>
      <c r="B900" s="218" t="s">
        <v>6072</v>
      </c>
      <c r="C900" s="9"/>
      <c r="D900" s="228" t="s">
        <v>6073</v>
      </c>
      <c r="E900" s="216">
        <v>8.919621196E9</v>
      </c>
      <c r="F900" s="221" t="s">
        <v>73</v>
      </c>
      <c r="G900" s="9" t="s">
        <v>6074</v>
      </c>
      <c r="H900" s="234"/>
      <c r="I900" s="232"/>
      <c r="J900" s="9"/>
      <c r="K900" s="18"/>
      <c r="L900" s="18"/>
      <c r="M900" s="18"/>
      <c r="N900" s="18"/>
      <c r="O900" s="18"/>
      <c r="P900" s="18"/>
      <c r="Q900" s="18"/>
      <c r="R900" s="18"/>
      <c r="S900" s="18"/>
      <c r="T900" s="18"/>
      <c r="U900" s="18"/>
      <c r="V900" s="18"/>
      <c r="W900" s="18"/>
      <c r="X900" s="18"/>
      <c r="Y900" s="18"/>
      <c r="Z900" s="18"/>
    </row>
    <row r="901" ht="22.5" customHeight="1">
      <c r="A901" s="244">
        <v>46076.0</v>
      </c>
      <c r="B901" s="218" t="s">
        <v>2211</v>
      </c>
      <c r="C901" s="228" t="s">
        <v>147</v>
      </c>
      <c r="D901" s="15" t="s">
        <v>3628</v>
      </c>
      <c r="E901" s="216"/>
      <c r="F901" s="221" t="s">
        <v>186</v>
      </c>
      <c r="G901" s="9" t="s">
        <v>6066</v>
      </c>
      <c r="H901" s="234"/>
      <c r="I901" s="232"/>
      <c r="J901" s="9" t="s">
        <v>6067</v>
      </c>
      <c r="K901" s="18"/>
      <c r="L901" s="18"/>
      <c r="M901" s="18"/>
      <c r="N901" s="18"/>
      <c r="O901" s="18"/>
      <c r="P901" s="18"/>
      <c r="Q901" s="18"/>
      <c r="R901" s="18"/>
      <c r="S901" s="18"/>
      <c r="T901" s="18"/>
      <c r="U901" s="18"/>
      <c r="V901" s="18"/>
      <c r="W901" s="18"/>
      <c r="X901" s="18"/>
      <c r="Y901" s="18"/>
      <c r="Z901" s="18"/>
    </row>
    <row r="902" ht="22.5" customHeight="1">
      <c r="A902" s="244">
        <v>46076.0</v>
      </c>
      <c r="B902" s="218" t="s">
        <v>6075</v>
      </c>
      <c r="C902" s="9"/>
      <c r="D902" s="228"/>
      <c r="E902" s="216"/>
      <c r="F902" s="221" t="s">
        <v>241</v>
      </c>
      <c r="G902" s="9" t="s">
        <v>6076</v>
      </c>
      <c r="H902" s="234"/>
      <c r="I902" s="232"/>
      <c r="J902" s="9" t="s">
        <v>6077</v>
      </c>
      <c r="K902" s="18"/>
      <c r="L902" s="18"/>
      <c r="M902" s="18"/>
      <c r="N902" s="18"/>
      <c r="O902" s="18"/>
      <c r="P902" s="18"/>
      <c r="Q902" s="18"/>
      <c r="R902" s="18"/>
      <c r="S902" s="18"/>
      <c r="T902" s="18"/>
      <c r="U902" s="18"/>
      <c r="V902" s="18"/>
      <c r="W902" s="18"/>
      <c r="X902" s="18"/>
      <c r="Y902" s="18"/>
      <c r="Z902" s="18"/>
    </row>
    <row r="903" ht="22.5" customHeight="1">
      <c r="A903" s="244">
        <v>46076.0</v>
      </c>
      <c r="B903" s="218" t="s">
        <v>6078</v>
      </c>
      <c r="C903" s="228" t="s">
        <v>147</v>
      </c>
      <c r="D903" s="15" t="s">
        <v>3628</v>
      </c>
      <c r="E903" s="216"/>
      <c r="F903" s="221" t="s">
        <v>186</v>
      </c>
      <c r="G903" s="9" t="s">
        <v>6066</v>
      </c>
      <c r="H903" s="234"/>
      <c r="I903" s="232"/>
      <c r="J903" s="9" t="s">
        <v>6067</v>
      </c>
      <c r="K903" s="18"/>
      <c r="L903" s="18"/>
      <c r="M903" s="18"/>
      <c r="N903" s="18"/>
      <c r="O903" s="18"/>
      <c r="P903" s="18"/>
      <c r="Q903" s="18"/>
      <c r="R903" s="18"/>
      <c r="S903" s="18"/>
      <c r="T903" s="18"/>
      <c r="U903" s="18"/>
      <c r="V903" s="18"/>
      <c r="W903" s="18"/>
      <c r="X903" s="18"/>
      <c r="Y903" s="18"/>
      <c r="Z903" s="18"/>
    </row>
    <row r="904" ht="22.5" customHeight="1">
      <c r="A904" s="244">
        <v>46076.0</v>
      </c>
      <c r="B904" s="218" t="s">
        <v>2205</v>
      </c>
      <c r="C904" s="228" t="s">
        <v>147</v>
      </c>
      <c r="D904" s="15" t="s">
        <v>3628</v>
      </c>
      <c r="E904" s="216"/>
      <c r="F904" s="221" t="s">
        <v>186</v>
      </c>
      <c r="G904" s="9" t="s">
        <v>6066</v>
      </c>
      <c r="H904" s="234"/>
      <c r="I904" s="232"/>
      <c r="J904" s="9" t="s">
        <v>6067</v>
      </c>
      <c r="K904" s="18"/>
      <c r="L904" s="18"/>
      <c r="M904" s="18"/>
      <c r="N904" s="18"/>
      <c r="O904" s="18"/>
      <c r="P904" s="18"/>
      <c r="Q904" s="18"/>
      <c r="R904" s="18"/>
      <c r="S904" s="18"/>
      <c r="T904" s="18"/>
      <c r="U904" s="18"/>
      <c r="V904" s="18"/>
      <c r="W904" s="18"/>
      <c r="X904" s="18"/>
      <c r="Y904" s="18"/>
      <c r="Z904" s="18"/>
    </row>
    <row r="905" ht="22.5" customHeight="1">
      <c r="A905" s="244">
        <v>46076.0</v>
      </c>
      <c r="B905" s="218" t="s">
        <v>6079</v>
      </c>
      <c r="C905" s="9"/>
      <c r="D905" s="228" t="s">
        <v>6080</v>
      </c>
      <c r="E905" s="216">
        <v>9.440340854E9</v>
      </c>
      <c r="F905" s="221" t="s">
        <v>73</v>
      </c>
      <c r="G905" s="9" t="s">
        <v>6081</v>
      </c>
      <c r="H905" s="234">
        <v>46077.0</v>
      </c>
      <c r="I905" s="232">
        <v>0.5416666666666666</v>
      </c>
      <c r="J905" s="9"/>
      <c r="K905" s="18"/>
      <c r="L905" s="18"/>
      <c r="M905" s="18"/>
      <c r="N905" s="18"/>
      <c r="O905" s="18"/>
      <c r="P905" s="18"/>
      <c r="Q905" s="18"/>
      <c r="R905" s="18"/>
      <c r="S905" s="18"/>
      <c r="T905" s="18"/>
      <c r="U905" s="18"/>
      <c r="V905" s="18"/>
      <c r="W905" s="18"/>
      <c r="X905" s="18"/>
      <c r="Y905" s="18"/>
      <c r="Z905" s="18"/>
    </row>
    <row r="906" ht="22.5" customHeight="1">
      <c r="A906" s="244">
        <v>46076.0</v>
      </c>
      <c r="B906" s="218" t="s">
        <v>6082</v>
      </c>
      <c r="C906" s="228" t="s">
        <v>147</v>
      </c>
      <c r="D906" s="15" t="s">
        <v>3628</v>
      </c>
      <c r="E906" s="216"/>
      <c r="F906" s="221" t="s">
        <v>186</v>
      </c>
      <c r="G906" s="9" t="s">
        <v>6066</v>
      </c>
      <c r="H906" s="234"/>
      <c r="I906" s="232"/>
      <c r="J906" s="9" t="s">
        <v>6067</v>
      </c>
      <c r="K906" s="18"/>
      <c r="L906" s="18"/>
      <c r="M906" s="18"/>
      <c r="N906" s="18"/>
      <c r="O906" s="18"/>
      <c r="P906" s="18"/>
      <c r="Q906" s="18"/>
      <c r="R906" s="18"/>
      <c r="S906" s="18"/>
      <c r="T906" s="18"/>
      <c r="U906" s="18"/>
      <c r="V906" s="18"/>
      <c r="W906" s="18"/>
      <c r="X906" s="18"/>
      <c r="Y906" s="18"/>
      <c r="Z906" s="18"/>
    </row>
    <row r="907" ht="22.5" customHeight="1">
      <c r="A907" s="244">
        <v>46076.0</v>
      </c>
      <c r="B907" s="218" t="s">
        <v>6083</v>
      </c>
      <c r="C907" s="9"/>
      <c r="D907" s="228" t="s">
        <v>4147</v>
      </c>
      <c r="E907" s="216">
        <v>9.010022442E9</v>
      </c>
      <c r="F907" s="221" t="s">
        <v>3857</v>
      </c>
      <c r="G907" s="9" t="s">
        <v>6084</v>
      </c>
      <c r="H907" s="234">
        <v>46077.0</v>
      </c>
      <c r="I907" s="232"/>
      <c r="J907" s="9"/>
      <c r="K907" s="18"/>
      <c r="L907" s="18"/>
      <c r="M907" s="18"/>
      <c r="N907" s="18"/>
      <c r="O907" s="18"/>
      <c r="P907" s="18"/>
      <c r="Q907" s="18"/>
      <c r="R907" s="18"/>
      <c r="S907" s="18"/>
      <c r="T907" s="18"/>
      <c r="U907" s="18"/>
      <c r="V907" s="18"/>
      <c r="W907" s="18"/>
      <c r="X907" s="18"/>
      <c r="Y907" s="18"/>
      <c r="Z907" s="18"/>
    </row>
    <row r="908" ht="22.5" customHeight="1">
      <c r="A908" s="244">
        <v>46076.0</v>
      </c>
      <c r="B908" s="218" t="s">
        <v>6085</v>
      </c>
      <c r="C908" s="9"/>
      <c r="D908" s="228" t="s">
        <v>6086</v>
      </c>
      <c r="E908" s="216">
        <v>8.019924037E9</v>
      </c>
      <c r="F908" s="221" t="s">
        <v>241</v>
      </c>
      <c r="G908" s="9" t="s">
        <v>6087</v>
      </c>
      <c r="H908" s="234">
        <v>46077.0</v>
      </c>
      <c r="I908" s="232"/>
      <c r="J908" s="9" t="s">
        <v>6088</v>
      </c>
      <c r="K908" s="18"/>
      <c r="L908" s="18"/>
      <c r="M908" s="18"/>
      <c r="N908" s="18"/>
      <c r="O908" s="18"/>
      <c r="P908" s="18"/>
      <c r="Q908" s="18"/>
      <c r="R908" s="18"/>
      <c r="S908" s="18"/>
      <c r="T908" s="18"/>
      <c r="U908" s="18"/>
      <c r="V908" s="18"/>
      <c r="W908" s="18"/>
      <c r="X908" s="18"/>
      <c r="Y908" s="18"/>
      <c r="Z908" s="18"/>
    </row>
    <row r="909" ht="22.5" customHeight="1">
      <c r="A909" s="244">
        <v>46076.0</v>
      </c>
      <c r="B909" s="218" t="s">
        <v>6089</v>
      </c>
      <c r="C909" s="9"/>
      <c r="D909" s="228" t="s">
        <v>6090</v>
      </c>
      <c r="E909" s="216">
        <v>9.0722188E9</v>
      </c>
      <c r="F909" s="221" t="s">
        <v>241</v>
      </c>
      <c r="G909" s="9" t="s">
        <v>6091</v>
      </c>
      <c r="H909" s="234"/>
      <c r="I909" s="232"/>
      <c r="J909" s="9" t="s">
        <v>6092</v>
      </c>
      <c r="K909" s="18"/>
      <c r="L909" s="18"/>
      <c r="M909" s="18"/>
      <c r="N909" s="18"/>
      <c r="O909" s="18"/>
      <c r="P909" s="18"/>
      <c r="Q909" s="18"/>
      <c r="R909" s="18"/>
      <c r="S909" s="18"/>
      <c r="T909" s="18"/>
      <c r="U909" s="18"/>
      <c r="V909" s="18"/>
      <c r="W909" s="18"/>
      <c r="X909" s="18"/>
      <c r="Y909" s="18"/>
      <c r="Z909" s="18"/>
    </row>
    <row r="910" ht="22.5" customHeight="1">
      <c r="A910" s="244">
        <v>46076.0</v>
      </c>
      <c r="B910" s="218" t="s">
        <v>6093</v>
      </c>
      <c r="C910" s="9" t="s">
        <v>6094</v>
      </c>
      <c r="D910" s="228" t="s">
        <v>6095</v>
      </c>
      <c r="E910" s="216"/>
      <c r="F910" s="221" t="s">
        <v>186</v>
      </c>
      <c r="G910" s="9" t="s">
        <v>6096</v>
      </c>
      <c r="H910" s="234"/>
      <c r="I910" s="232"/>
      <c r="J910" s="9"/>
      <c r="K910" s="18"/>
      <c r="L910" s="18"/>
      <c r="M910" s="18"/>
      <c r="N910" s="18"/>
      <c r="O910" s="18"/>
      <c r="P910" s="18"/>
      <c r="Q910" s="18"/>
      <c r="R910" s="18"/>
      <c r="S910" s="18"/>
      <c r="T910" s="18"/>
      <c r="U910" s="18"/>
      <c r="V910" s="18"/>
      <c r="W910" s="18"/>
      <c r="X910" s="18"/>
      <c r="Y910" s="18"/>
      <c r="Z910" s="18"/>
    </row>
    <row r="911" ht="22.5" customHeight="1">
      <c r="A911" s="244">
        <v>46076.0</v>
      </c>
      <c r="B911" s="218" t="s">
        <v>6097</v>
      </c>
      <c r="C911" s="9"/>
      <c r="D911" s="228" t="s">
        <v>6098</v>
      </c>
      <c r="E911" s="216">
        <v>8.328283516E9</v>
      </c>
      <c r="F911" s="221" t="s">
        <v>3857</v>
      </c>
      <c r="G911" s="9" t="s">
        <v>6099</v>
      </c>
      <c r="H911" s="234">
        <v>46077.0</v>
      </c>
      <c r="I911" s="232"/>
      <c r="J911" s="9" t="s">
        <v>6100</v>
      </c>
      <c r="K911" s="18"/>
      <c r="L911" s="18"/>
      <c r="M911" s="18"/>
      <c r="N911" s="18"/>
      <c r="O911" s="18"/>
      <c r="P911" s="18"/>
      <c r="Q911" s="18"/>
      <c r="R911" s="18"/>
      <c r="S911" s="18"/>
      <c r="T911" s="18"/>
      <c r="U911" s="18"/>
      <c r="V911" s="18"/>
      <c r="W911" s="18"/>
      <c r="X911" s="18"/>
      <c r="Y911" s="18"/>
      <c r="Z911" s="18"/>
    </row>
    <row r="912" ht="22.5" customHeight="1">
      <c r="A912" s="244">
        <v>46076.0</v>
      </c>
      <c r="B912" s="218" t="s">
        <v>6101</v>
      </c>
      <c r="C912" s="9"/>
      <c r="D912" s="228" t="s">
        <v>6102</v>
      </c>
      <c r="E912" s="216">
        <v>9.573318519E9</v>
      </c>
      <c r="F912" s="221" t="s">
        <v>241</v>
      </c>
      <c r="G912" s="9" t="s">
        <v>6103</v>
      </c>
      <c r="H912" s="234"/>
      <c r="I912" s="232"/>
      <c r="J912" s="9" t="s">
        <v>6104</v>
      </c>
      <c r="K912" s="18"/>
      <c r="L912" s="18"/>
      <c r="M912" s="18"/>
      <c r="N912" s="18"/>
      <c r="O912" s="18"/>
      <c r="P912" s="18"/>
      <c r="Q912" s="18"/>
      <c r="R912" s="18"/>
      <c r="S912" s="18"/>
      <c r="T912" s="18"/>
      <c r="U912" s="18"/>
      <c r="V912" s="18"/>
      <c r="W912" s="18"/>
      <c r="X912" s="18"/>
      <c r="Y912" s="18"/>
      <c r="Z912" s="18"/>
    </row>
    <row r="913" ht="22.5" customHeight="1">
      <c r="A913" s="244">
        <v>46076.0</v>
      </c>
      <c r="B913" s="218" t="s">
        <v>6105</v>
      </c>
      <c r="C913" s="9"/>
      <c r="D913" s="228" t="s">
        <v>6106</v>
      </c>
      <c r="E913" s="220">
        <v>9.701049241E9</v>
      </c>
      <c r="F913" s="221" t="s">
        <v>241</v>
      </c>
      <c r="G913" s="9" t="s">
        <v>6107</v>
      </c>
      <c r="H913" s="234"/>
      <c r="I913" s="232"/>
      <c r="J913" s="9" t="s">
        <v>6108</v>
      </c>
      <c r="K913" s="18"/>
      <c r="L913" s="18"/>
      <c r="M913" s="18"/>
      <c r="N913" s="18"/>
      <c r="O913" s="18"/>
      <c r="P913" s="18"/>
      <c r="Q913" s="18"/>
      <c r="R913" s="18"/>
      <c r="S913" s="18"/>
      <c r="T913" s="18"/>
      <c r="U913" s="18"/>
      <c r="V913" s="18"/>
      <c r="W913" s="18"/>
      <c r="X913" s="18"/>
      <c r="Y913" s="18"/>
      <c r="Z913" s="18"/>
    </row>
    <row r="914" ht="22.5" customHeight="1">
      <c r="A914" s="244">
        <v>46076.0</v>
      </c>
      <c r="B914" s="218" t="s">
        <v>6109</v>
      </c>
      <c r="C914" s="9" t="s">
        <v>6110</v>
      </c>
      <c r="D914" s="228" t="s">
        <v>6111</v>
      </c>
      <c r="E914" s="216"/>
      <c r="F914" s="221" t="s">
        <v>186</v>
      </c>
      <c r="G914" s="9" t="s">
        <v>6112</v>
      </c>
      <c r="H914" s="234"/>
      <c r="I914" s="232"/>
      <c r="J914" s="35" t="s">
        <v>6113</v>
      </c>
      <c r="K914" s="18"/>
      <c r="L914" s="18"/>
      <c r="M914" s="18"/>
      <c r="N914" s="18"/>
      <c r="O914" s="18"/>
      <c r="P914" s="18"/>
      <c r="Q914" s="18"/>
      <c r="R914" s="18"/>
      <c r="S914" s="18"/>
      <c r="T914" s="18"/>
      <c r="U914" s="18"/>
      <c r="V914" s="18"/>
      <c r="W914" s="18"/>
      <c r="X914" s="18"/>
      <c r="Y914" s="18"/>
      <c r="Z914" s="18"/>
    </row>
    <row r="915" ht="22.5" customHeight="1">
      <c r="A915" s="244">
        <v>46076.0</v>
      </c>
      <c r="B915" s="218" t="s">
        <v>6114</v>
      </c>
      <c r="C915" s="9"/>
      <c r="D915" s="228" t="s">
        <v>6115</v>
      </c>
      <c r="E915" s="216">
        <v>8.309232321E9</v>
      </c>
      <c r="F915" s="221" t="s">
        <v>3857</v>
      </c>
      <c r="G915" s="9" t="s">
        <v>6099</v>
      </c>
      <c r="H915" s="234">
        <v>46077.0</v>
      </c>
      <c r="I915" s="232"/>
      <c r="J915" s="9" t="s">
        <v>6116</v>
      </c>
      <c r="K915" s="18"/>
      <c r="L915" s="18"/>
      <c r="M915" s="18"/>
      <c r="N915" s="18"/>
      <c r="O915" s="18"/>
      <c r="P915" s="18"/>
      <c r="Q915" s="18"/>
      <c r="R915" s="18"/>
      <c r="S915" s="18"/>
      <c r="T915" s="18"/>
      <c r="U915" s="18"/>
      <c r="V915" s="18"/>
      <c r="W915" s="18"/>
      <c r="X915" s="18"/>
      <c r="Y915" s="18"/>
      <c r="Z915" s="18"/>
    </row>
    <row r="916" ht="22.5" customHeight="1">
      <c r="A916" s="244">
        <v>46076.0</v>
      </c>
      <c r="B916" s="218" t="s">
        <v>6117</v>
      </c>
      <c r="C916" s="9"/>
      <c r="D916" s="228"/>
      <c r="E916" s="216"/>
      <c r="F916" s="221" t="s">
        <v>45</v>
      </c>
      <c r="G916" s="9" t="s">
        <v>6118</v>
      </c>
      <c r="H916" s="234">
        <v>46077.0</v>
      </c>
      <c r="I916" s="232"/>
      <c r="J916" s="9" t="s">
        <v>6119</v>
      </c>
      <c r="K916" s="18"/>
      <c r="L916" s="18"/>
      <c r="M916" s="18"/>
      <c r="N916" s="18"/>
      <c r="O916" s="18"/>
      <c r="P916" s="18"/>
      <c r="Q916" s="18"/>
      <c r="R916" s="18"/>
      <c r="S916" s="18"/>
      <c r="T916" s="18"/>
      <c r="U916" s="18"/>
      <c r="V916" s="18"/>
      <c r="W916" s="18"/>
      <c r="X916" s="18"/>
      <c r="Y916" s="18"/>
      <c r="Z916" s="18"/>
    </row>
    <row r="917" ht="22.5" customHeight="1">
      <c r="A917" s="244">
        <v>46076.0</v>
      </c>
      <c r="B917" s="218" t="s">
        <v>6120</v>
      </c>
      <c r="C917" s="9"/>
      <c r="D917" s="228"/>
      <c r="E917" s="216"/>
      <c r="F917" s="221" t="s">
        <v>45</v>
      </c>
      <c r="G917" s="9" t="s">
        <v>5302</v>
      </c>
      <c r="H917" s="234">
        <v>46077.0</v>
      </c>
      <c r="I917" s="232"/>
      <c r="J917" s="9" t="s">
        <v>6121</v>
      </c>
      <c r="K917" s="18"/>
      <c r="L917" s="18"/>
      <c r="M917" s="18"/>
      <c r="N917" s="18"/>
      <c r="O917" s="18"/>
      <c r="P917" s="18"/>
      <c r="Q917" s="18"/>
      <c r="R917" s="18"/>
      <c r="S917" s="18"/>
      <c r="T917" s="18"/>
      <c r="U917" s="18"/>
      <c r="V917" s="18"/>
      <c r="W917" s="18"/>
      <c r="X917" s="18"/>
      <c r="Y917" s="18"/>
      <c r="Z917" s="18"/>
    </row>
    <row r="918" ht="22.5" customHeight="1">
      <c r="A918" s="244">
        <v>46076.0</v>
      </c>
      <c r="B918" s="218" t="s">
        <v>6122</v>
      </c>
      <c r="C918" s="9" t="s">
        <v>6094</v>
      </c>
      <c r="D918" s="228" t="s">
        <v>6123</v>
      </c>
      <c r="E918" s="216">
        <v>9.032515133E9</v>
      </c>
      <c r="F918" s="221" t="s">
        <v>186</v>
      </c>
      <c r="G918" s="9" t="s">
        <v>6124</v>
      </c>
      <c r="H918" s="234">
        <v>46076.0</v>
      </c>
      <c r="I918" s="232">
        <v>0.7916666666666666</v>
      </c>
      <c r="J918" s="9" t="s">
        <v>6125</v>
      </c>
      <c r="K918" s="18"/>
      <c r="L918" s="18"/>
      <c r="M918" s="18"/>
      <c r="N918" s="18"/>
      <c r="O918" s="18"/>
      <c r="P918" s="18"/>
      <c r="Q918" s="18"/>
      <c r="R918" s="18"/>
      <c r="S918" s="18"/>
      <c r="T918" s="18"/>
      <c r="U918" s="18"/>
      <c r="V918" s="18"/>
      <c r="W918" s="18"/>
      <c r="X918" s="18"/>
      <c r="Y918" s="18"/>
      <c r="Z918" s="18"/>
    </row>
    <row r="919" ht="22.5" customHeight="1">
      <c r="A919" s="244">
        <v>46076.0</v>
      </c>
      <c r="B919" s="218" t="s">
        <v>6126</v>
      </c>
      <c r="C919" s="9" t="s">
        <v>6094</v>
      </c>
      <c r="D919" s="228" t="s">
        <v>5513</v>
      </c>
      <c r="E919" s="216"/>
      <c r="F919" s="221" t="s">
        <v>186</v>
      </c>
      <c r="G919" s="9" t="s">
        <v>6127</v>
      </c>
      <c r="H919" s="234"/>
      <c r="I919" s="232"/>
      <c r="J919" s="9" t="s">
        <v>6128</v>
      </c>
      <c r="K919" s="18"/>
      <c r="L919" s="18"/>
      <c r="M919" s="18"/>
      <c r="N919" s="18"/>
      <c r="O919" s="18"/>
      <c r="P919" s="18"/>
      <c r="Q919" s="18"/>
      <c r="R919" s="18"/>
      <c r="S919" s="18"/>
      <c r="T919" s="18"/>
      <c r="U919" s="18"/>
      <c r="V919" s="18"/>
      <c r="W919" s="18"/>
      <c r="X919" s="18"/>
      <c r="Y919" s="18"/>
      <c r="Z919" s="18"/>
    </row>
    <row r="920" ht="22.5" customHeight="1">
      <c r="A920" s="244">
        <v>46076.0</v>
      </c>
      <c r="B920" s="218" t="s">
        <v>6129</v>
      </c>
      <c r="C920" s="9" t="s">
        <v>6130</v>
      </c>
      <c r="D920" s="228" t="s">
        <v>6131</v>
      </c>
      <c r="E920" s="216"/>
      <c r="F920" s="221" t="s">
        <v>186</v>
      </c>
      <c r="G920" s="9" t="s">
        <v>6132</v>
      </c>
      <c r="H920" s="234"/>
      <c r="I920" s="232"/>
      <c r="J920" s="35" t="s">
        <v>6133</v>
      </c>
      <c r="K920" s="18"/>
      <c r="L920" s="18"/>
      <c r="M920" s="18"/>
      <c r="N920" s="18"/>
      <c r="O920" s="18"/>
      <c r="P920" s="18"/>
      <c r="Q920" s="18"/>
      <c r="R920" s="18"/>
      <c r="S920" s="18"/>
      <c r="T920" s="18"/>
      <c r="U920" s="18"/>
      <c r="V920" s="18"/>
      <c r="W920" s="18"/>
      <c r="X920" s="18"/>
      <c r="Y920" s="18"/>
      <c r="Z920" s="18"/>
    </row>
    <row r="921" ht="22.5" customHeight="1">
      <c r="A921" s="244">
        <v>46076.0</v>
      </c>
      <c r="B921" s="218" t="s">
        <v>6134</v>
      </c>
      <c r="C921" s="9"/>
      <c r="D921" s="228"/>
      <c r="E921" s="216"/>
      <c r="F921" s="221" t="s">
        <v>1919</v>
      </c>
      <c r="G921" s="9" t="s">
        <v>6135</v>
      </c>
      <c r="H921" s="234"/>
      <c r="I921" s="232"/>
      <c r="J921" s="9" t="s">
        <v>6136</v>
      </c>
      <c r="K921" s="18"/>
      <c r="L921" s="18"/>
      <c r="M921" s="18"/>
      <c r="N921" s="18"/>
      <c r="O921" s="18"/>
      <c r="P921" s="18"/>
      <c r="Q921" s="18"/>
      <c r="R921" s="18"/>
      <c r="S921" s="18"/>
      <c r="T921" s="18"/>
      <c r="U921" s="18"/>
      <c r="V921" s="18"/>
      <c r="W921" s="18"/>
      <c r="X921" s="18"/>
      <c r="Y921" s="18"/>
      <c r="Z921" s="18"/>
    </row>
    <row r="922" ht="22.5" customHeight="1">
      <c r="A922" s="244">
        <v>46076.0</v>
      </c>
      <c r="B922" s="218" t="s">
        <v>6137</v>
      </c>
      <c r="C922" s="9"/>
      <c r="D922" s="228"/>
      <c r="E922" s="216"/>
      <c r="F922" s="221" t="s">
        <v>1919</v>
      </c>
      <c r="G922" s="9" t="s">
        <v>6138</v>
      </c>
      <c r="H922" s="234"/>
      <c r="I922" s="232"/>
      <c r="J922" s="9"/>
      <c r="K922" s="18"/>
      <c r="L922" s="18"/>
      <c r="M922" s="18"/>
      <c r="N922" s="18"/>
      <c r="O922" s="18"/>
      <c r="P922" s="18"/>
      <c r="Q922" s="18"/>
      <c r="R922" s="18"/>
      <c r="S922" s="18"/>
      <c r="T922" s="18"/>
      <c r="U922" s="18"/>
      <c r="V922" s="18"/>
      <c r="W922" s="18"/>
      <c r="X922" s="18"/>
      <c r="Y922" s="18"/>
      <c r="Z922" s="18"/>
    </row>
    <row r="923" ht="22.5" customHeight="1">
      <c r="A923" s="244">
        <v>46076.0</v>
      </c>
      <c r="B923" s="218" t="s">
        <v>6139</v>
      </c>
      <c r="C923" s="9"/>
      <c r="D923" s="228" t="s">
        <v>6140</v>
      </c>
      <c r="E923" s="216">
        <v>9.849399807E9</v>
      </c>
      <c r="F923" s="221" t="s">
        <v>3853</v>
      </c>
      <c r="G923" s="9" t="s">
        <v>6141</v>
      </c>
      <c r="H923" s="234">
        <v>46077.0</v>
      </c>
      <c r="I923" s="232"/>
      <c r="J923" s="9" t="s">
        <v>6142</v>
      </c>
      <c r="K923" s="18"/>
      <c r="L923" s="18"/>
      <c r="M923" s="18"/>
      <c r="N923" s="18"/>
      <c r="O923" s="18"/>
      <c r="P923" s="18"/>
      <c r="Q923" s="18"/>
      <c r="R923" s="18"/>
      <c r="S923" s="18"/>
      <c r="T923" s="18"/>
      <c r="U923" s="18"/>
      <c r="V923" s="18"/>
      <c r="W923" s="18"/>
      <c r="X923" s="18"/>
      <c r="Y923" s="18"/>
      <c r="Z923" s="18"/>
    </row>
    <row r="924" ht="22.5" customHeight="1">
      <c r="A924" s="244">
        <v>46076.0</v>
      </c>
      <c r="B924" s="218" t="s">
        <v>6143</v>
      </c>
      <c r="C924" s="9" t="s">
        <v>6144</v>
      </c>
      <c r="D924" s="228"/>
      <c r="E924" s="216"/>
      <c r="F924" s="221" t="s">
        <v>3853</v>
      </c>
      <c r="G924" s="9" t="s">
        <v>6145</v>
      </c>
      <c r="H924" s="234"/>
      <c r="I924" s="232"/>
      <c r="J924" s="9"/>
      <c r="K924" s="18"/>
      <c r="L924" s="18"/>
      <c r="M924" s="18"/>
      <c r="N924" s="18"/>
      <c r="O924" s="18"/>
      <c r="P924" s="18"/>
      <c r="Q924" s="18"/>
      <c r="R924" s="18"/>
      <c r="S924" s="18"/>
      <c r="T924" s="18"/>
      <c r="U924" s="18"/>
      <c r="V924" s="18"/>
      <c r="W924" s="18"/>
      <c r="X924" s="18"/>
      <c r="Y924" s="18"/>
      <c r="Z924" s="18"/>
    </row>
    <row r="925" ht="22.5" customHeight="1">
      <c r="A925" s="244">
        <v>46076.0</v>
      </c>
      <c r="B925" s="218" t="s">
        <v>6146</v>
      </c>
      <c r="C925" s="9"/>
      <c r="D925" s="228"/>
      <c r="E925" s="216"/>
      <c r="F925" s="221" t="s">
        <v>3853</v>
      </c>
      <c r="G925" s="9" t="s">
        <v>4053</v>
      </c>
      <c r="H925" s="234"/>
      <c r="I925" s="232"/>
      <c r="J925" s="9"/>
      <c r="K925" s="18"/>
      <c r="L925" s="18"/>
      <c r="M925" s="18"/>
      <c r="N925" s="18"/>
      <c r="O925" s="18"/>
      <c r="P925" s="18"/>
      <c r="Q925" s="18"/>
      <c r="R925" s="18"/>
      <c r="S925" s="18"/>
      <c r="T925" s="18"/>
      <c r="U925" s="18"/>
      <c r="V925" s="18"/>
      <c r="W925" s="18"/>
      <c r="X925" s="18"/>
      <c r="Y925" s="18"/>
      <c r="Z925" s="18"/>
    </row>
    <row r="926" ht="22.5" customHeight="1">
      <c r="A926" s="247">
        <v>46077.0</v>
      </c>
      <c r="B926" s="218" t="s">
        <v>6147</v>
      </c>
      <c r="C926" s="9"/>
      <c r="D926" s="228" t="s">
        <v>6148</v>
      </c>
      <c r="E926" s="216">
        <v>9.938380231E9</v>
      </c>
      <c r="F926" s="221" t="s">
        <v>241</v>
      </c>
      <c r="G926" s="9" t="s">
        <v>6149</v>
      </c>
      <c r="H926" s="234">
        <v>46080.0</v>
      </c>
      <c r="I926" s="232">
        <v>0.6666666666666666</v>
      </c>
      <c r="J926" s="9"/>
      <c r="K926" s="18"/>
      <c r="L926" s="18"/>
      <c r="M926" s="18"/>
      <c r="N926" s="18"/>
      <c r="O926" s="18"/>
      <c r="P926" s="18"/>
      <c r="Q926" s="18"/>
      <c r="R926" s="18"/>
      <c r="S926" s="18"/>
      <c r="T926" s="18"/>
      <c r="U926" s="18"/>
      <c r="V926" s="18"/>
      <c r="W926" s="18"/>
      <c r="X926" s="18"/>
      <c r="Y926" s="18"/>
      <c r="Z926" s="18"/>
    </row>
    <row r="927" ht="22.5" customHeight="1">
      <c r="A927" s="247">
        <v>46077.0</v>
      </c>
      <c r="B927" s="218" t="s">
        <v>6150</v>
      </c>
      <c r="C927" s="9"/>
      <c r="D927" s="228" t="s">
        <v>6151</v>
      </c>
      <c r="E927" s="216">
        <v>9.398196192E9</v>
      </c>
      <c r="F927" s="221" t="s">
        <v>45</v>
      </c>
      <c r="G927" s="9" t="s">
        <v>6152</v>
      </c>
      <c r="H927" s="234"/>
      <c r="I927" s="232"/>
      <c r="J927" s="9" t="s">
        <v>6153</v>
      </c>
      <c r="K927" s="18"/>
      <c r="L927" s="18"/>
      <c r="M927" s="18"/>
      <c r="N927" s="18"/>
      <c r="O927" s="18"/>
      <c r="P927" s="18"/>
      <c r="Q927" s="18"/>
      <c r="R927" s="18"/>
      <c r="S927" s="18"/>
      <c r="T927" s="18"/>
      <c r="U927" s="18"/>
      <c r="V927" s="18"/>
      <c r="W927" s="18"/>
      <c r="X927" s="18"/>
      <c r="Y927" s="18"/>
      <c r="Z927" s="18"/>
    </row>
    <row r="928" ht="22.5" customHeight="1">
      <c r="A928" s="247">
        <v>46077.0</v>
      </c>
      <c r="B928" s="218" t="s">
        <v>6154</v>
      </c>
      <c r="C928" s="9"/>
      <c r="D928" s="228" t="s">
        <v>6155</v>
      </c>
      <c r="E928" s="216">
        <v>8.498938264E9</v>
      </c>
      <c r="F928" s="221" t="s">
        <v>144</v>
      </c>
      <c r="G928" s="9" t="s">
        <v>6156</v>
      </c>
      <c r="H928" s="234">
        <v>46077.0</v>
      </c>
      <c r="I928" s="232">
        <v>0.7916666666666666</v>
      </c>
      <c r="J928" s="9" t="s">
        <v>6157</v>
      </c>
      <c r="K928" s="18"/>
      <c r="L928" s="18"/>
      <c r="M928" s="18"/>
      <c r="N928" s="18"/>
      <c r="O928" s="18"/>
      <c r="P928" s="18"/>
      <c r="Q928" s="18"/>
      <c r="R928" s="18"/>
      <c r="S928" s="18"/>
      <c r="T928" s="18"/>
      <c r="U928" s="18"/>
      <c r="V928" s="18"/>
      <c r="W928" s="18"/>
      <c r="X928" s="18"/>
      <c r="Y928" s="18"/>
      <c r="Z928" s="18"/>
    </row>
    <row r="929" ht="22.5" customHeight="1">
      <c r="A929" s="247">
        <v>46077.0</v>
      </c>
      <c r="B929" s="218" t="s">
        <v>6158</v>
      </c>
      <c r="C929" s="9" t="s">
        <v>4343</v>
      </c>
      <c r="D929" s="228" t="s">
        <v>1307</v>
      </c>
      <c r="E929" s="216"/>
      <c r="F929" s="221" t="s">
        <v>186</v>
      </c>
      <c r="G929" s="9" t="s">
        <v>6159</v>
      </c>
      <c r="H929" s="234"/>
      <c r="I929" s="232"/>
      <c r="J929" s="9"/>
      <c r="K929" s="18"/>
      <c r="L929" s="18"/>
      <c r="M929" s="18"/>
      <c r="N929" s="18"/>
      <c r="O929" s="18"/>
      <c r="P929" s="18"/>
      <c r="Q929" s="18"/>
      <c r="R929" s="18"/>
      <c r="S929" s="18"/>
      <c r="T929" s="18"/>
      <c r="U929" s="18"/>
      <c r="V929" s="18"/>
      <c r="W929" s="18"/>
      <c r="X929" s="18"/>
      <c r="Y929" s="18"/>
      <c r="Z929" s="18"/>
    </row>
    <row r="930" ht="22.5" customHeight="1">
      <c r="A930" s="247">
        <v>46077.0</v>
      </c>
      <c r="B930" s="218" t="s">
        <v>6160</v>
      </c>
      <c r="C930" s="9"/>
      <c r="D930" s="228"/>
      <c r="E930" s="216">
        <v>9.347368545E9</v>
      </c>
      <c r="F930" s="221" t="s">
        <v>45</v>
      </c>
      <c r="G930" s="9" t="s">
        <v>6161</v>
      </c>
      <c r="H930" s="234"/>
      <c r="I930" s="232"/>
      <c r="J930" s="9"/>
      <c r="K930" s="18"/>
      <c r="L930" s="18"/>
      <c r="M930" s="18"/>
      <c r="N930" s="18"/>
      <c r="O930" s="18"/>
      <c r="P930" s="18"/>
      <c r="Q930" s="18"/>
      <c r="R930" s="18"/>
      <c r="S930" s="18"/>
      <c r="T930" s="18"/>
      <c r="U930" s="18"/>
      <c r="V930" s="18"/>
      <c r="W930" s="18"/>
      <c r="X930" s="18"/>
      <c r="Y930" s="18"/>
      <c r="Z930" s="18"/>
    </row>
    <row r="931" ht="22.5" customHeight="1">
      <c r="A931" s="247">
        <v>46077.0</v>
      </c>
      <c r="B931" s="218" t="s">
        <v>6162</v>
      </c>
      <c r="C931" s="9"/>
      <c r="D931" s="228"/>
      <c r="E931" s="216"/>
      <c r="F931" s="221" t="s">
        <v>241</v>
      </c>
      <c r="G931" s="9" t="s">
        <v>6163</v>
      </c>
      <c r="H931" s="234"/>
      <c r="I931" s="232"/>
      <c r="J931" s="9"/>
      <c r="K931" s="18"/>
      <c r="L931" s="18"/>
      <c r="M931" s="18"/>
      <c r="N931" s="18"/>
      <c r="O931" s="18"/>
      <c r="P931" s="18"/>
      <c r="Q931" s="18"/>
      <c r="R931" s="18"/>
      <c r="S931" s="18"/>
      <c r="T931" s="18"/>
      <c r="U931" s="18"/>
      <c r="V931" s="18"/>
      <c r="W931" s="18"/>
      <c r="X931" s="18"/>
      <c r="Y931" s="18"/>
      <c r="Z931" s="18"/>
    </row>
    <row r="932" ht="22.5" customHeight="1">
      <c r="A932" s="247">
        <v>46077.0</v>
      </c>
      <c r="B932" s="218" t="s">
        <v>6164</v>
      </c>
      <c r="C932" s="9"/>
      <c r="D932" s="228" t="s">
        <v>2854</v>
      </c>
      <c r="E932" s="216"/>
      <c r="F932" s="221" t="s">
        <v>144</v>
      </c>
      <c r="G932" s="9" t="s">
        <v>6165</v>
      </c>
      <c r="H932" s="234"/>
      <c r="I932" s="232"/>
      <c r="J932" s="9" t="s">
        <v>6166</v>
      </c>
      <c r="K932" s="18"/>
      <c r="L932" s="18"/>
      <c r="M932" s="18"/>
      <c r="N932" s="18"/>
      <c r="O932" s="18"/>
      <c r="P932" s="18"/>
      <c r="Q932" s="18"/>
      <c r="R932" s="18"/>
      <c r="S932" s="18"/>
      <c r="T932" s="18"/>
      <c r="U932" s="18"/>
      <c r="V932" s="18"/>
      <c r="W932" s="18"/>
      <c r="X932" s="18"/>
      <c r="Y932" s="18"/>
      <c r="Z932" s="18"/>
    </row>
    <row r="933" ht="22.5" customHeight="1">
      <c r="A933" s="247">
        <v>46077.0</v>
      </c>
      <c r="B933" s="218" t="s">
        <v>6167</v>
      </c>
      <c r="C933" s="9"/>
      <c r="D933" s="228"/>
      <c r="E933" s="216"/>
      <c r="F933" s="221" t="s">
        <v>45</v>
      </c>
      <c r="G933" s="9" t="s">
        <v>6168</v>
      </c>
      <c r="H933" s="234"/>
      <c r="I933" s="232"/>
      <c r="J933" s="9" t="s">
        <v>6169</v>
      </c>
      <c r="K933" s="18"/>
      <c r="L933" s="18"/>
      <c r="M933" s="18"/>
      <c r="N933" s="18"/>
      <c r="O933" s="18"/>
      <c r="P933" s="18"/>
      <c r="Q933" s="18"/>
      <c r="R933" s="18"/>
      <c r="S933" s="18"/>
      <c r="T933" s="18"/>
      <c r="U933" s="18"/>
      <c r="V933" s="18"/>
      <c r="W933" s="18"/>
      <c r="X933" s="18"/>
      <c r="Y933" s="18"/>
      <c r="Z933" s="18"/>
    </row>
    <row r="934" ht="22.5" customHeight="1">
      <c r="A934" s="247">
        <v>46077.0</v>
      </c>
      <c r="B934" s="218" t="s">
        <v>6170</v>
      </c>
      <c r="C934" s="9"/>
      <c r="D934" s="228"/>
      <c r="E934" s="216"/>
      <c r="F934" s="221" t="s">
        <v>241</v>
      </c>
      <c r="G934" s="9" t="s">
        <v>6171</v>
      </c>
      <c r="H934" s="234"/>
      <c r="I934" s="232"/>
      <c r="J934" s="9"/>
      <c r="K934" s="18"/>
      <c r="L934" s="18"/>
      <c r="M934" s="18"/>
      <c r="N934" s="18"/>
      <c r="O934" s="18"/>
      <c r="P934" s="18"/>
      <c r="Q934" s="18"/>
      <c r="R934" s="18"/>
      <c r="S934" s="18"/>
      <c r="T934" s="18"/>
      <c r="U934" s="18"/>
      <c r="V934" s="18"/>
      <c r="W934" s="18"/>
      <c r="X934" s="18"/>
      <c r="Y934" s="18"/>
      <c r="Z934" s="18"/>
    </row>
    <row r="935" ht="22.5" customHeight="1">
      <c r="A935" s="247">
        <v>46077.0</v>
      </c>
      <c r="B935" s="218" t="s">
        <v>6172</v>
      </c>
      <c r="C935" s="9"/>
      <c r="D935" s="228" t="s">
        <v>6173</v>
      </c>
      <c r="E935" s="216">
        <v>6.301174005E9</v>
      </c>
      <c r="F935" s="221" t="s">
        <v>241</v>
      </c>
      <c r="G935" s="9" t="s">
        <v>6174</v>
      </c>
      <c r="H935" s="234"/>
      <c r="I935" s="232"/>
      <c r="J935" s="9"/>
      <c r="K935" s="18"/>
      <c r="L935" s="18"/>
      <c r="M935" s="18"/>
      <c r="N935" s="18"/>
      <c r="O935" s="18"/>
      <c r="P935" s="18"/>
      <c r="Q935" s="18"/>
      <c r="R935" s="18"/>
      <c r="S935" s="18"/>
      <c r="T935" s="18"/>
      <c r="U935" s="18"/>
      <c r="V935" s="18"/>
      <c r="W935" s="18"/>
      <c r="X935" s="18"/>
      <c r="Y935" s="18"/>
      <c r="Z935" s="18"/>
    </row>
    <row r="936" ht="22.5" customHeight="1">
      <c r="A936" s="247">
        <v>46077.0</v>
      </c>
      <c r="B936" s="218" t="s">
        <v>6175</v>
      </c>
      <c r="C936" s="9"/>
      <c r="D936" s="228" t="s">
        <v>6176</v>
      </c>
      <c r="E936" s="216">
        <v>8.55509073E9</v>
      </c>
      <c r="F936" s="221" t="s">
        <v>45</v>
      </c>
      <c r="G936" s="9" t="s">
        <v>6177</v>
      </c>
      <c r="H936" s="234">
        <v>46077.0</v>
      </c>
      <c r="I936" s="232">
        <v>0.6666666666666666</v>
      </c>
      <c r="J936" s="9" t="s">
        <v>6178</v>
      </c>
      <c r="K936" s="18"/>
      <c r="L936" s="18"/>
      <c r="M936" s="18"/>
      <c r="N936" s="18"/>
      <c r="O936" s="18"/>
      <c r="P936" s="18"/>
      <c r="Q936" s="18"/>
      <c r="R936" s="18"/>
      <c r="S936" s="18"/>
      <c r="T936" s="18"/>
      <c r="U936" s="18"/>
      <c r="V936" s="18"/>
      <c r="W936" s="18"/>
      <c r="X936" s="18"/>
      <c r="Y936" s="18"/>
      <c r="Z936" s="18"/>
    </row>
    <row r="937" ht="22.5" customHeight="1">
      <c r="A937" s="247">
        <v>46077.0</v>
      </c>
      <c r="B937" s="218" t="s">
        <v>6179</v>
      </c>
      <c r="C937" s="9"/>
      <c r="D937" s="228" t="s">
        <v>6180</v>
      </c>
      <c r="E937" s="216">
        <v>9.090070708E9</v>
      </c>
      <c r="F937" s="221" t="s">
        <v>241</v>
      </c>
      <c r="G937" s="9" t="s">
        <v>6181</v>
      </c>
      <c r="H937" s="234">
        <v>46077.0</v>
      </c>
      <c r="I937" s="232">
        <v>0.875</v>
      </c>
      <c r="J937" s="9"/>
      <c r="K937" s="18"/>
      <c r="L937" s="18"/>
      <c r="M937" s="18"/>
      <c r="N937" s="18"/>
      <c r="O937" s="18"/>
      <c r="P937" s="18"/>
      <c r="Q937" s="18"/>
      <c r="R937" s="18"/>
      <c r="S937" s="18"/>
      <c r="T937" s="18"/>
      <c r="U937" s="18"/>
      <c r="V937" s="18"/>
      <c r="W937" s="18"/>
      <c r="X937" s="18"/>
      <c r="Y937" s="18"/>
      <c r="Z937" s="18"/>
    </row>
    <row r="938" ht="22.5" customHeight="1">
      <c r="A938" s="247">
        <v>46077.0</v>
      </c>
      <c r="B938" s="218" t="s">
        <v>6182</v>
      </c>
      <c r="C938" s="9"/>
      <c r="D938" s="228"/>
      <c r="E938" s="216"/>
      <c r="F938" s="221" t="s">
        <v>241</v>
      </c>
      <c r="G938" s="9" t="s">
        <v>6183</v>
      </c>
      <c r="H938" s="234"/>
      <c r="I938" s="232"/>
      <c r="J938" s="9"/>
      <c r="K938" s="18"/>
      <c r="L938" s="18"/>
      <c r="M938" s="18"/>
      <c r="N938" s="18"/>
      <c r="O938" s="18"/>
      <c r="P938" s="18"/>
      <c r="Q938" s="18"/>
      <c r="R938" s="18"/>
      <c r="S938" s="18"/>
      <c r="T938" s="18"/>
      <c r="U938" s="18"/>
      <c r="V938" s="18"/>
      <c r="W938" s="18"/>
      <c r="X938" s="18"/>
      <c r="Y938" s="18"/>
      <c r="Z938" s="18"/>
    </row>
    <row r="939" ht="22.5" customHeight="1">
      <c r="A939" s="247">
        <v>46077.0</v>
      </c>
      <c r="B939" s="218" t="s">
        <v>5942</v>
      </c>
      <c r="C939" s="9"/>
      <c r="D939" s="228"/>
      <c r="E939" s="216">
        <v>9.949390399E9</v>
      </c>
      <c r="F939" s="221" t="s">
        <v>73</v>
      </c>
      <c r="G939" s="9" t="s">
        <v>6184</v>
      </c>
      <c r="H939" s="234"/>
      <c r="I939" s="232"/>
      <c r="J939" s="9" t="s">
        <v>6185</v>
      </c>
      <c r="K939" s="18"/>
      <c r="L939" s="18"/>
      <c r="M939" s="18"/>
      <c r="N939" s="18"/>
      <c r="O939" s="18"/>
      <c r="P939" s="18"/>
      <c r="Q939" s="18"/>
      <c r="R939" s="18"/>
      <c r="S939" s="18"/>
      <c r="T939" s="18"/>
      <c r="U939" s="18"/>
      <c r="V939" s="18"/>
      <c r="W939" s="18"/>
      <c r="X939" s="18"/>
      <c r="Y939" s="18"/>
      <c r="Z939" s="18"/>
    </row>
    <row r="940" ht="22.5" customHeight="1">
      <c r="A940" s="247">
        <v>46077.0</v>
      </c>
      <c r="B940" s="218" t="s">
        <v>6186</v>
      </c>
      <c r="C940" s="9"/>
      <c r="D940" s="228" t="s">
        <v>6187</v>
      </c>
      <c r="E940" s="216">
        <v>8.016963924E9</v>
      </c>
      <c r="F940" s="221" t="s">
        <v>241</v>
      </c>
      <c r="G940" s="9" t="s">
        <v>6188</v>
      </c>
      <c r="H940" s="234">
        <v>46078.0</v>
      </c>
      <c r="I940" s="232">
        <v>0.5416666666666666</v>
      </c>
      <c r="J940" s="9"/>
      <c r="K940" s="18"/>
      <c r="L940" s="18"/>
      <c r="M940" s="18"/>
      <c r="N940" s="18"/>
      <c r="O940" s="18"/>
      <c r="P940" s="18"/>
      <c r="Q940" s="18"/>
      <c r="R940" s="18"/>
      <c r="S940" s="18"/>
      <c r="T940" s="18"/>
      <c r="U940" s="18"/>
      <c r="V940" s="18"/>
      <c r="W940" s="18"/>
      <c r="X940" s="18"/>
      <c r="Y940" s="18"/>
      <c r="Z940" s="18"/>
    </row>
    <row r="941" ht="22.5" customHeight="1">
      <c r="A941" s="247">
        <v>46077.0</v>
      </c>
      <c r="B941" s="218" t="s">
        <v>6137</v>
      </c>
      <c r="C941" s="9"/>
      <c r="D941" s="228"/>
      <c r="E941" s="216"/>
      <c r="F941" s="221" t="s">
        <v>1919</v>
      </c>
      <c r="G941" s="9" t="s">
        <v>3862</v>
      </c>
      <c r="H941" s="234"/>
      <c r="I941" s="232"/>
      <c r="J941" s="9"/>
      <c r="K941" s="18"/>
      <c r="L941" s="18"/>
      <c r="M941" s="18"/>
      <c r="N941" s="18"/>
      <c r="O941" s="18"/>
      <c r="P941" s="18"/>
      <c r="Q941" s="18"/>
      <c r="R941" s="18"/>
      <c r="S941" s="18"/>
      <c r="T941" s="18"/>
      <c r="U941" s="18"/>
      <c r="V941" s="18"/>
      <c r="W941" s="18"/>
      <c r="X941" s="18"/>
      <c r="Y941" s="18"/>
      <c r="Z941" s="18"/>
    </row>
    <row r="942" ht="22.5" customHeight="1">
      <c r="A942" s="247">
        <v>46077.0</v>
      </c>
      <c r="B942" s="218" t="s">
        <v>6189</v>
      </c>
      <c r="C942" s="9"/>
      <c r="D942" s="228" t="s">
        <v>6190</v>
      </c>
      <c r="E942" s="216">
        <v>9.912667177E9</v>
      </c>
      <c r="F942" s="221" t="s">
        <v>241</v>
      </c>
      <c r="G942" s="9" t="s">
        <v>6191</v>
      </c>
      <c r="H942" s="234">
        <v>46077.0</v>
      </c>
      <c r="I942" s="232">
        <v>0.6666666666666666</v>
      </c>
      <c r="J942" s="9"/>
      <c r="K942" s="18"/>
      <c r="L942" s="18"/>
      <c r="M942" s="18"/>
      <c r="N942" s="18"/>
      <c r="O942" s="18"/>
      <c r="P942" s="18"/>
      <c r="Q942" s="18"/>
      <c r="R942" s="18"/>
      <c r="S942" s="18"/>
      <c r="T942" s="18"/>
      <c r="U942" s="18"/>
      <c r="V942" s="18"/>
      <c r="W942" s="18"/>
      <c r="X942" s="18"/>
      <c r="Y942" s="18"/>
      <c r="Z942" s="18"/>
    </row>
    <row r="943" ht="22.5" customHeight="1">
      <c r="A943" s="247">
        <v>46077.0</v>
      </c>
      <c r="B943" s="218" t="s">
        <v>6192</v>
      </c>
      <c r="C943" s="9"/>
      <c r="D943" s="228" t="s">
        <v>3265</v>
      </c>
      <c r="E943" s="216"/>
      <c r="F943" s="221" t="s">
        <v>144</v>
      </c>
      <c r="G943" s="9" t="s">
        <v>6193</v>
      </c>
      <c r="H943" s="234"/>
      <c r="I943" s="232"/>
      <c r="J943" s="9" t="s">
        <v>6194</v>
      </c>
      <c r="K943" s="18"/>
      <c r="L943" s="18"/>
      <c r="M943" s="18"/>
      <c r="N943" s="18"/>
      <c r="O943" s="18"/>
      <c r="P943" s="18"/>
      <c r="Q943" s="18"/>
      <c r="R943" s="18"/>
      <c r="S943" s="18"/>
      <c r="T943" s="18"/>
      <c r="U943" s="18"/>
      <c r="V943" s="18"/>
      <c r="W943" s="18"/>
      <c r="X943" s="18"/>
      <c r="Y943" s="18"/>
      <c r="Z943" s="18"/>
    </row>
    <row r="944" ht="22.5" customHeight="1">
      <c r="A944" s="247">
        <v>46077.0</v>
      </c>
      <c r="B944" s="218" t="s">
        <v>6195</v>
      </c>
      <c r="C944" s="9"/>
      <c r="D944" s="228" t="s">
        <v>6196</v>
      </c>
      <c r="E944" s="216">
        <v>9.440860933E9</v>
      </c>
      <c r="F944" s="221" t="s">
        <v>241</v>
      </c>
      <c r="G944" s="9" t="s">
        <v>6197</v>
      </c>
      <c r="H944" s="234"/>
      <c r="I944" s="232"/>
      <c r="J944" s="9"/>
      <c r="K944" s="18"/>
      <c r="L944" s="18"/>
      <c r="M944" s="18"/>
      <c r="N944" s="18"/>
      <c r="O944" s="18"/>
      <c r="P944" s="18"/>
      <c r="Q944" s="18"/>
      <c r="R944" s="18"/>
      <c r="S944" s="18"/>
      <c r="T944" s="18"/>
      <c r="U944" s="18"/>
      <c r="V944" s="18"/>
      <c r="W944" s="18"/>
      <c r="X944" s="18"/>
      <c r="Y944" s="18"/>
      <c r="Z944" s="18"/>
    </row>
    <row r="945" ht="22.5" customHeight="1">
      <c r="A945" s="247">
        <v>46077.0</v>
      </c>
      <c r="B945" s="218" t="s">
        <v>6198</v>
      </c>
      <c r="C945" s="9"/>
      <c r="D945" s="228" t="s">
        <v>6106</v>
      </c>
      <c r="E945" s="216">
        <v>8.125641626E9</v>
      </c>
      <c r="F945" s="221" t="s">
        <v>241</v>
      </c>
      <c r="G945" s="9" t="s">
        <v>6199</v>
      </c>
      <c r="H945" s="234"/>
      <c r="I945" s="232"/>
      <c r="J945" s="9"/>
      <c r="K945" s="18"/>
      <c r="L945" s="18"/>
      <c r="M945" s="18"/>
      <c r="N945" s="18"/>
      <c r="O945" s="18"/>
      <c r="P945" s="18"/>
      <c r="Q945" s="18"/>
      <c r="R945" s="18"/>
      <c r="S945" s="18"/>
      <c r="T945" s="18"/>
      <c r="U945" s="18"/>
      <c r="V945" s="18"/>
      <c r="W945" s="18"/>
      <c r="X945" s="18"/>
      <c r="Y945" s="18"/>
      <c r="Z945" s="18"/>
    </row>
    <row r="946" ht="22.5" customHeight="1">
      <c r="A946" s="247">
        <v>46077.0</v>
      </c>
      <c r="B946" s="218" t="s">
        <v>6200</v>
      </c>
      <c r="C946" s="9"/>
      <c r="D946" s="228" t="s">
        <v>6201</v>
      </c>
      <c r="E946" s="216">
        <v>7.993924605E9</v>
      </c>
      <c r="F946" s="221" t="s">
        <v>144</v>
      </c>
      <c r="G946" s="9" t="s">
        <v>6202</v>
      </c>
      <c r="H946" s="234">
        <v>46077.0</v>
      </c>
      <c r="I946" s="232">
        <v>0.625</v>
      </c>
      <c r="J946" s="9" t="s">
        <v>6203</v>
      </c>
      <c r="K946" s="18"/>
      <c r="L946" s="18"/>
      <c r="M946" s="18"/>
      <c r="N946" s="18"/>
      <c r="O946" s="18"/>
      <c r="P946" s="18"/>
      <c r="Q946" s="18"/>
      <c r="R946" s="18"/>
      <c r="S946" s="18"/>
      <c r="T946" s="18"/>
      <c r="U946" s="18"/>
      <c r="V946" s="18"/>
      <c r="W946" s="18"/>
      <c r="X946" s="18"/>
      <c r="Y946" s="18"/>
      <c r="Z946" s="18"/>
    </row>
    <row r="947" ht="22.5" customHeight="1">
      <c r="A947" s="247">
        <v>46077.0</v>
      </c>
      <c r="B947" s="218" t="s">
        <v>6204</v>
      </c>
      <c r="C947" s="9"/>
      <c r="D947" s="228" t="s">
        <v>6205</v>
      </c>
      <c r="E947" s="216"/>
      <c r="F947" s="221" t="s">
        <v>73</v>
      </c>
      <c r="G947" s="9" t="s">
        <v>6206</v>
      </c>
      <c r="H947" s="234"/>
      <c r="I947" s="232"/>
      <c r="J947" s="9"/>
      <c r="K947" s="18"/>
      <c r="L947" s="18"/>
      <c r="M947" s="18"/>
      <c r="N947" s="18"/>
      <c r="O947" s="18"/>
      <c r="P947" s="18"/>
      <c r="Q947" s="18"/>
      <c r="R947" s="18"/>
      <c r="S947" s="18"/>
      <c r="T947" s="18"/>
      <c r="U947" s="18"/>
      <c r="V947" s="18"/>
      <c r="W947" s="18"/>
      <c r="X947" s="18"/>
      <c r="Y947" s="18"/>
      <c r="Z947" s="18"/>
    </row>
    <row r="948" ht="22.5" customHeight="1">
      <c r="A948" s="247">
        <v>46077.0</v>
      </c>
      <c r="B948" s="218" t="s">
        <v>6207</v>
      </c>
      <c r="C948" s="9"/>
      <c r="D948" s="228"/>
      <c r="E948" s="216"/>
      <c r="F948" s="221" t="s">
        <v>3857</v>
      </c>
      <c r="G948" s="9" t="s">
        <v>6208</v>
      </c>
      <c r="H948" s="234"/>
      <c r="I948" s="232"/>
      <c r="J948" s="9"/>
      <c r="K948" s="18"/>
      <c r="L948" s="18"/>
      <c r="M948" s="18"/>
      <c r="N948" s="18"/>
      <c r="O948" s="18"/>
      <c r="P948" s="18"/>
      <c r="Q948" s="18"/>
      <c r="R948" s="18"/>
      <c r="S948" s="18"/>
      <c r="T948" s="18"/>
      <c r="U948" s="18"/>
      <c r="V948" s="18"/>
      <c r="W948" s="18"/>
      <c r="X948" s="18"/>
      <c r="Y948" s="18"/>
      <c r="Z948" s="18"/>
    </row>
    <row r="949" ht="22.5" customHeight="1">
      <c r="A949" s="247">
        <v>46077.0</v>
      </c>
      <c r="B949" s="218" t="s">
        <v>5192</v>
      </c>
      <c r="C949" s="9"/>
      <c r="D949" s="228" t="s">
        <v>244</v>
      </c>
      <c r="E949" s="216">
        <v>9.10017709E9</v>
      </c>
      <c r="F949" s="221" t="s">
        <v>73</v>
      </c>
      <c r="G949" s="9" t="s">
        <v>6209</v>
      </c>
      <c r="H949" s="234"/>
      <c r="I949" s="232"/>
      <c r="J949" s="9" t="s">
        <v>6210</v>
      </c>
      <c r="K949" s="18"/>
      <c r="L949" s="18"/>
      <c r="M949" s="18"/>
      <c r="N949" s="18"/>
      <c r="O949" s="18"/>
      <c r="P949" s="18"/>
      <c r="Q949" s="18"/>
      <c r="R949" s="18"/>
      <c r="S949" s="18"/>
      <c r="T949" s="18"/>
      <c r="U949" s="18"/>
      <c r="V949" s="18"/>
      <c r="W949" s="18"/>
      <c r="X949" s="18"/>
      <c r="Y949" s="18"/>
      <c r="Z949" s="18"/>
    </row>
    <row r="950" ht="22.5" customHeight="1">
      <c r="A950" s="247">
        <v>46077.0</v>
      </c>
      <c r="B950" s="218" t="s">
        <v>6211</v>
      </c>
      <c r="C950" s="9"/>
      <c r="D950" s="228"/>
      <c r="E950" s="216"/>
      <c r="F950" s="221" t="s">
        <v>73</v>
      </c>
      <c r="G950" s="9" t="s">
        <v>6212</v>
      </c>
      <c r="H950" s="234"/>
      <c r="I950" s="232"/>
      <c r="J950" s="9"/>
      <c r="K950" s="18"/>
      <c r="L950" s="18"/>
      <c r="M950" s="18"/>
      <c r="N950" s="18"/>
      <c r="O950" s="18"/>
      <c r="P950" s="18"/>
      <c r="Q950" s="18"/>
      <c r="R950" s="18"/>
      <c r="S950" s="18"/>
      <c r="T950" s="18"/>
      <c r="U950" s="18"/>
      <c r="V950" s="18"/>
      <c r="W950" s="18"/>
      <c r="X950" s="18"/>
      <c r="Y950" s="18"/>
      <c r="Z950" s="18"/>
    </row>
    <row r="951" ht="22.5" customHeight="1">
      <c r="A951" s="247">
        <v>46077.0</v>
      </c>
      <c r="B951" s="218" t="s">
        <v>6213</v>
      </c>
      <c r="C951" s="9"/>
      <c r="D951" s="228" t="s">
        <v>5319</v>
      </c>
      <c r="E951" s="216">
        <v>9.014757764E9</v>
      </c>
      <c r="F951" s="221" t="s">
        <v>3857</v>
      </c>
      <c r="G951" s="9" t="s">
        <v>6214</v>
      </c>
      <c r="H951" s="234">
        <v>46077.0</v>
      </c>
      <c r="I951" s="232">
        <v>0.625</v>
      </c>
      <c r="J951" s="9" t="s">
        <v>6215</v>
      </c>
      <c r="K951" s="18"/>
      <c r="L951" s="18"/>
      <c r="M951" s="18"/>
      <c r="N951" s="18"/>
      <c r="O951" s="18"/>
      <c r="P951" s="18"/>
      <c r="Q951" s="18"/>
      <c r="R951" s="18"/>
      <c r="S951" s="18"/>
      <c r="T951" s="18"/>
      <c r="U951" s="18"/>
      <c r="V951" s="18"/>
      <c r="W951" s="18"/>
      <c r="X951" s="18"/>
      <c r="Y951" s="18"/>
      <c r="Z951" s="18"/>
    </row>
    <row r="952" ht="22.5" customHeight="1">
      <c r="A952" s="247">
        <v>46077.0</v>
      </c>
      <c r="B952" s="218" t="s">
        <v>6216</v>
      </c>
      <c r="C952" s="9"/>
      <c r="D952" s="228"/>
      <c r="E952" s="216"/>
      <c r="F952" s="221" t="s">
        <v>96</v>
      </c>
      <c r="G952" s="9" t="s">
        <v>6217</v>
      </c>
      <c r="H952" s="234">
        <v>46077.0</v>
      </c>
      <c r="I952" s="232">
        <v>0.7291666666666666</v>
      </c>
      <c r="J952" s="140" t="s">
        <v>6218</v>
      </c>
      <c r="K952" s="18"/>
      <c r="L952" s="18"/>
      <c r="M952" s="18"/>
      <c r="N952" s="18"/>
      <c r="O952" s="18"/>
      <c r="P952" s="18"/>
      <c r="Q952" s="18"/>
      <c r="R952" s="18"/>
      <c r="S952" s="18"/>
      <c r="T952" s="18"/>
      <c r="U952" s="18"/>
      <c r="V952" s="18"/>
      <c r="W952" s="18"/>
      <c r="X952" s="18"/>
      <c r="Y952" s="18"/>
      <c r="Z952" s="18"/>
    </row>
    <row r="953" ht="22.5" customHeight="1">
      <c r="A953" s="247">
        <v>46077.0</v>
      </c>
      <c r="B953" s="218" t="s">
        <v>6219</v>
      </c>
      <c r="C953" s="9"/>
      <c r="D953" s="228" t="s">
        <v>6220</v>
      </c>
      <c r="E953" s="216">
        <v>8.688546247E9</v>
      </c>
      <c r="F953" s="221" t="s">
        <v>241</v>
      </c>
      <c r="G953" s="9" t="s">
        <v>6221</v>
      </c>
      <c r="H953" s="234"/>
      <c r="I953" s="232"/>
      <c r="J953" s="9"/>
      <c r="K953" s="18"/>
      <c r="L953" s="18"/>
      <c r="M953" s="18"/>
      <c r="N953" s="18"/>
      <c r="O953" s="18"/>
      <c r="P953" s="18"/>
      <c r="Q953" s="18"/>
      <c r="R953" s="18"/>
      <c r="S953" s="18"/>
      <c r="T953" s="18"/>
      <c r="U953" s="18"/>
      <c r="V953" s="18"/>
      <c r="W953" s="18"/>
      <c r="X953" s="18"/>
      <c r="Y953" s="18"/>
      <c r="Z953" s="18"/>
    </row>
    <row r="954" ht="22.5" customHeight="1">
      <c r="A954" s="247">
        <v>46077.0</v>
      </c>
      <c r="B954" s="218" t="s">
        <v>6222</v>
      </c>
      <c r="C954" s="9"/>
      <c r="D954" s="228" t="s">
        <v>6223</v>
      </c>
      <c r="E954" s="216">
        <v>9.550551971E9</v>
      </c>
      <c r="F954" s="221" t="s">
        <v>241</v>
      </c>
      <c r="G954" s="9" t="s">
        <v>6224</v>
      </c>
      <c r="H954" s="234"/>
      <c r="I954" s="232"/>
      <c r="J954" s="9"/>
      <c r="K954" s="18"/>
      <c r="L954" s="18"/>
      <c r="M954" s="18"/>
      <c r="N954" s="18"/>
      <c r="O954" s="18"/>
      <c r="P954" s="18"/>
      <c r="Q954" s="18"/>
      <c r="R954" s="18"/>
      <c r="S954" s="18"/>
      <c r="T954" s="18"/>
      <c r="U954" s="18"/>
      <c r="V954" s="18"/>
      <c r="W954" s="18"/>
      <c r="X954" s="18"/>
      <c r="Y954" s="18"/>
      <c r="Z954" s="18"/>
    </row>
    <row r="955" ht="22.5" customHeight="1">
      <c r="A955" s="247">
        <v>46077.0</v>
      </c>
      <c r="B955" s="218" t="s">
        <v>6225</v>
      </c>
      <c r="C955" s="9"/>
      <c r="D955" s="228" t="s">
        <v>2116</v>
      </c>
      <c r="E955" s="216">
        <v>9.177050547E9</v>
      </c>
      <c r="F955" s="221" t="s">
        <v>96</v>
      </c>
      <c r="G955" s="9" t="s">
        <v>6226</v>
      </c>
      <c r="H955" s="234">
        <v>46080.0</v>
      </c>
      <c r="I955" s="232">
        <v>0.6666666666666666</v>
      </c>
      <c r="J955" s="9" t="s">
        <v>6227</v>
      </c>
      <c r="K955" s="18"/>
      <c r="L955" s="18"/>
      <c r="M955" s="18"/>
      <c r="N955" s="18"/>
      <c r="O955" s="18"/>
      <c r="P955" s="18"/>
      <c r="Q955" s="18"/>
      <c r="R955" s="18"/>
      <c r="S955" s="18"/>
      <c r="T955" s="18"/>
      <c r="U955" s="18"/>
      <c r="V955" s="18"/>
      <c r="W955" s="18"/>
      <c r="X955" s="18"/>
      <c r="Y955" s="18"/>
      <c r="Z955" s="18"/>
    </row>
    <row r="956" ht="22.5" customHeight="1">
      <c r="A956" s="247">
        <v>46077.0</v>
      </c>
      <c r="B956" s="218" t="s">
        <v>6228</v>
      </c>
      <c r="C956" s="9"/>
      <c r="D956" s="228" t="s">
        <v>2116</v>
      </c>
      <c r="E956" s="216">
        <v>9.177050547E9</v>
      </c>
      <c r="F956" s="221" t="s">
        <v>96</v>
      </c>
      <c r="G956" s="9" t="s">
        <v>6226</v>
      </c>
      <c r="H956" s="234">
        <v>46080.0</v>
      </c>
      <c r="I956" s="232">
        <v>0.6666666666666666</v>
      </c>
      <c r="J956" s="9" t="s">
        <v>6227</v>
      </c>
      <c r="K956" s="18"/>
      <c r="L956" s="18"/>
      <c r="M956" s="18"/>
      <c r="N956" s="18"/>
      <c r="O956" s="18"/>
      <c r="P956" s="18"/>
      <c r="Q956" s="18"/>
      <c r="R956" s="18"/>
      <c r="S956" s="18"/>
      <c r="T956" s="18"/>
      <c r="U956" s="18"/>
      <c r="V956" s="18"/>
      <c r="W956" s="18"/>
      <c r="X956" s="18"/>
      <c r="Y956" s="18"/>
      <c r="Z956" s="18"/>
    </row>
    <row r="957" ht="22.5" customHeight="1">
      <c r="A957" s="247">
        <v>46077.0</v>
      </c>
      <c r="B957" s="218" t="s">
        <v>6229</v>
      </c>
      <c r="C957" s="9"/>
      <c r="D957" s="228"/>
      <c r="E957" s="216"/>
      <c r="F957" s="221" t="s">
        <v>45</v>
      </c>
      <c r="G957" s="9" t="s">
        <v>6230</v>
      </c>
      <c r="H957" s="234">
        <v>46079.0</v>
      </c>
      <c r="I957" s="232"/>
      <c r="J957" s="9"/>
      <c r="K957" s="18"/>
      <c r="L957" s="18"/>
      <c r="M957" s="18"/>
      <c r="N957" s="18"/>
      <c r="O957" s="18"/>
      <c r="P957" s="18"/>
      <c r="Q957" s="18"/>
      <c r="R957" s="18"/>
      <c r="S957" s="18"/>
      <c r="T957" s="18"/>
      <c r="U957" s="18"/>
      <c r="V957" s="18"/>
      <c r="W957" s="18"/>
      <c r="X957" s="18"/>
      <c r="Y957" s="18"/>
      <c r="Z957" s="18"/>
    </row>
    <row r="958" ht="22.5" customHeight="1">
      <c r="A958" s="247">
        <v>46077.0</v>
      </c>
      <c r="B958" s="218" t="s">
        <v>6231</v>
      </c>
      <c r="C958" s="9"/>
      <c r="D958" s="228"/>
      <c r="E958" s="216"/>
      <c r="F958" s="221" t="s">
        <v>73</v>
      </c>
      <c r="G958" s="9" t="s">
        <v>5324</v>
      </c>
      <c r="H958" s="234"/>
      <c r="I958" s="232"/>
      <c r="J958" s="9" t="s">
        <v>6232</v>
      </c>
      <c r="K958" s="18"/>
      <c r="L958" s="18"/>
      <c r="M958" s="18"/>
      <c r="N958" s="18"/>
      <c r="O958" s="18"/>
      <c r="P958" s="18"/>
      <c r="Q958" s="18"/>
      <c r="R958" s="18"/>
      <c r="S958" s="18"/>
      <c r="T958" s="18"/>
      <c r="U958" s="18"/>
      <c r="V958" s="18"/>
      <c r="W958" s="18"/>
      <c r="X958" s="18"/>
      <c r="Y958" s="18"/>
      <c r="Z958" s="18"/>
    </row>
    <row r="959" ht="22.5" customHeight="1">
      <c r="A959" s="247">
        <v>46077.0</v>
      </c>
      <c r="B959" s="218" t="s">
        <v>6233</v>
      </c>
      <c r="C959" s="9"/>
      <c r="D959" s="228" t="s">
        <v>6115</v>
      </c>
      <c r="E959" s="216">
        <v>9.346411788E9</v>
      </c>
      <c r="F959" s="221" t="s">
        <v>3857</v>
      </c>
      <c r="G959" s="9" t="s">
        <v>6099</v>
      </c>
      <c r="H959" s="234"/>
      <c r="I959" s="232"/>
      <c r="J959" s="9" t="s">
        <v>6234</v>
      </c>
      <c r="K959" s="18"/>
      <c r="L959" s="18"/>
      <c r="M959" s="18"/>
      <c r="N959" s="18"/>
      <c r="O959" s="18"/>
      <c r="P959" s="18"/>
      <c r="Q959" s="18"/>
      <c r="R959" s="18"/>
      <c r="S959" s="18"/>
      <c r="T959" s="18"/>
      <c r="U959" s="18"/>
      <c r="V959" s="18"/>
      <c r="W959" s="18"/>
      <c r="X959" s="18"/>
      <c r="Y959" s="18"/>
      <c r="Z959" s="18"/>
    </row>
    <row r="960" ht="22.5" customHeight="1">
      <c r="A960" s="247">
        <v>46077.0</v>
      </c>
      <c r="B960" s="218" t="s">
        <v>6235</v>
      </c>
      <c r="C960" s="228" t="s">
        <v>6236</v>
      </c>
      <c r="D960" s="228" t="s">
        <v>2334</v>
      </c>
      <c r="E960" s="216"/>
      <c r="F960" s="221" t="s">
        <v>186</v>
      </c>
      <c r="G960" s="9" t="s">
        <v>6237</v>
      </c>
      <c r="H960" s="234"/>
      <c r="I960" s="232"/>
      <c r="J960" s="9" t="s">
        <v>6238</v>
      </c>
      <c r="K960" s="18"/>
      <c r="L960" s="18"/>
      <c r="M960" s="18"/>
      <c r="N960" s="18"/>
      <c r="O960" s="18"/>
      <c r="P960" s="18"/>
      <c r="Q960" s="18"/>
      <c r="R960" s="18"/>
      <c r="S960" s="18"/>
      <c r="T960" s="18"/>
      <c r="U960" s="18"/>
      <c r="V960" s="18"/>
      <c r="W960" s="18"/>
      <c r="X960" s="18"/>
      <c r="Y960" s="18"/>
      <c r="Z960" s="18"/>
    </row>
    <row r="961" ht="22.5" customHeight="1">
      <c r="A961" s="247">
        <v>46077.0</v>
      </c>
      <c r="B961" s="218" t="s">
        <v>2314</v>
      </c>
      <c r="C961" s="228" t="s">
        <v>6236</v>
      </c>
      <c r="D961" s="228" t="s">
        <v>6239</v>
      </c>
      <c r="E961" s="216"/>
      <c r="F961" s="221" t="s">
        <v>186</v>
      </c>
      <c r="G961" s="9" t="s">
        <v>6237</v>
      </c>
      <c r="H961" s="234"/>
      <c r="I961" s="232"/>
      <c r="J961" s="9" t="s">
        <v>6238</v>
      </c>
      <c r="K961" s="18"/>
      <c r="L961" s="18"/>
      <c r="M961" s="18"/>
      <c r="N961" s="18"/>
      <c r="O961" s="18"/>
      <c r="P961" s="18"/>
      <c r="Q961" s="18"/>
      <c r="R961" s="18"/>
      <c r="S961" s="18"/>
      <c r="T961" s="18"/>
      <c r="U961" s="18"/>
      <c r="V961" s="18"/>
      <c r="W961" s="18"/>
      <c r="X961" s="18"/>
      <c r="Y961" s="18"/>
      <c r="Z961" s="18"/>
    </row>
    <row r="962" ht="22.5" customHeight="1">
      <c r="A962" s="247">
        <v>46077.0</v>
      </c>
      <c r="B962" s="218" t="s">
        <v>6240</v>
      </c>
      <c r="C962" s="228" t="s">
        <v>6236</v>
      </c>
      <c r="D962" s="228" t="s">
        <v>6241</v>
      </c>
      <c r="E962" s="216"/>
      <c r="F962" s="221" t="s">
        <v>186</v>
      </c>
      <c r="G962" s="9" t="s">
        <v>6237</v>
      </c>
      <c r="H962" s="234"/>
      <c r="I962" s="232"/>
      <c r="J962" s="9" t="s">
        <v>6238</v>
      </c>
      <c r="K962" s="18"/>
      <c r="L962" s="18"/>
      <c r="M962" s="18"/>
      <c r="N962" s="18"/>
      <c r="O962" s="18"/>
      <c r="P962" s="18"/>
      <c r="Q962" s="18"/>
      <c r="R962" s="18"/>
      <c r="S962" s="18"/>
      <c r="T962" s="18"/>
      <c r="U962" s="18"/>
      <c r="V962" s="18"/>
      <c r="W962" s="18"/>
      <c r="X962" s="18"/>
      <c r="Y962" s="18"/>
      <c r="Z962" s="18"/>
    </row>
    <row r="963" ht="22.5" customHeight="1">
      <c r="A963" s="247">
        <v>46077.0</v>
      </c>
      <c r="B963" s="218" t="s">
        <v>6242</v>
      </c>
      <c r="C963" s="9"/>
      <c r="E963" s="216"/>
      <c r="F963" s="221" t="s">
        <v>96</v>
      </c>
      <c r="G963" s="9" t="s">
        <v>6243</v>
      </c>
      <c r="H963" s="234"/>
      <c r="I963" s="232"/>
      <c r="J963" s="9" t="s">
        <v>6244</v>
      </c>
      <c r="K963" s="18"/>
      <c r="L963" s="18"/>
      <c r="M963" s="18"/>
      <c r="N963" s="18"/>
      <c r="O963" s="18"/>
      <c r="P963" s="18"/>
      <c r="Q963" s="18"/>
      <c r="R963" s="18"/>
      <c r="S963" s="18"/>
      <c r="T963" s="18"/>
      <c r="U963" s="18"/>
      <c r="V963" s="18"/>
      <c r="W963" s="18"/>
      <c r="X963" s="18"/>
      <c r="Y963" s="18"/>
      <c r="Z963" s="18"/>
    </row>
    <row r="964" ht="22.5" customHeight="1">
      <c r="A964" s="247">
        <v>46077.0</v>
      </c>
      <c r="B964" s="218" t="s">
        <v>6245</v>
      </c>
      <c r="C964" s="9"/>
      <c r="E964" s="216">
        <v>7.660939863E9</v>
      </c>
      <c r="F964" s="221" t="s">
        <v>1919</v>
      </c>
      <c r="G964" s="9" t="s">
        <v>6246</v>
      </c>
      <c r="H964" s="234"/>
      <c r="I964" s="232"/>
      <c r="J964" s="9" t="s">
        <v>6247</v>
      </c>
      <c r="K964" s="18"/>
      <c r="L964" s="18"/>
      <c r="M964" s="18"/>
      <c r="N964" s="18"/>
      <c r="O964" s="18"/>
      <c r="P964" s="18"/>
      <c r="Q964" s="18"/>
      <c r="R964" s="18"/>
      <c r="S964" s="18"/>
      <c r="T964" s="18"/>
      <c r="U964" s="18"/>
      <c r="V964" s="18"/>
      <c r="W964" s="18"/>
      <c r="X964" s="18"/>
      <c r="Y964" s="18"/>
      <c r="Z964" s="18"/>
    </row>
    <row r="965" ht="22.5" customHeight="1">
      <c r="A965" s="247">
        <v>46077.0</v>
      </c>
      <c r="B965" s="218" t="s">
        <v>6248</v>
      </c>
      <c r="C965" s="9"/>
      <c r="D965" s="15" t="s">
        <v>6249</v>
      </c>
      <c r="E965" s="216">
        <v>9.030058654E9</v>
      </c>
      <c r="F965" s="221" t="s">
        <v>1919</v>
      </c>
      <c r="G965" s="9" t="s">
        <v>6250</v>
      </c>
      <c r="H965" s="234"/>
      <c r="I965" s="232"/>
      <c r="J965" s="9" t="s">
        <v>6251</v>
      </c>
      <c r="K965" s="18"/>
      <c r="L965" s="18"/>
      <c r="M965" s="18"/>
      <c r="N965" s="18"/>
      <c r="O965" s="18"/>
      <c r="P965" s="18"/>
      <c r="Q965" s="18"/>
      <c r="R965" s="18"/>
      <c r="S965" s="18"/>
      <c r="T965" s="18"/>
      <c r="U965" s="18"/>
      <c r="V965" s="18"/>
      <c r="W965" s="18"/>
      <c r="X965" s="18"/>
      <c r="Y965" s="18"/>
      <c r="Z965" s="18"/>
    </row>
    <row r="966" ht="22.5" customHeight="1">
      <c r="A966" s="247">
        <v>46077.0</v>
      </c>
      <c r="B966" s="218" t="s">
        <v>6252</v>
      </c>
      <c r="C966" s="9"/>
      <c r="D966" s="228"/>
      <c r="E966" s="216"/>
      <c r="F966" s="221" t="s">
        <v>144</v>
      </c>
      <c r="G966" s="9"/>
      <c r="H966" s="234"/>
      <c r="I966" s="232"/>
      <c r="J966" s="9" t="s">
        <v>6253</v>
      </c>
      <c r="K966" s="18"/>
      <c r="L966" s="18"/>
      <c r="M966" s="18"/>
      <c r="N966" s="18"/>
      <c r="O966" s="18"/>
      <c r="P966" s="18"/>
      <c r="Q966" s="18"/>
      <c r="R966" s="18"/>
      <c r="S966" s="18"/>
      <c r="T966" s="18"/>
      <c r="U966" s="18"/>
      <c r="V966" s="18"/>
      <c r="W966" s="18"/>
      <c r="X966" s="18"/>
      <c r="Y966" s="18"/>
      <c r="Z966" s="18"/>
    </row>
    <row r="967" ht="22.5" customHeight="1">
      <c r="A967" s="247">
        <v>46077.0</v>
      </c>
      <c r="B967" s="218" t="s">
        <v>3648</v>
      </c>
      <c r="C967" s="9"/>
      <c r="D967" s="228"/>
      <c r="E967" s="216"/>
      <c r="F967" s="221" t="s">
        <v>144</v>
      </c>
      <c r="G967" s="9" t="s">
        <v>6254</v>
      </c>
      <c r="H967" s="234"/>
      <c r="I967" s="232"/>
      <c r="J967" s="9"/>
      <c r="K967" s="18"/>
      <c r="L967" s="18"/>
      <c r="M967" s="18"/>
      <c r="N967" s="18"/>
      <c r="O967" s="18"/>
      <c r="P967" s="18"/>
      <c r="Q967" s="18"/>
      <c r="R967" s="18"/>
      <c r="S967" s="18"/>
      <c r="T967" s="18"/>
      <c r="U967" s="18"/>
      <c r="V967" s="18"/>
      <c r="W967" s="18"/>
      <c r="X967" s="18"/>
      <c r="Y967" s="18"/>
      <c r="Z967" s="18"/>
    </row>
    <row r="968" ht="22.5" customHeight="1">
      <c r="A968" s="247">
        <v>46077.0</v>
      </c>
      <c r="B968" s="218" t="s">
        <v>6255</v>
      </c>
      <c r="C968" s="9"/>
      <c r="D968" s="228"/>
      <c r="E968" s="216"/>
      <c r="F968" s="221" t="s">
        <v>144</v>
      </c>
      <c r="G968" s="9" t="s">
        <v>6256</v>
      </c>
      <c r="H968" s="234"/>
      <c r="I968" s="232"/>
      <c r="J968" s="9"/>
      <c r="K968" s="18"/>
      <c r="L968" s="18"/>
      <c r="M968" s="18"/>
      <c r="N968" s="18"/>
      <c r="O968" s="18"/>
      <c r="P968" s="18"/>
      <c r="Q968" s="18"/>
      <c r="R968" s="18"/>
      <c r="S968" s="18"/>
      <c r="T968" s="18"/>
      <c r="U968" s="18"/>
      <c r="V968" s="18"/>
      <c r="W968" s="18"/>
      <c r="X968" s="18"/>
      <c r="Y968" s="18"/>
      <c r="Z968" s="18"/>
    </row>
    <row r="969" ht="22.5" customHeight="1">
      <c r="A969" s="247">
        <v>46077.0</v>
      </c>
      <c r="B969" s="218" t="s">
        <v>6257</v>
      </c>
      <c r="C969" s="9"/>
      <c r="D969" s="228"/>
      <c r="E969" s="216"/>
      <c r="F969" s="221" t="s">
        <v>45</v>
      </c>
      <c r="G969" s="9" t="s">
        <v>4714</v>
      </c>
      <c r="H969" s="234"/>
      <c r="I969" s="232"/>
      <c r="J969" s="9" t="s">
        <v>6258</v>
      </c>
      <c r="K969" s="18"/>
      <c r="L969" s="18"/>
      <c r="M969" s="18"/>
      <c r="N969" s="18"/>
      <c r="O969" s="18"/>
      <c r="P969" s="18"/>
      <c r="Q969" s="18"/>
      <c r="R969" s="18"/>
      <c r="S969" s="18"/>
      <c r="T969" s="18"/>
      <c r="U969" s="18"/>
      <c r="V969" s="18"/>
      <c r="W969" s="18"/>
      <c r="X969" s="18"/>
      <c r="Y969" s="18"/>
      <c r="Z969" s="18"/>
    </row>
    <row r="970" ht="22.5" customHeight="1">
      <c r="A970" s="247">
        <v>46077.0</v>
      </c>
      <c r="B970" s="218" t="s">
        <v>6259</v>
      </c>
      <c r="C970" s="9"/>
      <c r="D970" s="228"/>
      <c r="E970" s="216"/>
      <c r="F970" s="221" t="s">
        <v>73</v>
      </c>
      <c r="G970" s="9" t="s">
        <v>6260</v>
      </c>
      <c r="H970" s="234"/>
      <c r="I970" s="232"/>
      <c r="J970" s="9"/>
      <c r="K970" s="18"/>
      <c r="L970" s="18"/>
      <c r="M970" s="18"/>
      <c r="N970" s="18"/>
      <c r="O970" s="18"/>
      <c r="P970" s="18"/>
      <c r="Q970" s="18"/>
      <c r="R970" s="18"/>
      <c r="S970" s="18"/>
      <c r="T970" s="18"/>
      <c r="U970" s="18"/>
      <c r="V970" s="18"/>
      <c r="W970" s="18"/>
      <c r="X970" s="18"/>
      <c r="Y970" s="18"/>
      <c r="Z970" s="18"/>
    </row>
    <row r="971" ht="22.5" customHeight="1">
      <c r="A971" s="247">
        <v>46077.0</v>
      </c>
      <c r="B971" s="218" t="s">
        <v>6261</v>
      </c>
      <c r="C971" s="9"/>
      <c r="D971" s="228" t="s">
        <v>4646</v>
      </c>
      <c r="E971" s="216">
        <v>8.977797797E9</v>
      </c>
      <c r="F971" s="221" t="s">
        <v>73</v>
      </c>
      <c r="G971" s="9" t="s">
        <v>6020</v>
      </c>
      <c r="H971" s="234"/>
      <c r="I971" s="232"/>
      <c r="J971" s="9" t="s">
        <v>6262</v>
      </c>
      <c r="K971" s="18"/>
      <c r="L971" s="18"/>
      <c r="M971" s="18"/>
      <c r="N971" s="18"/>
      <c r="O971" s="18"/>
      <c r="P971" s="18"/>
      <c r="Q971" s="18"/>
      <c r="R971" s="18"/>
      <c r="S971" s="18"/>
      <c r="T971" s="18"/>
      <c r="U971" s="18"/>
      <c r="V971" s="18"/>
      <c r="W971" s="18"/>
      <c r="X971" s="18"/>
      <c r="Y971" s="18"/>
      <c r="Z971" s="18"/>
    </row>
    <row r="972" ht="22.5" customHeight="1">
      <c r="A972" s="247">
        <v>46077.0</v>
      </c>
      <c r="B972" s="218" t="s">
        <v>6263</v>
      </c>
      <c r="C972" s="9"/>
      <c r="D972" s="228" t="s">
        <v>6264</v>
      </c>
      <c r="E972" s="216"/>
      <c r="F972" s="221" t="s">
        <v>3857</v>
      </c>
      <c r="G972" s="9" t="s">
        <v>6265</v>
      </c>
      <c r="H972" s="234">
        <v>46078.0</v>
      </c>
      <c r="I972" s="232"/>
      <c r="J972" s="9"/>
      <c r="K972" s="18"/>
      <c r="L972" s="18"/>
      <c r="M972" s="18"/>
      <c r="N972" s="18"/>
      <c r="O972" s="18"/>
      <c r="P972" s="18"/>
      <c r="Q972" s="18"/>
      <c r="R972" s="18"/>
      <c r="S972" s="18"/>
      <c r="T972" s="18"/>
      <c r="U972" s="18"/>
      <c r="V972" s="18"/>
      <c r="W972" s="18"/>
      <c r="X972" s="18"/>
      <c r="Y972" s="18"/>
      <c r="Z972" s="18"/>
    </row>
    <row r="973" ht="22.5" customHeight="1">
      <c r="A973" s="247">
        <v>46077.0</v>
      </c>
      <c r="B973" s="218" t="s">
        <v>6266</v>
      </c>
      <c r="C973" s="9"/>
      <c r="D973" s="228" t="s">
        <v>6267</v>
      </c>
      <c r="E973" s="216">
        <v>9.010031068E9</v>
      </c>
      <c r="F973" s="221" t="s">
        <v>73</v>
      </c>
      <c r="G973" s="9" t="s">
        <v>6268</v>
      </c>
      <c r="H973" s="234">
        <v>46077.0</v>
      </c>
      <c r="I973" s="232">
        <v>0.8333333333333334</v>
      </c>
      <c r="J973" s="9"/>
      <c r="K973" s="18"/>
      <c r="L973" s="18"/>
      <c r="M973" s="18"/>
      <c r="N973" s="18"/>
      <c r="O973" s="18"/>
      <c r="P973" s="18"/>
      <c r="Q973" s="18"/>
      <c r="R973" s="18"/>
      <c r="S973" s="18"/>
      <c r="T973" s="18"/>
      <c r="U973" s="18"/>
      <c r="V973" s="18"/>
      <c r="W973" s="18"/>
      <c r="X973" s="18"/>
      <c r="Y973" s="18"/>
      <c r="Z973" s="18"/>
    </row>
    <row r="974" ht="22.5" customHeight="1">
      <c r="A974" s="247">
        <v>46077.0</v>
      </c>
      <c r="B974" s="218" t="s">
        <v>5904</v>
      </c>
      <c r="C974" s="9"/>
      <c r="D974" s="228" t="s">
        <v>5905</v>
      </c>
      <c r="E974" s="216">
        <v>9.393316686E9</v>
      </c>
      <c r="F974" s="221" t="s">
        <v>3857</v>
      </c>
      <c r="G974" s="9" t="s">
        <v>6269</v>
      </c>
      <c r="H974" s="234">
        <v>46078.0</v>
      </c>
      <c r="I974" s="232"/>
      <c r="J974" s="9"/>
      <c r="K974" s="18"/>
      <c r="L974" s="18"/>
      <c r="M974" s="18"/>
      <c r="N974" s="18"/>
      <c r="O974" s="18"/>
      <c r="P974" s="18"/>
      <c r="Q974" s="18"/>
      <c r="R974" s="18"/>
      <c r="S974" s="18"/>
      <c r="T974" s="18"/>
      <c r="U974" s="18"/>
      <c r="V974" s="18"/>
      <c r="W974" s="18"/>
      <c r="X974" s="18"/>
      <c r="Y974" s="18"/>
      <c r="Z974" s="18"/>
    </row>
    <row r="975" ht="22.5" customHeight="1">
      <c r="A975" s="247">
        <v>46077.0</v>
      </c>
      <c r="B975" s="218" t="s">
        <v>6270</v>
      </c>
      <c r="C975" s="9"/>
      <c r="D975" s="228" t="s">
        <v>5970</v>
      </c>
      <c r="E975" s="216">
        <v>9.160602449E9</v>
      </c>
      <c r="F975" s="221" t="s">
        <v>3857</v>
      </c>
      <c r="G975" s="9" t="s">
        <v>6271</v>
      </c>
      <c r="H975" s="234">
        <v>46080.0</v>
      </c>
      <c r="I975" s="232"/>
      <c r="J975" s="9" t="s">
        <v>5972</v>
      </c>
      <c r="K975" s="18"/>
      <c r="L975" s="18"/>
      <c r="M975" s="18"/>
      <c r="N975" s="18"/>
      <c r="O975" s="18"/>
      <c r="P975" s="18"/>
      <c r="Q975" s="18"/>
      <c r="R975" s="18"/>
      <c r="S975" s="18"/>
      <c r="T975" s="18"/>
      <c r="U975" s="18"/>
      <c r="V975" s="18"/>
      <c r="W975" s="18"/>
      <c r="X975" s="18"/>
      <c r="Y975" s="18"/>
      <c r="Z975" s="18"/>
    </row>
    <row r="976" ht="22.5" customHeight="1">
      <c r="A976" s="247">
        <v>46077.0</v>
      </c>
      <c r="B976" s="218" t="s">
        <v>6272</v>
      </c>
      <c r="C976" s="9"/>
      <c r="D976" s="228"/>
      <c r="E976" s="216"/>
      <c r="F976" s="221" t="s">
        <v>73</v>
      </c>
      <c r="G976" s="9" t="s">
        <v>6273</v>
      </c>
      <c r="H976" s="234"/>
      <c r="I976" s="232"/>
      <c r="J976" s="9" t="s">
        <v>6274</v>
      </c>
      <c r="K976" s="18"/>
      <c r="L976" s="18"/>
      <c r="M976" s="18"/>
      <c r="N976" s="18"/>
      <c r="O976" s="18"/>
      <c r="P976" s="18"/>
      <c r="Q976" s="18"/>
      <c r="R976" s="18"/>
      <c r="S976" s="18"/>
      <c r="T976" s="18"/>
      <c r="U976" s="18"/>
      <c r="V976" s="18"/>
      <c r="W976" s="18"/>
      <c r="X976" s="18"/>
      <c r="Y976" s="18"/>
      <c r="Z976" s="18"/>
    </row>
    <row r="977" ht="22.5" customHeight="1">
      <c r="A977" s="247">
        <v>46077.0</v>
      </c>
      <c r="B977" s="218" t="s">
        <v>6275</v>
      </c>
      <c r="C977" s="9"/>
      <c r="D977" s="228"/>
      <c r="E977" s="216"/>
      <c r="F977" s="221" t="s">
        <v>96</v>
      </c>
      <c r="G977" s="9" t="s">
        <v>6276</v>
      </c>
      <c r="H977" s="234"/>
      <c r="I977" s="232"/>
      <c r="J977" s="9" t="s">
        <v>6277</v>
      </c>
      <c r="K977" s="18"/>
      <c r="L977" s="18"/>
      <c r="M977" s="18"/>
      <c r="N977" s="18"/>
      <c r="O977" s="18"/>
      <c r="P977" s="18"/>
      <c r="Q977" s="18"/>
      <c r="R977" s="18"/>
      <c r="S977" s="18"/>
      <c r="T977" s="18"/>
      <c r="U977" s="18"/>
      <c r="V977" s="18"/>
      <c r="W977" s="18"/>
      <c r="X977" s="18"/>
      <c r="Y977" s="18"/>
      <c r="Z977" s="18"/>
    </row>
    <row r="978" ht="22.5" customHeight="1">
      <c r="A978" s="247">
        <v>46077.0</v>
      </c>
      <c r="B978" s="218" t="s">
        <v>6278</v>
      </c>
      <c r="C978" s="9"/>
      <c r="D978" s="228"/>
      <c r="E978" s="216">
        <v>9.032730504E9</v>
      </c>
      <c r="F978" s="221" t="s">
        <v>73</v>
      </c>
      <c r="G978" s="9" t="s">
        <v>6279</v>
      </c>
      <c r="H978" s="234"/>
      <c r="I978" s="232"/>
      <c r="J978" s="9" t="s">
        <v>6280</v>
      </c>
      <c r="K978" s="18"/>
      <c r="L978" s="18"/>
      <c r="M978" s="18"/>
      <c r="N978" s="18"/>
      <c r="O978" s="18"/>
      <c r="P978" s="18"/>
      <c r="Q978" s="18"/>
      <c r="R978" s="18"/>
      <c r="S978" s="18"/>
      <c r="T978" s="18"/>
      <c r="U978" s="18"/>
      <c r="V978" s="18"/>
      <c r="W978" s="18"/>
      <c r="X978" s="18"/>
      <c r="Y978" s="18"/>
      <c r="Z978" s="18"/>
    </row>
    <row r="979" ht="22.5" customHeight="1">
      <c r="A979" s="247">
        <v>46077.0</v>
      </c>
      <c r="B979" s="218" t="s">
        <v>6281</v>
      </c>
      <c r="C979" s="9"/>
      <c r="D979" s="228" t="s">
        <v>6282</v>
      </c>
      <c r="E979" s="216">
        <v>9.502247618E9</v>
      </c>
      <c r="F979" s="221" t="s">
        <v>3857</v>
      </c>
      <c r="G979" s="9" t="s">
        <v>6283</v>
      </c>
      <c r="H979" s="234">
        <v>46078.0</v>
      </c>
      <c r="I979" s="232"/>
      <c r="J979" s="9" t="s">
        <v>6284</v>
      </c>
      <c r="K979" s="18"/>
      <c r="L979" s="18"/>
      <c r="M979" s="18"/>
      <c r="N979" s="18"/>
      <c r="O979" s="18"/>
      <c r="P979" s="18"/>
      <c r="Q979" s="18"/>
      <c r="R979" s="18"/>
      <c r="S979" s="18"/>
      <c r="T979" s="18"/>
      <c r="U979" s="18"/>
      <c r="V979" s="18"/>
      <c r="W979" s="18"/>
      <c r="X979" s="18"/>
      <c r="Y979" s="18"/>
      <c r="Z979" s="18"/>
    </row>
    <row r="980" ht="22.5" customHeight="1">
      <c r="A980" s="247">
        <v>46077.0</v>
      </c>
      <c r="B980" s="218" t="s">
        <v>6285</v>
      </c>
      <c r="C980" s="9"/>
      <c r="D980" s="228"/>
      <c r="E980" s="216"/>
      <c r="F980" s="221" t="s">
        <v>96</v>
      </c>
      <c r="G980" s="9" t="s">
        <v>6286</v>
      </c>
      <c r="H980" s="234">
        <v>46078.0</v>
      </c>
      <c r="I980" s="232"/>
      <c r="J980" s="9" t="s">
        <v>6287</v>
      </c>
      <c r="K980" s="18"/>
      <c r="L980" s="18"/>
      <c r="M980" s="18"/>
      <c r="N980" s="18"/>
      <c r="O980" s="18"/>
      <c r="P980" s="18"/>
      <c r="Q980" s="18"/>
      <c r="R980" s="18"/>
      <c r="S980" s="18"/>
      <c r="T980" s="18"/>
      <c r="U980" s="18"/>
      <c r="V980" s="18"/>
      <c r="W980" s="18"/>
      <c r="X980" s="18"/>
      <c r="Y980" s="18"/>
      <c r="Z980" s="18"/>
    </row>
    <row r="981" ht="22.5" customHeight="1">
      <c r="A981" s="247">
        <v>46077.0</v>
      </c>
      <c r="B981" s="218" t="s">
        <v>6248</v>
      </c>
      <c r="C981" s="9"/>
      <c r="D981" s="228"/>
      <c r="E981" s="216"/>
      <c r="F981" s="221" t="s">
        <v>1919</v>
      </c>
      <c r="G981" s="9" t="s">
        <v>6288</v>
      </c>
      <c r="H981" s="234"/>
      <c r="I981" s="232"/>
      <c r="J981" s="9" t="s">
        <v>6251</v>
      </c>
      <c r="K981" s="18"/>
      <c r="L981" s="18"/>
      <c r="M981" s="18"/>
      <c r="N981" s="18"/>
      <c r="O981" s="18"/>
      <c r="P981" s="18"/>
      <c r="Q981" s="18"/>
      <c r="R981" s="18"/>
      <c r="S981" s="18"/>
      <c r="T981" s="18"/>
      <c r="U981" s="18"/>
      <c r="V981" s="18"/>
      <c r="W981" s="18"/>
      <c r="X981" s="18"/>
      <c r="Y981" s="18"/>
      <c r="Z981" s="18"/>
    </row>
    <row r="982" ht="22.5" customHeight="1">
      <c r="A982" s="247">
        <v>46077.0</v>
      </c>
      <c r="B982" s="218" t="s">
        <v>2238</v>
      </c>
      <c r="C982" s="9"/>
      <c r="D982" s="228" t="s">
        <v>4192</v>
      </c>
      <c r="E982" s="216">
        <v>8.328632386E9</v>
      </c>
      <c r="F982" s="221" t="s">
        <v>73</v>
      </c>
      <c r="G982" s="9" t="s">
        <v>6289</v>
      </c>
      <c r="H982" s="234">
        <v>46079.0</v>
      </c>
      <c r="I982" s="232"/>
      <c r="J982" s="9" t="s">
        <v>6290</v>
      </c>
      <c r="K982" s="18"/>
      <c r="L982" s="18"/>
      <c r="M982" s="18"/>
      <c r="N982" s="18"/>
      <c r="O982" s="18"/>
      <c r="P982" s="18"/>
      <c r="Q982" s="18"/>
      <c r="R982" s="18"/>
      <c r="S982" s="18"/>
      <c r="T982" s="18"/>
      <c r="U982" s="18"/>
      <c r="V982" s="18"/>
      <c r="W982" s="18"/>
      <c r="X982" s="18"/>
      <c r="Y982" s="18"/>
      <c r="Z982" s="18"/>
    </row>
    <row r="983" ht="22.5" customHeight="1">
      <c r="A983" s="247">
        <v>46077.0</v>
      </c>
      <c r="B983" s="218" t="s">
        <v>6291</v>
      </c>
      <c r="C983" s="9"/>
      <c r="D983" s="228"/>
      <c r="E983" s="216"/>
      <c r="F983" s="221" t="s">
        <v>45</v>
      </c>
      <c r="G983" s="9" t="s">
        <v>6292</v>
      </c>
      <c r="H983" s="234"/>
      <c r="I983" s="232"/>
      <c r="J983" s="9"/>
      <c r="K983" s="18"/>
      <c r="L983" s="18"/>
      <c r="M983" s="18"/>
      <c r="N983" s="18"/>
      <c r="O983" s="18"/>
      <c r="P983" s="18"/>
      <c r="Q983" s="18"/>
      <c r="R983" s="18"/>
      <c r="S983" s="18"/>
      <c r="T983" s="18"/>
      <c r="U983" s="18"/>
      <c r="V983" s="18"/>
      <c r="W983" s="18"/>
      <c r="X983" s="18"/>
      <c r="Y983" s="18"/>
      <c r="Z983" s="18"/>
    </row>
    <row r="984" ht="22.5" customHeight="1">
      <c r="A984" s="247">
        <v>46077.0</v>
      </c>
      <c r="B984" s="218" t="s">
        <v>6293</v>
      </c>
      <c r="C984" s="9"/>
      <c r="D984" s="228"/>
      <c r="E984" s="216"/>
      <c r="F984" s="221" t="s">
        <v>45</v>
      </c>
      <c r="G984" s="9" t="s">
        <v>6292</v>
      </c>
      <c r="H984" s="234"/>
      <c r="I984" s="232"/>
      <c r="J984" s="9"/>
      <c r="K984" s="18"/>
      <c r="L984" s="18"/>
      <c r="M984" s="18"/>
      <c r="N984" s="18"/>
      <c r="O984" s="18"/>
      <c r="P984" s="18"/>
      <c r="Q984" s="18"/>
      <c r="R984" s="18"/>
      <c r="S984" s="18"/>
      <c r="T984" s="18"/>
      <c r="U984" s="18"/>
      <c r="V984" s="18"/>
      <c r="W984" s="18"/>
      <c r="X984" s="18"/>
      <c r="Y984" s="18"/>
      <c r="Z984" s="18"/>
    </row>
    <row r="985" ht="22.5" customHeight="1">
      <c r="A985" s="247">
        <v>46077.0</v>
      </c>
      <c r="B985" s="218" t="s">
        <v>6294</v>
      </c>
      <c r="C985" s="9"/>
      <c r="D985" s="228" t="s">
        <v>5508</v>
      </c>
      <c r="E985" s="216"/>
      <c r="F985" s="221" t="s">
        <v>144</v>
      </c>
      <c r="G985" s="9" t="s">
        <v>6295</v>
      </c>
      <c r="H985" s="234"/>
      <c r="I985" s="232"/>
      <c r="J985" s="9" t="s">
        <v>6296</v>
      </c>
      <c r="K985" s="18"/>
      <c r="L985" s="18"/>
      <c r="M985" s="18"/>
      <c r="N985" s="18"/>
      <c r="O985" s="18"/>
      <c r="P985" s="18"/>
      <c r="Q985" s="18"/>
      <c r="R985" s="18"/>
      <c r="S985" s="18"/>
      <c r="T985" s="18"/>
      <c r="U985" s="18"/>
      <c r="V985" s="18"/>
      <c r="W985" s="18"/>
      <c r="X985" s="18"/>
      <c r="Y985" s="18"/>
      <c r="Z985" s="18"/>
    </row>
    <row r="986" ht="22.5" customHeight="1">
      <c r="A986" s="247">
        <v>46077.0</v>
      </c>
      <c r="B986" s="218" t="s">
        <v>6297</v>
      </c>
      <c r="C986" s="9"/>
      <c r="D986" s="228" t="s">
        <v>4649</v>
      </c>
      <c r="E986" s="216">
        <v>9.030272322E9</v>
      </c>
      <c r="F986" s="221" t="s">
        <v>73</v>
      </c>
      <c r="G986" s="9" t="s">
        <v>6298</v>
      </c>
      <c r="H986" s="234"/>
      <c r="I986" s="232"/>
      <c r="J986" s="9"/>
      <c r="K986" s="18"/>
      <c r="L986" s="18"/>
      <c r="M986" s="18"/>
      <c r="N986" s="18"/>
      <c r="O986" s="18"/>
      <c r="P986" s="18"/>
      <c r="Q986" s="18"/>
      <c r="R986" s="18"/>
      <c r="S986" s="18"/>
      <c r="T986" s="18"/>
      <c r="U986" s="18"/>
      <c r="V986" s="18"/>
      <c r="W986" s="18"/>
      <c r="X986" s="18"/>
      <c r="Y986" s="18"/>
      <c r="Z986" s="18"/>
    </row>
    <row r="987" ht="22.5" customHeight="1">
      <c r="A987" s="247">
        <v>46077.0</v>
      </c>
      <c r="B987" s="218" t="s">
        <v>6299</v>
      </c>
      <c r="C987" s="9" t="s">
        <v>203</v>
      </c>
      <c r="D987" s="228"/>
      <c r="E987" s="216"/>
      <c r="F987" s="221" t="s">
        <v>241</v>
      </c>
      <c r="G987" s="9" t="s">
        <v>4053</v>
      </c>
      <c r="H987" s="234"/>
      <c r="I987" s="232"/>
      <c r="J987" s="9"/>
      <c r="K987" s="18"/>
      <c r="L987" s="18"/>
      <c r="M987" s="18"/>
      <c r="N987" s="18"/>
      <c r="O987" s="18"/>
      <c r="P987" s="18"/>
      <c r="Q987" s="18"/>
      <c r="R987" s="18"/>
      <c r="S987" s="18"/>
      <c r="T987" s="18"/>
      <c r="U987" s="18"/>
      <c r="V987" s="18"/>
      <c r="W987" s="18"/>
      <c r="X987" s="18"/>
      <c r="Y987" s="18"/>
      <c r="Z987" s="18"/>
    </row>
    <row r="988" ht="22.5" customHeight="1">
      <c r="A988" s="247">
        <v>46077.0</v>
      </c>
      <c r="B988" s="218" t="s">
        <v>2325</v>
      </c>
      <c r="C988" s="9"/>
      <c r="D988" s="228"/>
      <c r="E988" s="216"/>
      <c r="F988" s="221" t="s">
        <v>241</v>
      </c>
      <c r="G988" s="9" t="s">
        <v>4053</v>
      </c>
      <c r="H988" s="234"/>
      <c r="I988" s="232"/>
      <c r="J988" s="9"/>
      <c r="K988" s="18"/>
      <c r="L988" s="18"/>
      <c r="M988" s="18"/>
      <c r="N988" s="18"/>
      <c r="O988" s="18"/>
      <c r="P988" s="18"/>
      <c r="Q988" s="18"/>
      <c r="R988" s="18"/>
      <c r="S988" s="18"/>
      <c r="T988" s="18"/>
      <c r="U988" s="18"/>
      <c r="V988" s="18"/>
      <c r="W988" s="18"/>
      <c r="X988" s="18"/>
      <c r="Y988" s="18"/>
      <c r="Z988" s="18"/>
    </row>
    <row r="989" ht="22.5" customHeight="1">
      <c r="A989" s="247">
        <v>46077.0</v>
      </c>
      <c r="B989" s="218" t="s">
        <v>2339</v>
      </c>
      <c r="C989" s="9"/>
      <c r="D989" s="228"/>
      <c r="E989" s="216"/>
      <c r="F989" s="221" t="s">
        <v>241</v>
      </c>
      <c r="G989" s="9" t="s">
        <v>4053</v>
      </c>
      <c r="H989" s="234"/>
      <c r="I989" s="232"/>
      <c r="J989" s="9"/>
      <c r="K989" s="18"/>
      <c r="L989" s="18"/>
      <c r="M989" s="18"/>
      <c r="N989" s="18"/>
      <c r="O989" s="18"/>
      <c r="P989" s="18"/>
      <c r="Q989" s="18"/>
      <c r="R989" s="18"/>
      <c r="S989" s="18"/>
      <c r="T989" s="18"/>
      <c r="U989" s="18"/>
      <c r="V989" s="18"/>
      <c r="W989" s="18"/>
      <c r="X989" s="18"/>
      <c r="Y989" s="18"/>
      <c r="Z989" s="18"/>
    </row>
    <row r="990" ht="22.5" customHeight="1">
      <c r="A990" s="247">
        <v>46077.0</v>
      </c>
      <c r="B990" s="218" t="s">
        <v>6300</v>
      </c>
      <c r="C990" s="9"/>
      <c r="D990" s="228"/>
      <c r="E990" s="216"/>
      <c r="F990" s="221" t="s">
        <v>241</v>
      </c>
      <c r="G990" s="9" t="s">
        <v>4053</v>
      </c>
      <c r="H990" s="234"/>
      <c r="I990" s="232"/>
      <c r="J990" s="9"/>
      <c r="K990" s="18"/>
      <c r="L990" s="18"/>
      <c r="M990" s="18"/>
      <c r="N990" s="18"/>
      <c r="O990" s="18"/>
      <c r="P990" s="18"/>
      <c r="Q990" s="18"/>
      <c r="R990" s="18"/>
      <c r="S990" s="18"/>
      <c r="T990" s="18"/>
      <c r="U990" s="18"/>
      <c r="V990" s="18"/>
      <c r="W990" s="18"/>
      <c r="X990" s="18"/>
      <c r="Y990" s="18"/>
      <c r="Z990" s="18"/>
    </row>
    <row r="991" ht="22.5" customHeight="1">
      <c r="A991" s="247">
        <v>46077.0</v>
      </c>
      <c r="B991" s="218" t="s">
        <v>2430</v>
      </c>
      <c r="C991" s="9"/>
      <c r="D991" s="228"/>
      <c r="E991" s="216"/>
      <c r="F991" s="221" t="s">
        <v>1919</v>
      </c>
      <c r="G991" s="9" t="s">
        <v>4053</v>
      </c>
      <c r="H991" s="234"/>
      <c r="I991" s="232"/>
      <c r="J991" s="9"/>
      <c r="K991" s="18"/>
      <c r="L991" s="18"/>
      <c r="M991" s="18"/>
      <c r="N991" s="18"/>
      <c r="O991" s="18"/>
      <c r="P991" s="18"/>
      <c r="Q991" s="18"/>
      <c r="R991" s="18"/>
      <c r="S991" s="18"/>
      <c r="T991" s="18"/>
      <c r="U991" s="18"/>
      <c r="V991" s="18"/>
      <c r="W991" s="18"/>
      <c r="X991" s="18"/>
      <c r="Y991" s="18"/>
      <c r="Z991" s="18"/>
    </row>
    <row r="992" ht="22.5" customHeight="1">
      <c r="A992" s="247">
        <v>46077.0</v>
      </c>
      <c r="B992" s="218" t="s">
        <v>6301</v>
      </c>
      <c r="C992" s="9"/>
      <c r="D992" s="228" t="s">
        <v>5469</v>
      </c>
      <c r="E992" s="216">
        <v>8.919193385E9</v>
      </c>
      <c r="F992" s="221" t="s">
        <v>3857</v>
      </c>
      <c r="G992" s="9" t="s">
        <v>6302</v>
      </c>
      <c r="H992" s="234"/>
      <c r="I992" s="232"/>
      <c r="J992" s="9"/>
      <c r="K992" s="18"/>
      <c r="L992" s="18"/>
      <c r="M992" s="18"/>
      <c r="N992" s="18"/>
      <c r="O992" s="18"/>
      <c r="P992" s="18"/>
      <c r="Q992" s="18"/>
      <c r="R992" s="18"/>
      <c r="S992" s="18"/>
      <c r="T992" s="18"/>
      <c r="U992" s="18"/>
      <c r="V992" s="18"/>
      <c r="W992" s="18"/>
      <c r="X992" s="18"/>
      <c r="Y992" s="18"/>
      <c r="Z992" s="18"/>
    </row>
    <row r="993" ht="22.5" customHeight="1">
      <c r="A993" s="247">
        <v>46077.0</v>
      </c>
      <c r="B993" s="218" t="s">
        <v>6303</v>
      </c>
      <c r="C993" s="9"/>
      <c r="D993" s="228"/>
      <c r="E993" s="216"/>
      <c r="F993" s="221" t="s">
        <v>96</v>
      </c>
      <c r="G993" s="9" t="s">
        <v>6304</v>
      </c>
      <c r="H993" s="234"/>
      <c r="I993" s="232"/>
      <c r="J993" s="9"/>
      <c r="K993" s="18"/>
      <c r="L993" s="18"/>
      <c r="M993" s="18"/>
      <c r="N993" s="18"/>
      <c r="O993" s="18"/>
      <c r="P993" s="18"/>
      <c r="Q993" s="18"/>
      <c r="R993" s="18"/>
      <c r="S993" s="18"/>
      <c r="T993" s="18"/>
      <c r="U993" s="18"/>
      <c r="V993" s="18"/>
      <c r="W993" s="18"/>
      <c r="X993" s="18"/>
      <c r="Y993" s="18"/>
      <c r="Z993" s="18"/>
    </row>
    <row r="994" ht="22.5" customHeight="1">
      <c r="A994" s="236">
        <v>46078.0</v>
      </c>
      <c r="B994" s="218" t="s">
        <v>6305</v>
      </c>
      <c r="C994" s="9" t="s">
        <v>4630</v>
      </c>
      <c r="D994" s="228" t="s">
        <v>6306</v>
      </c>
      <c r="E994" s="216"/>
      <c r="F994" s="221" t="s">
        <v>186</v>
      </c>
      <c r="G994" s="9" t="s">
        <v>6307</v>
      </c>
      <c r="H994" s="234"/>
      <c r="I994" s="232"/>
      <c r="J994" s="9"/>
      <c r="K994" s="18"/>
      <c r="L994" s="18"/>
      <c r="M994" s="18"/>
      <c r="N994" s="18"/>
      <c r="O994" s="18"/>
      <c r="P994" s="18"/>
      <c r="Q994" s="18"/>
      <c r="R994" s="18"/>
      <c r="S994" s="18"/>
      <c r="T994" s="18"/>
      <c r="U994" s="18"/>
      <c r="V994" s="18"/>
      <c r="W994" s="18"/>
      <c r="X994" s="18"/>
      <c r="Y994" s="18"/>
      <c r="Z994" s="18"/>
    </row>
    <row r="995" ht="22.5" customHeight="1">
      <c r="A995" s="236">
        <v>46078.0</v>
      </c>
      <c r="B995" s="218" t="s">
        <v>6308</v>
      </c>
      <c r="C995" s="9"/>
      <c r="D995" s="228"/>
      <c r="E995" s="216"/>
      <c r="F995" s="221" t="s">
        <v>96</v>
      </c>
      <c r="G995" s="9" t="s">
        <v>6309</v>
      </c>
      <c r="H995" s="234"/>
      <c r="I995" s="232"/>
      <c r="J995" s="9" t="s">
        <v>6310</v>
      </c>
      <c r="K995" s="18"/>
      <c r="L995" s="18"/>
      <c r="M995" s="18"/>
      <c r="N995" s="18"/>
      <c r="O995" s="18"/>
      <c r="P995" s="18"/>
      <c r="Q995" s="18"/>
      <c r="R995" s="18"/>
      <c r="S995" s="18"/>
      <c r="T995" s="18"/>
      <c r="U995" s="18"/>
      <c r="V995" s="18"/>
      <c r="W995" s="18"/>
      <c r="X995" s="18"/>
      <c r="Y995" s="18"/>
      <c r="Z995" s="18"/>
    </row>
    <row r="996" ht="22.5" customHeight="1">
      <c r="A996" s="236">
        <v>46078.0</v>
      </c>
      <c r="B996" s="218" t="s">
        <v>6311</v>
      </c>
      <c r="C996" s="9"/>
      <c r="D996" s="228" t="s">
        <v>6312</v>
      </c>
      <c r="E996" s="216">
        <v>8.247031311E9</v>
      </c>
      <c r="F996" s="221" t="s">
        <v>1919</v>
      </c>
      <c r="G996" s="9" t="s">
        <v>6313</v>
      </c>
      <c r="H996" s="234"/>
      <c r="I996" s="232"/>
      <c r="J996" s="9" t="s">
        <v>6314</v>
      </c>
      <c r="K996" s="18"/>
      <c r="L996" s="18"/>
      <c r="M996" s="18"/>
      <c r="N996" s="18"/>
      <c r="O996" s="18"/>
      <c r="P996" s="18"/>
      <c r="Q996" s="18"/>
      <c r="R996" s="18"/>
      <c r="S996" s="18"/>
      <c r="T996" s="18"/>
      <c r="U996" s="18"/>
      <c r="V996" s="18"/>
      <c r="W996" s="18"/>
      <c r="X996" s="18"/>
      <c r="Y996" s="18"/>
      <c r="Z996" s="18"/>
    </row>
    <row r="997" ht="22.5" customHeight="1">
      <c r="A997" s="236">
        <v>46078.0</v>
      </c>
      <c r="B997" s="218" t="s">
        <v>6315</v>
      </c>
      <c r="C997" s="9"/>
      <c r="D997" s="228" t="s">
        <v>6316</v>
      </c>
      <c r="E997" s="216">
        <v>9.9558546E8</v>
      </c>
      <c r="F997" s="221" t="s">
        <v>3857</v>
      </c>
      <c r="G997" s="9" t="s">
        <v>6317</v>
      </c>
      <c r="H997" s="234">
        <v>46079.0</v>
      </c>
      <c r="I997" s="232"/>
      <c r="J997" s="9"/>
      <c r="K997" s="18"/>
      <c r="L997" s="18"/>
      <c r="M997" s="18"/>
      <c r="N997" s="18"/>
      <c r="O997" s="18"/>
      <c r="P997" s="18"/>
      <c r="Q997" s="18"/>
      <c r="R997" s="18"/>
      <c r="S997" s="18"/>
      <c r="T997" s="18"/>
      <c r="U997" s="18"/>
      <c r="V997" s="18"/>
      <c r="W997" s="18"/>
      <c r="X997" s="18"/>
      <c r="Y997" s="18"/>
      <c r="Z997" s="18"/>
    </row>
    <row r="998" ht="22.5" customHeight="1">
      <c r="A998" s="236">
        <v>46078.0</v>
      </c>
      <c r="B998" s="218" t="s">
        <v>6318</v>
      </c>
      <c r="C998" s="9"/>
      <c r="D998" s="228"/>
      <c r="E998" s="216"/>
      <c r="F998" s="221" t="s">
        <v>144</v>
      </c>
      <c r="G998" s="9" t="s">
        <v>6319</v>
      </c>
      <c r="H998" s="234">
        <v>46078.0</v>
      </c>
      <c r="I998" s="232">
        <v>0.625</v>
      </c>
      <c r="J998" s="9"/>
      <c r="K998" s="18"/>
      <c r="L998" s="18"/>
      <c r="M998" s="18"/>
      <c r="N998" s="18"/>
      <c r="O998" s="18"/>
      <c r="P998" s="18"/>
      <c r="Q998" s="18"/>
      <c r="R998" s="18"/>
      <c r="S998" s="18"/>
      <c r="T998" s="18"/>
      <c r="U998" s="18"/>
      <c r="V998" s="18"/>
      <c r="W998" s="18"/>
      <c r="X998" s="18"/>
      <c r="Y998" s="18"/>
      <c r="Z998" s="18"/>
    </row>
    <row r="999" ht="22.5" customHeight="1">
      <c r="A999" s="236">
        <v>46078.0</v>
      </c>
      <c r="B999" s="218" t="s">
        <v>6320</v>
      </c>
      <c r="C999" s="9"/>
      <c r="D999" s="228"/>
      <c r="E999" s="216"/>
      <c r="F999" s="221" t="s">
        <v>45</v>
      </c>
      <c r="G999" s="9" t="s">
        <v>6321</v>
      </c>
      <c r="H999" s="234"/>
      <c r="I999" s="232"/>
      <c r="J999" s="9"/>
      <c r="K999" s="18"/>
      <c r="L999" s="18"/>
      <c r="M999" s="18"/>
      <c r="N999" s="18"/>
      <c r="O999" s="18"/>
      <c r="P999" s="18"/>
      <c r="Q999" s="18"/>
      <c r="R999" s="18"/>
      <c r="S999" s="18"/>
      <c r="T999" s="18"/>
      <c r="U999" s="18"/>
      <c r="V999" s="18"/>
      <c r="W999" s="18"/>
      <c r="X999" s="18"/>
      <c r="Y999" s="18"/>
      <c r="Z999" s="18"/>
    </row>
    <row r="1000" ht="22.5" customHeight="1">
      <c r="A1000" s="236">
        <v>46078.0</v>
      </c>
      <c r="B1000" s="218" t="s">
        <v>6322</v>
      </c>
      <c r="C1000" s="9"/>
      <c r="D1000" s="228"/>
      <c r="E1000" s="216"/>
      <c r="F1000" s="221" t="s">
        <v>45</v>
      </c>
      <c r="G1000" s="9" t="s">
        <v>6321</v>
      </c>
      <c r="H1000" s="234"/>
      <c r="I1000" s="232"/>
      <c r="J1000" s="9"/>
      <c r="K1000" s="18"/>
      <c r="L1000" s="18"/>
      <c r="M1000" s="18"/>
      <c r="N1000" s="18"/>
      <c r="O1000" s="18"/>
      <c r="P1000" s="18"/>
      <c r="Q1000" s="18"/>
      <c r="R1000" s="18"/>
      <c r="S1000" s="18"/>
      <c r="T1000" s="18"/>
      <c r="U1000" s="18"/>
      <c r="V1000" s="18"/>
      <c r="W1000" s="18"/>
      <c r="X1000" s="18"/>
      <c r="Y1000" s="18"/>
      <c r="Z1000" s="18"/>
    </row>
    <row r="1001" ht="22.5" customHeight="1">
      <c r="A1001" s="236">
        <v>46078.0</v>
      </c>
      <c r="B1001" s="218" t="s">
        <v>6323</v>
      </c>
      <c r="C1001" s="9"/>
      <c r="D1001" s="228"/>
      <c r="E1001" s="216"/>
      <c r="F1001" s="221" t="s">
        <v>45</v>
      </c>
      <c r="G1001" s="9" t="s">
        <v>6321</v>
      </c>
      <c r="H1001" s="234"/>
      <c r="I1001" s="232"/>
      <c r="J1001" s="9"/>
      <c r="K1001" s="18"/>
      <c r="L1001" s="18"/>
      <c r="M1001" s="18"/>
      <c r="N1001" s="18"/>
      <c r="O1001" s="18"/>
      <c r="P1001" s="18"/>
      <c r="Q1001" s="18"/>
      <c r="R1001" s="18"/>
      <c r="S1001" s="18"/>
      <c r="T1001" s="18"/>
      <c r="U1001" s="18"/>
      <c r="V1001" s="18"/>
      <c r="W1001" s="18"/>
      <c r="X1001" s="18"/>
      <c r="Y1001" s="18"/>
      <c r="Z1001" s="18"/>
    </row>
    <row r="1002" ht="22.5" customHeight="1">
      <c r="A1002" s="236">
        <v>46078.0</v>
      </c>
      <c r="B1002" s="218" t="s">
        <v>6324</v>
      </c>
      <c r="C1002" s="9"/>
      <c r="D1002" s="228"/>
      <c r="E1002" s="216"/>
      <c r="F1002" s="221" t="s">
        <v>45</v>
      </c>
      <c r="G1002" s="9" t="s">
        <v>6325</v>
      </c>
      <c r="H1002" s="234"/>
      <c r="I1002" s="232"/>
      <c r="J1002" s="9" t="s">
        <v>6326</v>
      </c>
      <c r="K1002" s="18"/>
      <c r="L1002" s="18"/>
      <c r="M1002" s="18"/>
      <c r="N1002" s="18"/>
      <c r="O1002" s="18"/>
      <c r="P1002" s="18"/>
      <c r="Q1002" s="18"/>
      <c r="R1002" s="18"/>
      <c r="S1002" s="18"/>
      <c r="T1002" s="18"/>
      <c r="U1002" s="18"/>
      <c r="V1002" s="18"/>
      <c r="W1002" s="18"/>
      <c r="X1002" s="18"/>
      <c r="Y1002" s="18"/>
      <c r="Z1002" s="18"/>
    </row>
    <row r="1003" ht="22.5" customHeight="1">
      <c r="A1003" s="236">
        <v>46078.0</v>
      </c>
      <c r="B1003" s="218" t="s">
        <v>6327</v>
      </c>
      <c r="C1003" s="9"/>
      <c r="D1003" s="228"/>
      <c r="E1003" s="216"/>
      <c r="F1003" s="221" t="s">
        <v>96</v>
      </c>
      <c r="G1003" s="9" t="s">
        <v>6328</v>
      </c>
      <c r="H1003" s="234">
        <v>46079.0</v>
      </c>
      <c r="I1003" s="232"/>
      <c r="J1003" s="9"/>
      <c r="K1003" s="18"/>
      <c r="L1003" s="18"/>
      <c r="M1003" s="18"/>
      <c r="N1003" s="18"/>
      <c r="O1003" s="18"/>
      <c r="P1003" s="18"/>
      <c r="Q1003" s="18"/>
      <c r="R1003" s="18"/>
      <c r="S1003" s="18"/>
      <c r="T1003" s="18"/>
      <c r="U1003" s="18"/>
      <c r="V1003" s="18"/>
      <c r="W1003" s="18"/>
      <c r="X1003" s="18"/>
      <c r="Y1003" s="18"/>
      <c r="Z1003" s="18"/>
    </row>
    <row r="1004" ht="22.5" customHeight="1">
      <c r="A1004" s="236">
        <v>46078.0</v>
      </c>
      <c r="B1004" s="218" t="s">
        <v>6329</v>
      </c>
      <c r="C1004" s="9"/>
      <c r="D1004" s="228" t="s">
        <v>6330</v>
      </c>
      <c r="E1004" s="216"/>
      <c r="F1004" s="221" t="s">
        <v>3857</v>
      </c>
      <c r="G1004" s="9" t="s">
        <v>6331</v>
      </c>
      <c r="H1004" s="234">
        <v>46078.0</v>
      </c>
      <c r="I1004" s="232">
        <v>0.9583333333333334</v>
      </c>
      <c r="J1004" s="9"/>
      <c r="K1004" s="18"/>
      <c r="L1004" s="18"/>
      <c r="M1004" s="18"/>
      <c r="N1004" s="18"/>
      <c r="O1004" s="18"/>
      <c r="P1004" s="18"/>
      <c r="Q1004" s="18"/>
      <c r="R1004" s="18"/>
      <c r="S1004" s="18"/>
      <c r="T1004" s="18"/>
      <c r="U1004" s="18"/>
      <c r="V1004" s="18"/>
      <c r="W1004" s="18"/>
      <c r="X1004" s="18"/>
      <c r="Y1004" s="18"/>
      <c r="Z1004" s="18"/>
    </row>
    <row r="1005" ht="22.5" customHeight="1">
      <c r="A1005" s="236">
        <v>46078.0</v>
      </c>
      <c r="B1005" s="218" t="s">
        <v>6332</v>
      </c>
      <c r="C1005" s="9"/>
      <c r="D1005" s="228" t="s">
        <v>6333</v>
      </c>
      <c r="E1005" s="216">
        <v>7.799678883E9</v>
      </c>
      <c r="F1005" s="221" t="s">
        <v>1919</v>
      </c>
      <c r="G1005" s="9" t="s">
        <v>6334</v>
      </c>
      <c r="H1005" s="234"/>
      <c r="I1005" s="232"/>
      <c r="J1005" s="9" t="s">
        <v>6335</v>
      </c>
      <c r="K1005" s="18"/>
      <c r="L1005" s="18"/>
      <c r="M1005" s="18"/>
      <c r="N1005" s="18"/>
      <c r="O1005" s="18"/>
      <c r="P1005" s="18"/>
      <c r="Q1005" s="18"/>
      <c r="R1005" s="18"/>
      <c r="S1005" s="18"/>
      <c r="T1005" s="18"/>
      <c r="U1005" s="18"/>
      <c r="V1005" s="18"/>
      <c r="W1005" s="18"/>
      <c r="X1005" s="18"/>
      <c r="Y1005" s="18"/>
      <c r="Z1005" s="18"/>
    </row>
    <row r="1006" ht="22.5" customHeight="1">
      <c r="A1006" s="236">
        <v>46078.0</v>
      </c>
      <c r="B1006" s="218" t="s">
        <v>6336</v>
      </c>
      <c r="C1006" s="9"/>
      <c r="D1006" s="228" t="s">
        <v>6337</v>
      </c>
      <c r="E1006" s="216">
        <v>9.490422404E9</v>
      </c>
      <c r="F1006" s="221" t="s">
        <v>3857</v>
      </c>
      <c r="G1006" s="9" t="s">
        <v>6338</v>
      </c>
      <c r="H1006" s="234">
        <v>46078.0</v>
      </c>
      <c r="I1006" s="232">
        <v>0.6666666666666666</v>
      </c>
      <c r="J1006" s="9" t="s">
        <v>6339</v>
      </c>
      <c r="K1006" s="18"/>
      <c r="L1006" s="18"/>
      <c r="M1006" s="18"/>
      <c r="N1006" s="18"/>
      <c r="O1006" s="18"/>
      <c r="P1006" s="18"/>
      <c r="Q1006" s="18"/>
      <c r="R1006" s="18"/>
      <c r="S1006" s="18"/>
      <c r="T1006" s="18"/>
      <c r="U1006" s="18"/>
      <c r="V1006" s="18"/>
      <c r="W1006" s="18"/>
      <c r="X1006" s="18"/>
      <c r="Y1006" s="18"/>
      <c r="Z1006" s="18"/>
    </row>
    <row r="1007" ht="22.5" customHeight="1">
      <c r="A1007" s="236">
        <v>46078.0</v>
      </c>
      <c r="B1007" s="218" t="s">
        <v>6340</v>
      </c>
      <c r="C1007" s="9"/>
      <c r="D1007" s="228" t="s">
        <v>6341</v>
      </c>
      <c r="E1007" s="216">
        <v>9.347072802E9</v>
      </c>
      <c r="F1007" s="221" t="s">
        <v>96</v>
      </c>
      <c r="G1007" s="9" t="s">
        <v>6342</v>
      </c>
      <c r="H1007" s="234">
        <v>46080.0</v>
      </c>
      <c r="I1007" s="232"/>
      <c r="J1007" s="9" t="s">
        <v>6343</v>
      </c>
      <c r="K1007" s="18"/>
      <c r="L1007" s="18"/>
      <c r="M1007" s="18"/>
      <c r="N1007" s="18"/>
      <c r="O1007" s="18"/>
      <c r="P1007" s="18"/>
      <c r="Q1007" s="18"/>
      <c r="R1007" s="18"/>
      <c r="S1007" s="18"/>
      <c r="T1007" s="18"/>
      <c r="U1007" s="18"/>
      <c r="V1007" s="18"/>
      <c r="W1007" s="18"/>
      <c r="X1007" s="18"/>
      <c r="Y1007" s="18"/>
      <c r="Z1007" s="18"/>
    </row>
    <row r="1008" ht="22.5" customHeight="1">
      <c r="A1008" s="236">
        <v>46078.0</v>
      </c>
      <c r="B1008" s="218" t="s">
        <v>6344</v>
      </c>
      <c r="C1008" s="9"/>
      <c r="D1008" s="228" t="s">
        <v>5340</v>
      </c>
      <c r="E1008" s="216">
        <v>8.328135391E9</v>
      </c>
      <c r="F1008" s="221" t="s">
        <v>96</v>
      </c>
      <c r="G1008" s="9" t="s">
        <v>6345</v>
      </c>
      <c r="H1008" s="234"/>
      <c r="I1008" s="232"/>
      <c r="J1008" s="9"/>
      <c r="K1008" s="18"/>
      <c r="L1008" s="18"/>
      <c r="M1008" s="18"/>
      <c r="N1008" s="18"/>
      <c r="O1008" s="18"/>
      <c r="P1008" s="18"/>
      <c r="Q1008" s="18"/>
      <c r="R1008" s="18"/>
      <c r="S1008" s="18"/>
      <c r="T1008" s="18"/>
      <c r="U1008" s="18"/>
      <c r="V1008" s="18"/>
      <c r="W1008" s="18"/>
      <c r="X1008" s="18"/>
      <c r="Y1008" s="18"/>
      <c r="Z1008" s="18"/>
    </row>
    <row r="1009" ht="22.5" customHeight="1">
      <c r="A1009" s="236">
        <v>46078.0</v>
      </c>
      <c r="B1009" s="218" t="s">
        <v>4413</v>
      </c>
      <c r="C1009" s="9"/>
      <c r="D1009" s="228" t="s">
        <v>4568</v>
      </c>
      <c r="E1009" s="216">
        <v>9.963027222E9</v>
      </c>
      <c r="F1009" s="221" t="s">
        <v>144</v>
      </c>
      <c r="G1009" s="9" t="s">
        <v>6346</v>
      </c>
      <c r="H1009" s="234">
        <v>46078.0</v>
      </c>
      <c r="I1009" s="232">
        <v>0.7916666666666666</v>
      </c>
      <c r="J1009" s="9" t="s">
        <v>6347</v>
      </c>
      <c r="K1009" s="18"/>
      <c r="L1009" s="18"/>
      <c r="M1009" s="18"/>
      <c r="N1009" s="18"/>
      <c r="O1009" s="18"/>
      <c r="P1009" s="18"/>
      <c r="Q1009" s="18"/>
      <c r="R1009" s="18"/>
      <c r="S1009" s="18"/>
      <c r="T1009" s="18"/>
      <c r="U1009" s="18"/>
      <c r="V1009" s="18"/>
      <c r="W1009" s="18"/>
      <c r="X1009" s="18"/>
      <c r="Y1009" s="18"/>
      <c r="Z1009" s="18"/>
    </row>
    <row r="1010" ht="22.5" customHeight="1">
      <c r="A1010" s="236">
        <v>46078.0</v>
      </c>
      <c r="B1010" s="218" t="s">
        <v>2595</v>
      </c>
      <c r="C1010" s="9"/>
      <c r="D1010" s="228"/>
      <c r="E1010" s="216"/>
      <c r="F1010" s="221" t="s">
        <v>96</v>
      </c>
      <c r="G1010" s="9" t="s">
        <v>6348</v>
      </c>
      <c r="H1010" s="234"/>
      <c r="I1010" s="232"/>
      <c r="J1010" s="9"/>
      <c r="K1010" s="18"/>
      <c r="L1010" s="18"/>
      <c r="M1010" s="18"/>
      <c r="N1010" s="18"/>
      <c r="O1010" s="18"/>
      <c r="P1010" s="18"/>
      <c r="Q1010" s="18"/>
      <c r="R1010" s="18"/>
      <c r="S1010" s="18"/>
      <c r="T1010" s="18"/>
      <c r="U1010" s="18"/>
      <c r="V1010" s="18"/>
      <c r="W1010" s="18"/>
      <c r="X1010" s="18"/>
      <c r="Y1010" s="18"/>
      <c r="Z1010" s="18"/>
    </row>
    <row r="1011" ht="22.5" customHeight="1">
      <c r="A1011" s="236">
        <v>46078.0</v>
      </c>
      <c r="B1011" s="218" t="s">
        <v>6349</v>
      </c>
      <c r="C1011" s="9"/>
      <c r="D1011" s="228" t="s">
        <v>6350</v>
      </c>
      <c r="E1011" s="216"/>
      <c r="F1011" s="221" t="s">
        <v>3857</v>
      </c>
      <c r="G1011" s="9" t="s">
        <v>6351</v>
      </c>
      <c r="H1011" s="234">
        <v>46079.0</v>
      </c>
      <c r="I1011" s="232"/>
      <c r="J1011" s="9"/>
      <c r="K1011" s="18"/>
      <c r="L1011" s="18"/>
      <c r="M1011" s="18"/>
      <c r="N1011" s="18"/>
      <c r="O1011" s="18"/>
      <c r="P1011" s="18"/>
      <c r="Q1011" s="18"/>
      <c r="R1011" s="18"/>
      <c r="S1011" s="18"/>
      <c r="T1011" s="18"/>
      <c r="U1011" s="18"/>
      <c r="V1011" s="18"/>
      <c r="W1011" s="18"/>
      <c r="X1011" s="18"/>
      <c r="Y1011" s="18"/>
      <c r="Z1011" s="18"/>
    </row>
    <row r="1012" ht="22.5" customHeight="1">
      <c r="A1012" s="236">
        <v>46078.0</v>
      </c>
      <c r="B1012" s="218" t="s">
        <v>6352</v>
      </c>
      <c r="C1012" s="9"/>
      <c r="D1012" s="228" t="s">
        <v>6353</v>
      </c>
      <c r="E1012" s="216"/>
      <c r="F1012" s="221" t="s">
        <v>73</v>
      </c>
      <c r="G1012" s="9" t="s">
        <v>5199</v>
      </c>
      <c r="H1012" s="234"/>
      <c r="I1012" s="232"/>
      <c r="J1012" s="9" t="s">
        <v>6354</v>
      </c>
      <c r="K1012" s="18"/>
      <c r="L1012" s="18"/>
      <c r="M1012" s="18"/>
      <c r="N1012" s="18"/>
      <c r="O1012" s="18"/>
      <c r="P1012" s="18"/>
      <c r="Q1012" s="18"/>
      <c r="R1012" s="18"/>
      <c r="S1012" s="18"/>
      <c r="T1012" s="18"/>
      <c r="U1012" s="18"/>
      <c r="V1012" s="18"/>
      <c r="W1012" s="18"/>
      <c r="X1012" s="18"/>
      <c r="Y1012" s="18"/>
      <c r="Z1012" s="18"/>
    </row>
    <row r="1013" ht="22.5" customHeight="1">
      <c r="A1013" s="236">
        <v>46078.0</v>
      </c>
      <c r="B1013" s="218" t="s">
        <v>6355</v>
      </c>
      <c r="C1013" s="9" t="s">
        <v>4625</v>
      </c>
      <c r="D1013" s="228" t="s">
        <v>4201</v>
      </c>
      <c r="E1013" s="216"/>
      <c r="F1013" s="221" t="s">
        <v>186</v>
      </c>
      <c r="G1013" s="9" t="s">
        <v>6356</v>
      </c>
      <c r="H1013" s="234"/>
      <c r="I1013" s="232"/>
      <c r="J1013" s="9"/>
      <c r="K1013" s="18"/>
      <c r="L1013" s="18"/>
      <c r="M1013" s="18"/>
      <c r="N1013" s="18"/>
      <c r="O1013" s="18"/>
      <c r="P1013" s="18"/>
      <c r="Q1013" s="18"/>
      <c r="R1013" s="18"/>
      <c r="S1013" s="18"/>
      <c r="T1013" s="18"/>
      <c r="U1013" s="18"/>
      <c r="V1013" s="18"/>
      <c r="W1013" s="18"/>
      <c r="X1013" s="18"/>
      <c r="Y1013" s="18"/>
      <c r="Z1013" s="18"/>
    </row>
    <row r="1014" ht="22.5" customHeight="1">
      <c r="A1014" s="236">
        <v>46078.0</v>
      </c>
      <c r="B1014" s="218" t="s">
        <v>6357</v>
      </c>
      <c r="C1014" s="9"/>
      <c r="D1014" s="228"/>
      <c r="E1014" s="216"/>
      <c r="F1014" s="221" t="s">
        <v>186</v>
      </c>
      <c r="G1014" s="9" t="s">
        <v>6356</v>
      </c>
      <c r="H1014" s="234"/>
      <c r="I1014" s="232"/>
      <c r="J1014" s="9"/>
      <c r="K1014" s="18"/>
      <c r="L1014" s="18"/>
      <c r="M1014" s="18"/>
      <c r="N1014" s="18"/>
      <c r="O1014" s="18"/>
      <c r="P1014" s="18"/>
      <c r="Q1014" s="18"/>
      <c r="R1014" s="18"/>
      <c r="S1014" s="18"/>
      <c r="T1014" s="18"/>
      <c r="U1014" s="18"/>
      <c r="V1014" s="18"/>
      <c r="W1014" s="18"/>
      <c r="X1014" s="18"/>
      <c r="Y1014" s="18"/>
      <c r="Z1014" s="18"/>
    </row>
    <row r="1015" ht="22.5" customHeight="1">
      <c r="A1015" s="236">
        <v>46078.0</v>
      </c>
      <c r="B1015" s="218" t="s">
        <v>6358</v>
      </c>
      <c r="C1015" s="9"/>
      <c r="D1015" s="228"/>
      <c r="E1015" s="216"/>
      <c r="F1015" s="221" t="s">
        <v>186</v>
      </c>
      <c r="G1015" s="9" t="s">
        <v>6356</v>
      </c>
      <c r="H1015" s="234"/>
      <c r="I1015" s="232"/>
      <c r="J1015" s="9"/>
      <c r="K1015" s="18"/>
      <c r="L1015" s="18"/>
      <c r="M1015" s="18"/>
      <c r="N1015" s="18"/>
      <c r="O1015" s="18"/>
      <c r="P1015" s="18"/>
      <c r="Q1015" s="18"/>
      <c r="R1015" s="18"/>
      <c r="S1015" s="18"/>
      <c r="T1015" s="18"/>
      <c r="U1015" s="18"/>
      <c r="V1015" s="18"/>
      <c r="W1015" s="18"/>
      <c r="X1015" s="18"/>
      <c r="Y1015" s="18"/>
      <c r="Z1015" s="18"/>
    </row>
    <row r="1016" ht="22.5" customHeight="1">
      <c r="A1016" s="236">
        <v>46078.0</v>
      </c>
      <c r="B1016" s="218" t="s">
        <v>6359</v>
      </c>
      <c r="C1016" s="9"/>
      <c r="D1016" s="228"/>
      <c r="E1016" s="216"/>
      <c r="F1016" s="221" t="s">
        <v>186</v>
      </c>
      <c r="G1016" s="9" t="s">
        <v>6356</v>
      </c>
      <c r="H1016" s="234"/>
      <c r="I1016" s="232"/>
      <c r="J1016" s="9"/>
      <c r="K1016" s="18"/>
      <c r="L1016" s="18"/>
      <c r="M1016" s="18"/>
      <c r="N1016" s="18"/>
      <c r="O1016" s="18"/>
      <c r="P1016" s="18"/>
      <c r="Q1016" s="18"/>
      <c r="R1016" s="18"/>
      <c r="S1016" s="18"/>
      <c r="T1016" s="18"/>
      <c r="U1016" s="18"/>
      <c r="V1016" s="18"/>
      <c r="W1016" s="18"/>
      <c r="X1016" s="18"/>
      <c r="Y1016" s="18"/>
      <c r="Z1016" s="18"/>
    </row>
    <row r="1017" ht="22.5" customHeight="1">
      <c r="A1017" s="236">
        <v>46078.0</v>
      </c>
      <c r="B1017" s="218" t="s">
        <v>6360</v>
      </c>
      <c r="C1017" s="9" t="s">
        <v>6361</v>
      </c>
      <c r="D1017" s="228" t="s">
        <v>6362</v>
      </c>
      <c r="E1017" s="216"/>
      <c r="F1017" s="221" t="s">
        <v>186</v>
      </c>
      <c r="G1017" s="9" t="s">
        <v>6363</v>
      </c>
      <c r="H1017" s="234"/>
      <c r="I1017" s="232"/>
      <c r="J1017" s="9"/>
      <c r="K1017" s="18"/>
      <c r="L1017" s="18"/>
      <c r="M1017" s="18"/>
      <c r="N1017" s="18"/>
      <c r="O1017" s="18"/>
      <c r="P1017" s="18"/>
      <c r="Q1017" s="18"/>
      <c r="R1017" s="18"/>
      <c r="S1017" s="18"/>
      <c r="T1017" s="18"/>
      <c r="U1017" s="18"/>
      <c r="V1017" s="18"/>
      <c r="W1017" s="18"/>
      <c r="X1017" s="18"/>
      <c r="Y1017" s="18"/>
      <c r="Z1017" s="18"/>
    </row>
    <row r="1018" ht="22.5" customHeight="1">
      <c r="A1018" s="236">
        <v>46078.0</v>
      </c>
      <c r="B1018" s="218" t="s">
        <v>2450</v>
      </c>
      <c r="C1018" s="9"/>
      <c r="D1018" s="228"/>
      <c r="E1018" s="216"/>
      <c r="F1018" s="221" t="s">
        <v>73</v>
      </c>
      <c r="G1018" s="9" t="s">
        <v>6364</v>
      </c>
      <c r="H1018" s="234"/>
      <c r="I1018" s="232"/>
      <c r="J1018" s="9"/>
      <c r="K1018" s="18"/>
      <c r="L1018" s="18"/>
      <c r="M1018" s="18"/>
      <c r="N1018" s="18"/>
      <c r="O1018" s="18"/>
      <c r="P1018" s="18"/>
      <c r="Q1018" s="18"/>
      <c r="R1018" s="18"/>
      <c r="S1018" s="18"/>
      <c r="T1018" s="18"/>
      <c r="U1018" s="18"/>
      <c r="V1018" s="18"/>
      <c r="W1018" s="18"/>
      <c r="X1018" s="18"/>
      <c r="Y1018" s="18"/>
      <c r="Z1018" s="18"/>
    </row>
    <row r="1019" ht="22.5" customHeight="1">
      <c r="A1019" s="236">
        <v>46078.0</v>
      </c>
      <c r="B1019" s="218" t="s">
        <v>6365</v>
      </c>
      <c r="C1019" s="9"/>
      <c r="D1019" s="228"/>
      <c r="E1019" s="216"/>
      <c r="F1019" s="221" t="s">
        <v>73</v>
      </c>
      <c r="G1019" s="9" t="s">
        <v>6364</v>
      </c>
      <c r="H1019" s="234"/>
      <c r="I1019" s="232"/>
      <c r="J1019" s="9"/>
      <c r="K1019" s="18"/>
      <c r="L1019" s="18"/>
      <c r="M1019" s="18"/>
      <c r="N1019" s="18"/>
      <c r="O1019" s="18"/>
      <c r="P1019" s="18"/>
      <c r="Q1019" s="18"/>
      <c r="R1019" s="18"/>
      <c r="S1019" s="18"/>
      <c r="T1019" s="18"/>
      <c r="U1019" s="18"/>
      <c r="V1019" s="18"/>
      <c r="W1019" s="18"/>
      <c r="X1019" s="18"/>
      <c r="Y1019" s="18"/>
      <c r="Z1019" s="18"/>
    </row>
    <row r="1020" ht="22.5" customHeight="1">
      <c r="A1020" s="236">
        <v>46078.0</v>
      </c>
      <c r="B1020" s="218" t="s">
        <v>6366</v>
      </c>
      <c r="C1020" s="9"/>
      <c r="D1020" s="228"/>
      <c r="E1020" s="216"/>
      <c r="F1020" s="221" t="s">
        <v>73</v>
      </c>
      <c r="G1020" s="9" t="s">
        <v>6364</v>
      </c>
      <c r="H1020" s="234"/>
      <c r="I1020" s="232"/>
      <c r="J1020" s="9"/>
      <c r="K1020" s="18"/>
      <c r="L1020" s="18"/>
      <c r="M1020" s="18"/>
      <c r="N1020" s="18"/>
      <c r="O1020" s="18"/>
      <c r="P1020" s="18"/>
      <c r="Q1020" s="18"/>
      <c r="R1020" s="18"/>
      <c r="S1020" s="18"/>
      <c r="T1020" s="18"/>
      <c r="U1020" s="18"/>
      <c r="V1020" s="18"/>
      <c r="W1020" s="18"/>
      <c r="X1020" s="18"/>
      <c r="Y1020" s="18"/>
      <c r="Z1020" s="18"/>
    </row>
    <row r="1021" ht="22.5" customHeight="1">
      <c r="A1021" s="236">
        <v>46078.0</v>
      </c>
      <c r="B1021" s="218" t="s">
        <v>6367</v>
      </c>
      <c r="C1021" s="9"/>
      <c r="D1021" s="228"/>
      <c r="E1021" s="216"/>
      <c r="F1021" s="221" t="s">
        <v>73</v>
      </c>
      <c r="G1021" s="9" t="s">
        <v>6364</v>
      </c>
      <c r="H1021" s="234"/>
      <c r="I1021" s="232"/>
      <c r="J1021" s="9"/>
      <c r="K1021" s="18"/>
      <c r="L1021" s="18"/>
      <c r="M1021" s="18"/>
      <c r="N1021" s="18"/>
      <c r="O1021" s="18"/>
      <c r="P1021" s="18"/>
      <c r="Q1021" s="18"/>
      <c r="R1021" s="18"/>
      <c r="S1021" s="18"/>
      <c r="T1021" s="18"/>
      <c r="U1021" s="18"/>
      <c r="V1021" s="18"/>
      <c r="W1021" s="18"/>
      <c r="X1021" s="18"/>
      <c r="Y1021" s="18"/>
      <c r="Z1021" s="18"/>
    </row>
    <row r="1022" ht="22.5" customHeight="1">
      <c r="A1022" s="236">
        <v>46078.0</v>
      </c>
      <c r="B1022" s="218" t="s">
        <v>2611</v>
      </c>
      <c r="C1022" s="9"/>
      <c r="D1022" s="228"/>
      <c r="E1022" s="216"/>
      <c r="F1022" s="221" t="s">
        <v>73</v>
      </c>
      <c r="G1022" s="9" t="s">
        <v>6364</v>
      </c>
      <c r="H1022" s="234"/>
      <c r="I1022" s="232"/>
      <c r="J1022" s="9"/>
      <c r="K1022" s="18"/>
      <c r="L1022" s="18"/>
      <c r="M1022" s="18"/>
      <c r="N1022" s="18"/>
      <c r="O1022" s="18"/>
      <c r="P1022" s="18"/>
      <c r="Q1022" s="18"/>
      <c r="R1022" s="18"/>
      <c r="S1022" s="18"/>
      <c r="T1022" s="18"/>
      <c r="U1022" s="18"/>
      <c r="V1022" s="18"/>
      <c r="W1022" s="18"/>
      <c r="X1022" s="18"/>
      <c r="Y1022" s="18"/>
      <c r="Z1022" s="18"/>
    </row>
    <row r="1023" ht="22.5" customHeight="1">
      <c r="A1023" s="236">
        <v>46078.0</v>
      </c>
      <c r="B1023" s="218" t="s">
        <v>6368</v>
      </c>
      <c r="C1023" s="9"/>
      <c r="D1023" s="228" t="s">
        <v>1919</v>
      </c>
      <c r="E1023" s="216"/>
      <c r="F1023" s="221" t="s">
        <v>144</v>
      </c>
      <c r="G1023" s="9" t="s">
        <v>6369</v>
      </c>
      <c r="H1023" s="234"/>
      <c r="I1023" s="232"/>
      <c r="J1023" s="9"/>
      <c r="K1023" s="18"/>
      <c r="L1023" s="18"/>
      <c r="M1023" s="18"/>
      <c r="N1023" s="18"/>
      <c r="O1023" s="18"/>
      <c r="P1023" s="18"/>
      <c r="Q1023" s="18"/>
      <c r="R1023" s="18"/>
      <c r="S1023" s="18"/>
      <c r="T1023" s="18"/>
      <c r="U1023" s="18"/>
      <c r="V1023" s="18"/>
      <c r="W1023" s="18"/>
      <c r="X1023" s="18"/>
      <c r="Y1023" s="18"/>
      <c r="Z1023" s="18"/>
    </row>
    <row r="1024" ht="22.5" customHeight="1">
      <c r="A1024" s="236">
        <v>46078.0</v>
      </c>
      <c r="B1024" s="218" t="s">
        <v>6370</v>
      </c>
      <c r="C1024" s="9"/>
      <c r="D1024" s="228" t="s">
        <v>6371</v>
      </c>
      <c r="E1024" s="216"/>
      <c r="F1024" s="221" t="s">
        <v>144</v>
      </c>
      <c r="G1024" s="9" t="s">
        <v>6372</v>
      </c>
      <c r="H1024" s="234">
        <v>46078.0</v>
      </c>
      <c r="I1024" s="232">
        <v>0.7916666666666666</v>
      </c>
      <c r="J1024" s="9" t="s">
        <v>6373</v>
      </c>
      <c r="K1024" s="18"/>
      <c r="L1024" s="18"/>
      <c r="M1024" s="18"/>
      <c r="N1024" s="18"/>
      <c r="O1024" s="18"/>
      <c r="P1024" s="18"/>
      <c r="Q1024" s="18"/>
      <c r="R1024" s="18"/>
      <c r="S1024" s="18"/>
      <c r="T1024" s="18"/>
      <c r="U1024" s="18"/>
      <c r="V1024" s="18"/>
      <c r="W1024" s="18"/>
      <c r="X1024" s="18"/>
      <c r="Y1024" s="18"/>
      <c r="Z1024" s="18"/>
    </row>
    <row r="1025" ht="22.5" customHeight="1">
      <c r="A1025" s="236">
        <v>46078.0</v>
      </c>
      <c r="B1025" s="218" t="s">
        <v>6374</v>
      </c>
      <c r="C1025" s="9"/>
      <c r="D1025" s="228"/>
      <c r="E1025" s="216"/>
      <c r="F1025" s="221" t="s">
        <v>45</v>
      </c>
      <c r="G1025" s="9" t="s">
        <v>6375</v>
      </c>
      <c r="H1025" s="234">
        <v>46078.0</v>
      </c>
      <c r="I1025" s="232">
        <v>0.7083333333333334</v>
      </c>
      <c r="J1025" s="9" t="s">
        <v>6376</v>
      </c>
      <c r="K1025" s="18"/>
      <c r="L1025" s="18"/>
      <c r="M1025" s="18"/>
      <c r="N1025" s="18"/>
      <c r="O1025" s="18"/>
      <c r="P1025" s="18"/>
      <c r="Q1025" s="18"/>
      <c r="R1025" s="18"/>
      <c r="S1025" s="18"/>
      <c r="T1025" s="18"/>
      <c r="U1025" s="18"/>
      <c r="V1025" s="18"/>
      <c r="W1025" s="18"/>
      <c r="X1025" s="18"/>
      <c r="Y1025" s="18"/>
      <c r="Z1025" s="18"/>
    </row>
    <row r="1026" ht="22.5" customHeight="1">
      <c r="A1026" s="236">
        <v>46078.0</v>
      </c>
      <c r="B1026" s="218" t="s">
        <v>6377</v>
      </c>
      <c r="C1026" s="9"/>
      <c r="D1026" s="228" t="s">
        <v>3992</v>
      </c>
      <c r="E1026" s="216"/>
      <c r="F1026" s="221" t="s">
        <v>186</v>
      </c>
      <c r="G1026" s="9" t="s">
        <v>6378</v>
      </c>
      <c r="H1026" s="234"/>
      <c r="I1026" s="232"/>
      <c r="J1026" s="9"/>
      <c r="K1026" s="18"/>
      <c r="L1026" s="18"/>
      <c r="M1026" s="18"/>
      <c r="N1026" s="18"/>
      <c r="O1026" s="18"/>
      <c r="P1026" s="18"/>
      <c r="Q1026" s="18"/>
      <c r="R1026" s="18"/>
      <c r="S1026" s="18"/>
      <c r="T1026" s="18"/>
      <c r="U1026" s="18"/>
      <c r="V1026" s="18"/>
      <c r="W1026" s="18"/>
      <c r="X1026" s="18"/>
      <c r="Y1026" s="18"/>
      <c r="Z1026" s="18"/>
    </row>
    <row r="1027" ht="22.5" customHeight="1">
      <c r="A1027" s="236">
        <v>46078.0</v>
      </c>
      <c r="B1027" s="218" t="s">
        <v>6377</v>
      </c>
      <c r="C1027" s="9"/>
      <c r="D1027" s="228" t="s">
        <v>3992</v>
      </c>
      <c r="E1027" s="216"/>
      <c r="F1027" s="221" t="s">
        <v>186</v>
      </c>
      <c r="G1027" s="9" t="s">
        <v>6378</v>
      </c>
      <c r="H1027" s="234"/>
      <c r="I1027" s="232"/>
      <c r="J1027" s="9"/>
      <c r="K1027" s="18"/>
      <c r="L1027" s="18"/>
      <c r="M1027" s="18"/>
      <c r="N1027" s="18"/>
      <c r="O1027" s="18"/>
      <c r="P1027" s="18"/>
      <c r="Q1027" s="18"/>
      <c r="R1027" s="18"/>
      <c r="S1027" s="18"/>
      <c r="T1027" s="18"/>
      <c r="U1027" s="18"/>
      <c r="V1027" s="18"/>
      <c r="W1027" s="18"/>
      <c r="X1027" s="18"/>
      <c r="Y1027" s="18"/>
      <c r="Z1027" s="18"/>
    </row>
    <row r="1028" ht="22.5" customHeight="1">
      <c r="A1028" s="236">
        <v>46078.0</v>
      </c>
      <c r="B1028" s="218" t="s">
        <v>6379</v>
      </c>
      <c r="C1028" s="9"/>
      <c r="D1028" s="228"/>
      <c r="E1028" s="216"/>
      <c r="F1028" s="221" t="s">
        <v>45</v>
      </c>
      <c r="G1028" s="9" t="s">
        <v>6380</v>
      </c>
      <c r="H1028" s="234"/>
      <c r="I1028" s="232"/>
      <c r="J1028" s="9" t="s">
        <v>6381</v>
      </c>
      <c r="K1028" s="18"/>
      <c r="L1028" s="18"/>
      <c r="M1028" s="18"/>
      <c r="N1028" s="18"/>
      <c r="O1028" s="18"/>
      <c r="P1028" s="18"/>
      <c r="Q1028" s="18"/>
      <c r="R1028" s="18"/>
      <c r="S1028" s="18"/>
      <c r="T1028" s="18"/>
      <c r="U1028" s="18"/>
      <c r="V1028" s="18"/>
      <c r="W1028" s="18"/>
      <c r="X1028" s="18"/>
      <c r="Y1028" s="18"/>
      <c r="Z1028" s="18"/>
    </row>
    <row r="1029" ht="22.5" customHeight="1">
      <c r="A1029" s="236">
        <v>46078.0</v>
      </c>
      <c r="B1029" s="218" t="s">
        <v>6382</v>
      </c>
      <c r="C1029" s="9" t="s">
        <v>389</v>
      </c>
      <c r="D1029" s="228" t="s">
        <v>6220</v>
      </c>
      <c r="E1029" s="216"/>
      <c r="F1029" s="221" t="s">
        <v>186</v>
      </c>
      <c r="G1029" s="9" t="s">
        <v>6383</v>
      </c>
      <c r="H1029" s="234"/>
      <c r="I1029" s="232"/>
      <c r="J1029" s="9"/>
      <c r="K1029" s="18"/>
      <c r="L1029" s="18"/>
      <c r="M1029" s="18"/>
      <c r="N1029" s="18"/>
      <c r="O1029" s="18"/>
      <c r="P1029" s="18"/>
      <c r="Q1029" s="18"/>
      <c r="R1029" s="18"/>
      <c r="S1029" s="18"/>
      <c r="T1029" s="18"/>
      <c r="U1029" s="18"/>
      <c r="V1029" s="18"/>
      <c r="W1029" s="18"/>
      <c r="X1029" s="18"/>
      <c r="Y1029" s="18"/>
      <c r="Z1029" s="18"/>
    </row>
    <row r="1030" ht="22.5" customHeight="1">
      <c r="A1030" s="236">
        <v>46078.0</v>
      </c>
      <c r="B1030" s="218" t="s">
        <v>5568</v>
      </c>
      <c r="C1030" s="9"/>
      <c r="D1030" s="228" t="s">
        <v>6384</v>
      </c>
      <c r="E1030" s="216">
        <v>9.77725647E8</v>
      </c>
      <c r="F1030" s="221" t="s">
        <v>144</v>
      </c>
      <c r="G1030" s="9" t="s">
        <v>6385</v>
      </c>
      <c r="H1030" s="234"/>
      <c r="I1030" s="232"/>
      <c r="J1030" s="9"/>
      <c r="K1030" s="18"/>
      <c r="L1030" s="18"/>
      <c r="M1030" s="18"/>
      <c r="N1030" s="18"/>
      <c r="O1030" s="18"/>
      <c r="P1030" s="18"/>
      <c r="Q1030" s="18"/>
      <c r="R1030" s="18"/>
      <c r="S1030" s="18"/>
      <c r="T1030" s="18"/>
      <c r="U1030" s="18"/>
      <c r="V1030" s="18"/>
      <c r="W1030" s="18"/>
      <c r="X1030" s="18"/>
      <c r="Y1030" s="18"/>
      <c r="Z1030" s="18"/>
    </row>
    <row r="1031" ht="22.5" customHeight="1">
      <c r="A1031" s="236">
        <v>46078.0</v>
      </c>
      <c r="B1031" s="218" t="s">
        <v>6386</v>
      </c>
      <c r="C1031" s="9"/>
      <c r="D1031" s="228" t="s">
        <v>6387</v>
      </c>
      <c r="E1031" s="216">
        <v>9.866542507E9</v>
      </c>
      <c r="F1031" s="221" t="s">
        <v>144</v>
      </c>
      <c r="G1031" s="9" t="s">
        <v>6388</v>
      </c>
      <c r="H1031" s="234">
        <v>46079.0</v>
      </c>
      <c r="I1031" s="232"/>
      <c r="J1031" s="9"/>
      <c r="K1031" s="18"/>
      <c r="L1031" s="18"/>
      <c r="M1031" s="18"/>
      <c r="N1031" s="18"/>
      <c r="O1031" s="18"/>
      <c r="P1031" s="18"/>
      <c r="Q1031" s="18"/>
      <c r="R1031" s="18"/>
      <c r="S1031" s="18"/>
      <c r="T1031" s="18"/>
      <c r="U1031" s="18"/>
      <c r="V1031" s="18"/>
      <c r="W1031" s="18"/>
      <c r="X1031" s="18"/>
      <c r="Y1031" s="18"/>
      <c r="Z1031" s="18"/>
    </row>
    <row r="1032" ht="22.5" customHeight="1">
      <c r="A1032" s="236">
        <v>46078.0</v>
      </c>
      <c r="B1032" s="218" t="s">
        <v>6389</v>
      </c>
      <c r="C1032" s="9" t="s">
        <v>1982</v>
      </c>
      <c r="D1032" s="228"/>
      <c r="E1032" s="216"/>
      <c r="F1032" s="221" t="s">
        <v>186</v>
      </c>
      <c r="G1032" s="9" t="s">
        <v>6390</v>
      </c>
      <c r="H1032" s="234"/>
      <c r="I1032" s="232"/>
      <c r="J1032" s="9"/>
      <c r="K1032" s="18"/>
      <c r="L1032" s="18"/>
      <c r="M1032" s="18"/>
      <c r="N1032" s="18"/>
      <c r="O1032" s="18"/>
      <c r="P1032" s="18"/>
      <c r="Q1032" s="18"/>
      <c r="R1032" s="18"/>
      <c r="S1032" s="18"/>
      <c r="T1032" s="18"/>
      <c r="U1032" s="18"/>
      <c r="V1032" s="18"/>
      <c r="W1032" s="18"/>
      <c r="X1032" s="18"/>
      <c r="Y1032" s="18"/>
      <c r="Z1032" s="18"/>
    </row>
    <row r="1033" ht="22.5" customHeight="1">
      <c r="A1033" s="236">
        <v>46078.0</v>
      </c>
      <c r="B1033" s="218" t="s">
        <v>6389</v>
      </c>
      <c r="C1033" s="9"/>
      <c r="D1033" s="228"/>
      <c r="E1033" s="216"/>
      <c r="F1033" s="221" t="s">
        <v>186</v>
      </c>
      <c r="G1033" s="9" t="s">
        <v>6390</v>
      </c>
      <c r="H1033" s="234"/>
      <c r="I1033" s="232"/>
      <c r="J1033" s="9"/>
      <c r="K1033" s="18"/>
      <c r="L1033" s="18"/>
      <c r="M1033" s="18"/>
      <c r="N1033" s="18"/>
      <c r="O1033" s="18"/>
      <c r="P1033" s="18"/>
      <c r="Q1033" s="18"/>
      <c r="R1033" s="18"/>
      <c r="S1033" s="18"/>
      <c r="T1033" s="18"/>
      <c r="U1033" s="18"/>
      <c r="V1033" s="18"/>
      <c r="W1033" s="18"/>
      <c r="X1033" s="18"/>
      <c r="Y1033" s="18"/>
      <c r="Z1033" s="18"/>
    </row>
    <row r="1034" ht="22.5" customHeight="1">
      <c r="A1034" s="236">
        <v>46078.0</v>
      </c>
      <c r="B1034" s="218" t="s">
        <v>6389</v>
      </c>
      <c r="C1034" s="9"/>
      <c r="D1034" s="228"/>
      <c r="E1034" s="216"/>
      <c r="F1034" s="221" t="s">
        <v>186</v>
      </c>
      <c r="G1034" s="9" t="s">
        <v>6390</v>
      </c>
      <c r="H1034" s="234"/>
      <c r="I1034" s="232"/>
      <c r="J1034" s="9"/>
      <c r="K1034" s="18"/>
      <c r="L1034" s="18"/>
      <c r="M1034" s="18"/>
      <c r="N1034" s="18"/>
      <c r="O1034" s="18"/>
      <c r="P1034" s="18"/>
      <c r="Q1034" s="18"/>
      <c r="R1034" s="18"/>
      <c r="S1034" s="18"/>
      <c r="T1034" s="18"/>
      <c r="U1034" s="18"/>
      <c r="V1034" s="18"/>
      <c r="W1034" s="18"/>
      <c r="X1034" s="18"/>
      <c r="Y1034" s="18"/>
      <c r="Z1034" s="18"/>
    </row>
    <row r="1035" ht="22.5" customHeight="1">
      <c r="A1035" s="236">
        <v>46078.0</v>
      </c>
      <c r="B1035" s="218" t="s">
        <v>6389</v>
      </c>
      <c r="C1035" s="9"/>
      <c r="D1035" s="228"/>
      <c r="E1035" s="216"/>
      <c r="F1035" s="221" t="s">
        <v>186</v>
      </c>
      <c r="G1035" s="9" t="s">
        <v>6390</v>
      </c>
      <c r="H1035" s="234"/>
      <c r="I1035" s="232"/>
      <c r="J1035" s="9"/>
      <c r="K1035" s="18"/>
      <c r="L1035" s="18"/>
      <c r="M1035" s="18"/>
      <c r="N1035" s="18"/>
      <c r="O1035" s="18"/>
      <c r="P1035" s="18"/>
      <c r="Q1035" s="18"/>
      <c r="R1035" s="18"/>
      <c r="S1035" s="18"/>
      <c r="T1035" s="18"/>
      <c r="U1035" s="18"/>
      <c r="V1035" s="18"/>
      <c r="W1035" s="18"/>
      <c r="X1035" s="18"/>
      <c r="Y1035" s="18"/>
      <c r="Z1035" s="18"/>
    </row>
    <row r="1036" ht="22.5" customHeight="1">
      <c r="A1036" s="236">
        <v>46078.0</v>
      </c>
      <c r="B1036" s="218" t="s">
        <v>6389</v>
      </c>
      <c r="C1036" s="9"/>
      <c r="D1036" s="228"/>
      <c r="E1036" s="216"/>
      <c r="F1036" s="221" t="s">
        <v>186</v>
      </c>
      <c r="G1036" s="9" t="s">
        <v>6390</v>
      </c>
      <c r="H1036" s="234"/>
      <c r="I1036" s="232"/>
      <c r="J1036" s="9"/>
      <c r="K1036" s="18"/>
      <c r="L1036" s="18"/>
      <c r="M1036" s="18"/>
      <c r="N1036" s="18"/>
      <c r="O1036" s="18"/>
      <c r="P1036" s="18"/>
      <c r="Q1036" s="18"/>
      <c r="R1036" s="18"/>
      <c r="S1036" s="18"/>
      <c r="T1036" s="18"/>
      <c r="U1036" s="18"/>
      <c r="V1036" s="18"/>
      <c r="W1036" s="18"/>
      <c r="X1036" s="18"/>
      <c r="Y1036" s="18"/>
      <c r="Z1036" s="18"/>
    </row>
    <row r="1037" ht="22.5" customHeight="1">
      <c r="A1037" s="236">
        <v>46078.0</v>
      </c>
      <c r="B1037" s="218" t="s">
        <v>6391</v>
      </c>
      <c r="C1037" s="9"/>
      <c r="D1037" s="228" t="s">
        <v>2695</v>
      </c>
      <c r="E1037" s="216">
        <v>9.701072348E9</v>
      </c>
      <c r="F1037" s="221" t="s">
        <v>45</v>
      </c>
      <c r="G1037" s="9" t="s">
        <v>6392</v>
      </c>
      <c r="H1037" s="234">
        <v>46078.0</v>
      </c>
      <c r="I1037" s="232">
        <v>0.75</v>
      </c>
      <c r="J1037" s="9" t="s">
        <v>6393</v>
      </c>
      <c r="K1037" s="18"/>
      <c r="L1037" s="18"/>
      <c r="M1037" s="18"/>
      <c r="N1037" s="18"/>
      <c r="O1037" s="18"/>
      <c r="P1037" s="18"/>
      <c r="Q1037" s="18"/>
      <c r="R1037" s="18"/>
      <c r="S1037" s="18"/>
      <c r="T1037" s="18"/>
      <c r="U1037" s="18"/>
      <c r="V1037" s="18"/>
      <c r="W1037" s="18"/>
      <c r="X1037" s="18"/>
      <c r="Y1037" s="18"/>
      <c r="Z1037" s="18"/>
    </row>
    <row r="1038" ht="22.5" customHeight="1">
      <c r="A1038" s="236">
        <v>46078.0</v>
      </c>
      <c r="B1038" s="218" t="s">
        <v>6394</v>
      </c>
      <c r="C1038" s="9"/>
      <c r="D1038" s="228" t="s">
        <v>4896</v>
      </c>
      <c r="E1038" s="216">
        <v>9.110781474E9</v>
      </c>
      <c r="F1038" s="221" t="s">
        <v>1919</v>
      </c>
      <c r="G1038" s="9" t="s">
        <v>6395</v>
      </c>
      <c r="H1038" s="234">
        <v>46078.0</v>
      </c>
      <c r="I1038" s="232">
        <v>0.7916666666666666</v>
      </c>
      <c r="J1038" s="9"/>
      <c r="K1038" s="18"/>
      <c r="L1038" s="18"/>
      <c r="M1038" s="18"/>
      <c r="N1038" s="18"/>
      <c r="O1038" s="18"/>
      <c r="P1038" s="18"/>
      <c r="Q1038" s="18"/>
      <c r="R1038" s="18"/>
      <c r="S1038" s="18"/>
      <c r="T1038" s="18"/>
      <c r="U1038" s="18"/>
      <c r="V1038" s="18"/>
      <c r="W1038" s="18"/>
      <c r="X1038" s="18"/>
      <c r="Y1038" s="18"/>
      <c r="Z1038" s="18"/>
    </row>
    <row r="1039" ht="22.5" customHeight="1">
      <c r="A1039" s="236">
        <v>46078.0</v>
      </c>
      <c r="B1039" s="218" t="s">
        <v>6396</v>
      </c>
      <c r="C1039" s="9"/>
      <c r="D1039" s="228"/>
      <c r="E1039" s="216"/>
      <c r="F1039" s="221" t="s">
        <v>45</v>
      </c>
      <c r="G1039" s="9" t="s">
        <v>4714</v>
      </c>
      <c r="H1039" s="234"/>
      <c r="I1039" s="232"/>
      <c r="J1039" s="9" t="s">
        <v>6397</v>
      </c>
      <c r="K1039" s="18"/>
      <c r="L1039" s="18"/>
      <c r="M1039" s="18"/>
      <c r="N1039" s="18"/>
      <c r="O1039" s="18"/>
      <c r="P1039" s="18"/>
      <c r="Q1039" s="18"/>
      <c r="R1039" s="18"/>
      <c r="S1039" s="18"/>
      <c r="T1039" s="18"/>
      <c r="U1039" s="18"/>
      <c r="V1039" s="18"/>
      <c r="W1039" s="18"/>
      <c r="X1039" s="18"/>
      <c r="Y1039" s="18"/>
      <c r="Z1039" s="18"/>
    </row>
    <row r="1040" ht="22.5" customHeight="1">
      <c r="A1040" s="236">
        <v>46078.0</v>
      </c>
      <c r="B1040" s="218" t="s">
        <v>6398</v>
      </c>
      <c r="C1040" s="9" t="s">
        <v>1982</v>
      </c>
      <c r="D1040" s="228" t="s">
        <v>244</v>
      </c>
      <c r="E1040" s="216"/>
      <c r="F1040" s="221" t="s">
        <v>186</v>
      </c>
      <c r="G1040" s="9" t="s">
        <v>6399</v>
      </c>
      <c r="H1040" s="234"/>
      <c r="I1040" s="232"/>
      <c r="J1040" s="9" t="s">
        <v>6400</v>
      </c>
      <c r="K1040" s="18"/>
      <c r="L1040" s="18"/>
      <c r="M1040" s="18"/>
      <c r="N1040" s="18"/>
      <c r="O1040" s="18"/>
      <c r="P1040" s="18"/>
      <c r="Q1040" s="18"/>
      <c r="R1040" s="18"/>
      <c r="S1040" s="18"/>
      <c r="T1040" s="18"/>
      <c r="U1040" s="18"/>
      <c r="V1040" s="18"/>
      <c r="W1040" s="18"/>
      <c r="X1040" s="18"/>
      <c r="Y1040" s="18"/>
      <c r="Z1040" s="18"/>
    </row>
    <row r="1041" ht="22.5" customHeight="1">
      <c r="A1041" s="236">
        <v>46078.0</v>
      </c>
      <c r="B1041" s="218" t="s">
        <v>6401</v>
      </c>
      <c r="C1041" s="9"/>
      <c r="D1041" s="228" t="s">
        <v>6402</v>
      </c>
      <c r="E1041" s="216">
        <v>7.816087272E9</v>
      </c>
      <c r="F1041" s="221" t="s">
        <v>3857</v>
      </c>
      <c r="G1041" s="9" t="s">
        <v>6403</v>
      </c>
      <c r="H1041" s="234"/>
      <c r="I1041" s="232"/>
      <c r="J1041" s="9"/>
      <c r="K1041" s="18"/>
      <c r="L1041" s="18"/>
      <c r="M1041" s="18"/>
      <c r="N1041" s="18"/>
      <c r="O1041" s="18"/>
      <c r="P1041" s="18"/>
      <c r="Q1041" s="18"/>
      <c r="R1041" s="18"/>
      <c r="S1041" s="18"/>
      <c r="T1041" s="18"/>
      <c r="U1041" s="18"/>
      <c r="V1041" s="18"/>
      <c r="W1041" s="18"/>
      <c r="X1041" s="18"/>
      <c r="Y1041" s="18"/>
      <c r="Z1041" s="18"/>
    </row>
    <row r="1042" ht="22.5" customHeight="1">
      <c r="A1042" s="236">
        <v>46078.0</v>
      </c>
      <c r="B1042" s="218" t="s">
        <v>6404</v>
      </c>
      <c r="C1042" s="9"/>
      <c r="D1042" s="228" t="s">
        <v>6405</v>
      </c>
      <c r="E1042" s="216">
        <v>8.328177189E9</v>
      </c>
      <c r="F1042" s="221" t="s">
        <v>1919</v>
      </c>
      <c r="G1042" s="9" t="s">
        <v>6406</v>
      </c>
      <c r="H1042" s="234"/>
      <c r="I1042" s="232"/>
      <c r="J1042" s="9"/>
      <c r="K1042" s="18"/>
      <c r="L1042" s="18"/>
      <c r="M1042" s="18"/>
      <c r="N1042" s="18"/>
      <c r="O1042" s="18"/>
      <c r="P1042" s="18"/>
      <c r="Q1042" s="18"/>
      <c r="R1042" s="18"/>
      <c r="S1042" s="18"/>
      <c r="T1042" s="18"/>
      <c r="U1042" s="18"/>
      <c r="V1042" s="18"/>
      <c r="W1042" s="18"/>
      <c r="X1042" s="18"/>
      <c r="Y1042" s="18"/>
      <c r="Z1042" s="18"/>
    </row>
    <row r="1043" ht="22.5" customHeight="1">
      <c r="A1043" s="236">
        <v>46078.0</v>
      </c>
      <c r="B1043" s="218" t="s">
        <v>6407</v>
      </c>
      <c r="C1043" s="9"/>
      <c r="D1043" s="228"/>
      <c r="E1043" s="216"/>
      <c r="F1043" s="221" t="s">
        <v>241</v>
      </c>
      <c r="G1043" s="9" t="s">
        <v>3862</v>
      </c>
      <c r="H1043" s="234"/>
      <c r="I1043" s="232"/>
      <c r="J1043" s="9"/>
      <c r="K1043" s="18"/>
      <c r="L1043" s="18"/>
      <c r="M1043" s="18"/>
      <c r="N1043" s="18"/>
      <c r="O1043" s="18"/>
      <c r="P1043" s="18"/>
      <c r="Q1043" s="18"/>
      <c r="R1043" s="18"/>
      <c r="S1043" s="18"/>
      <c r="T1043" s="18"/>
      <c r="U1043" s="18"/>
      <c r="V1043" s="18"/>
      <c r="W1043" s="18"/>
      <c r="X1043" s="18"/>
      <c r="Y1043" s="18"/>
      <c r="Z1043" s="18"/>
    </row>
    <row r="1044" ht="22.5" customHeight="1">
      <c r="A1044" s="236">
        <v>46078.0</v>
      </c>
      <c r="B1044" s="218" t="s">
        <v>6408</v>
      </c>
      <c r="C1044" s="9"/>
      <c r="D1044" s="228"/>
      <c r="E1044" s="216"/>
      <c r="F1044" s="221" t="s">
        <v>241</v>
      </c>
      <c r="G1044" s="9" t="s">
        <v>3862</v>
      </c>
      <c r="H1044" s="234"/>
      <c r="I1044" s="232"/>
      <c r="J1044" s="9"/>
      <c r="K1044" s="18"/>
      <c r="L1044" s="18"/>
      <c r="M1044" s="18"/>
      <c r="N1044" s="18"/>
      <c r="O1044" s="18"/>
      <c r="P1044" s="18"/>
      <c r="Q1044" s="18"/>
      <c r="R1044" s="18"/>
      <c r="S1044" s="18"/>
      <c r="T1044" s="18"/>
      <c r="U1044" s="18"/>
      <c r="V1044" s="18"/>
      <c r="W1044" s="18"/>
      <c r="X1044" s="18"/>
      <c r="Y1044" s="18"/>
      <c r="Z1044" s="18"/>
    </row>
    <row r="1045" ht="22.5" customHeight="1">
      <c r="A1045" s="236">
        <v>46078.0</v>
      </c>
      <c r="B1045" s="218" t="s">
        <v>6409</v>
      </c>
      <c r="C1045" s="9"/>
      <c r="D1045" s="228"/>
      <c r="E1045" s="216"/>
      <c r="F1045" s="221" t="s">
        <v>241</v>
      </c>
      <c r="G1045" s="9" t="s">
        <v>3862</v>
      </c>
      <c r="H1045" s="234"/>
      <c r="I1045" s="232"/>
      <c r="J1045" s="9"/>
      <c r="K1045" s="18"/>
      <c r="L1045" s="18"/>
      <c r="M1045" s="18"/>
      <c r="N1045" s="18"/>
      <c r="O1045" s="18"/>
      <c r="P1045" s="18"/>
      <c r="Q1045" s="18"/>
      <c r="R1045" s="18"/>
      <c r="S1045" s="18"/>
      <c r="T1045" s="18"/>
      <c r="U1045" s="18"/>
      <c r="V1045" s="18"/>
      <c r="W1045" s="18"/>
      <c r="X1045" s="18"/>
      <c r="Y1045" s="18"/>
      <c r="Z1045" s="18"/>
    </row>
    <row r="1046" ht="22.5" customHeight="1">
      <c r="A1046" s="236">
        <v>46078.0</v>
      </c>
      <c r="B1046" s="218" t="s">
        <v>6410</v>
      </c>
      <c r="C1046" s="9"/>
      <c r="D1046" s="228"/>
      <c r="E1046" s="216"/>
      <c r="F1046" s="221" t="s">
        <v>241</v>
      </c>
      <c r="G1046" s="9" t="s">
        <v>3862</v>
      </c>
      <c r="H1046" s="234"/>
      <c r="I1046" s="232"/>
      <c r="J1046" s="9"/>
      <c r="K1046" s="18"/>
      <c r="L1046" s="18"/>
      <c r="M1046" s="18"/>
      <c r="N1046" s="18"/>
      <c r="O1046" s="18"/>
      <c r="P1046" s="18"/>
      <c r="Q1046" s="18"/>
      <c r="R1046" s="18"/>
      <c r="S1046" s="18"/>
      <c r="T1046" s="18"/>
      <c r="U1046" s="18"/>
      <c r="V1046" s="18"/>
      <c r="W1046" s="18"/>
      <c r="X1046" s="18"/>
      <c r="Y1046" s="18"/>
      <c r="Z1046" s="18"/>
    </row>
    <row r="1047" ht="22.5" customHeight="1">
      <c r="A1047" s="236">
        <v>46078.0</v>
      </c>
      <c r="B1047" s="218" t="s">
        <v>6411</v>
      </c>
      <c r="C1047" s="9"/>
      <c r="D1047" s="228" t="s">
        <v>6412</v>
      </c>
      <c r="E1047" s="216">
        <v>9.381475016E9</v>
      </c>
      <c r="F1047" s="221" t="s">
        <v>144</v>
      </c>
      <c r="G1047" s="9" t="s">
        <v>6413</v>
      </c>
      <c r="H1047" s="234"/>
      <c r="I1047" s="232"/>
      <c r="J1047" s="9"/>
      <c r="K1047" s="18"/>
      <c r="L1047" s="18"/>
      <c r="M1047" s="18"/>
      <c r="N1047" s="18"/>
      <c r="O1047" s="18"/>
      <c r="P1047" s="18"/>
      <c r="Q1047" s="18"/>
      <c r="R1047" s="18"/>
      <c r="S1047" s="18"/>
      <c r="T1047" s="18"/>
      <c r="U1047" s="18"/>
      <c r="V1047" s="18"/>
      <c r="W1047" s="18"/>
      <c r="X1047" s="18"/>
      <c r="Y1047" s="18"/>
      <c r="Z1047" s="18"/>
    </row>
    <row r="1048" ht="22.5" customHeight="1">
      <c r="A1048" s="236">
        <v>46078.0</v>
      </c>
      <c r="B1048" s="218" t="s">
        <v>6414</v>
      </c>
      <c r="C1048" s="9"/>
      <c r="D1048" s="228" t="s">
        <v>6415</v>
      </c>
      <c r="E1048" s="216">
        <v>9.100735996E9</v>
      </c>
      <c r="F1048" s="221" t="s">
        <v>3857</v>
      </c>
      <c r="G1048" s="9" t="s">
        <v>6416</v>
      </c>
      <c r="H1048" s="234"/>
      <c r="I1048" s="232"/>
      <c r="J1048" s="9" t="s">
        <v>6417</v>
      </c>
      <c r="K1048" s="18"/>
      <c r="L1048" s="18"/>
      <c r="M1048" s="18"/>
      <c r="N1048" s="18"/>
      <c r="O1048" s="18"/>
      <c r="P1048" s="18"/>
      <c r="Q1048" s="18"/>
      <c r="R1048" s="18"/>
      <c r="S1048" s="18"/>
      <c r="T1048" s="18"/>
      <c r="U1048" s="18"/>
      <c r="V1048" s="18"/>
      <c r="W1048" s="18"/>
      <c r="X1048" s="18"/>
      <c r="Y1048" s="18"/>
      <c r="Z1048" s="18"/>
    </row>
    <row r="1049" ht="22.5" customHeight="1">
      <c r="A1049" s="236">
        <v>46078.0</v>
      </c>
      <c r="B1049" s="218" t="s">
        <v>6418</v>
      </c>
      <c r="C1049" s="9"/>
      <c r="D1049" s="228"/>
      <c r="E1049" s="216">
        <v>9.94899904E9</v>
      </c>
      <c r="F1049" s="221" t="s">
        <v>144</v>
      </c>
      <c r="G1049" s="9" t="s">
        <v>6419</v>
      </c>
      <c r="H1049" s="234">
        <v>46078.0</v>
      </c>
      <c r="I1049" s="232">
        <v>0.7916666666666666</v>
      </c>
      <c r="J1049" s="9" t="s">
        <v>6420</v>
      </c>
      <c r="K1049" s="18"/>
      <c r="L1049" s="18"/>
      <c r="M1049" s="18"/>
      <c r="N1049" s="18"/>
      <c r="O1049" s="18"/>
      <c r="P1049" s="18"/>
      <c r="Q1049" s="18"/>
      <c r="R1049" s="18"/>
      <c r="S1049" s="18"/>
      <c r="T1049" s="18"/>
      <c r="U1049" s="18"/>
      <c r="V1049" s="18"/>
      <c r="W1049" s="18"/>
      <c r="X1049" s="18"/>
      <c r="Y1049" s="18"/>
      <c r="Z1049" s="18"/>
    </row>
    <row r="1050" ht="22.5" customHeight="1">
      <c r="A1050" s="236">
        <v>46078.0</v>
      </c>
      <c r="B1050" s="218" t="s">
        <v>6421</v>
      </c>
      <c r="C1050" s="9"/>
      <c r="D1050" s="228"/>
      <c r="E1050" s="216"/>
      <c r="F1050" s="221" t="s">
        <v>45</v>
      </c>
      <c r="G1050" s="9" t="s">
        <v>6422</v>
      </c>
      <c r="H1050" s="234">
        <v>46079.0</v>
      </c>
      <c r="I1050" s="232"/>
      <c r="J1050" s="9"/>
      <c r="K1050" s="18"/>
      <c r="L1050" s="18"/>
      <c r="M1050" s="18"/>
      <c r="N1050" s="18"/>
      <c r="O1050" s="18"/>
      <c r="P1050" s="18"/>
      <c r="Q1050" s="18"/>
      <c r="R1050" s="18"/>
      <c r="S1050" s="18"/>
      <c r="T1050" s="18"/>
      <c r="U1050" s="18"/>
      <c r="V1050" s="18"/>
      <c r="W1050" s="18"/>
      <c r="X1050" s="18"/>
      <c r="Y1050" s="18"/>
      <c r="Z1050" s="18"/>
    </row>
    <row r="1051" ht="22.5" customHeight="1">
      <c r="A1051" s="236">
        <v>46078.0</v>
      </c>
      <c r="B1051" s="218" t="s">
        <v>5608</v>
      </c>
      <c r="C1051" s="9" t="s">
        <v>6423</v>
      </c>
      <c r="D1051" s="228"/>
      <c r="E1051" s="216"/>
      <c r="F1051" s="221" t="s">
        <v>1919</v>
      </c>
      <c r="G1051" s="9" t="s">
        <v>3862</v>
      </c>
      <c r="H1051" s="234"/>
      <c r="I1051" s="232"/>
      <c r="J1051" s="9"/>
      <c r="K1051" s="18"/>
      <c r="L1051" s="18"/>
      <c r="M1051" s="18"/>
      <c r="N1051" s="18"/>
      <c r="O1051" s="18"/>
      <c r="P1051" s="18"/>
      <c r="Q1051" s="18"/>
      <c r="R1051" s="18"/>
      <c r="S1051" s="18"/>
      <c r="T1051" s="18"/>
      <c r="U1051" s="18"/>
      <c r="V1051" s="18"/>
      <c r="W1051" s="18"/>
      <c r="X1051" s="18"/>
      <c r="Y1051" s="18"/>
      <c r="Z1051" s="18"/>
    </row>
    <row r="1052" ht="22.5" customHeight="1">
      <c r="A1052" s="236">
        <v>46078.0</v>
      </c>
      <c r="B1052" s="218" t="s">
        <v>2471</v>
      </c>
      <c r="C1052" s="9"/>
      <c r="D1052" s="228"/>
      <c r="E1052" s="216"/>
      <c r="F1052" s="221" t="s">
        <v>96</v>
      </c>
      <c r="G1052" s="9" t="s">
        <v>3862</v>
      </c>
      <c r="H1052" s="234"/>
      <c r="I1052" s="232"/>
      <c r="J1052" s="9" t="s">
        <v>6424</v>
      </c>
      <c r="K1052" s="18"/>
      <c r="L1052" s="18"/>
      <c r="M1052" s="18"/>
      <c r="N1052" s="18"/>
      <c r="O1052" s="18"/>
      <c r="P1052" s="18"/>
      <c r="Q1052" s="18"/>
      <c r="R1052" s="18"/>
      <c r="S1052" s="18"/>
      <c r="T1052" s="18"/>
      <c r="U1052" s="18"/>
      <c r="V1052" s="18"/>
      <c r="W1052" s="18"/>
      <c r="X1052" s="18"/>
      <c r="Y1052" s="18"/>
      <c r="Z1052" s="18"/>
    </row>
    <row r="1053" ht="22.5" customHeight="1">
      <c r="A1053" s="236">
        <v>46078.0</v>
      </c>
      <c r="B1053" s="218" t="s">
        <v>6425</v>
      </c>
      <c r="C1053" s="9"/>
      <c r="D1053" s="228"/>
      <c r="E1053" s="216"/>
      <c r="F1053" s="221" t="s">
        <v>96</v>
      </c>
      <c r="G1053" s="9" t="s">
        <v>3862</v>
      </c>
      <c r="H1053" s="234"/>
      <c r="I1053" s="232"/>
      <c r="J1053" s="9"/>
      <c r="K1053" s="18"/>
      <c r="L1053" s="18"/>
      <c r="M1053" s="18"/>
      <c r="N1053" s="18"/>
      <c r="O1053" s="18"/>
      <c r="P1053" s="18"/>
      <c r="Q1053" s="18"/>
      <c r="R1053" s="18"/>
      <c r="S1053" s="18"/>
      <c r="T1053" s="18"/>
      <c r="U1053" s="18"/>
      <c r="V1053" s="18"/>
      <c r="W1053" s="18"/>
      <c r="X1053" s="18"/>
      <c r="Y1053" s="18"/>
      <c r="Z1053" s="18"/>
    </row>
    <row r="1054" ht="22.5" customHeight="1">
      <c r="A1054" s="236">
        <v>46078.0</v>
      </c>
      <c r="B1054" s="228" t="s">
        <v>6426</v>
      </c>
      <c r="C1054" s="9"/>
      <c r="E1054" s="216"/>
      <c r="F1054" s="221" t="s">
        <v>96</v>
      </c>
      <c r="G1054" s="9" t="s">
        <v>3862</v>
      </c>
      <c r="H1054" s="234"/>
      <c r="I1054" s="232"/>
      <c r="J1054" s="9"/>
      <c r="K1054" s="18"/>
      <c r="L1054" s="18"/>
      <c r="M1054" s="18"/>
      <c r="N1054" s="18"/>
      <c r="O1054" s="18"/>
      <c r="P1054" s="18"/>
      <c r="Q1054" s="18"/>
      <c r="R1054" s="18"/>
      <c r="S1054" s="18"/>
      <c r="T1054" s="18"/>
      <c r="U1054" s="18"/>
      <c r="V1054" s="18"/>
      <c r="W1054" s="18"/>
      <c r="X1054" s="18"/>
      <c r="Y1054" s="18"/>
      <c r="Z1054" s="18"/>
    </row>
    <row r="1055" ht="22.5" customHeight="1">
      <c r="A1055" s="236">
        <v>46078.0</v>
      </c>
      <c r="B1055" s="228" t="s">
        <v>6427</v>
      </c>
      <c r="C1055" s="9"/>
      <c r="E1055" s="216"/>
      <c r="F1055" s="221" t="s">
        <v>96</v>
      </c>
      <c r="G1055" s="9" t="s">
        <v>3862</v>
      </c>
      <c r="H1055" s="234"/>
      <c r="I1055" s="232"/>
      <c r="J1055" s="9"/>
      <c r="K1055" s="18"/>
      <c r="L1055" s="18"/>
      <c r="M1055" s="18"/>
      <c r="N1055" s="18"/>
      <c r="O1055" s="18"/>
      <c r="P1055" s="18"/>
      <c r="Q1055" s="18"/>
      <c r="R1055" s="18"/>
      <c r="S1055" s="18"/>
      <c r="T1055" s="18"/>
      <c r="U1055" s="18"/>
      <c r="V1055" s="18"/>
      <c r="W1055" s="18"/>
      <c r="X1055" s="18"/>
      <c r="Y1055" s="18"/>
      <c r="Z1055" s="18"/>
    </row>
    <row r="1056" ht="22.5" customHeight="1">
      <c r="A1056" s="236">
        <v>46078.0</v>
      </c>
      <c r="B1056" s="218" t="s">
        <v>6428</v>
      </c>
      <c r="C1056" s="9"/>
      <c r="D1056" s="228"/>
      <c r="E1056" s="216"/>
      <c r="F1056" s="221" t="s">
        <v>96</v>
      </c>
      <c r="G1056" s="9" t="s">
        <v>3862</v>
      </c>
      <c r="H1056" s="234"/>
      <c r="I1056" s="232"/>
      <c r="J1056" s="9"/>
      <c r="K1056" s="18"/>
      <c r="L1056" s="18"/>
      <c r="M1056" s="18"/>
      <c r="N1056" s="18"/>
      <c r="O1056" s="18"/>
      <c r="P1056" s="18"/>
      <c r="Q1056" s="18"/>
      <c r="R1056" s="18"/>
      <c r="S1056" s="18"/>
      <c r="T1056" s="18"/>
      <c r="U1056" s="18"/>
      <c r="V1056" s="18"/>
      <c r="W1056" s="18"/>
      <c r="X1056" s="18"/>
      <c r="Y1056" s="18"/>
      <c r="Z1056" s="18"/>
    </row>
    <row r="1057" ht="22.5" customHeight="1">
      <c r="A1057" s="236">
        <v>46078.0</v>
      </c>
      <c r="B1057" s="228" t="s">
        <v>6429</v>
      </c>
      <c r="C1057" s="9"/>
      <c r="D1057" s="228"/>
      <c r="E1057" s="216"/>
      <c r="F1057" s="221" t="s">
        <v>96</v>
      </c>
      <c r="G1057" s="9" t="s">
        <v>3862</v>
      </c>
      <c r="H1057" s="234"/>
      <c r="I1057" s="232"/>
      <c r="J1057" s="9"/>
      <c r="K1057" s="18"/>
      <c r="L1057" s="18"/>
      <c r="M1057" s="18"/>
      <c r="N1057" s="18"/>
      <c r="O1057" s="18"/>
      <c r="P1057" s="18"/>
      <c r="Q1057" s="18"/>
      <c r="R1057" s="18"/>
      <c r="S1057" s="18"/>
      <c r="T1057" s="18"/>
      <c r="U1057" s="18"/>
      <c r="V1057" s="18"/>
      <c r="W1057" s="18"/>
      <c r="X1057" s="18"/>
      <c r="Y1057" s="18"/>
      <c r="Z1057" s="18"/>
    </row>
    <row r="1058" ht="22.5" customHeight="1">
      <c r="A1058" s="236">
        <v>46078.0</v>
      </c>
      <c r="B1058" s="228" t="s">
        <v>6430</v>
      </c>
      <c r="C1058" s="9"/>
      <c r="D1058" s="228"/>
      <c r="E1058" s="216"/>
      <c r="F1058" s="221" t="s">
        <v>96</v>
      </c>
      <c r="G1058" s="9" t="s">
        <v>3862</v>
      </c>
      <c r="H1058" s="234"/>
      <c r="I1058" s="232"/>
      <c r="J1058" s="9"/>
      <c r="K1058" s="18"/>
      <c r="L1058" s="18"/>
      <c r="M1058" s="18"/>
      <c r="N1058" s="18"/>
      <c r="O1058" s="18"/>
      <c r="P1058" s="18"/>
      <c r="Q1058" s="18"/>
      <c r="R1058" s="18"/>
      <c r="S1058" s="18"/>
      <c r="T1058" s="18"/>
      <c r="U1058" s="18"/>
      <c r="V1058" s="18"/>
      <c r="W1058" s="18"/>
      <c r="X1058" s="18"/>
      <c r="Y1058" s="18"/>
      <c r="Z1058" s="18"/>
    </row>
    <row r="1059" ht="22.5" customHeight="1">
      <c r="A1059" s="236">
        <v>46078.0</v>
      </c>
      <c r="B1059" s="228" t="s">
        <v>6431</v>
      </c>
      <c r="C1059" s="9"/>
      <c r="D1059" s="228"/>
      <c r="E1059" s="216"/>
      <c r="F1059" s="221" t="s">
        <v>96</v>
      </c>
      <c r="G1059" s="9" t="s">
        <v>3862</v>
      </c>
      <c r="H1059" s="234"/>
      <c r="I1059" s="232"/>
      <c r="J1059" s="9"/>
      <c r="K1059" s="18"/>
      <c r="L1059" s="18"/>
      <c r="M1059" s="18"/>
      <c r="N1059" s="18"/>
      <c r="O1059" s="18"/>
      <c r="P1059" s="18"/>
      <c r="Q1059" s="18"/>
      <c r="R1059" s="18"/>
      <c r="S1059" s="18"/>
      <c r="T1059" s="18"/>
      <c r="U1059" s="18"/>
      <c r="V1059" s="18"/>
      <c r="W1059" s="18"/>
      <c r="X1059" s="18"/>
      <c r="Y1059" s="18"/>
      <c r="Z1059" s="18"/>
    </row>
    <row r="1060" ht="22.5" customHeight="1">
      <c r="A1060" s="236">
        <v>46078.0</v>
      </c>
      <c r="B1060" s="228" t="s">
        <v>6432</v>
      </c>
      <c r="C1060" s="9"/>
      <c r="D1060" s="228"/>
      <c r="E1060" s="216"/>
      <c r="F1060" s="221" t="s">
        <v>96</v>
      </c>
      <c r="G1060" s="9" t="s">
        <v>3862</v>
      </c>
      <c r="H1060" s="234"/>
      <c r="I1060" s="232"/>
      <c r="J1060" s="9"/>
      <c r="K1060" s="18"/>
      <c r="L1060" s="18"/>
      <c r="M1060" s="18"/>
      <c r="N1060" s="18"/>
      <c r="O1060" s="18"/>
      <c r="P1060" s="18"/>
      <c r="Q1060" s="18"/>
      <c r="R1060" s="18"/>
      <c r="S1060" s="18"/>
      <c r="T1060" s="18"/>
      <c r="U1060" s="18"/>
      <c r="V1060" s="18"/>
      <c r="W1060" s="18"/>
      <c r="X1060" s="18"/>
      <c r="Y1060" s="18"/>
      <c r="Z1060" s="18"/>
    </row>
    <row r="1061" ht="22.5" customHeight="1">
      <c r="A1061" s="236">
        <v>46078.0</v>
      </c>
      <c r="B1061" s="228" t="s">
        <v>6433</v>
      </c>
      <c r="C1061" s="9"/>
      <c r="D1061" s="228"/>
      <c r="E1061" s="216"/>
      <c r="F1061" s="221" t="s">
        <v>96</v>
      </c>
      <c r="G1061" s="9" t="s">
        <v>3862</v>
      </c>
      <c r="H1061" s="234"/>
      <c r="I1061" s="232"/>
      <c r="J1061" s="9"/>
      <c r="K1061" s="18"/>
      <c r="L1061" s="18"/>
      <c r="M1061" s="18"/>
      <c r="N1061" s="18"/>
      <c r="O1061" s="18"/>
      <c r="P1061" s="18"/>
      <c r="Q1061" s="18"/>
      <c r="R1061" s="18"/>
      <c r="S1061" s="18"/>
      <c r="T1061" s="18"/>
      <c r="U1061" s="18"/>
      <c r="V1061" s="18"/>
      <c r="W1061" s="18"/>
      <c r="X1061" s="18"/>
      <c r="Y1061" s="18"/>
      <c r="Z1061" s="18"/>
    </row>
    <row r="1062" ht="22.5" customHeight="1">
      <c r="A1062" s="236">
        <v>46078.0</v>
      </c>
      <c r="B1062" s="228" t="s">
        <v>6434</v>
      </c>
      <c r="C1062" s="9"/>
      <c r="D1062" s="228"/>
      <c r="E1062" s="216"/>
      <c r="F1062" s="221" t="s">
        <v>96</v>
      </c>
      <c r="G1062" s="9" t="s">
        <v>3862</v>
      </c>
      <c r="H1062" s="234"/>
      <c r="I1062" s="232"/>
      <c r="J1062" s="9"/>
      <c r="K1062" s="18"/>
      <c r="L1062" s="18"/>
      <c r="M1062" s="18"/>
      <c r="N1062" s="18"/>
      <c r="O1062" s="18"/>
      <c r="P1062" s="18"/>
      <c r="Q1062" s="18"/>
      <c r="R1062" s="18"/>
      <c r="S1062" s="18"/>
      <c r="T1062" s="18"/>
      <c r="U1062" s="18"/>
      <c r="V1062" s="18"/>
      <c r="W1062" s="18"/>
      <c r="X1062" s="18"/>
      <c r="Y1062" s="18"/>
      <c r="Z1062" s="18"/>
    </row>
    <row r="1063" ht="22.5" customHeight="1">
      <c r="A1063" s="236">
        <v>46078.0</v>
      </c>
      <c r="B1063" s="228" t="s">
        <v>6435</v>
      </c>
      <c r="C1063" s="9"/>
      <c r="D1063" s="228"/>
      <c r="E1063" s="216"/>
      <c r="F1063" s="221" t="s">
        <v>96</v>
      </c>
      <c r="G1063" s="9" t="s">
        <v>3862</v>
      </c>
      <c r="H1063" s="234"/>
      <c r="I1063" s="232"/>
      <c r="J1063" s="9"/>
      <c r="K1063" s="18"/>
      <c r="L1063" s="18"/>
      <c r="M1063" s="18"/>
      <c r="N1063" s="18"/>
      <c r="O1063" s="18"/>
      <c r="P1063" s="18"/>
      <c r="Q1063" s="18"/>
      <c r="R1063" s="18"/>
      <c r="S1063" s="18"/>
      <c r="T1063" s="18"/>
      <c r="U1063" s="18"/>
      <c r="V1063" s="18"/>
      <c r="W1063" s="18"/>
      <c r="X1063" s="18"/>
      <c r="Y1063" s="18"/>
      <c r="Z1063" s="18"/>
    </row>
    <row r="1064" ht="22.5" customHeight="1">
      <c r="A1064" s="236">
        <v>46078.0</v>
      </c>
      <c r="B1064" s="228" t="s">
        <v>6436</v>
      </c>
      <c r="C1064" s="9"/>
      <c r="D1064" s="228"/>
      <c r="E1064" s="216"/>
      <c r="F1064" s="221" t="s">
        <v>3857</v>
      </c>
      <c r="G1064" s="9" t="s">
        <v>3862</v>
      </c>
      <c r="H1064" s="234"/>
      <c r="I1064" s="232"/>
      <c r="J1064" s="9"/>
      <c r="K1064" s="18"/>
      <c r="L1064" s="18"/>
      <c r="M1064" s="18"/>
      <c r="N1064" s="18"/>
      <c r="O1064" s="18"/>
      <c r="P1064" s="18"/>
      <c r="Q1064" s="18"/>
      <c r="R1064" s="18"/>
      <c r="S1064" s="18"/>
      <c r="T1064" s="18"/>
      <c r="U1064" s="18"/>
      <c r="V1064" s="18"/>
      <c r="W1064" s="18"/>
      <c r="X1064" s="18"/>
      <c r="Y1064" s="18"/>
      <c r="Z1064" s="18"/>
    </row>
    <row r="1065" ht="22.5" customHeight="1">
      <c r="A1065" s="236">
        <v>46078.0</v>
      </c>
      <c r="B1065" s="228" t="s">
        <v>6437</v>
      </c>
      <c r="C1065" s="9"/>
      <c r="D1065" s="228"/>
      <c r="E1065" s="216"/>
      <c r="F1065" s="221" t="s">
        <v>3857</v>
      </c>
      <c r="G1065" s="9" t="s">
        <v>3862</v>
      </c>
      <c r="H1065" s="234"/>
      <c r="I1065" s="232"/>
      <c r="J1065" s="9"/>
      <c r="K1065" s="18"/>
      <c r="L1065" s="18"/>
      <c r="M1065" s="18"/>
      <c r="N1065" s="18"/>
      <c r="O1065" s="18"/>
      <c r="P1065" s="18"/>
      <c r="Q1065" s="18"/>
      <c r="R1065" s="18"/>
      <c r="S1065" s="18"/>
      <c r="T1065" s="18"/>
      <c r="U1065" s="18"/>
      <c r="V1065" s="18"/>
      <c r="W1065" s="18"/>
      <c r="X1065" s="18"/>
      <c r="Y1065" s="18"/>
      <c r="Z1065" s="18"/>
    </row>
    <row r="1066" ht="22.5" customHeight="1">
      <c r="A1066" s="236">
        <v>46078.0</v>
      </c>
      <c r="B1066" s="228" t="s">
        <v>6438</v>
      </c>
      <c r="C1066" s="9"/>
      <c r="D1066" s="228"/>
      <c r="E1066" s="216"/>
      <c r="F1066" s="221" t="s">
        <v>3857</v>
      </c>
      <c r="G1066" s="9" t="s">
        <v>3862</v>
      </c>
      <c r="H1066" s="234"/>
      <c r="I1066" s="232"/>
      <c r="J1066" s="9"/>
      <c r="K1066" s="18"/>
      <c r="L1066" s="18"/>
      <c r="M1066" s="18"/>
      <c r="N1066" s="18"/>
      <c r="O1066" s="18"/>
      <c r="P1066" s="18"/>
      <c r="Q1066" s="18"/>
      <c r="R1066" s="18"/>
      <c r="S1066" s="18"/>
      <c r="T1066" s="18"/>
      <c r="U1066" s="18"/>
      <c r="V1066" s="18"/>
      <c r="W1066" s="18"/>
      <c r="X1066" s="18"/>
      <c r="Y1066" s="18"/>
      <c r="Z1066" s="18"/>
    </row>
    <row r="1067" ht="22.5" customHeight="1">
      <c r="A1067" s="236">
        <v>46078.0</v>
      </c>
      <c r="B1067" s="218" t="s">
        <v>6439</v>
      </c>
      <c r="C1067" s="9"/>
      <c r="D1067" s="228" t="s">
        <v>6440</v>
      </c>
      <c r="E1067" s="216">
        <v>9.392482884E9</v>
      </c>
      <c r="F1067" s="221" t="s">
        <v>1919</v>
      </c>
      <c r="G1067" s="9" t="s">
        <v>6441</v>
      </c>
      <c r="H1067" s="234">
        <v>46079.0</v>
      </c>
      <c r="I1067" s="232">
        <v>0.4583333333333333</v>
      </c>
      <c r="J1067" s="9" t="s">
        <v>6442</v>
      </c>
      <c r="K1067" s="18"/>
      <c r="L1067" s="18"/>
      <c r="M1067" s="18"/>
      <c r="N1067" s="18"/>
      <c r="O1067" s="18"/>
      <c r="P1067" s="18"/>
      <c r="Q1067" s="18"/>
      <c r="R1067" s="18"/>
      <c r="S1067" s="18"/>
      <c r="T1067" s="18"/>
      <c r="U1067" s="18"/>
      <c r="V1067" s="18"/>
      <c r="W1067" s="18"/>
      <c r="X1067" s="18"/>
      <c r="Y1067" s="18"/>
      <c r="Z1067" s="18"/>
    </row>
    <row r="1068" ht="22.5" customHeight="1">
      <c r="A1068" s="236">
        <v>46078.0</v>
      </c>
      <c r="B1068" s="218" t="s">
        <v>6443</v>
      </c>
      <c r="C1068" s="9"/>
      <c r="D1068" s="228" t="s">
        <v>6444</v>
      </c>
      <c r="E1068" s="216">
        <v>8.074023731E9</v>
      </c>
      <c r="F1068" s="221" t="s">
        <v>1919</v>
      </c>
      <c r="G1068" s="9" t="s">
        <v>6445</v>
      </c>
      <c r="H1068" s="234"/>
      <c r="I1068" s="232"/>
      <c r="J1068" s="35" t="s">
        <v>6446</v>
      </c>
      <c r="K1068" s="18"/>
      <c r="L1068" s="18"/>
      <c r="M1068" s="18"/>
      <c r="N1068" s="18"/>
      <c r="O1068" s="18"/>
      <c r="P1068" s="18"/>
      <c r="Q1068" s="18"/>
      <c r="R1068" s="18"/>
      <c r="S1068" s="18"/>
      <c r="T1068" s="18"/>
      <c r="U1068" s="18"/>
      <c r="V1068" s="18"/>
      <c r="W1068" s="18"/>
      <c r="X1068" s="18"/>
      <c r="Y1068" s="18"/>
      <c r="Z1068" s="18"/>
    </row>
    <row r="1069" ht="22.5" customHeight="1">
      <c r="A1069" s="236">
        <v>46078.0</v>
      </c>
      <c r="B1069" s="218" t="s">
        <v>6447</v>
      </c>
      <c r="C1069" s="9"/>
      <c r="D1069" s="228"/>
      <c r="E1069" s="216"/>
      <c r="F1069" s="221" t="s">
        <v>1919</v>
      </c>
      <c r="G1069" s="9" t="s">
        <v>4261</v>
      </c>
      <c r="H1069" s="234"/>
      <c r="I1069" s="232"/>
      <c r="J1069" s="9"/>
      <c r="K1069" s="18"/>
      <c r="L1069" s="18"/>
      <c r="M1069" s="18"/>
      <c r="N1069" s="18"/>
      <c r="O1069" s="18"/>
      <c r="P1069" s="18"/>
      <c r="Q1069" s="18"/>
      <c r="R1069" s="18"/>
      <c r="S1069" s="18"/>
      <c r="T1069" s="18"/>
      <c r="U1069" s="18"/>
      <c r="V1069" s="18"/>
      <c r="W1069" s="18"/>
      <c r="X1069" s="18"/>
      <c r="Y1069" s="18"/>
      <c r="Z1069" s="18"/>
    </row>
    <row r="1070" ht="22.5" customHeight="1">
      <c r="A1070" s="248">
        <v>46079.0</v>
      </c>
      <c r="B1070" s="218" t="s">
        <v>6448</v>
      </c>
      <c r="C1070" s="9"/>
      <c r="D1070" s="228" t="s">
        <v>4881</v>
      </c>
      <c r="E1070" s="216"/>
      <c r="F1070" s="221" t="s">
        <v>60</v>
      </c>
      <c r="G1070" s="9" t="s">
        <v>6449</v>
      </c>
      <c r="H1070" s="234">
        <v>46080.0</v>
      </c>
      <c r="I1070" s="232">
        <v>0.5</v>
      </c>
      <c r="J1070" s="9" t="s">
        <v>6450</v>
      </c>
      <c r="K1070" s="18"/>
      <c r="L1070" s="18"/>
      <c r="M1070" s="18"/>
      <c r="N1070" s="18"/>
      <c r="O1070" s="18"/>
      <c r="P1070" s="18"/>
      <c r="Q1070" s="18"/>
      <c r="R1070" s="18"/>
      <c r="S1070" s="18"/>
      <c r="T1070" s="18"/>
      <c r="U1070" s="18"/>
      <c r="V1070" s="18"/>
      <c r="W1070" s="18"/>
      <c r="X1070" s="18"/>
      <c r="Y1070" s="18"/>
      <c r="Z1070" s="18"/>
    </row>
    <row r="1071" ht="22.5" customHeight="1">
      <c r="A1071" s="248">
        <v>46079.0</v>
      </c>
      <c r="B1071" s="218" t="s">
        <v>6451</v>
      </c>
      <c r="C1071" s="9"/>
      <c r="D1071" s="228" t="s">
        <v>6452</v>
      </c>
      <c r="E1071" s="216">
        <v>9.398380469E9</v>
      </c>
      <c r="F1071" s="221" t="s">
        <v>1919</v>
      </c>
      <c r="G1071" s="9" t="s">
        <v>6453</v>
      </c>
      <c r="H1071" s="234">
        <v>46079.0</v>
      </c>
      <c r="I1071" s="232">
        <v>0.625</v>
      </c>
      <c r="J1071" s="9"/>
      <c r="K1071" s="18"/>
      <c r="L1071" s="18"/>
      <c r="M1071" s="18"/>
      <c r="N1071" s="18"/>
      <c r="O1071" s="18"/>
      <c r="P1071" s="18"/>
      <c r="Q1071" s="18"/>
      <c r="R1071" s="18"/>
      <c r="S1071" s="18"/>
      <c r="T1071" s="18"/>
      <c r="U1071" s="18"/>
      <c r="V1071" s="18"/>
      <c r="W1071" s="18"/>
      <c r="X1071" s="18"/>
      <c r="Y1071" s="18"/>
      <c r="Z1071" s="18"/>
    </row>
    <row r="1072" ht="22.5" customHeight="1">
      <c r="A1072" s="248">
        <v>46079.0</v>
      </c>
      <c r="B1072" s="218" t="s">
        <v>6454</v>
      </c>
      <c r="C1072" s="9"/>
      <c r="D1072" s="228"/>
      <c r="E1072" s="216"/>
      <c r="F1072" s="221" t="s">
        <v>45</v>
      </c>
      <c r="G1072" s="9" t="s">
        <v>6455</v>
      </c>
      <c r="H1072" s="234"/>
      <c r="I1072" s="232"/>
      <c r="J1072" s="9" t="s">
        <v>6456</v>
      </c>
      <c r="K1072" s="18"/>
      <c r="L1072" s="18"/>
      <c r="M1072" s="18"/>
      <c r="N1072" s="18"/>
      <c r="O1072" s="18"/>
      <c r="P1072" s="18"/>
      <c r="Q1072" s="18"/>
      <c r="R1072" s="18"/>
      <c r="S1072" s="18"/>
      <c r="T1072" s="18"/>
      <c r="U1072" s="18"/>
      <c r="V1072" s="18"/>
      <c r="W1072" s="18"/>
      <c r="X1072" s="18"/>
      <c r="Y1072" s="18"/>
      <c r="Z1072" s="18"/>
    </row>
    <row r="1073" ht="22.5" customHeight="1">
      <c r="A1073" s="248">
        <v>46079.0</v>
      </c>
      <c r="B1073" s="218" t="s">
        <v>6457</v>
      </c>
      <c r="C1073" s="9"/>
      <c r="D1073" s="228" t="s">
        <v>6458</v>
      </c>
      <c r="E1073" s="216">
        <v>9.67615422E9</v>
      </c>
      <c r="F1073" s="221" t="s">
        <v>1919</v>
      </c>
      <c r="G1073" s="9" t="s">
        <v>6459</v>
      </c>
      <c r="H1073" s="234"/>
      <c r="I1073" s="232"/>
      <c r="J1073" s="9" t="s">
        <v>6460</v>
      </c>
      <c r="K1073" s="18"/>
      <c r="L1073" s="18"/>
      <c r="M1073" s="18"/>
      <c r="N1073" s="18"/>
      <c r="O1073" s="18"/>
      <c r="P1073" s="18"/>
      <c r="Q1073" s="18"/>
      <c r="R1073" s="18"/>
      <c r="S1073" s="18"/>
      <c r="T1073" s="18"/>
      <c r="U1073" s="18"/>
      <c r="V1073" s="18"/>
      <c r="W1073" s="18"/>
      <c r="X1073" s="18"/>
      <c r="Y1073" s="18"/>
      <c r="Z1073" s="18"/>
    </row>
    <row r="1074" ht="22.5" customHeight="1">
      <c r="A1074" s="248">
        <v>46079.0</v>
      </c>
      <c r="B1074" s="218" t="s">
        <v>6461</v>
      </c>
      <c r="C1074" s="9"/>
      <c r="D1074" s="228"/>
      <c r="E1074" s="216"/>
      <c r="F1074" s="221" t="s">
        <v>1919</v>
      </c>
      <c r="G1074" s="249" t="s">
        <v>6462</v>
      </c>
      <c r="H1074" s="234">
        <v>46079.0</v>
      </c>
      <c r="I1074" s="232">
        <v>0.6041666666666666</v>
      </c>
      <c r="J1074" s="9"/>
      <c r="K1074" s="18"/>
      <c r="L1074" s="18"/>
      <c r="M1074" s="18"/>
      <c r="N1074" s="18"/>
      <c r="O1074" s="18"/>
      <c r="P1074" s="18"/>
      <c r="Q1074" s="18"/>
      <c r="R1074" s="18"/>
      <c r="S1074" s="18"/>
      <c r="T1074" s="18"/>
      <c r="U1074" s="18"/>
      <c r="V1074" s="18"/>
      <c r="W1074" s="18"/>
      <c r="X1074" s="18"/>
      <c r="Y1074" s="18"/>
      <c r="Z1074" s="18"/>
    </row>
    <row r="1075" ht="22.5" customHeight="1">
      <c r="A1075" s="248">
        <v>46079.0</v>
      </c>
      <c r="B1075" s="218" t="s">
        <v>6463</v>
      </c>
      <c r="C1075" s="9"/>
      <c r="D1075" s="228"/>
      <c r="E1075" s="216"/>
      <c r="F1075" s="221" t="s">
        <v>241</v>
      </c>
      <c r="G1075" s="9" t="s">
        <v>6464</v>
      </c>
      <c r="H1075" s="234"/>
      <c r="I1075" s="232"/>
      <c r="J1075" s="9"/>
      <c r="K1075" s="18"/>
      <c r="L1075" s="18"/>
      <c r="M1075" s="18"/>
      <c r="N1075" s="18"/>
      <c r="O1075" s="18"/>
      <c r="P1075" s="18"/>
      <c r="Q1075" s="18"/>
      <c r="R1075" s="18"/>
      <c r="S1075" s="18"/>
      <c r="T1075" s="18"/>
      <c r="U1075" s="18"/>
      <c r="V1075" s="18"/>
      <c r="W1075" s="18"/>
      <c r="X1075" s="18"/>
      <c r="Y1075" s="18"/>
      <c r="Z1075" s="18"/>
    </row>
    <row r="1076" ht="22.5" customHeight="1">
      <c r="A1076" s="248">
        <v>46079.0</v>
      </c>
      <c r="B1076" s="218" t="s">
        <v>6465</v>
      </c>
      <c r="C1076" s="9"/>
      <c r="D1076" s="228"/>
      <c r="E1076" s="216"/>
      <c r="F1076" s="221" t="s">
        <v>45</v>
      </c>
      <c r="G1076" s="9" t="s">
        <v>6466</v>
      </c>
      <c r="H1076" s="234"/>
      <c r="I1076" s="232"/>
      <c r="J1076" s="9"/>
      <c r="K1076" s="18"/>
      <c r="L1076" s="18"/>
      <c r="M1076" s="18"/>
      <c r="N1076" s="18"/>
      <c r="O1076" s="18"/>
      <c r="P1076" s="18"/>
      <c r="Q1076" s="18"/>
      <c r="R1076" s="18"/>
      <c r="S1076" s="18"/>
      <c r="T1076" s="18"/>
      <c r="U1076" s="18"/>
      <c r="V1076" s="18"/>
      <c r="W1076" s="18"/>
      <c r="X1076" s="18"/>
      <c r="Y1076" s="18"/>
      <c r="Z1076" s="18"/>
    </row>
    <row r="1077" ht="22.5" customHeight="1">
      <c r="A1077" s="248">
        <v>46079.0</v>
      </c>
      <c r="B1077" s="218" t="s">
        <v>6467</v>
      </c>
      <c r="C1077" s="9"/>
      <c r="D1077" s="228" t="s">
        <v>6468</v>
      </c>
      <c r="E1077" s="216">
        <v>9.544991313E9</v>
      </c>
      <c r="F1077" s="221" t="s">
        <v>45</v>
      </c>
      <c r="G1077" s="9" t="s">
        <v>6469</v>
      </c>
      <c r="H1077" s="234">
        <v>46079.0</v>
      </c>
      <c r="I1077" s="232">
        <v>0.75</v>
      </c>
      <c r="J1077" s="9" t="s">
        <v>6470</v>
      </c>
      <c r="K1077" s="18"/>
      <c r="L1077" s="18"/>
      <c r="M1077" s="18"/>
      <c r="N1077" s="18"/>
      <c r="O1077" s="18"/>
      <c r="P1077" s="18"/>
      <c r="Q1077" s="18"/>
      <c r="R1077" s="18"/>
      <c r="S1077" s="18"/>
      <c r="T1077" s="18"/>
      <c r="U1077" s="18"/>
      <c r="V1077" s="18"/>
      <c r="W1077" s="18"/>
      <c r="X1077" s="18"/>
      <c r="Y1077" s="18"/>
      <c r="Z1077" s="18"/>
    </row>
    <row r="1078" ht="22.5" customHeight="1">
      <c r="A1078" s="248">
        <v>46079.0</v>
      </c>
      <c r="B1078" s="218" t="s">
        <v>6471</v>
      </c>
      <c r="C1078" s="9"/>
      <c r="D1078" s="228"/>
      <c r="E1078" s="216"/>
      <c r="F1078" s="221" t="s">
        <v>45</v>
      </c>
      <c r="G1078" s="9" t="s">
        <v>6472</v>
      </c>
      <c r="H1078" s="234"/>
      <c r="I1078" s="232"/>
      <c r="J1078" s="9" t="s">
        <v>6473</v>
      </c>
      <c r="K1078" s="18"/>
      <c r="L1078" s="18"/>
      <c r="M1078" s="18"/>
      <c r="N1078" s="18"/>
      <c r="O1078" s="18"/>
      <c r="P1078" s="18"/>
      <c r="Q1078" s="18"/>
      <c r="R1078" s="18"/>
      <c r="S1078" s="18"/>
      <c r="T1078" s="18"/>
      <c r="U1078" s="18"/>
      <c r="V1078" s="18"/>
      <c r="W1078" s="18"/>
      <c r="X1078" s="18"/>
      <c r="Y1078" s="18"/>
      <c r="Z1078" s="18"/>
    </row>
    <row r="1079" ht="22.5" customHeight="1">
      <c r="A1079" s="248">
        <v>46079.0</v>
      </c>
      <c r="B1079" s="218" t="s">
        <v>5927</v>
      </c>
      <c r="C1079" s="9" t="s">
        <v>147</v>
      </c>
      <c r="D1079" s="228"/>
      <c r="E1079" s="216"/>
      <c r="F1079" s="221" t="s">
        <v>241</v>
      </c>
      <c r="G1079" s="9" t="s">
        <v>6474</v>
      </c>
      <c r="H1079" s="234"/>
      <c r="I1079" s="232"/>
      <c r="J1079" s="9"/>
      <c r="K1079" s="18"/>
      <c r="L1079" s="18"/>
      <c r="M1079" s="18"/>
      <c r="N1079" s="18"/>
      <c r="O1079" s="18"/>
      <c r="P1079" s="18"/>
      <c r="Q1079" s="18"/>
      <c r="R1079" s="18"/>
      <c r="S1079" s="18"/>
      <c r="T1079" s="18"/>
      <c r="U1079" s="18"/>
      <c r="V1079" s="18"/>
      <c r="W1079" s="18"/>
      <c r="X1079" s="18"/>
      <c r="Y1079" s="18"/>
      <c r="Z1079" s="18"/>
    </row>
    <row r="1080" ht="22.5" customHeight="1">
      <c r="A1080" s="248">
        <v>46079.0</v>
      </c>
      <c r="B1080" s="218" t="s">
        <v>2710</v>
      </c>
      <c r="C1080" s="9"/>
      <c r="D1080" s="228"/>
      <c r="E1080" s="216"/>
      <c r="F1080" s="221" t="s">
        <v>241</v>
      </c>
      <c r="G1080" s="9" t="s">
        <v>4261</v>
      </c>
      <c r="H1080" s="234"/>
      <c r="I1080" s="232"/>
      <c r="J1080" s="9"/>
      <c r="K1080" s="18"/>
      <c r="L1080" s="18"/>
      <c r="M1080" s="18"/>
      <c r="N1080" s="18"/>
      <c r="O1080" s="18"/>
      <c r="P1080" s="18"/>
      <c r="Q1080" s="18"/>
      <c r="R1080" s="18"/>
      <c r="S1080" s="18"/>
      <c r="T1080" s="18"/>
      <c r="U1080" s="18"/>
      <c r="V1080" s="18"/>
      <c r="W1080" s="18"/>
      <c r="X1080" s="18"/>
      <c r="Y1080" s="18"/>
      <c r="Z1080" s="18"/>
    </row>
    <row r="1081" ht="22.5" customHeight="1">
      <c r="A1081" s="248">
        <v>46079.0</v>
      </c>
      <c r="B1081" s="218" t="s">
        <v>6475</v>
      </c>
      <c r="C1081" s="9"/>
      <c r="D1081" s="228"/>
      <c r="E1081" s="216"/>
      <c r="F1081" s="221" t="s">
        <v>144</v>
      </c>
      <c r="G1081" s="9" t="s">
        <v>6476</v>
      </c>
      <c r="H1081" s="234"/>
      <c r="I1081" s="232"/>
      <c r="J1081" s="9"/>
      <c r="K1081" s="18"/>
      <c r="L1081" s="18"/>
      <c r="M1081" s="18"/>
      <c r="N1081" s="18"/>
      <c r="O1081" s="18"/>
      <c r="P1081" s="18"/>
      <c r="Q1081" s="18"/>
      <c r="R1081" s="18"/>
      <c r="S1081" s="18"/>
      <c r="T1081" s="18"/>
      <c r="U1081" s="18"/>
      <c r="V1081" s="18"/>
      <c r="W1081" s="18"/>
      <c r="X1081" s="18"/>
      <c r="Y1081" s="18"/>
      <c r="Z1081" s="18"/>
    </row>
    <row r="1082" ht="22.5" customHeight="1">
      <c r="A1082" s="248">
        <v>46079.0</v>
      </c>
      <c r="B1082" s="218" t="s">
        <v>2721</v>
      </c>
      <c r="C1082" s="9" t="s">
        <v>6477</v>
      </c>
      <c r="D1082" s="228"/>
      <c r="E1082" s="216"/>
      <c r="F1082" s="221" t="s">
        <v>241</v>
      </c>
      <c r="G1082" s="9" t="s">
        <v>4053</v>
      </c>
      <c r="H1082" s="234"/>
      <c r="I1082" s="232"/>
      <c r="J1082" s="9"/>
      <c r="K1082" s="18"/>
      <c r="L1082" s="18"/>
      <c r="M1082" s="18"/>
      <c r="N1082" s="18"/>
      <c r="O1082" s="18"/>
      <c r="P1082" s="18"/>
      <c r="Q1082" s="18"/>
      <c r="R1082" s="18"/>
      <c r="S1082" s="18"/>
      <c r="T1082" s="18"/>
      <c r="U1082" s="18"/>
      <c r="V1082" s="18"/>
      <c r="W1082" s="18"/>
      <c r="X1082" s="18"/>
      <c r="Y1082" s="18"/>
      <c r="Z1082" s="18"/>
    </row>
    <row r="1083" ht="22.5" customHeight="1">
      <c r="A1083" s="248">
        <v>46079.0</v>
      </c>
      <c r="B1083" s="218" t="s">
        <v>6478</v>
      </c>
      <c r="C1083" s="9"/>
      <c r="D1083" s="228"/>
      <c r="E1083" s="216"/>
      <c r="F1083" s="221" t="s">
        <v>241</v>
      </c>
      <c r="G1083" s="9" t="s">
        <v>6479</v>
      </c>
      <c r="H1083" s="234"/>
      <c r="I1083" s="232"/>
      <c r="J1083" s="9"/>
      <c r="K1083" s="18"/>
      <c r="L1083" s="18"/>
      <c r="M1083" s="18"/>
      <c r="N1083" s="18"/>
      <c r="O1083" s="18"/>
      <c r="P1083" s="18"/>
      <c r="Q1083" s="18"/>
      <c r="R1083" s="18"/>
      <c r="S1083" s="18"/>
      <c r="T1083" s="18"/>
      <c r="U1083" s="18"/>
      <c r="V1083" s="18"/>
      <c r="W1083" s="18"/>
      <c r="X1083" s="18"/>
      <c r="Y1083" s="18"/>
      <c r="Z1083" s="18"/>
    </row>
    <row r="1084" ht="22.5" customHeight="1">
      <c r="A1084" s="248">
        <v>46079.0</v>
      </c>
      <c r="B1084" s="218" t="s">
        <v>6480</v>
      </c>
      <c r="C1084" s="9"/>
      <c r="D1084" s="228" t="s">
        <v>6481</v>
      </c>
      <c r="E1084" s="216"/>
      <c r="F1084" s="221" t="s">
        <v>96</v>
      </c>
      <c r="G1084" s="9" t="s">
        <v>6482</v>
      </c>
      <c r="H1084" s="234"/>
      <c r="I1084" s="232"/>
      <c r="J1084" s="9" t="s">
        <v>6483</v>
      </c>
      <c r="K1084" s="18"/>
      <c r="L1084" s="18"/>
      <c r="M1084" s="18"/>
      <c r="N1084" s="18"/>
      <c r="O1084" s="18"/>
      <c r="P1084" s="18"/>
      <c r="Q1084" s="18"/>
      <c r="R1084" s="18"/>
      <c r="S1084" s="18"/>
      <c r="T1084" s="18"/>
      <c r="U1084" s="18"/>
      <c r="V1084" s="18"/>
      <c r="W1084" s="18"/>
      <c r="X1084" s="18"/>
      <c r="Y1084" s="18"/>
      <c r="Z1084" s="18"/>
    </row>
    <row r="1085" ht="22.5" customHeight="1">
      <c r="A1085" s="248">
        <v>46079.0</v>
      </c>
      <c r="B1085" s="218" t="s">
        <v>6484</v>
      </c>
      <c r="C1085" s="9"/>
      <c r="D1085" s="228" t="s">
        <v>6485</v>
      </c>
      <c r="E1085" s="216"/>
      <c r="F1085" s="221" t="s">
        <v>73</v>
      </c>
      <c r="G1085" s="9"/>
      <c r="H1085" s="234"/>
      <c r="I1085" s="232"/>
      <c r="J1085" s="9" t="s">
        <v>6486</v>
      </c>
      <c r="K1085" s="18"/>
      <c r="L1085" s="18"/>
      <c r="M1085" s="18"/>
      <c r="N1085" s="18"/>
      <c r="O1085" s="18"/>
      <c r="P1085" s="18"/>
      <c r="Q1085" s="18"/>
      <c r="R1085" s="18"/>
      <c r="S1085" s="18"/>
      <c r="T1085" s="18"/>
      <c r="U1085" s="18"/>
      <c r="V1085" s="18"/>
      <c r="W1085" s="18"/>
      <c r="X1085" s="18"/>
      <c r="Y1085" s="18"/>
      <c r="Z1085" s="18"/>
    </row>
    <row r="1086" ht="22.5" customHeight="1">
      <c r="A1086" s="248">
        <v>46079.0</v>
      </c>
      <c r="B1086" s="218" t="s">
        <v>6487</v>
      </c>
      <c r="C1086" s="9"/>
      <c r="D1086" s="228"/>
      <c r="E1086" s="216"/>
      <c r="F1086" s="221" t="s">
        <v>60</v>
      </c>
      <c r="G1086" s="9" t="s">
        <v>6488</v>
      </c>
      <c r="H1086" s="234"/>
      <c r="I1086" s="232"/>
      <c r="J1086" s="140" t="s">
        <v>6489</v>
      </c>
      <c r="K1086" s="18"/>
      <c r="L1086" s="18"/>
      <c r="M1086" s="18"/>
      <c r="N1086" s="18"/>
      <c r="O1086" s="18"/>
      <c r="P1086" s="18"/>
      <c r="Q1086" s="18"/>
      <c r="R1086" s="18"/>
      <c r="S1086" s="18"/>
      <c r="T1086" s="18"/>
      <c r="U1086" s="18"/>
      <c r="V1086" s="18"/>
      <c r="W1086" s="18"/>
      <c r="X1086" s="18"/>
      <c r="Y1086" s="18"/>
      <c r="Z1086" s="18"/>
    </row>
    <row r="1087" ht="22.5" customHeight="1">
      <c r="A1087" s="248">
        <v>46079.0</v>
      </c>
      <c r="B1087" s="218" t="s">
        <v>6490</v>
      </c>
      <c r="C1087" s="9"/>
      <c r="D1087" s="228"/>
      <c r="E1087" s="216"/>
      <c r="F1087" s="221" t="s">
        <v>241</v>
      </c>
      <c r="G1087" s="9" t="s">
        <v>4261</v>
      </c>
      <c r="H1087" s="234"/>
      <c r="I1087" s="232"/>
      <c r="J1087" s="9"/>
      <c r="K1087" s="18"/>
      <c r="L1087" s="18"/>
      <c r="M1087" s="18"/>
      <c r="N1087" s="18"/>
      <c r="O1087" s="18"/>
      <c r="P1087" s="18"/>
      <c r="Q1087" s="18"/>
      <c r="R1087" s="18"/>
      <c r="S1087" s="18"/>
      <c r="T1087" s="18"/>
      <c r="U1087" s="18"/>
      <c r="V1087" s="18"/>
      <c r="W1087" s="18"/>
      <c r="X1087" s="18"/>
      <c r="Y1087" s="18"/>
      <c r="Z1087" s="18"/>
    </row>
    <row r="1088" ht="22.5" customHeight="1">
      <c r="A1088" s="248">
        <v>46079.0</v>
      </c>
      <c r="B1088" s="218" t="s">
        <v>6491</v>
      </c>
      <c r="C1088" s="9"/>
      <c r="D1088" s="228"/>
      <c r="E1088" s="216"/>
      <c r="F1088" s="221" t="s">
        <v>241</v>
      </c>
      <c r="G1088" s="9" t="s">
        <v>4261</v>
      </c>
      <c r="H1088" s="234"/>
      <c r="I1088" s="232"/>
      <c r="J1088" s="9"/>
      <c r="K1088" s="18"/>
      <c r="L1088" s="18"/>
      <c r="M1088" s="18"/>
      <c r="N1088" s="18"/>
      <c r="O1088" s="18"/>
      <c r="P1088" s="18"/>
      <c r="Q1088" s="18"/>
      <c r="R1088" s="18"/>
      <c r="S1088" s="18"/>
      <c r="T1088" s="18"/>
      <c r="U1088" s="18"/>
      <c r="V1088" s="18"/>
      <c r="W1088" s="18"/>
      <c r="X1088" s="18"/>
      <c r="Y1088" s="18"/>
      <c r="Z1088" s="18"/>
    </row>
    <row r="1089" ht="22.5" customHeight="1">
      <c r="A1089" s="248">
        <v>46079.0</v>
      </c>
      <c r="B1089" s="218" t="s">
        <v>6492</v>
      </c>
      <c r="C1089" s="9"/>
      <c r="D1089" s="228"/>
      <c r="E1089" s="216"/>
      <c r="F1089" s="221" t="s">
        <v>241</v>
      </c>
      <c r="G1089" s="9" t="s">
        <v>4261</v>
      </c>
      <c r="H1089" s="234"/>
      <c r="I1089" s="232"/>
      <c r="J1089" s="9"/>
      <c r="K1089" s="18"/>
      <c r="L1089" s="18"/>
      <c r="M1089" s="18"/>
      <c r="N1089" s="18"/>
      <c r="O1089" s="18"/>
      <c r="P1089" s="18"/>
      <c r="Q1089" s="18"/>
      <c r="R1089" s="18"/>
      <c r="S1089" s="18"/>
      <c r="T1089" s="18"/>
      <c r="U1089" s="18"/>
      <c r="V1089" s="18"/>
      <c r="W1089" s="18"/>
      <c r="X1089" s="18"/>
      <c r="Y1089" s="18"/>
      <c r="Z1089" s="18"/>
    </row>
    <row r="1090" ht="22.5" customHeight="1">
      <c r="A1090" s="248">
        <v>46079.0</v>
      </c>
      <c r="B1090" s="218" t="s">
        <v>6493</v>
      </c>
      <c r="C1090" s="9"/>
      <c r="D1090" s="228" t="s">
        <v>6494</v>
      </c>
      <c r="E1090" s="216"/>
      <c r="F1090" s="221" t="s">
        <v>60</v>
      </c>
      <c r="G1090" s="9" t="s">
        <v>6495</v>
      </c>
      <c r="H1090" s="234">
        <v>46081.0</v>
      </c>
      <c r="I1090" s="232"/>
      <c r="J1090" s="140" t="s">
        <v>6496</v>
      </c>
      <c r="K1090" s="18"/>
      <c r="L1090" s="18"/>
      <c r="M1090" s="18"/>
      <c r="N1090" s="18"/>
      <c r="O1090" s="18"/>
      <c r="P1090" s="18"/>
      <c r="Q1090" s="18"/>
      <c r="R1090" s="18"/>
      <c r="S1090" s="18"/>
      <c r="T1090" s="18"/>
      <c r="U1090" s="18"/>
      <c r="V1090" s="18"/>
      <c r="W1090" s="18"/>
      <c r="X1090" s="18"/>
      <c r="Y1090" s="18"/>
      <c r="Z1090" s="18"/>
    </row>
    <row r="1091" ht="22.5" customHeight="1">
      <c r="A1091" s="248">
        <v>46079.0</v>
      </c>
      <c r="B1091" s="218" t="s">
        <v>6497</v>
      </c>
      <c r="C1091" s="9"/>
      <c r="D1091" s="228"/>
      <c r="E1091" s="216"/>
      <c r="F1091" s="221" t="s">
        <v>73</v>
      </c>
      <c r="G1091" s="9" t="s">
        <v>6020</v>
      </c>
      <c r="H1091" s="234"/>
      <c r="I1091" s="232"/>
      <c r="J1091" s="9" t="s">
        <v>6498</v>
      </c>
      <c r="K1091" s="18"/>
      <c r="L1091" s="18"/>
      <c r="M1091" s="18"/>
      <c r="N1091" s="18"/>
      <c r="O1091" s="18"/>
      <c r="P1091" s="18"/>
      <c r="Q1091" s="18"/>
      <c r="R1091" s="18"/>
      <c r="S1091" s="18"/>
      <c r="T1091" s="18"/>
      <c r="U1091" s="18"/>
      <c r="V1091" s="18"/>
      <c r="W1091" s="18"/>
      <c r="X1091" s="18"/>
      <c r="Y1091" s="18"/>
      <c r="Z1091" s="18"/>
    </row>
    <row r="1092" ht="22.5" customHeight="1">
      <c r="A1092" s="248">
        <v>46079.0</v>
      </c>
      <c r="B1092" s="218" t="s">
        <v>6499</v>
      </c>
      <c r="C1092" s="9"/>
      <c r="D1092" s="228"/>
      <c r="E1092" s="216"/>
      <c r="F1092" s="221" t="s">
        <v>144</v>
      </c>
      <c r="G1092" s="9" t="s">
        <v>6500</v>
      </c>
      <c r="H1092" s="234"/>
      <c r="I1092" s="232"/>
      <c r="J1092" s="9"/>
      <c r="K1092" s="18"/>
      <c r="L1092" s="18"/>
      <c r="M1092" s="18"/>
      <c r="N1092" s="18"/>
      <c r="O1092" s="18"/>
      <c r="P1092" s="18"/>
      <c r="Q1092" s="18"/>
      <c r="R1092" s="18"/>
      <c r="S1092" s="18"/>
      <c r="T1092" s="18"/>
      <c r="U1092" s="18"/>
      <c r="V1092" s="18"/>
      <c r="W1092" s="18"/>
      <c r="X1092" s="18"/>
      <c r="Y1092" s="18"/>
      <c r="Z1092" s="18"/>
    </row>
    <row r="1093" ht="22.5" customHeight="1">
      <c r="A1093" s="248">
        <v>46079.0</v>
      </c>
      <c r="B1093" s="218" t="s">
        <v>6501</v>
      </c>
      <c r="C1093" s="9" t="s">
        <v>6502</v>
      </c>
      <c r="D1093" s="228"/>
      <c r="E1093" s="216"/>
      <c r="F1093" s="221" t="s">
        <v>45</v>
      </c>
      <c r="G1093" s="9" t="s">
        <v>6503</v>
      </c>
      <c r="H1093" s="234"/>
      <c r="I1093" s="232"/>
      <c r="J1093" s="9"/>
      <c r="K1093" s="18"/>
      <c r="L1093" s="18"/>
      <c r="M1093" s="18"/>
      <c r="N1093" s="18"/>
      <c r="O1093" s="18"/>
      <c r="P1093" s="18"/>
      <c r="Q1093" s="18"/>
      <c r="R1093" s="18"/>
      <c r="S1093" s="18"/>
      <c r="T1093" s="18"/>
      <c r="U1093" s="18"/>
      <c r="V1093" s="18"/>
      <c r="W1093" s="18"/>
      <c r="X1093" s="18"/>
      <c r="Y1093" s="18"/>
      <c r="Z1093" s="18"/>
    </row>
    <row r="1094" ht="22.5" customHeight="1">
      <c r="A1094" s="248">
        <v>46079.0</v>
      </c>
      <c r="B1094" s="218" t="s">
        <v>6504</v>
      </c>
      <c r="C1094" s="9"/>
      <c r="D1094" s="228" t="s">
        <v>2695</v>
      </c>
      <c r="E1094" s="216"/>
      <c r="F1094" s="221" t="s">
        <v>45</v>
      </c>
      <c r="G1094" s="9" t="s">
        <v>6505</v>
      </c>
      <c r="H1094" s="234"/>
      <c r="I1094" s="232"/>
      <c r="J1094" s="9" t="s">
        <v>6506</v>
      </c>
      <c r="K1094" s="18"/>
      <c r="L1094" s="18"/>
      <c r="M1094" s="18"/>
      <c r="N1094" s="18"/>
      <c r="O1094" s="18"/>
      <c r="P1094" s="18"/>
      <c r="Q1094" s="18"/>
      <c r="R1094" s="18"/>
      <c r="S1094" s="18"/>
      <c r="T1094" s="18"/>
      <c r="U1094" s="18"/>
      <c r="V1094" s="18"/>
      <c r="W1094" s="18"/>
      <c r="X1094" s="18"/>
      <c r="Y1094" s="18"/>
      <c r="Z1094" s="18"/>
    </row>
    <row r="1095" ht="22.5" customHeight="1">
      <c r="A1095" s="248">
        <v>46079.0</v>
      </c>
      <c r="B1095" s="218" t="s">
        <v>6507</v>
      </c>
      <c r="C1095" s="9" t="s">
        <v>6508</v>
      </c>
      <c r="D1095" s="228"/>
      <c r="E1095" s="216"/>
      <c r="F1095" s="221" t="s">
        <v>186</v>
      </c>
      <c r="G1095" s="9" t="s">
        <v>6509</v>
      </c>
      <c r="H1095" s="234"/>
      <c r="I1095" s="232"/>
      <c r="J1095" s="9"/>
      <c r="K1095" s="18"/>
      <c r="L1095" s="18"/>
      <c r="M1095" s="18"/>
      <c r="N1095" s="18"/>
      <c r="O1095" s="18"/>
      <c r="P1095" s="18"/>
      <c r="Q1095" s="18"/>
      <c r="R1095" s="18"/>
      <c r="S1095" s="18"/>
      <c r="T1095" s="18"/>
      <c r="U1095" s="18"/>
      <c r="V1095" s="18"/>
      <c r="W1095" s="18"/>
      <c r="X1095" s="18"/>
      <c r="Y1095" s="18"/>
      <c r="Z1095" s="18"/>
    </row>
    <row r="1096" ht="22.5" customHeight="1">
      <c r="A1096" s="248">
        <v>46079.0</v>
      </c>
      <c r="B1096" s="218" t="s">
        <v>6507</v>
      </c>
      <c r="C1096" s="9" t="s">
        <v>6508</v>
      </c>
      <c r="D1096" s="228"/>
      <c r="E1096" s="216"/>
      <c r="F1096" s="221" t="s">
        <v>186</v>
      </c>
      <c r="G1096" s="9" t="s">
        <v>6509</v>
      </c>
      <c r="H1096" s="234"/>
      <c r="I1096" s="232"/>
      <c r="J1096" s="9"/>
      <c r="K1096" s="18"/>
      <c r="L1096" s="18"/>
      <c r="M1096" s="18"/>
      <c r="N1096" s="18"/>
      <c r="O1096" s="18"/>
      <c r="P1096" s="18"/>
      <c r="Q1096" s="18"/>
      <c r="R1096" s="18"/>
      <c r="S1096" s="18"/>
      <c r="T1096" s="18"/>
      <c r="U1096" s="18"/>
      <c r="V1096" s="18"/>
      <c r="W1096" s="18"/>
      <c r="X1096" s="18"/>
      <c r="Y1096" s="18"/>
      <c r="Z1096" s="18"/>
    </row>
    <row r="1097" ht="22.5" customHeight="1">
      <c r="A1097" s="248">
        <v>46079.0</v>
      </c>
      <c r="B1097" s="218" t="s">
        <v>2751</v>
      </c>
      <c r="C1097" s="9"/>
      <c r="D1097" s="228"/>
      <c r="E1097" s="216"/>
      <c r="F1097" s="221" t="s">
        <v>241</v>
      </c>
      <c r="G1097" s="9" t="s">
        <v>4261</v>
      </c>
      <c r="H1097" s="234"/>
      <c r="I1097" s="232"/>
      <c r="J1097" s="9"/>
      <c r="K1097" s="18"/>
      <c r="L1097" s="18"/>
      <c r="M1097" s="18"/>
      <c r="N1097" s="18"/>
      <c r="O1097" s="18"/>
      <c r="P1097" s="18"/>
      <c r="Q1097" s="18"/>
      <c r="R1097" s="18"/>
      <c r="S1097" s="18"/>
      <c r="T1097" s="18"/>
      <c r="U1097" s="18"/>
      <c r="V1097" s="18"/>
      <c r="W1097" s="18"/>
      <c r="X1097" s="18"/>
      <c r="Y1097" s="18"/>
      <c r="Z1097" s="18"/>
    </row>
    <row r="1098" ht="22.5" customHeight="1">
      <c r="A1098" s="248">
        <v>46079.0</v>
      </c>
      <c r="B1098" s="218" t="s">
        <v>6510</v>
      </c>
      <c r="C1098" s="9"/>
      <c r="D1098" s="228" t="s">
        <v>6511</v>
      </c>
      <c r="E1098" s="216">
        <v>9.948698203E9</v>
      </c>
      <c r="F1098" s="221" t="s">
        <v>96</v>
      </c>
      <c r="G1098" s="9" t="s">
        <v>6512</v>
      </c>
      <c r="H1098" s="234"/>
      <c r="I1098" s="232"/>
      <c r="J1098" s="9" t="s">
        <v>6513</v>
      </c>
      <c r="K1098" s="18"/>
      <c r="L1098" s="18"/>
      <c r="M1098" s="18"/>
      <c r="N1098" s="18"/>
      <c r="O1098" s="18"/>
      <c r="P1098" s="18"/>
      <c r="Q1098" s="18"/>
      <c r="R1098" s="18"/>
      <c r="S1098" s="18"/>
      <c r="T1098" s="18"/>
      <c r="U1098" s="18"/>
      <c r="V1098" s="18"/>
      <c r="W1098" s="18"/>
      <c r="X1098" s="18"/>
      <c r="Y1098" s="18"/>
      <c r="Z1098" s="18"/>
    </row>
    <row r="1099" ht="22.5" customHeight="1">
      <c r="A1099" s="248">
        <v>46079.0</v>
      </c>
      <c r="B1099" s="218" t="s">
        <v>2753</v>
      </c>
      <c r="C1099" s="9"/>
      <c r="D1099" s="228"/>
      <c r="E1099" s="216"/>
      <c r="F1099" s="221" t="s">
        <v>241</v>
      </c>
      <c r="G1099" s="9" t="s">
        <v>4261</v>
      </c>
      <c r="H1099" s="234"/>
      <c r="I1099" s="232"/>
      <c r="J1099" s="9"/>
      <c r="K1099" s="18"/>
      <c r="L1099" s="18"/>
      <c r="M1099" s="18"/>
      <c r="N1099" s="18"/>
      <c r="O1099" s="18"/>
      <c r="P1099" s="18"/>
      <c r="Q1099" s="18"/>
      <c r="R1099" s="18"/>
      <c r="S1099" s="18"/>
      <c r="T1099" s="18"/>
      <c r="U1099" s="18"/>
      <c r="V1099" s="18"/>
      <c r="W1099" s="18"/>
      <c r="X1099" s="18"/>
      <c r="Y1099" s="18"/>
      <c r="Z1099" s="18"/>
    </row>
    <row r="1100" ht="22.5" customHeight="1">
      <c r="A1100" s="248">
        <v>46079.0</v>
      </c>
      <c r="B1100" s="218" t="s">
        <v>6514</v>
      </c>
      <c r="C1100" s="9" t="s">
        <v>6477</v>
      </c>
      <c r="D1100" s="228"/>
      <c r="E1100" s="216"/>
      <c r="F1100" s="221" t="s">
        <v>241</v>
      </c>
      <c r="G1100" s="9" t="s">
        <v>4053</v>
      </c>
      <c r="H1100" s="234"/>
      <c r="I1100" s="232"/>
      <c r="J1100" s="9"/>
      <c r="K1100" s="18"/>
      <c r="L1100" s="18"/>
      <c r="M1100" s="18"/>
      <c r="N1100" s="18"/>
      <c r="O1100" s="18"/>
      <c r="P1100" s="18"/>
      <c r="Q1100" s="18"/>
      <c r="R1100" s="18"/>
      <c r="S1100" s="18"/>
      <c r="T1100" s="18"/>
      <c r="U1100" s="18"/>
      <c r="V1100" s="18"/>
      <c r="W1100" s="18"/>
      <c r="X1100" s="18"/>
      <c r="Y1100" s="18"/>
      <c r="Z1100" s="18"/>
    </row>
    <row r="1101" ht="22.5" customHeight="1">
      <c r="A1101" s="248">
        <v>46079.0</v>
      </c>
      <c r="B1101" s="218" t="s">
        <v>6515</v>
      </c>
      <c r="C1101" s="9"/>
      <c r="D1101" s="228" t="s">
        <v>6516</v>
      </c>
      <c r="E1101" s="216"/>
      <c r="F1101" s="221" t="s">
        <v>144</v>
      </c>
      <c r="G1101" s="9" t="s">
        <v>6517</v>
      </c>
      <c r="H1101" s="234">
        <v>46079.0</v>
      </c>
      <c r="I1101" s="232">
        <v>0.75</v>
      </c>
      <c r="J1101" s="9" t="s">
        <v>6518</v>
      </c>
      <c r="K1101" s="18"/>
      <c r="L1101" s="18"/>
      <c r="M1101" s="18"/>
      <c r="N1101" s="18"/>
      <c r="O1101" s="18"/>
      <c r="P1101" s="18"/>
      <c r="Q1101" s="18"/>
      <c r="R1101" s="18"/>
      <c r="S1101" s="18"/>
      <c r="T1101" s="18"/>
      <c r="U1101" s="18"/>
      <c r="V1101" s="18"/>
      <c r="W1101" s="18"/>
      <c r="X1101" s="18"/>
      <c r="Y1101" s="18"/>
      <c r="Z1101" s="18"/>
    </row>
    <row r="1102" ht="22.5" customHeight="1">
      <c r="A1102" s="248">
        <v>46079.0</v>
      </c>
      <c r="B1102" s="218" t="s">
        <v>6519</v>
      </c>
      <c r="C1102" s="9"/>
      <c r="D1102" s="228" t="s">
        <v>6520</v>
      </c>
      <c r="E1102" s="216">
        <v>8.247679019E9</v>
      </c>
      <c r="F1102" s="221" t="s">
        <v>60</v>
      </c>
      <c r="G1102" s="9" t="s">
        <v>6521</v>
      </c>
      <c r="H1102" s="234">
        <v>46080.0</v>
      </c>
      <c r="I1102" s="232"/>
      <c r="J1102" s="35" t="s">
        <v>6522</v>
      </c>
      <c r="K1102" s="18"/>
      <c r="L1102" s="18"/>
      <c r="M1102" s="18"/>
      <c r="N1102" s="18"/>
      <c r="O1102" s="18"/>
      <c r="P1102" s="18"/>
      <c r="Q1102" s="18"/>
      <c r="R1102" s="18"/>
      <c r="S1102" s="18"/>
      <c r="T1102" s="18"/>
      <c r="U1102" s="18"/>
      <c r="V1102" s="18"/>
      <c r="W1102" s="18"/>
      <c r="X1102" s="18"/>
      <c r="Y1102" s="18"/>
      <c r="Z1102" s="18"/>
    </row>
    <row r="1103" ht="22.5" customHeight="1">
      <c r="A1103" s="248">
        <v>46079.0</v>
      </c>
      <c r="B1103" s="218" t="s">
        <v>6523</v>
      </c>
      <c r="C1103" s="9" t="s">
        <v>1999</v>
      </c>
      <c r="D1103" s="228"/>
      <c r="E1103" s="216"/>
      <c r="F1103" s="221" t="s">
        <v>73</v>
      </c>
      <c r="G1103" s="9" t="s">
        <v>6524</v>
      </c>
      <c r="H1103" s="234"/>
      <c r="I1103" s="232"/>
      <c r="K1103" s="14"/>
      <c r="L1103" s="14"/>
      <c r="M1103" s="14"/>
      <c r="N1103" s="14"/>
      <c r="O1103" s="14"/>
      <c r="P1103" s="14"/>
      <c r="Q1103" s="14"/>
      <c r="R1103" s="14"/>
      <c r="S1103" s="14"/>
      <c r="T1103" s="14"/>
      <c r="U1103" s="14"/>
      <c r="V1103" s="14"/>
      <c r="W1103" s="14"/>
      <c r="X1103" s="14"/>
      <c r="Y1103" s="14"/>
      <c r="Z1103" s="14"/>
    </row>
    <row r="1104" ht="22.5" customHeight="1">
      <c r="A1104" s="248">
        <v>46079.0</v>
      </c>
      <c r="B1104" s="218" t="s">
        <v>6525</v>
      </c>
      <c r="C1104" s="9" t="s">
        <v>389</v>
      </c>
      <c r="D1104" s="228"/>
      <c r="E1104" s="216"/>
      <c r="F1104" s="221" t="s">
        <v>186</v>
      </c>
      <c r="G1104" s="9" t="s">
        <v>6526</v>
      </c>
      <c r="H1104" s="234"/>
      <c r="I1104" s="232"/>
      <c r="J1104" s="9"/>
      <c r="K1104" s="18"/>
      <c r="L1104" s="18"/>
      <c r="M1104" s="18"/>
      <c r="N1104" s="18"/>
      <c r="O1104" s="18"/>
      <c r="P1104" s="18"/>
      <c r="Q1104" s="18"/>
      <c r="R1104" s="18"/>
      <c r="S1104" s="18"/>
      <c r="T1104" s="18"/>
      <c r="U1104" s="18"/>
      <c r="V1104" s="18"/>
      <c r="W1104" s="18"/>
      <c r="X1104" s="18"/>
      <c r="Y1104" s="18"/>
      <c r="Z1104" s="18"/>
    </row>
    <row r="1105" ht="22.5" customHeight="1">
      <c r="A1105" s="248">
        <v>46079.0</v>
      </c>
      <c r="B1105" s="218" t="s">
        <v>6525</v>
      </c>
      <c r="C1105" s="9" t="s">
        <v>389</v>
      </c>
      <c r="D1105" s="228"/>
      <c r="E1105" s="216"/>
      <c r="F1105" s="221" t="s">
        <v>186</v>
      </c>
      <c r="G1105" s="9" t="s">
        <v>6526</v>
      </c>
      <c r="H1105" s="234"/>
      <c r="I1105" s="232"/>
      <c r="J1105" s="9"/>
      <c r="K1105" s="18"/>
      <c r="L1105" s="18"/>
      <c r="M1105" s="18"/>
      <c r="N1105" s="18"/>
      <c r="O1105" s="18"/>
      <c r="P1105" s="18"/>
      <c r="Q1105" s="18"/>
      <c r="R1105" s="18"/>
      <c r="S1105" s="18"/>
      <c r="T1105" s="18"/>
      <c r="U1105" s="18"/>
      <c r="V1105" s="18"/>
      <c r="W1105" s="18"/>
      <c r="X1105" s="18"/>
      <c r="Y1105" s="18"/>
      <c r="Z1105" s="18"/>
    </row>
    <row r="1106" ht="22.5" customHeight="1">
      <c r="A1106" s="248">
        <v>46079.0</v>
      </c>
      <c r="B1106" s="218" t="s">
        <v>6525</v>
      </c>
      <c r="C1106" s="9" t="s">
        <v>389</v>
      </c>
      <c r="D1106" s="228"/>
      <c r="E1106" s="216"/>
      <c r="F1106" s="221" t="s">
        <v>186</v>
      </c>
      <c r="G1106" s="9" t="s">
        <v>6526</v>
      </c>
      <c r="H1106" s="234"/>
      <c r="I1106" s="232"/>
      <c r="J1106" s="9"/>
      <c r="K1106" s="18"/>
      <c r="L1106" s="18"/>
      <c r="M1106" s="18"/>
      <c r="N1106" s="18"/>
      <c r="O1106" s="18"/>
      <c r="P1106" s="18"/>
      <c r="Q1106" s="18"/>
      <c r="R1106" s="18"/>
      <c r="S1106" s="18"/>
      <c r="T1106" s="18"/>
      <c r="U1106" s="18"/>
      <c r="V1106" s="18"/>
      <c r="W1106" s="18"/>
      <c r="X1106" s="18"/>
      <c r="Y1106" s="18"/>
      <c r="Z1106" s="18"/>
    </row>
    <row r="1107" ht="22.5" customHeight="1">
      <c r="A1107" s="248">
        <v>46079.0</v>
      </c>
      <c r="B1107" s="218" t="s">
        <v>6525</v>
      </c>
      <c r="C1107" s="9" t="s">
        <v>389</v>
      </c>
      <c r="D1107" s="228"/>
      <c r="E1107" s="216"/>
      <c r="F1107" s="221" t="s">
        <v>186</v>
      </c>
      <c r="G1107" s="9" t="s">
        <v>6526</v>
      </c>
      <c r="H1107" s="234"/>
      <c r="I1107" s="232"/>
      <c r="J1107" s="9"/>
      <c r="K1107" s="18"/>
      <c r="L1107" s="18"/>
      <c r="M1107" s="18"/>
      <c r="N1107" s="18"/>
      <c r="O1107" s="18"/>
      <c r="P1107" s="18"/>
      <c r="Q1107" s="18"/>
      <c r="R1107" s="18"/>
      <c r="S1107" s="18"/>
      <c r="T1107" s="18"/>
      <c r="U1107" s="18"/>
      <c r="V1107" s="18"/>
      <c r="W1107" s="18"/>
      <c r="X1107" s="18"/>
      <c r="Y1107" s="18"/>
      <c r="Z1107" s="18"/>
    </row>
    <row r="1108" ht="22.5" customHeight="1">
      <c r="A1108" s="248">
        <v>46079.0</v>
      </c>
      <c r="B1108" s="218" t="s">
        <v>6525</v>
      </c>
      <c r="C1108" s="9" t="s">
        <v>389</v>
      </c>
      <c r="D1108" s="228"/>
      <c r="E1108" s="216"/>
      <c r="F1108" s="221" t="s">
        <v>186</v>
      </c>
      <c r="G1108" s="9" t="s">
        <v>6526</v>
      </c>
      <c r="H1108" s="234"/>
      <c r="I1108" s="232"/>
      <c r="J1108" s="9"/>
      <c r="K1108" s="18"/>
      <c r="L1108" s="18"/>
      <c r="M1108" s="18"/>
      <c r="N1108" s="18"/>
      <c r="O1108" s="18"/>
      <c r="P1108" s="18"/>
      <c r="Q1108" s="18"/>
      <c r="R1108" s="18"/>
      <c r="S1108" s="18"/>
      <c r="T1108" s="18"/>
      <c r="U1108" s="18"/>
      <c r="V1108" s="18"/>
      <c r="W1108" s="18"/>
      <c r="X1108" s="18"/>
      <c r="Y1108" s="18"/>
      <c r="Z1108" s="18"/>
    </row>
    <row r="1109" ht="22.5" customHeight="1">
      <c r="A1109" s="248">
        <v>46079.0</v>
      </c>
      <c r="B1109" s="218" t="s">
        <v>6527</v>
      </c>
      <c r="C1109" s="9"/>
      <c r="D1109" s="228"/>
      <c r="E1109" s="216"/>
      <c r="F1109" s="221" t="s">
        <v>241</v>
      </c>
      <c r="G1109" s="9" t="s">
        <v>4261</v>
      </c>
      <c r="H1109" s="234"/>
      <c r="I1109" s="232"/>
      <c r="J1109" s="9"/>
      <c r="K1109" s="18"/>
      <c r="L1109" s="18"/>
      <c r="M1109" s="18"/>
      <c r="N1109" s="18"/>
      <c r="O1109" s="18"/>
      <c r="P1109" s="18"/>
      <c r="Q1109" s="18"/>
      <c r="R1109" s="18"/>
      <c r="S1109" s="18"/>
      <c r="T1109" s="18"/>
      <c r="U1109" s="18"/>
      <c r="V1109" s="18"/>
      <c r="W1109" s="18"/>
      <c r="X1109" s="18"/>
      <c r="Y1109" s="18"/>
      <c r="Z1109" s="18"/>
    </row>
    <row r="1110" ht="22.5" customHeight="1">
      <c r="A1110" s="248">
        <v>46079.0</v>
      </c>
      <c r="B1110" s="218" t="s">
        <v>6528</v>
      </c>
      <c r="C1110" s="9" t="s">
        <v>6477</v>
      </c>
      <c r="D1110" s="228"/>
      <c r="E1110" s="216"/>
      <c r="F1110" s="221" t="s">
        <v>241</v>
      </c>
      <c r="G1110" s="9" t="s">
        <v>4053</v>
      </c>
      <c r="H1110" s="234"/>
      <c r="I1110" s="232"/>
      <c r="J1110" s="9"/>
      <c r="K1110" s="18"/>
      <c r="L1110" s="18"/>
      <c r="M1110" s="18"/>
      <c r="N1110" s="18"/>
      <c r="O1110" s="18"/>
      <c r="P1110" s="18"/>
      <c r="Q1110" s="18"/>
      <c r="R1110" s="18"/>
      <c r="S1110" s="18"/>
      <c r="T1110" s="18"/>
      <c r="U1110" s="18"/>
      <c r="V1110" s="18"/>
      <c r="W1110" s="18"/>
      <c r="X1110" s="18"/>
      <c r="Y1110" s="18"/>
      <c r="Z1110" s="18"/>
    </row>
    <row r="1111" ht="22.5" customHeight="1">
      <c r="A1111" s="248">
        <v>46079.0</v>
      </c>
      <c r="B1111" s="218" t="s">
        <v>6529</v>
      </c>
      <c r="C1111" s="9"/>
      <c r="D1111" s="228"/>
      <c r="E1111" s="216"/>
      <c r="F1111" s="221" t="s">
        <v>96</v>
      </c>
      <c r="G1111" s="9" t="s">
        <v>6530</v>
      </c>
      <c r="H1111" s="234"/>
      <c r="I1111" s="232"/>
      <c r="J1111" s="9"/>
      <c r="K1111" s="18"/>
      <c r="L1111" s="18"/>
      <c r="M1111" s="18"/>
      <c r="N1111" s="18"/>
      <c r="O1111" s="18"/>
      <c r="P1111" s="18"/>
      <c r="Q1111" s="18"/>
      <c r="R1111" s="18"/>
      <c r="S1111" s="18"/>
      <c r="T1111" s="18"/>
      <c r="U1111" s="18"/>
      <c r="V1111" s="18"/>
      <c r="W1111" s="18"/>
      <c r="X1111" s="18"/>
      <c r="Y1111" s="18"/>
      <c r="Z1111" s="18"/>
    </row>
    <row r="1112" ht="22.5" customHeight="1">
      <c r="A1112" s="248">
        <v>46079.0</v>
      </c>
      <c r="B1112" s="218" t="s">
        <v>6531</v>
      </c>
      <c r="C1112" s="9" t="s">
        <v>6532</v>
      </c>
      <c r="D1112" s="228" t="s">
        <v>6533</v>
      </c>
      <c r="E1112" s="216">
        <v>7.331122771E9</v>
      </c>
      <c r="F1112" s="221" t="s">
        <v>73</v>
      </c>
      <c r="G1112" s="9" t="s">
        <v>6534</v>
      </c>
      <c r="H1112" s="234"/>
      <c r="I1112" s="232"/>
      <c r="J1112" s="9" t="s">
        <v>6535</v>
      </c>
      <c r="K1112" s="18"/>
      <c r="L1112" s="18"/>
      <c r="M1112" s="18"/>
      <c r="N1112" s="18"/>
      <c r="O1112" s="18"/>
      <c r="P1112" s="18"/>
      <c r="Q1112" s="18"/>
      <c r="R1112" s="18"/>
      <c r="S1112" s="18"/>
      <c r="T1112" s="18"/>
      <c r="U1112" s="18"/>
      <c r="V1112" s="18"/>
      <c r="W1112" s="18"/>
      <c r="X1112" s="18"/>
      <c r="Y1112" s="18"/>
      <c r="Z1112" s="18"/>
    </row>
    <row r="1113" ht="22.5" customHeight="1">
      <c r="A1113" s="248">
        <v>46079.0</v>
      </c>
      <c r="B1113" s="218" t="s">
        <v>6536</v>
      </c>
      <c r="C1113" s="9"/>
      <c r="D1113" s="228"/>
      <c r="E1113" s="216"/>
      <c r="F1113" s="221" t="s">
        <v>45</v>
      </c>
      <c r="G1113" s="9" t="s">
        <v>5723</v>
      </c>
      <c r="H1113" s="234"/>
      <c r="I1113" s="232"/>
      <c r="J1113" s="9" t="s">
        <v>6537</v>
      </c>
      <c r="K1113" s="18"/>
      <c r="L1113" s="18"/>
      <c r="M1113" s="18"/>
      <c r="N1113" s="18"/>
      <c r="O1113" s="18"/>
      <c r="P1113" s="18"/>
      <c r="Q1113" s="18"/>
      <c r="R1113" s="18"/>
      <c r="S1113" s="18"/>
      <c r="T1113" s="18"/>
      <c r="U1113" s="18"/>
      <c r="V1113" s="18"/>
      <c r="W1113" s="18"/>
      <c r="X1113" s="18"/>
      <c r="Y1113" s="18"/>
      <c r="Z1113" s="18"/>
    </row>
    <row r="1114" ht="22.5" customHeight="1">
      <c r="A1114" s="248">
        <v>46079.0</v>
      </c>
      <c r="B1114" s="218" t="s">
        <v>6538</v>
      </c>
      <c r="C1114" s="9"/>
      <c r="D1114" s="228"/>
      <c r="E1114" s="216">
        <v>9.100028909E9</v>
      </c>
      <c r="F1114" s="221" t="s">
        <v>73</v>
      </c>
      <c r="G1114" s="9" t="s">
        <v>6539</v>
      </c>
      <c r="H1114" s="234">
        <v>46079.0</v>
      </c>
      <c r="I1114" s="232">
        <v>0.5416666666666666</v>
      </c>
      <c r="J1114" s="9" t="s">
        <v>6540</v>
      </c>
      <c r="K1114" s="18"/>
      <c r="L1114" s="18"/>
      <c r="M1114" s="18"/>
      <c r="N1114" s="18"/>
      <c r="O1114" s="18"/>
      <c r="P1114" s="18"/>
      <c r="Q1114" s="18"/>
      <c r="R1114" s="18"/>
      <c r="S1114" s="18"/>
      <c r="T1114" s="18"/>
      <c r="U1114" s="18"/>
      <c r="V1114" s="18"/>
      <c r="W1114" s="18"/>
      <c r="X1114" s="18"/>
      <c r="Y1114" s="18"/>
      <c r="Z1114" s="18"/>
    </row>
    <row r="1115" ht="22.5" customHeight="1">
      <c r="A1115" s="248">
        <v>46079.0</v>
      </c>
      <c r="B1115" s="218" t="s">
        <v>6541</v>
      </c>
      <c r="C1115" s="9"/>
      <c r="D1115" s="228"/>
      <c r="E1115" s="216"/>
      <c r="F1115" s="221" t="s">
        <v>45</v>
      </c>
      <c r="G1115" s="9" t="s">
        <v>6503</v>
      </c>
      <c r="H1115" s="234"/>
      <c r="I1115" s="232"/>
      <c r="J1115" s="9"/>
      <c r="K1115" s="18"/>
      <c r="L1115" s="18"/>
      <c r="M1115" s="18"/>
      <c r="N1115" s="18"/>
      <c r="O1115" s="18"/>
      <c r="P1115" s="18"/>
      <c r="Q1115" s="18"/>
      <c r="R1115" s="18"/>
      <c r="S1115" s="18"/>
      <c r="T1115" s="18"/>
      <c r="U1115" s="18"/>
      <c r="V1115" s="18"/>
      <c r="W1115" s="18"/>
      <c r="X1115" s="18"/>
      <c r="Y1115" s="18"/>
      <c r="Z1115" s="18"/>
    </row>
    <row r="1116" ht="22.5" customHeight="1">
      <c r="A1116" s="248">
        <v>46079.0</v>
      </c>
      <c r="B1116" s="218" t="s">
        <v>6542</v>
      </c>
      <c r="C1116" s="9" t="s">
        <v>6543</v>
      </c>
      <c r="D1116" s="228"/>
      <c r="E1116" s="216"/>
      <c r="F1116" s="221" t="s">
        <v>60</v>
      </c>
      <c r="G1116" s="9" t="s">
        <v>6544</v>
      </c>
      <c r="H1116" s="234">
        <v>46080.0</v>
      </c>
      <c r="I1116" s="232">
        <v>0.4166666666666667</v>
      </c>
      <c r="J1116" s="35" t="s">
        <v>6545</v>
      </c>
      <c r="K1116" s="18"/>
      <c r="L1116" s="18"/>
      <c r="M1116" s="18"/>
      <c r="N1116" s="18"/>
      <c r="O1116" s="18"/>
      <c r="P1116" s="18"/>
      <c r="Q1116" s="18"/>
      <c r="R1116" s="18"/>
      <c r="S1116" s="18"/>
      <c r="T1116" s="18"/>
      <c r="U1116" s="18"/>
      <c r="V1116" s="18"/>
      <c r="W1116" s="18"/>
      <c r="X1116" s="18"/>
      <c r="Y1116" s="18"/>
      <c r="Z1116" s="18"/>
    </row>
    <row r="1117" ht="22.5" customHeight="1">
      <c r="A1117" s="248">
        <v>46079.0</v>
      </c>
      <c r="B1117" s="218" t="s">
        <v>6546</v>
      </c>
      <c r="C1117" s="9" t="s">
        <v>1999</v>
      </c>
      <c r="D1117" s="228"/>
      <c r="E1117" s="216"/>
      <c r="F1117" s="221" t="s">
        <v>73</v>
      </c>
      <c r="G1117" s="9" t="s">
        <v>6547</v>
      </c>
      <c r="H1117" s="234"/>
      <c r="I1117" s="232"/>
      <c r="J1117" s="9"/>
      <c r="K1117" s="18"/>
      <c r="L1117" s="18"/>
      <c r="M1117" s="18"/>
      <c r="N1117" s="18"/>
      <c r="O1117" s="18"/>
      <c r="P1117" s="18"/>
      <c r="Q1117" s="18"/>
      <c r="R1117" s="18"/>
      <c r="S1117" s="18"/>
      <c r="T1117" s="18"/>
      <c r="U1117" s="18"/>
      <c r="V1117" s="18"/>
      <c r="W1117" s="18"/>
      <c r="X1117" s="18"/>
      <c r="Y1117" s="18"/>
      <c r="Z1117" s="18"/>
    </row>
    <row r="1118" ht="22.5" customHeight="1">
      <c r="A1118" s="248">
        <v>46079.0</v>
      </c>
      <c r="B1118" s="15" t="s">
        <v>6546</v>
      </c>
      <c r="C1118" s="9" t="s">
        <v>1999</v>
      </c>
      <c r="D1118" s="228"/>
      <c r="E1118" s="216"/>
      <c r="F1118" s="221" t="s">
        <v>73</v>
      </c>
      <c r="G1118" s="9" t="s">
        <v>6547</v>
      </c>
      <c r="H1118" s="234"/>
      <c r="I1118" s="232"/>
      <c r="J1118" s="9"/>
      <c r="K1118" s="18"/>
      <c r="L1118" s="18"/>
      <c r="M1118" s="18"/>
      <c r="N1118" s="18"/>
      <c r="O1118" s="18"/>
      <c r="P1118" s="18"/>
      <c r="Q1118" s="18"/>
      <c r="R1118" s="18"/>
      <c r="S1118" s="18"/>
      <c r="T1118" s="18"/>
      <c r="U1118" s="18"/>
      <c r="V1118" s="18"/>
      <c r="W1118" s="18"/>
      <c r="X1118" s="18"/>
      <c r="Y1118" s="18"/>
      <c r="Z1118" s="18"/>
    </row>
    <row r="1119" ht="22.5" customHeight="1">
      <c r="A1119" s="248">
        <v>46079.0</v>
      </c>
      <c r="B1119" s="218" t="s">
        <v>6546</v>
      </c>
      <c r="C1119" s="9" t="s">
        <v>1999</v>
      </c>
      <c r="D1119" s="228"/>
      <c r="E1119" s="216"/>
      <c r="F1119" s="221" t="s">
        <v>73</v>
      </c>
      <c r="G1119" s="9" t="s">
        <v>6547</v>
      </c>
      <c r="H1119" s="234"/>
      <c r="I1119" s="232"/>
      <c r="J1119" s="9"/>
      <c r="K1119" s="18"/>
      <c r="L1119" s="18"/>
      <c r="M1119" s="18"/>
      <c r="N1119" s="18"/>
      <c r="O1119" s="18"/>
      <c r="P1119" s="18"/>
      <c r="Q1119" s="18"/>
      <c r="R1119" s="18"/>
      <c r="S1119" s="18"/>
      <c r="T1119" s="18"/>
      <c r="U1119" s="18"/>
      <c r="V1119" s="18"/>
      <c r="W1119" s="18"/>
      <c r="X1119" s="18"/>
      <c r="Y1119" s="18"/>
      <c r="Z1119" s="18"/>
    </row>
    <row r="1120" ht="22.5" customHeight="1">
      <c r="A1120" s="248">
        <v>46079.0</v>
      </c>
      <c r="B1120" s="218" t="s">
        <v>6548</v>
      </c>
      <c r="C1120" s="9"/>
      <c r="D1120" s="228" t="s">
        <v>5508</v>
      </c>
      <c r="E1120" s="216">
        <v>9.347354009E9</v>
      </c>
      <c r="F1120" s="221" t="s">
        <v>241</v>
      </c>
      <c r="G1120" s="9" t="s">
        <v>6549</v>
      </c>
      <c r="H1120" s="234"/>
      <c r="I1120" s="232"/>
      <c r="J1120" s="9"/>
      <c r="K1120" s="18"/>
      <c r="L1120" s="18"/>
      <c r="M1120" s="18"/>
      <c r="N1120" s="18"/>
      <c r="O1120" s="18"/>
      <c r="P1120" s="18"/>
      <c r="Q1120" s="18"/>
      <c r="R1120" s="18"/>
      <c r="S1120" s="18"/>
      <c r="T1120" s="18"/>
      <c r="U1120" s="18"/>
      <c r="V1120" s="18"/>
      <c r="W1120" s="18"/>
      <c r="X1120" s="18"/>
      <c r="Y1120" s="18"/>
      <c r="Z1120" s="18"/>
    </row>
    <row r="1121" ht="22.5" customHeight="1">
      <c r="A1121" s="248">
        <v>46079.0</v>
      </c>
      <c r="B1121" s="218" t="s">
        <v>6550</v>
      </c>
      <c r="C1121" s="9"/>
      <c r="D1121" s="228"/>
      <c r="E1121" s="216"/>
      <c r="F1121" s="221" t="s">
        <v>1919</v>
      </c>
      <c r="G1121" s="9" t="s">
        <v>6551</v>
      </c>
      <c r="H1121" s="234"/>
      <c r="I1121" s="232"/>
      <c r="J1121" s="9"/>
      <c r="K1121" s="18"/>
      <c r="L1121" s="18"/>
      <c r="M1121" s="18"/>
      <c r="N1121" s="18"/>
      <c r="O1121" s="18"/>
      <c r="P1121" s="18"/>
      <c r="Q1121" s="18"/>
      <c r="R1121" s="18"/>
      <c r="S1121" s="18"/>
      <c r="T1121" s="18"/>
      <c r="U1121" s="18"/>
      <c r="V1121" s="18"/>
      <c r="W1121" s="18"/>
      <c r="X1121" s="18"/>
      <c r="Y1121" s="18"/>
      <c r="Z1121" s="18"/>
    </row>
    <row r="1122" ht="22.5" customHeight="1">
      <c r="A1122" s="248">
        <v>46079.0</v>
      </c>
      <c r="B1122" s="218" t="s">
        <v>6552</v>
      </c>
      <c r="C1122" s="9"/>
      <c r="D1122" s="228" t="s">
        <v>5101</v>
      </c>
      <c r="E1122" s="216">
        <v>7.780432204E9</v>
      </c>
      <c r="F1122" s="221" t="s">
        <v>241</v>
      </c>
      <c r="G1122" s="9" t="s">
        <v>6553</v>
      </c>
      <c r="H1122" s="234"/>
      <c r="I1122" s="232"/>
      <c r="J1122" s="9"/>
      <c r="K1122" s="18"/>
      <c r="L1122" s="18"/>
      <c r="M1122" s="18"/>
      <c r="N1122" s="18"/>
      <c r="O1122" s="18"/>
      <c r="P1122" s="18"/>
      <c r="Q1122" s="18"/>
      <c r="R1122" s="18"/>
      <c r="S1122" s="18"/>
      <c r="T1122" s="18"/>
      <c r="U1122" s="18"/>
      <c r="V1122" s="18"/>
      <c r="W1122" s="18"/>
      <c r="X1122" s="18"/>
      <c r="Y1122" s="18"/>
      <c r="Z1122" s="18"/>
    </row>
    <row r="1123" ht="22.5" customHeight="1">
      <c r="A1123" s="248">
        <v>46079.0</v>
      </c>
      <c r="B1123" s="218" t="s">
        <v>6554</v>
      </c>
      <c r="C1123" s="9"/>
      <c r="D1123" s="228" t="s">
        <v>6555</v>
      </c>
      <c r="E1123" s="216">
        <v>9.866986194E9</v>
      </c>
      <c r="F1123" s="221" t="s">
        <v>241</v>
      </c>
      <c r="G1123" s="9" t="s">
        <v>6556</v>
      </c>
      <c r="H1123" s="234"/>
      <c r="I1123" s="232"/>
      <c r="J1123" s="9"/>
      <c r="K1123" s="18"/>
      <c r="L1123" s="18"/>
      <c r="M1123" s="18"/>
      <c r="N1123" s="18"/>
      <c r="O1123" s="18"/>
      <c r="P1123" s="18"/>
      <c r="Q1123" s="18"/>
      <c r="R1123" s="18"/>
      <c r="S1123" s="18"/>
      <c r="T1123" s="18"/>
      <c r="U1123" s="18"/>
      <c r="V1123" s="18"/>
      <c r="W1123" s="18"/>
      <c r="X1123" s="18"/>
      <c r="Y1123" s="18"/>
      <c r="Z1123" s="18"/>
    </row>
    <row r="1124" ht="22.5" customHeight="1">
      <c r="A1124" s="248">
        <v>46079.0</v>
      </c>
      <c r="B1124" s="218" t="s">
        <v>6557</v>
      </c>
      <c r="C1124" s="9" t="s">
        <v>6558</v>
      </c>
      <c r="D1124" s="228" t="s">
        <v>4450</v>
      </c>
      <c r="E1124" s="216"/>
      <c r="F1124" s="221" t="s">
        <v>186</v>
      </c>
      <c r="G1124" s="9" t="s">
        <v>6559</v>
      </c>
      <c r="H1124" s="234"/>
      <c r="I1124" s="232"/>
      <c r="J1124" s="9"/>
      <c r="K1124" s="18"/>
      <c r="L1124" s="18"/>
      <c r="M1124" s="18"/>
      <c r="N1124" s="18"/>
      <c r="O1124" s="18"/>
      <c r="P1124" s="18"/>
      <c r="Q1124" s="18"/>
      <c r="R1124" s="18"/>
      <c r="S1124" s="18"/>
      <c r="T1124" s="18"/>
      <c r="U1124" s="18"/>
      <c r="V1124" s="18"/>
      <c r="W1124" s="18"/>
      <c r="X1124" s="18"/>
      <c r="Y1124" s="18"/>
      <c r="Z1124" s="18"/>
    </row>
    <row r="1125" ht="22.5" customHeight="1">
      <c r="A1125" s="248">
        <v>46079.0</v>
      </c>
      <c r="B1125" s="218" t="s">
        <v>6557</v>
      </c>
      <c r="C1125" s="9" t="s">
        <v>6558</v>
      </c>
      <c r="D1125" s="228" t="s">
        <v>4450</v>
      </c>
      <c r="E1125" s="216"/>
      <c r="F1125" s="221" t="s">
        <v>186</v>
      </c>
      <c r="G1125" s="9" t="s">
        <v>6559</v>
      </c>
      <c r="H1125" s="234"/>
      <c r="I1125" s="232"/>
      <c r="J1125" s="9"/>
      <c r="K1125" s="18"/>
      <c r="L1125" s="18"/>
      <c r="M1125" s="18"/>
      <c r="N1125" s="18"/>
      <c r="O1125" s="18"/>
      <c r="P1125" s="18"/>
      <c r="Q1125" s="18"/>
      <c r="R1125" s="18"/>
      <c r="S1125" s="18"/>
      <c r="T1125" s="18"/>
      <c r="U1125" s="18"/>
      <c r="V1125" s="18"/>
      <c r="W1125" s="18"/>
      <c r="X1125" s="18"/>
      <c r="Y1125" s="18"/>
      <c r="Z1125" s="18"/>
    </row>
    <row r="1126" ht="22.5" customHeight="1">
      <c r="A1126" s="248">
        <v>46079.0</v>
      </c>
      <c r="B1126" s="218" t="s">
        <v>6557</v>
      </c>
      <c r="C1126" s="9" t="s">
        <v>6558</v>
      </c>
      <c r="D1126" s="228" t="s">
        <v>4450</v>
      </c>
      <c r="E1126" s="216"/>
      <c r="F1126" s="221" t="s">
        <v>186</v>
      </c>
      <c r="G1126" s="9" t="s">
        <v>6559</v>
      </c>
      <c r="H1126" s="234"/>
      <c r="I1126" s="232"/>
      <c r="J1126" s="9"/>
      <c r="K1126" s="18"/>
      <c r="L1126" s="18"/>
      <c r="M1126" s="18"/>
      <c r="N1126" s="18"/>
      <c r="O1126" s="18"/>
      <c r="P1126" s="18"/>
      <c r="Q1126" s="18"/>
      <c r="R1126" s="18"/>
      <c r="S1126" s="18"/>
      <c r="T1126" s="18"/>
      <c r="U1126" s="18"/>
      <c r="V1126" s="18"/>
      <c r="W1126" s="18"/>
      <c r="X1126" s="18"/>
      <c r="Y1126" s="18"/>
      <c r="Z1126" s="18"/>
    </row>
    <row r="1127" ht="22.5" customHeight="1">
      <c r="A1127" s="248">
        <v>46079.0</v>
      </c>
      <c r="B1127" s="218" t="s">
        <v>6557</v>
      </c>
      <c r="C1127" s="9" t="s">
        <v>6558</v>
      </c>
      <c r="D1127" s="228" t="s">
        <v>4450</v>
      </c>
      <c r="E1127" s="216"/>
      <c r="F1127" s="221" t="s">
        <v>186</v>
      </c>
      <c r="G1127" s="9" t="s">
        <v>6559</v>
      </c>
      <c r="H1127" s="234"/>
      <c r="I1127" s="232"/>
      <c r="J1127" s="9"/>
      <c r="K1127" s="18"/>
      <c r="L1127" s="18"/>
      <c r="M1127" s="18"/>
      <c r="N1127" s="18"/>
      <c r="O1127" s="18"/>
      <c r="P1127" s="18"/>
      <c r="Q1127" s="18"/>
      <c r="R1127" s="18"/>
      <c r="S1127" s="18"/>
      <c r="T1127" s="18"/>
      <c r="U1127" s="18"/>
      <c r="V1127" s="18"/>
      <c r="W1127" s="18"/>
      <c r="X1127" s="18"/>
      <c r="Y1127" s="18"/>
      <c r="Z1127" s="18"/>
    </row>
    <row r="1128" ht="22.5" customHeight="1">
      <c r="A1128" s="248">
        <v>46079.0</v>
      </c>
      <c r="B1128" s="218" t="s">
        <v>6557</v>
      </c>
      <c r="C1128" s="9" t="s">
        <v>6558</v>
      </c>
      <c r="D1128" s="228" t="s">
        <v>4450</v>
      </c>
      <c r="E1128" s="216"/>
      <c r="F1128" s="221" t="s">
        <v>186</v>
      </c>
      <c r="G1128" s="9" t="s">
        <v>6559</v>
      </c>
      <c r="H1128" s="234"/>
      <c r="I1128" s="232"/>
      <c r="J1128" s="9"/>
      <c r="K1128" s="18"/>
      <c r="L1128" s="18"/>
      <c r="M1128" s="18"/>
      <c r="N1128" s="18"/>
      <c r="O1128" s="18"/>
      <c r="P1128" s="18"/>
      <c r="Q1128" s="18"/>
      <c r="R1128" s="18"/>
      <c r="S1128" s="18"/>
      <c r="T1128" s="18"/>
      <c r="U1128" s="18"/>
      <c r="V1128" s="18"/>
      <c r="W1128" s="18"/>
      <c r="X1128" s="18"/>
      <c r="Y1128" s="18"/>
      <c r="Z1128" s="18"/>
    </row>
    <row r="1129" ht="22.5" customHeight="1">
      <c r="A1129" s="248">
        <v>46079.0</v>
      </c>
      <c r="B1129" s="218" t="s">
        <v>6560</v>
      </c>
      <c r="C1129" s="9"/>
      <c r="D1129" s="228" t="s">
        <v>4246</v>
      </c>
      <c r="E1129" s="216"/>
      <c r="F1129" s="221" t="s">
        <v>186</v>
      </c>
      <c r="G1129" s="9" t="s">
        <v>6561</v>
      </c>
      <c r="H1129" s="234"/>
      <c r="I1129" s="232"/>
      <c r="J1129" s="9"/>
      <c r="K1129" s="18"/>
      <c r="L1129" s="18"/>
      <c r="M1129" s="18"/>
      <c r="N1129" s="18"/>
      <c r="O1129" s="18"/>
      <c r="P1129" s="18"/>
      <c r="Q1129" s="18"/>
      <c r="R1129" s="18"/>
      <c r="S1129" s="18"/>
      <c r="T1129" s="18"/>
      <c r="U1129" s="18"/>
      <c r="V1129" s="18"/>
      <c r="W1129" s="18"/>
      <c r="X1129" s="18"/>
      <c r="Y1129" s="18"/>
      <c r="Z1129" s="18"/>
    </row>
    <row r="1130" ht="22.5" customHeight="1">
      <c r="A1130" s="248">
        <v>46079.0</v>
      </c>
      <c r="B1130" s="218" t="s">
        <v>6560</v>
      </c>
      <c r="C1130" s="9"/>
      <c r="D1130" s="228" t="s">
        <v>4246</v>
      </c>
      <c r="E1130" s="216"/>
      <c r="F1130" s="221" t="s">
        <v>186</v>
      </c>
      <c r="G1130" s="9" t="s">
        <v>6561</v>
      </c>
      <c r="H1130" s="234"/>
      <c r="I1130" s="232"/>
      <c r="J1130" s="9"/>
      <c r="K1130" s="18"/>
      <c r="L1130" s="18"/>
      <c r="M1130" s="18"/>
      <c r="N1130" s="18"/>
      <c r="O1130" s="18"/>
      <c r="P1130" s="18"/>
      <c r="Q1130" s="18"/>
      <c r="R1130" s="18"/>
      <c r="S1130" s="18"/>
      <c r="T1130" s="18"/>
      <c r="U1130" s="18"/>
      <c r="V1130" s="18"/>
      <c r="W1130" s="18"/>
      <c r="X1130" s="18"/>
      <c r="Y1130" s="18"/>
      <c r="Z1130" s="18"/>
    </row>
    <row r="1131" ht="22.5" customHeight="1">
      <c r="A1131" s="248">
        <v>46079.0</v>
      </c>
      <c r="B1131" s="218" t="s">
        <v>6560</v>
      </c>
      <c r="C1131" s="9"/>
      <c r="D1131" s="228" t="s">
        <v>4246</v>
      </c>
      <c r="E1131" s="216"/>
      <c r="F1131" s="221" t="s">
        <v>186</v>
      </c>
      <c r="G1131" s="9" t="s">
        <v>6561</v>
      </c>
      <c r="H1131" s="234"/>
      <c r="I1131" s="232"/>
      <c r="J1131" s="9"/>
      <c r="K1131" s="18"/>
      <c r="L1131" s="18"/>
      <c r="M1131" s="18"/>
      <c r="N1131" s="18"/>
      <c r="O1131" s="18"/>
      <c r="P1131" s="18"/>
      <c r="Q1131" s="18"/>
      <c r="R1131" s="18"/>
      <c r="S1131" s="18"/>
      <c r="T1131" s="18"/>
      <c r="U1131" s="18"/>
      <c r="V1131" s="18"/>
      <c r="W1131" s="18"/>
      <c r="X1131" s="18"/>
      <c r="Y1131" s="18"/>
      <c r="Z1131" s="18"/>
    </row>
    <row r="1132" ht="22.5" customHeight="1">
      <c r="A1132" s="248">
        <v>46079.0</v>
      </c>
      <c r="B1132" s="218" t="s">
        <v>6560</v>
      </c>
      <c r="C1132" s="9"/>
      <c r="D1132" s="228" t="s">
        <v>4246</v>
      </c>
      <c r="E1132" s="216"/>
      <c r="F1132" s="221" t="s">
        <v>186</v>
      </c>
      <c r="G1132" s="9" t="s">
        <v>6561</v>
      </c>
      <c r="H1132" s="234"/>
      <c r="I1132" s="232"/>
      <c r="J1132" s="9"/>
      <c r="K1132" s="18"/>
      <c r="L1132" s="18"/>
      <c r="M1132" s="18"/>
      <c r="N1132" s="18"/>
      <c r="O1132" s="18"/>
      <c r="P1132" s="18"/>
      <c r="Q1132" s="18"/>
      <c r="R1132" s="18"/>
      <c r="S1132" s="18"/>
      <c r="T1132" s="18"/>
      <c r="U1132" s="18"/>
      <c r="V1132" s="18"/>
      <c r="W1132" s="18"/>
      <c r="X1132" s="18"/>
      <c r="Y1132" s="18"/>
      <c r="Z1132" s="18"/>
    </row>
    <row r="1133" ht="22.5" customHeight="1">
      <c r="A1133" s="248">
        <v>46079.0</v>
      </c>
      <c r="B1133" s="218" t="s">
        <v>6560</v>
      </c>
      <c r="C1133" s="9"/>
      <c r="D1133" s="228" t="s">
        <v>4246</v>
      </c>
      <c r="E1133" s="216"/>
      <c r="F1133" s="221" t="s">
        <v>186</v>
      </c>
      <c r="G1133" s="9" t="s">
        <v>6561</v>
      </c>
      <c r="H1133" s="234"/>
      <c r="I1133" s="232"/>
      <c r="J1133" s="9"/>
      <c r="K1133" s="18"/>
      <c r="L1133" s="18"/>
      <c r="M1133" s="18"/>
      <c r="N1133" s="18"/>
      <c r="O1133" s="18"/>
      <c r="P1133" s="18"/>
      <c r="Q1133" s="18"/>
      <c r="R1133" s="18"/>
      <c r="S1133" s="18"/>
      <c r="T1133" s="18"/>
      <c r="U1133" s="18"/>
      <c r="V1133" s="18"/>
      <c r="W1133" s="18"/>
      <c r="X1133" s="18"/>
      <c r="Y1133" s="18"/>
      <c r="Z1133" s="18"/>
    </row>
    <row r="1134" ht="22.5" customHeight="1">
      <c r="A1134" s="248">
        <v>46079.0</v>
      </c>
      <c r="B1134" s="218" t="s">
        <v>6562</v>
      </c>
      <c r="C1134" s="9"/>
      <c r="D1134" s="228"/>
      <c r="E1134" s="216"/>
      <c r="F1134" s="221" t="s">
        <v>241</v>
      </c>
      <c r="G1134" s="9" t="s">
        <v>6563</v>
      </c>
      <c r="H1134" s="234"/>
      <c r="I1134" s="232"/>
      <c r="J1134" s="9"/>
      <c r="K1134" s="18"/>
      <c r="L1134" s="18"/>
      <c r="M1134" s="18"/>
      <c r="N1134" s="18"/>
      <c r="O1134" s="18"/>
      <c r="P1134" s="18"/>
      <c r="Q1134" s="18"/>
      <c r="R1134" s="18"/>
      <c r="S1134" s="18"/>
      <c r="T1134" s="18"/>
      <c r="U1134" s="18"/>
      <c r="V1134" s="18"/>
      <c r="W1134" s="18"/>
      <c r="X1134" s="18"/>
      <c r="Y1134" s="18"/>
      <c r="Z1134" s="18"/>
    </row>
    <row r="1135" ht="22.5" customHeight="1">
      <c r="A1135" s="248">
        <v>46079.0</v>
      </c>
      <c r="B1135" s="218" t="s">
        <v>6564</v>
      </c>
      <c r="C1135" s="9"/>
      <c r="D1135" s="228"/>
      <c r="E1135" s="216"/>
      <c r="F1135" s="221" t="s">
        <v>241</v>
      </c>
      <c r="G1135" s="9" t="s">
        <v>4261</v>
      </c>
      <c r="H1135" s="234"/>
      <c r="I1135" s="232"/>
      <c r="J1135" s="9"/>
      <c r="K1135" s="18"/>
      <c r="L1135" s="18"/>
      <c r="M1135" s="18"/>
      <c r="N1135" s="18"/>
      <c r="O1135" s="18"/>
      <c r="P1135" s="18"/>
      <c r="Q1135" s="18"/>
      <c r="R1135" s="18"/>
      <c r="S1135" s="18"/>
      <c r="T1135" s="18"/>
      <c r="U1135" s="18"/>
      <c r="V1135" s="18"/>
      <c r="W1135" s="18"/>
      <c r="X1135" s="18"/>
      <c r="Y1135" s="18"/>
      <c r="Z1135" s="18"/>
    </row>
    <row r="1136" ht="22.5" customHeight="1">
      <c r="A1136" s="248">
        <v>46079.0</v>
      </c>
      <c r="B1136" s="218" t="s">
        <v>6565</v>
      </c>
      <c r="C1136" s="9"/>
      <c r="D1136" s="228"/>
      <c r="E1136" s="216"/>
      <c r="F1136" s="221" t="s">
        <v>45</v>
      </c>
      <c r="G1136" s="9" t="s">
        <v>6566</v>
      </c>
      <c r="H1136" s="234"/>
      <c r="I1136" s="232"/>
      <c r="J1136" s="9"/>
      <c r="K1136" s="18"/>
      <c r="L1136" s="18"/>
      <c r="M1136" s="18"/>
      <c r="N1136" s="18"/>
      <c r="O1136" s="18"/>
      <c r="P1136" s="18"/>
      <c r="Q1136" s="18"/>
      <c r="R1136" s="18"/>
      <c r="S1136" s="18"/>
      <c r="T1136" s="18"/>
      <c r="U1136" s="18"/>
      <c r="V1136" s="18"/>
      <c r="W1136" s="18"/>
      <c r="X1136" s="18"/>
      <c r="Y1136" s="18"/>
      <c r="Z1136" s="18"/>
    </row>
    <row r="1137" ht="22.5" customHeight="1">
      <c r="A1137" s="248">
        <v>46079.0</v>
      </c>
      <c r="B1137" s="218" t="s">
        <v>6567</v>
      </c>
      <c r="C1137" s="9"/>
      <c r="D1137" s="228"/>
      <c r="E1137" s="216"/>
      <c r="F1137" s="221" t="s">
        <v>60</v>
      </c>
      <c r="G1137" s="9" t="s">
        <v>6568</v>
      </c>
      <c r="H1137" s="234">
        <v>46080.0</v>
      </c>
      <c r="I1137" s="232"/>
      <c r="J1137" s="35" t="s">
        <v>6569</v>
      </c>
      <c r="K1137" s="18"/>
      <c r="L1137" s="18"/>
      <c r="M1137" s="18"/>
      <c r="N1137" s="18"/>
      <c r="O1137" s="18"/>
      <c r="P1137" s="18"/>
      <c r="Q1137" s="18"/>
      <c r="R1137" s="18"/>
      <c r="S1137" s="18"/>
      <c r="T1137" s="18"/>
      <c r="U1137" s="18"/>
      <c r="V1137" s="18"/>
      <c r="W1137" s="18"/>
      <c r="X1137" s="18"/>
      <c r="Y1137" s="18"/>
      <c r="Z1137" s="18"/>
    </row>
    <row r="1138" ht="22.5" customHeight="1">
      <c r="A1138" s="248">
        <v>46079.0</v>
      </c>
      <c r="B1138" s="218" t="s">
        <v>6570</v>
      </c>
      <c r="C1138" s="9"/>
      <c r="D1138" s="228" t="s">
        <v>6571</v>
      </c>
      <c r="E1138" s="216">
        <v>8.106872005E9</v>
      </c>
      <c r="F1138" s="221" t="s">
        <v>1919</v>
      </c>
      <c r="G1138" s="9" t="s">
        <v>6572</v>
      </c>
      <c r="H1138" s="234">
        <v>46079.0</v>
      </c>
      <c r="I1138" s="232">
        <v>0.7083333333333334</v>
      </c>
      <c r="J1138" s="9" t="s">
        <v>6460</v>
      </c>
      <c r="K1138" s="18"/>
      <c r="L1138" s="18"/>
      <c r="M1138" s="18"/>
      <c r="N1138" s="18"/>
      <c r="O1138" s="18"/>
      <c r="P1138" s="18"/>
      <c r="Q1138" s="18"/>
      <c r="R1138" s="18"/>
      <c r="S1138" s="18"/>
      <c r="T1138" s="18"/>
      <c r="U1138" s="18"/>
      <c r="V1138" s="18"/>
      <c r="W1138" s="18"/>
      <c r="X1138" s="18"/>
      <c r="Y1138" s="18"/>
      <c r="Z1138" s="18"/>
    </row>
    <row r="1139" ht="22.5" customHeight="1">
      <c r="A1139" s="248">
        <v>46079.0</v>
      </c>
      <c r="B1139" s="218" t="s">
        <v>2819</v>
      </c>
      <c r="C1139" s="9"/>
      <c r="D1139" s="228"/>
      <c r="E1139" s="216"/>
      <c r="F1139" s="221" t="s">
        <v>241</v>
      </c>
      <c r="G1139" s="9" t="s">
        <v>4261</v>
      </c>
      <c r="H1139" s="234"/>
      <c r="I1139" s="232"/>
      <c r="J1139" s="9"/>
      <c r="K1139" s="18"/>
      <c r="L1139" s="18"/>
      <c r="M1139" s="18"/>
      <c r="N1139" s="18"/>
      <c r="O1139" s="18"/>
      <c r="P1139" s="18"/>
      <c r="Q1139" s="18"/>
      <c r="R1139" s="18"/>
      <c r="S1139" s="18"/>
      <c r="T1139" s="18"/>
      <c r="U1139" s="18"/>
      <c r="V1139" s="18"/>
      <c r="W1139" s="18"/>
      <c r="X1139" s="18"/>
      <c r="Y1139" s="18"/>
      <c r="Z1139" s="18"/>
    </row>
    <row r="1140" ht="22.5" customHeight="1">
      <c r="A1140" s="248">
        <v>46079.0</v>
      </c>
      <c r="B1140" s="218" t="s">
        <v>6573</v>
      </c>
      <c r="C1140" s="9"/>
      <c r="D1140" s="228"/>
      <c r="E1140" s="216"/>
      <c r="F1140" s="221" t="s">
        <v>144</v>
      </c>
      <c r="G1140" s="9"/>
      <c r="H1140" s="234"/>
      <c r="I1140" s="232"/>
      <c r="J1140" s="9" t="s">
        <v>6574</v>
      </c>
      <c r="K1140" s="18"/>
      <c r="L1140" s="18"/>
      <c r="M1140" s="18"/>
      <c r="N1140" s="18"/>
      <c r="O1140" s="18"/>
      <c r="P1140" s="18"/>
      <c r="Q1140" s="18"/>
      <c r="R1140" s="18"/>
      <c r="S1140" s="18"/>
      <c r="T1140" s="18"/>
      <c r="U1140" s="18"/>
      <c r="V1140" s="18"/>
      <c r="W1140" s="18"/>
      <c r="X1140" s="18"/>
      <c r="Y1140" s="18"/>
      <c r="Z1140" s="18"/>
    </row>
    <row r="1141" ht="22.5" customHeight="1">
      <c r="A1141" s="248">
        <v>46079.0</v>
      </c>
      <c r="B1141" s="218" t="s">
        <v>6575</v>
      </c>
      <c r="C1141" s="9"/>
      <c r="D1141" s="228" t="s">
        <v>6576</v>
      </c>
      <c r="E1141" s="216">
        <v>9.64250262E9</v>
      </c>
      <c r="F1141" s="221" t="s">
        <v>1919</v>
      </c>
      <c r="G1141" s="9" t="s">
        <v>6577</v>
      </c>
      <c r="H1141" s="234"/>
      <c r="I1141" s="232"/>
      <c r="J1141" s="9" t="s">
        <v>6578</v>
      </c>
      <c r="K1141" s="18"/>
      <c r="L1141" s="18"/>
      <c r="M1141" s="18"/>
      <c r="N1141" s="18"/>
      <c r="O1141" s="18"/>
      <c r="P1141" s="18"/>
      <c r="Q1141" s="18"/>
      <c r="R1141" s="18"/>
      <c r="S1141" s="18"/>
      <c r="T1141" s="18"/>
      <c r="U1141" s="18"/>
      <c r="V1141" s="18"/>
      <c r="W1141" s="18"/>
      <c r="X1141" s="18"/>
      <c r="Y1141" s="18"/>
      <c r="Z1141" s="18"/>
    </row>
    <row r="1142" ht="22.5" customHeight="1">
      <c r="A1142" s="248">
        <v>46079.0</v>
      </c>
      <c r="B1142" s="218" t="s">
        <v>6579</v>
      </c>
      <c r="C1142" s="9"/>
      <c r="D1142" s="228"/>
      <c r="E1142" s="216"/>
      <c r="F1142" s="221" t="s">
        <v>144</v>
      </c>
      <c r="G1142" s="9" t="s">
        <v>6500</v>
      </c>
      <c r="H1142" s="234">
        <v>46081.0</v>
      </c>
      <c r="I1142" s="232"/>
      <c r="J1142" s="9" t="s">
        <v>6580</v>
      </c>
      <c r="K1142" s="18"/>
      <c r="L1142" s="18"/>
      <c r="M1142" s="18"/>
      <c r="N1142" s="18"/>
      <c r="O1142" s="18"/>
      <c r="P1142" s="18"/>
      <c r="Q1142" s="18"/>
      <c r="R1142" s="18"/>
      <c r="S1142" s="18"/>
      <c r="T1142" s="18"/>
      <c r="U1142" s="18"/>
      <c r="V1142" s="18"/>
      <c r="W1142" s="18"/>
      <c r="X1142" s="18"/>
      <c r="Y1142" s="18"/>
      <c r="Z1142" s="18"/>
    </row>
    <row r="1143" ht="22.5" customHeight="1">
      <c r="A1143" s="248">
        <v>46079.0</v>
      </c>
      <c r="B1143" s="218" t="s">
        <v>6581</v>
      </c>
      <c r="C1143" s="9"/>
      <c r="D1143" s="228"/>
      <c r="E1143" s="216"/>
      <c r="F1143" s="221" t="s">
        <v>96</v>
      </c>
      <c r="G1143" s="9" t="s">
        <v>6582</v>
      </c>
      <c r="H1143" s="234"/>
      <c r="I1143" s="232"/>
      <c r="J1143" s="9" t="s">
        <v>6583</v>
      </c>
      <c r="K1143" s="18"/>
      <c r="L1143" s="18"/>
      <c r="M1143" s="18"/>
      <c r="N1143" s="18"/>
      <c r="O1143" s="18"/>
      <c r="P1143" s="18"/>
      <c r="Q1143" s="18"/>
      <c r="R1143" s="18"/>
      <c r="S1143" s="18"/>
      <c r="T1143" s="18"/>
      <c r="U1143" s="18"/>
      <c r="V1143" s="18"/>
      <c r="W1143" s="18"/>
      <c r="X1143" s="18"/>
      <c r="Y1143" s="18"/>
      <c r="Z1143" s="18"/>
    </row>
    <row r="1144" ht="22.5" customHeight="1">
      <c r="A1144" s="248">
        <v>46079.0</v>
      </c>
      <c r="B1144" s="218" t="s">
        <v>6584</v>
      </c>
      <c r="C1144" s="9" t="s">
        <v>6508</v>
      </c>
      <c r="D1144" s="228"/>
      <c r="E1144" s="216"/>
      <c r="F1144" s="221" t="s">
        <v>186</v>
      </c>
      <c r="G1144" s="9" t="s">
        <v>6509</v>
      </c>
      <c r="H1144" s="234"/>
      <c r="I1144" s="232"/>
      <c r="J1144" s="9"/>
      <c r="K1144" s="18"/>
      <c r="L1144" s="18"/>
      <c r="M1144" s="18"/>
      <c r="N1144" s="18"/>
      <c r="O1144" s="18"/>
      <c r="P1144" s="18"/>
      <c r="Q1144" s="18"/>
      <c r="R1144" s="18"/>
      <c r="S1144" s="18"/>
      <c r="T1144" s="18"/>
      <c r="U1144" s="18"/>
      <c r="V1144" s="18"/>
      <c r="W1144" s="18"/>
      <c r="X1144" s="18"/>
      <c r="Y1144" s="18"/>
      <c r="Z1144" s="18"/>
    </row>
    <row r="1145" ht="22.5" customHeight="1">
      <c r="A1145" s="248">
        <v>46079.0</v>
      </c>
      <c r="B1145" s="218" t="s">
        <v>6584</v>
      </c>
      <c r="C1145" s="9" t="s">
        <v>6508</v>
      </c>
      <c r="D1145" s="228"/>
      <c r="E1145" s="216"/>
      <c r="F1145" s="221" t="s">
        <v>186</v>
      </c>
      <c r="G1145" s="9" t="s">
        <v>6509</v>
      </c>
      <c r="H1145" s="234"/>
      <c r="I1145" s="232"/>
      <c r="J1145" s="9"/>
      <c r="K1145" s="18"/>
      <c r="L1145" s="18"/>
      <c r="M1145" s="18"/>
      <c r="N1145" s="18"/>
      <c r="O1145" s="18"/>
      <c r="P1145" s="18"/>
      <c r="Q1145" s="18"/>
      <c r="R1145" s="18"/>
      <c r="S1145" s="18"/>
      <c r="T1145" s="18"/>
      <c r="U1145" s="18"/>
      <c r="V1145" s="18"/>
      <c r="W1145" s="18"/>
      <c r="X1145" s="18"/>
      <c r="Y1145" s="18"/>
      <c r="Z1145" s="18"/>
    </row>
    <row r="1146" ht="22.5" customHeight="1">
      <c r="A1146" s="248">
        <v>46079.0</v>
      </c>
      <c r="B1146" s="218" t="s">
        <v>6584</v>
      </c>
      <c r="C1146" s="9" t="s">
        <v>6508</v>
      </c>
      <c r="D1146" s="228"/>
      <c r="E1146" s="216"/>
      <c r="F1146" s="221" t="s">
        <v>186</v>
      </c>
      <c r="G1146" s="9" t="s">
        <v>6509</v>
      </c>
      <c r="H1146" s="234"/>
      <c r="I1146" s="232"/>
      <c r="J1146" s="9"/>
      <c r="K1146" s="18"/>
      <c r="L1146" s="18"/>
      <c r="M1146" s="18"/>
      <c r="N1146" s="18"/>
      <c r="O1146" s="18"/>
      <c r="P1146" s="18"/>
      <c r="Q1146" s="18"/>
      <c r="R1146" s="18"/>
      <c r="S1146" s="18"/>
      <c r="T1146" s="18"/>
      <c r="U1146" s="18"/>
      <c r="V1146" s="18"/>
      <c r="W1146" s="18"/>
      <c r="X1146" s="18"/>
      <c r="Y1146" s="18"/>
      <c r="Z1146" s="18"/>
    </row>
    <row r="1147" ht="22.5" customHeight="1">
      <c r="A1147" s="248">
        <v>46079.0</v>
      </c>
      <c r="B1147" s="218" t="s">
        <v>6585</v>
      </c>
      <c r="C1147" s="9"/>
      <c r="D1147" s="228"/>
      <c r="E1147" s="216"/>
      <c r="F1147" s="221" t="s">
        <v>144</v>
      </c>
      <c r="G1147" s="9" t="s">
        <v>6586</v>
      </c>
      <c r="H1147" s="234"/>
      <c r="I1147" s="232"/>
      <c r="J1147" s="9" t="s">
        <v>6587</v>
      </c>
      <c r="K1147" s="18"/>
      <c r="L1147" s="18"/>
      <c r="M1147" s="18"/>
      <c r="N1147" s="18"/>
      <c r="O1147" s="18"/>
      <c r="P1147" s="18"/>
      <c r="Q1147" s="18"/>
      <c r="R1147" s="18"/>
      <c r="S1147" s="18"/>
      <c r="T1147" s="18"/>
      <c r="U1147" s="18"/>
      <c r="V1147" s="18"/>
      <c r="W1147" s="18"/>
      <c r="X1147" s="18"/>
      <c r="Y1147" s="18"/>
      <c r="Z1147" s="18"/>
    </row>
    <row r="1148" ht="22.5" customHeight="1">
      <c r="A1148" s="248">
        <v>46079.0</v>
      </c>
      <c r="B1148" s="218" t="s">
        <v>5794</v>
      </c>
      <c r="C1148" s="9"/>
      <c r="D1148" s="228"/>
      <c r="E1148" s="216"/>
      <c r="F1148" s="221" t="s">
        <v>241</v>
      </c>
      <c r="G1148" s="9" t="s">
        <v>6588</v>
      </c>
      <c r="H1148" s="234"/>
      <c r="I1148" s="232"/>
      <c r="J1148" s="9"/>
      <c r="K1148" s="18"/>
      <c r="L1148" s="18"/>
      <c r="M1148" s="18"/>
      <c r="N1148" s="18"/>
      <c r="O1148" s="18"/>
      <c r="P1148" s="18"/>
      <c r="Q1148" s="18"/>
      <c r="R1148" s="18"/>
      <c r="S1148" s="18"/>
      <c r="T1148" s="18"/>
      <c r="U1148" s="18"/>
      <c r="V1148" s="18"/>
      <c r="W1148" s="18"/>
      <c r="X1148" s="18"/>
      <c r="Y1148" s="18"/>
      <c r="Z1148" s="18"/>
    </row>
    <row r="1149" ht="22.5" customHeight="1">
      <c r="A1149" s="236">
        <v>46080.0</v>
      </c>
      <c r="B1149" s="15" t="s">
        <v>6589</v>
      </c>
      <c r="C1149" s="9"/>
      <c r="D1149" s="228"/>
      <c r="E1149" s="216"/>
      <c r="F1149" s="221" t="s">
        <v>1919</v>
      </c>
      <c r="G1149" s="9" t="s">
        <v>6590</v>
      </c>
      <c r="H1149" s="234">
        <v>46080.0</v>
      </c>
      <c r="I1149" s="232">
        <v>0.6666666666666666</v>
      </c>
      <c r="J1149" s="9"/>
      <c r="K1149" s="18"/>
      <c r="L1149" s="18"/>
      <c r="M1149" s="18"/>
      <c r="N1149" s="18"/>
      <c r="O1149" s="18"/>
      <c r="P1149" s="18"/>
      <c r="Q1149" s="18"/>
      <c r="R1149" s="18"/>
      <c r="S1149" s="18"/>
      <c r="T1149" s="18"/>
      <c r="U1149" s="18"/>
      <c r="V1149" s="18"/>
      <c r="W1149" s="18"/>
      <c r="X1149" s="18"/>
      <c r="Y1149" s="18"/>
      <c r="Z1149" s="18"/>
    </row>
    <row r="1150" ht="22.5" customHeight="1">
      <c r="A1150" s="236">
        <v>46080.0</v>
      </c>
      <c r="B1150" s="15" t="s">
        <v>6591</v>
      </c>
      <c r="C1150" s="9"/>
      <c r="D1150" s="218" t="s">
        <v>6592</v>
      </c>
      <c r="E1150" s="216">
        <v>9.494406167E9</v>
      </c>
      <c r="F1150" s="221" t="s">
        <v>144</v>
      </c>
      <c r="G1150" s="9" t="s">
        <v>6593</v>
      </c>
      <c r="H1150" s="234"/>
      <c r="I1150" s="232"/>
      <c r="J1150" s="9"/>
      <c r="K1150" s="18"/>
      <c r="L1150" s="18"/>
      <c r="M1150" s="18"/>
      <c r="N1150" s="18"/>
      <c r="O1150" s="18"/>
      <c r="P1150" s="18"/>
      <c r="Q1150" s="18"/>
      <c r="R1150" s="18"/>
      <c r="S1150" s="18"/>
      <c r="T1150" s="18"/>
      <c r="U1150" s="18"/>
      <c r="V1150" s="18"/>
      <c r="W1150" s="18"/>
      <c r="X1150" s="18"/>
      <c r="Y1150" s="18"/>
      <c r="Z1150" s="18"/>
    </row>
    <row r="1151" ht="22.5" customHeight="1">
      <c r="A1151" s="236">
        <v>46080.0</v>
      </c>
      <c r="B1151" s="15" t="s">
        <v>6594</v>
      </c>
      <c r="C1151" s="9"/>
      <c r="D1151" s="228"/>
      <c r="E1151" s="216"/>
      <c r="F1151" s="221" t="s">
        <v>1919</v>
      </c>
      <c r="G1151" s="9" t="s">
        <v>6595</v>
      </c>
      <c r="H1151" s="234">
        <v>46080.0</v>
      </c>
      <c r="I1151" s="232">
        <v>0.6666666666666666</v>
      </c>
      <c r="J1151" s="9"/>
      <c r="K1151" s="18"/>
      <c r="L1151" s="18"/>
      <c r="M1151" s="18"/>
      <c r="N1151" s="18"/>
      <c r="O1151" s="18"/>
      <c r="P1151" s="18"/>
      <c r="Q1151" s="18"/>
      <c r="R1151" s="18"/>
      <c r="S1151" s="18"/>
      <c r="T1151" s="18"/>
      <c r="U1151" s="18"/>
      <c r="V1151" s="18"/>
      <c r="W1151" s="18"/>
      <c r="X1151" s="18"/>
      <c r="Y1151" s="18"/>
      <c r="Z1151" s="18"/>
    </row>
    <row r="1152" ht="22.5" customHeight="1">
      <c r="A1152" s="236">
        <v>46080.0</v>
      </c>
      <c r="B1152" s="218" t="s">
        <v>6596</v>
      </c>
      <c r="C1152" s="9"/>
      <c r="D1152" s="228"/>
      <c r="E1152" s="216"/>
      <c r="F1152" s="221" t="s">
        <v>45</v>
      </c>
      <c r="G1152" s="9" t="s">
        <v>4261</v>
      </c>
      <c r="H1152" s="234"/>
      <c r="I1152" s="232"/>
      <c r="J1152" s="9"/>
      <c r="K1152" s="18"/>
      <c r="L1152" s="18"/>
      <c r="M1152" s="18"/>
      <c r="N1152" s="18"/>
      <c r="O1152" s="18"/>
      <c r="P1152" s="18"/>
      <c r="Q1152" s="18"/>
      <c r="R1152" s="18"/>
      <c r="S1152" s="18"/>
      <c r="T1152" s="18"/>
      <c r="U1152" s="18"/>
      <c r="V1152" s="18"/>
      <c r="W1152" s="18"/>
      <c r="X1152" s="18"/>
      <c r="Y1152" s="18"/>
      <c r="Z1152" s="18"/>
    </row>
    <row r="1153" ht="22.5" customHeight="1">
      <c r="A1153" s="236">
        <v>46080.0</v>
      </c>
      <c r="B1153" s="218" t="s">
        <v>6597</v>
      </c>
      <c r="C1153" s="9"/>
      <c r="D1153" s="228"/>
      <c r="E1153" s="216"/>
      <c r="F1153" s="221" t="s">
        <v>45</v>
      </c>
      <c r="G1153" s="9" t="s">
        <v>4261</v>
      </c>
      <c r="H1153" s="234"/>
      <c r="I1153" s="232"/>
      <c r="J1153" s="9"/>
      <c r="K1153" s="18"/>
      <c r="L1153" s="18"/>
      <c r="M1153" s="18"/>
      <c r="N1153" s="18"/>
      <c r="O1153" s="18"/>
      <c r="P1153" s="18"/>
      <c r="Q1153" s="18"/>
      <c r="R1153" s="18"/>
      <c r="S1153" s="18"/>
      <c r="T1153" s="18"/>
      <c r="U1153" s="18"/>
      <c r="V1153" s="18"/>
      <c r="W1153" s="18"/>
      <c r="X1153" s="18"/>
      <c r="Y1153" s="18"/>
      <c r="Z1153" s="18"/>
    </row>
    <row r="1154" ht="22.5" customHeight="1">
      <c r="A1154" s="236">
        <v>46080.0</v>
      </c>
      <c r="B1154" s="15" t="s">
        <v>6598</v>
      </c>
      <c r="C1154" s="9" t="s">
        <v>6599</v>
      </c>
      <c r="D1154" s="228"/>
      <c r="E1154" s="216"/>
      <c r="F1154" s="221" t="s">
        <v>1919</v>
      </c>
      <c r="G1154" s="9" t="s">
        <v>6600</v>
      </c>
      <c r="H1154" s="234"/>
      <c r="I1154" s="232"/>
      <c r="J1154" s="9"/>
      <c r="K1154" s="18"/>
      <c r="L1154" s="18"/>
      <c r="M1154" s="18"/>
      <c r="N1154" s="18"/>
      <c r="O1154" s="18"/>
      <c r="P1154" s="18"/>
      <c r="Q1154" s="18"/>
      <c r="R1154" s="18"/>
      <c r="S1154" s="18"/>
      <c r="T1154" s="18"/>
      <c r="U1154" s="18"/>
      <c r="V1154" s="18"/>
      <c r="W1154" s="18"/>
      <c r="X1154" s="18"/>
      <c r="Y1154" s="18"/>
      <c r="Z1154" s="18"/>
    </row>
    <row r="1155" ht="22.5" customHeight="1">
      <c r="A1155" s="236">
        <v>46080.0</v>
      </c>
      <c r="B1155" s="15" t="s">
        <v>6601</v>
      </c>
      <c r="C1155" s="9"/>
      <c r="D1155" s="228"/>
      <c r="E1155" s="216"/>
      <c r="F1155" s="221" t="s">
        <v>60</v>
      </c>
      <c r="G1155" s="9" t="s">
        <v>6602</v>
      </c>
      <c r="H1155" s="234"/>
      <c r="I1155" s="232"/>
      <c r="J1155" s="35" t="s">
        <v>6603</v>
      </c>
      <c r="K1155" s="18"/>
      <c r="L1155" s="18"/>
      <c r="M1155" s="18"/>
      <c r="N1155" s="18"/>
      <c r="O1155" s="18"/>
      <c r="P1155" s="18"/>
      <c r="Q1155" s="18"/>
      <c r="R1155" s="18"/>
      <c r="S1155" s="18"/>
      <c r="T1155" s="18"/>
      <c r="U1155" s="18"/>
      <c r="V1155" s="18"/>
      <c r="W1155" s="18"/>
      <c r="X1155" s="18"/>
      <c r="Y1155" s="18"/>
      <c r="Z1155" s="18"/>
    </row>
    <row r="1156" ht="22.5" customHeight="1">
      <c r="A1156" s="236">
        <v>46080.0</v>
      </c>
      <c r="B1156" s="15" t="s">
        <v>6604</v>
      </c>
      <c r="C1156" s="9"/>
      <c r="D1156" s="228"/>
      <c r="E1156" s="216"/>
      <c r="F1156" s="221" t="s">
        <v>96</v>
      </c>
      <c r="G1156" s="9" t="s">
        <v>6605</v>
      </c>
      <c r="H1156" s="234"/>
      <c r="I1156" s="232"/>
      <c r="J1156" s="9" t="s">
        <v>6606</v>
      </c>
      <c r="K1156" s="18"/>
      <c r="L1156" s="18"/>
      <c r="M1156" s="18"/>
      <c r="N1156" s="18"/>
      <c r="O1156" s="18"/>
      <c r="P1156" s="18"/>
      <c r="Q1156" s="18"/>
      <c r="R1156" s="18"/>
      <c r="S1156" s="18"/>
      <c r="T1156" s="18"/>
      <c r="U1156" s="18"/>
      <c r="V1156" s="18"/>
      <c r="W1156" s="18"/>
      <c r="X1156" s="18"/>
      <c r="Y1156" s="18"/>
      <c r="Z1156" s="18"/>
    </row>
    <row r="1157" ht="22.5" customHeight="1">
      <c r="A1157" s="236">
        <v>46080.0</v>
      </c>
      <c r="B1157" s="15" t="s">
        <v>6607</v>
      </c>
      <c r="C1157" s="9"/>
      <c r="D1157" s="9" t="s">
        <v>6608</v>
      </c>
      <c r="E1157" s="216">
        <v>9.989090291E9</v>
      </c>
      <c r="F1157" s="221" t="s">
        <v>144</v>
      </c>
      <c r="G1157" s="15" t="s">
        <v>6609</v>
      </c>
      <c r="H1157" s="234">
        <v>46080.0</v>
      </c>
      <c r="I1157" s="232">
        <v>0.75</v>
      </c>
      <c r="J1157" s="9" t="s">
        <v>6610</v>
      </c>
      <c r="K1157" s="18"/>
      <c r="L1157" s="18"/>
      <c r="M1157" s="18"/>
      <c r="N1157" s="18"/>
      <c r="O1157" s="18"/>
      <c r="P1157" s="18"/>
      <c r="Q1157" s="18"/>
      <c r="R1157" s="18"/>
      <c r="S1157" s="18"/>
      <c r="T1157" s="18"/>
      <c r="U1157" s="18"/>
      <c r="V1157" s="18"/>
      <c r="W1157" s="18"/>
      <c r="X1157" s="18"/>
      <c r="Y1157" s="18"/>
      <c r="Z1157" s="18"/>
    </row>
    <row r="1158" ht="22.5" customHeight="1">
      <c r="A1158" s="236">
        <v>46080.0</v>
      </c>
      <c r="B1158" s="15" t="s">
        <v>6611</v>
      </c>
      <c r="C1158" s="9"/>
      <c r="D1158" s="228"/>
      <c r="E1158" s="216"/>
      <c r="F1158" s="221" t="s">
        <v>96</v>
      </c>
      <c r="G1158" s="9" t="s">
        <v>6612</v>
      </c>
      <c r="H1158" s="234"/>
      <c r="I1158" s="232"/>
      <c r="J1158" s="9"/>
      <c r="K1158" s="18"/>
      <c r="L1158" s="18"/>
      <c r="M1158" s="18"/>
      <c r="N1158" s="18"/>
      <c r="O1158" s="18"/>
      <c r="P1158" s="18"/>
      <c r="Q1158" s="18"/>
      <c r="R1158" s="18"/>
      <c r="S1158" s="18"/>
      <c r="T1158" s="18"/>
      <c r="U1158" s="18"/>
      <c r="V1158" s="18"/>
      <c r="W1158" s="18"/>
      <c r="X1158" s="18"/>
      <c r="Y1158" s="18"/>
      <c r="Z1158" s="18"/>
    </row>
    <row r="1159" ht="22.5" customHeight="1">
      <c r="A1159" s="236">
        <v>46080.0</v>
      </c>
      <c r="B1159" s="218" t="s">
        <v>6613</v>
      </c>
      <c r="C1159" s="9"/>
      <c r="D1159" s="228"/>
      <c r="E1159" s="216"/>
      <c r="F1159" s="221" t="s">
        <v>60</v>
      </c>
      <c r="G1159" s="9" t="s">
        <v>6614</v>
      </c>
      <c r="H1159" s="234"/>
      <c r="I1159" s="232"/>
      <c r="J1159" s="35" t="s">
        <v>6615</v>
      </c>
      <c r="K1159" s="18"/>
      <c r="L1159" s="18"/>
      <c r="M1159" s="18"/>
      <c r="N1159" s="18"/>
      <c r="O1159" s="18"/>
      <c r="P1159" s="18"/>
      <c r="Q1159" s="18"/>
      <c r="R1159" s="18"/>
      <c r="S1159" s="18"/>
      <c r="T1159" s="18"/>
      <c r="U1159" s="18"/>
      <c r="V1159" s="18"/>
      <c r="W1159" s="18"/>
      <c r="X1159" s="18"/>
      <c r="Y1159" s="18"/>
      <c r="Z1159" s="18"/>
    </row>
    <row r="1160" ht="22.5" customHeight="1">
      <c r="A1160" s="236">
        <v>46080.0</v>
      </c>
      <c r="B1160" s="15" t="s">
        <v>6616</v>
      </c>
      <c r="C1160" s="9"/>
      <c r="D1160" s="228"/>
      <c r="E1160" s="216"/>
      <c r="F1160" s="221" t="s">
        <v>45</v>
      </c>
      <c r="G1160" s="9" t="s">
        <v>6617</v>
      </c>
      <c r="H1160" s="234"/>
      <c r="I1160" s="232"/>
      <c r="J1160" s="9"/>
      <c r="K1160" s="18"/>
      <c r="L1160" s="18"/>
      <c r="M1160" s="18"/>
      <c r="N1160" s="18"/>
      <c r="O1160" s="18"/>
      <c r="P1160" s="18"/>
      <c r="Q1160" s="18"/>
      <c r="R1160" s="18"/>
      <c r="S1160" s="18"/>
      <c r="T1160" s="18"/>
      <c r="U1160" s="18"/>
      <c r="V1160" s="18"/>
      <c r="W1160" s="18"/>
      <c r="X1160" s="18"/>
      <c r="Y1160" s="18"/>
      <c r="Z1160" s="18"/>
    </row>
    <row r="1161" ht="22.5" customHeight="1">
      <c r="A1161" s="236">
        <v>46080.0</v>
      </c>
      <c r="B1161" s="15" t="s">
        <v>6618</v>
      </c>
      <c r="C1161" s="9"/>
      <c r="D1161" s="228"/>
      <c r="E1161" s="216"/>
      <c r="F1161" s="221" t="s">
        <v>45</v>
      </c>
      <c r="G1161" s="9" t="s">
        <v>6617</v>
      </c>
      <c r="H1161" s="234"/>
      <c r="I1161" s="232"/>
      <c r="J1161" s="9"/>
      <c r="K1161" s="18"/>
      <c r="L1161" s="18"/>
      <c r="M1161" s="18"/>
      <c r="N1161" s="18"/>
      <c r="O1161" s="18"/>
      <c r="P1161" s="18"/>
      <c r="Q1161" s="18"/>
      <c r="R1161" s="18"/>
      <c r="S1161" s="18"/>
      <c r="T1161" s="18"/>
      <c r="U1161" s="18"/>
      <c r="V1161" s="18"/>
      <c r="W1161" s="18"/>
      <c r="X1161" s="18"/>
      <c r="Y1161" s="18"/>
      <c r="Z1161" s="18"/>
    </row>
    <row r="1162" ht="22.5" customHeight="1">
      <c r="A1162" s="236">
        <v>46080.0</v>
      </c>
      <c r="B1162" s="218" t="s">
        <v>6619</v>
      </c>
      <c r="C1162" s="9"/>
      <c r="D1162" s="228"/>
      <c r="E1162" s="216"/>
      <c r="F1162" s="221" t="s">
        <v>60</v>
      </c>
      <c r="G1162" s="9" t="s">
        <v>6620</v>
      </c>
      <c r="H1162" s="234">
        <v>46083.0</v>
      </c>
      <c r="I1162" s="232">
        <v>0.5416666666666666</v>
      </c>
      <c r="J1162" s="9" t="s">
        <v>6621</v>
      </c>
      <c r="K1162" s="18"/>
      <c r="L1162" s="18"/>
      <c r="M1162" s="18"/>
      <c r="N1162" s="18"/>
      <c r="O1162" s="18"/>
      <c r="P1162" s="18"/>
      <c r="Q1162" s="18"/>
      <c r="R1162" s="18"/>
      <c r="S1162" s="18"/>
      <c r="T1162" s="18"/>
      <c r="U1162" s="18"/>
      <c r="V1162" s="18"/>
      <c r="W1162" s="18"/>
      <c r="X1162" s="18"/>
      <c r="Y1162" s="18"/>
      <c r="Z1162" s="18"/>
    </row>
    <row r="1163" ht="22.5" customHeight="1">
      <c r="A1163" s="236">
        <v>46080.0</v>
      </c>
      <c r="B1163" s="218" t="s">
        <v>6622</v>
      </c>
      <c r="C1163" s="9"/>
      <c r="D1163" s="228"/>
      <c r="E1163" s="216"/>
      <c r="F1163" s="221" t="s">
        <v>96</v>
      </c>
      <c r="G1163" s="9" t="s">
        <v>6623</v>
      </c>
      <c r="H1163" s="234"/>
      <c r="I1163" s="232"/>
      <c r="J1163" s="9"/>
      <c r="K1163" s="18"/>
      <c r="L1163" s="18"/>
      <c r="M1163" s="18"/>
      <c r="N1163" s="18"/>
      <c r="O1163" s="18"/>
      <c r="P1163" s="18"/>
      <c r="Q1163" s="18"/>
      <c r="R1163" s="18"/>
      <c r="S1163" s="18"/>
      <c r="T1163" s="18"/>
      <c r="U1163" s="18"/>
      <c r="V1163" s="18"/>
      <c r="W1163" s="18"/>
      <c r="X1163" s="18"/>
      <c r="Y1163" s="18"/>
      <c r="Z1163" s="18"/>
    </row>
    <row r="1164" ht="22.5" customHeight="1">
      <c r="A1164" s="236">
        <v>46080.0</v>
      </c>
      <c r="B1164" s="218" t="s">
        <v>6624</v>
      </c>
      <c r="C1164" s="9"/>
      <c r="D1164" s="228"/>
      <c r="E1164" s="216"/>
      <c r="F1164" s="221" t="s">
        <v>241</v>
      </c>
      <c r="G1164" s="9" t="s">
        <v>4261</v>
      </c>
      <c r="H1164" s="234"/>
      <c r="I1164" s="232"/>
      <c r="J1164" s="9"/>
      <c r="K1164" s="18"/>
      <c r="L1164" s="18"/>
      <c r="M1164" s="18"/>
      <c r="N1164" s="18"/>
      <c r="O1164" s="18"/>
      <c r="P1164" s="18"/>
      <c r="Q1164" s="18"/>
      <c r="R1164" s="18"/>
      <c r="S1164" s="18"/>
      <c r="T1164" s="18"/>
      <c r="U1164" s="18"/>
      <c r="V1164" s="18"/>
      <c r="W1164" s="18"/>
      <c r="X1164" s="18"/>
      <c r="Y1164" s="18"/>
      <c r="Z1164" s="18"/>
    </row>
    <row r="1165" ht="22.5" customHeight="1">
      <c r="A1165" s="236">
        <v>46080.0</v>
      </c>
      <c r="B1165" s="218" t="s">
        <v>6624</v>
      </c>
      <c r="C1165" s="9"/>
      <c r="D1165" s="228"/>
      <c r="E1165" s="216"/>
      <c r="F1165" s="221" t="s">
        <v>241</v>
      </c>
      <c r="G1165" s="9" t="s">
        <v>4261</v>
      </c>
      <c r="H1165" s="234"/>
      <c r="I1165" s="232"/>
      <c r="J1165" s="9"/>
      <c r="K1165" s="18"/>
      <c r="L1165" s="18"/>
      <c r="M1165" s="18"/>
      <c r="N1165" s="18"/>
      <c r="O1165" s="18"/>
      <c r="P1165" s="18"/>
      <c r="Q1165" s="18"/>
      <c r="R1165" s="18"/>
      <c r="S1165" s="18"/>
      <c r="T1165" s="18"/>
      <c r="U1165" s="18"/>
      <c r="V1165" s="18"/>
      <c r="W1165" s="18"/>
      <c r="X1165" s="18"/>
      <c r="Y1165" s="18"/>
      <c r="Z1165" s="18"/>
    </row>
    <row r="1166" ht="22.5" customHeight="1">
      <c r="A1166" s="236">
        <v>46080.0</v>
      </c>
      <c r="B1166" s="218" t="s">
        <v>6625</v>
      </c>
      <c r="C1166" s="9"/>
      <c r="D1166" s="228"/>
      <c r="E1166" s="216"/>
      <c r="F1166" s="221" t="s">
        <v>241</v>
      </c>
      <c r="G1166" s="9" t="s">
        <v>4261</v>
      </c>
      <c r="H1166" s="234"/>
      <c r="I1166" s="232"/>
      <c r="J1166" s="9"/>
      <c r="K1166" s="18"/>
      <c r="L1166" s="18"/>
      <c r="M1166" s="18"/>
      <c r="N1166" s="18"/>
      <c r="O1166" s="18"/>
      <c r="P1166" s="18"/>
      <c r="Q1166" s="18"/>
      <c r="R1166" s="18"/>
      <c r="S1166" s="18"/>
      <c r="T1166" s="18"/>
      <c r="U1166" s="18"/>
      <c r="V1166" s="18"/>
      <c r="W1166" s="18"/>
      <c r="X1166" s="18"/>
      <c r="Y1166" s="18"/>
      <c r="Z1166" s="18"/>
    </row>
    <row r="1167" ht="22.5" customHeight="1">
      <c r="A1167" s="236">
        <v>46080.0</v>
      </c>
      <c r="B1167" s="218" t="s">
        <v>6626</v>
      </c>
      <c r="C1167" s="9" t="s">
        <v>147</v>
      </c>
      <c r="D1167" s="228"/>
      <c r="E1167" s="216"/>
      <c r="F1167" s="221" t="s">
        <v>4358</v>
      </c>
      <c r="G1167" s="9" t="s">
        <v>6627</v>
      </c>
      <c r="H1167" s="234"/>
      <c r="I1167" s="232"/>
      <c r="J1167" s="9"/>
      <c r="K1167" s="18"/>
      <c r="L1167" s="18"/>
      <c r="M1167" s="18"/>
      <c r="N1167" s="18"/>
      <c r="O1167" s="18"/>
      <c r="P1167" s="18"/>
      <c r="Q1167" s="18"/>
      <c r="R1167" s="18"/>
      <c r="S1167" s="18"/>
      <c r="T1167" s="18"/>
      <c r="U1167" s="18"/>
      <c r="V1167" s="18"/>
      <c r="W1167" s="18"/>
      <c r="X1167" s="18"/>
      <c r="Y1167" s="18"/>
      <c r="Z1167" s="18"/>
    </row>
    <row r="1168" ht="22.5" customHeight="1">
      <c r="A1168" s="236">
        <v>46080.0</v>
      </c>
      <c r="B1168" s="218" t="s">
        <v>6628</v>
      </c>
      <c r="C1168" s="9"/>
      <c r="D1168" s="228" t="s">
        <v>4159</v>
      </c>
      <c r="E1168" s="216"/>
      <c r="F1168" s="221" t="s">
        <v>144</v>
      </c>
      <c r="G1168" s="9" t="s">
        <v>6629</v>
      </c>
      <c r="H1168" s="234">
        <v>46080.0</v>
      </c>
      <c r="I1168" s="232">
        <v>0.7916666666666666</v>
      </c>
      <c r="J1168" s="9" t="s">
        <v>6630</v>
      </c>
      <c r="K1168" s="18"/>
      <c r="L1168" s="18"/>
      <c r="M1168" s="18"/>
      <c r="N1168" s="18"/>
      <c r="O1168" s="18"/>
      <c r="P1168" s="18"/>
      <c r="Q1168" s="18"/>
      <c r="R1168" s="18"/>
      <c r="S1168" s="18"/>
      <c r="T1168" s="18"/>
      <c r="U1168" s="18"/>
      <c r="V1168" s="18"/>
      <c r="W1168" s="18"/>
      <c r="X1168" s="18"/>
      <c r="Y1168" s="18"/>
      <c r="Z1168" s="18"/>
    </row>
    <row r="1169" ht="22.5" customHeight="1">
      <c r="A1169" s="236">
        <v>46080.0</v>
      </c>
      <c r="B1169" s="218" t="s">
        <v>6631</v>
      </c>
      <c r="C1169" s="9"/>
      <c r="D1169" s="228"/>
      <c r="E1169" s="216"/>
      <c r="F1169" s="221" t="s">
        <v>45</v>
      </c>
      <c r="G1169" s="9" t="s">
        <v>6632</v>
      </c>
      <c r="H1169" s="234"/>
      <c r="I1169" s="232"/>
      <c r="J1169" s="9" t="s">
        <v>6633</v>
      </c>
      <c r="K1169" s="18"/>
      <c r="L1169" s="18"/>
      <c r="M1169" s="18"/>
      <c r="N1169" s="18"/>
      <c r="O1169" s="18"/>
      <c r="P1169" s="18"/>
      <c r="Q1169" s="18"/>
      <c r="R1169" s="18"/>
      <c r="S1169" s="18"/>
      <c r="T1169" s="18"/>
      <c r="U1169" s="18"/>
      <c r="V1169" s="18"/>
      <c r="W1169" s="18"/>
      <c r="X1169" s="18"/>
      <c r="Y1169" s="18"/>
      <c r="Z1169" s="18"/>
    </row>
    <row r="1170" ht="22.5" customHeight="1">
      <c r="A1170" s="236">
        <v>46080.0</v>
      </c>
      <c r="B1170" s="218" t="s">
        <v>6634</v>
      </c>
      <c r="C1170" s="9"/>
      <c r="D1170" s="228"/>
      <c r="E1170" s="216"/>
      <c r="F1170" s="221" t="s">
        <v>45</v>
      </c>
      <c r="G1170" s="9" t="s">
        <v>6635</v>
      </c>
      <c r="H1170" s="234"/>
      <c r="I1170" s="232"/>
      <c r="J1170" s="9" t="s">
        <v>6636</v>
      </c>
      <c r="K1170" s="18"/>
      <c r="L1170" s="18"/>
      <c r="M1170" s="18"/>
      <c r="N1170" s="18"/>
      <c r="O1170" s="18"/>
      <c r="P1170" s="18"/>
      <c r="Q1170" s="18"/>
      <c r="R1170" s="18"/>
      <c r="S1170" s="18"/>
      <c r="T1170" s="18"/>
      <c r="U1170" s="18"/>
      <c r="V1170" s="18"/>
      <c r="W1170" s="18"/>
      <c r="X1170" s="18"/>
      <c r="Y1170" s="18"/>
      <c r="Z1170" s="18"/>
    </row>
    <row r="1171" ht="22.5" customHeight="1">
      <c r="A1171" s="236">
        <v>46080.0</v>
      </c>
      <c r="B1171" s="218" t="s">
        <v>6637</v>
      </c>
      <c r="C1171" s="9"/>
      <c r="D1171" s="228" t="s">
        <v>6638</v>
      </c>
      <c r="E1171" s="216">
        <v>7.416676153E9</v>
      </c>
      <c r="F1171" s="221" t="s">
        <v>45</v>
      </c>
      <c r="G1171" s="9" t="s">
        <v>6639</v>
      </c>
      <c r="H1171" s="234"/>
      <c r="I1171" s="232"/>
      <c r="J1171" s="9"/>
      <c r="K1171" s="18"/>
      <c r="L1171" s="18"/>
      <c r="M1171" s="18"/>
      <c r="N1171" s="18"/>
      <c r="O1171" s="18"/>
      <c r="P1171" s="18"/>
      <c r="Q1171" s="18"/>
      <c r="R1171" s="18"/>
      <c r="S1171" s="18"/>
      <c r="T1171" s="18"/>
      <c r="U1171" s="18"/>
      <c r="V1171" s="18"/>
      <c r="W1171" s="18"/>
      <c r="X1171" s="18"/>
      <c r="Y1171" s="18"/>
      <c r="Z1171" s="18"/>
    </row>
    <row r="1172" ht="22.5" customHeight="1">
      <c r="A1172" s="236">
        <v>46080.0</v>
      </c>
      <c r="B1172" s="218" t="s">
        <v>6640</v>
      </c>
      <c r="C1172" s="9"/>
      <c r="D1172" s="228"/>
      <c r="E1172" s="216"/>
      <c r="F1172" s="221" t="s">
        <v>60</v>
      </c>
      <c r="G1172" s="9" t="s">
        <v>3862</v>
      </c>
      <c r="H1172" s="234"/>
      <c r="I1172" s="232"/>
      <c r="J1172" s="9"/>
      <c r="K1172" s="18"/>
      <c r="L1172" s="18"/>
      <c r="M1172" s="18"/>
      <c r="N1172" s="18"/>
      <c r="O1172" s="18"/>
      <c r="P1172" s="18"/>
      <c r="Q1172" s="18"/>
      <c r="R1172" s="18"/>
      <c r="S1172" s="18"/>
      <c r="T1172" s="18"/>
      <c r="U1172" s="18"/>
      <c r="V1172" s="18"/>
      <c r="W1172" s="18"/>
      <c r="X1172" s="18"/>
      <c r="Y1172" s="18"/>
      <c r="Z1172" s="18"/>
    </row>
    <row r="1173" ht="22.5" customHeight="1">
      <c r="A1173" s="236">
        <v>46080.0</v>
      </c>
      <c r="B1173" s="218" t="s">
        <v>6641</v>
      </c>
      <c r="C1173" s="9"/>
      <c r="D1173" s="228" t="s">
        <v>6642</v>
      </c>
      <c r="E1173" s="216"/>
      <c r="F1173" s="221" t="s">
        <v>3857</v>
      </c>
      <c r="G1173" s="9" t="s">
        <v>6643</v>
      </c>
      <c r="H1173" s="234"/>
      <c r="I1173" s="232"/>
      <c r="J1173" s="9"/>
      <c r="K1173" s="18"/>
      <c r="L1173" s="18"/>
      <c r="M1173" s="18"/>
      <c r="N1173" s="18"/>
      <c r="O1173" s="18"/>
      <c r="P1173" s="18"/>
      <c r="Q1173" s="18"/>
      <c r="R1173" s="18"/>
      <c r="S1173" s="18"/>
      <c r="T1173" s="18"/>
      <c r="U1173" s="18"/>
      <c r="V1173" s="18"/>
      <c r="W1173" s="18"/>
      <c r="X1173" s="18"/>
      <c r="Y1173" s="18"/>
      <c r="Z1173" s="18"/>
    </row>
    <row r="1174" ht="22.5" customHeight="1">
      <c r="A1174" s="236">
        <v>46080.0</v>
      </c>
      <c r="B1174" s="218" t="s">
        <v>6644</v>
      </c>
      <c r="C1174" s="9"/>
      <c r="D1174" s="228"/>
      <c r="E1174" s="216"/>
      <c r="F1174" s="221" t="s">
        <v>3857</v>
      </c>
      <c r="G1174" s="9" t="s">
        <v>6645</v>
      </c>
      <c r="H1174" s="234"/>
      <c r="I1174" s="232"/>
      <c r="J1174" s="9"/>
      <c r="K1174" s="18"/>
      <c r="L1174" s="18"/>
      <c r="M1174" s="18"/>
      <c r="N1174" s="18"/>
      <c r="O1174" s="18"/>
      <c r="P1174" s="18"/>
      <c r="Q1174" s="18"/>
      <c r="R1174" s="18"/>
      <c r="S1174" s="18"/>
      <c r="T1174" s="18"/>
      <c r="U1174" s="18"/>
      <c r="V1174" s="18"/>
      <c r="W1174" s="18"/>
      <c r="X1174" s="18"/>
      <c r="Y1174" s="18"/>
      <c r="Z1174" s="18"/>
    </row>
    <row r="1175" ht="22.5" customHeight="1">
      <c r="A1175" s="236">
        <v>46080.0</v>
      </c>
      <c r="B1175" s="218" t="s">
        <v>6646</v>
      </c>
      <c r="C1175" s="9"/>
      <c r="D1175" s="228"/>
      <c r="E1175" s="216"/>
      <c r="F1175" s="221" t="s">
        <v>45</v>
      </c>
      <c r="G1175" s="9" t="s">
        <v>6647</v>
      </c>
      <c r="H1175" s="234">
        <v>46083.0</v>
      </c>
      <c r="I1175" s="232"/>
      <c r="J1175" s="9" t="s">
        <v>6648</v>
      </c>
      <c r="K1175" s="18"/>
      <c r="L1175" s="18"/>
      <c r="M1175" s="18"/>
      <c r="N1175" s="18"/>
      <c r="O1175" s="18"/>
      <c r="P1175" s="18"/>
      <c r="Q1175" s="18"/>
      <c r="R1175" s="18"/>
      <c r="S1175" s="18"/>
      <c r="T1175" s="18"/>
      <c r="U1175" s="18"/>
      <c r="V1175" s="18"/>
      <c r="W1175" s="18"/>
      <c r="X1175" s="18"/>
      <c r="Y1175" s="18"/>
      <c r="Z1175" s="18"/>
    </row>
    <row r="1176" ht="22.5" customHeight="1">
      <c r="A1176" s="236">
        <v>46080.0</v>
      </c>
      <c r="B1176" s="218" t="s">
        <v>6649</v>
      </c>
      <c r="C1176" s="9"/>
      <c r="D1176" s="228" t="s">
        <v>4750</v>
      </c>
      <c r="E1176" s="216">
        <v>7.093039172E9</v>
      </c>
      <c r="F1176" s="221" t="s">
        <v>1919</v>
      </c>
      <c r="G1176" s="9" t="s">
        <v>6650</v>
      </c>
      <c r="H1176" s="234">
        <v>46080.0</v>
      </c>
      <c r="I1176" s="232">
        <v>0.7916666666666666</v>
      </c>
      <c r="J1176" s="9" t="s">
        <v>6651</v>
      </c>
      <c r="K1176" s="18"/>
      <c r="L1176" s="18"/>
      <c r="M1176" s="18"/>
      <c r="N1176" s="18"/>
      <c r="O1176" s="18"/>
      <c r="P1176" s="18"/>
      <c r="Q1176" s="18"/>
      <c r="R1176" s="18"/>
      <c r="S1176" s="18"/>
      <c r="T1176" s="18"/>
      <c r="U1176" s="18"/>
      <c r="V1176" s="18"/>
      <c r="W1176" s="18"/>
      <c r="X1176" s="18"/>
      <c r="Y1176" s="18"/>
      <c r="Z1176" s="18"/>
    </row>
    <row r="1177" ht="22.5" customHeight="1">
      <c r="A1177" s="236">
        <v>46080.0</v>
      </c>
      <c r="B1177" s="218" t="s">
        <v>6652</v>
      </c>
      <c r="C1177" s="9"/>
      <c r="D1177" s="228"/>
      <c r="E1177" s="216"/>
      <c r="F1177" s="221" t="s">
        <v>1919</v>
      </c>
      <c r="G1177" s="9" t="s">
        <v>6653</v>
      </c>
      <c r="H1177" s="234"/>
      <c r="I1177" s="232"/>
      <c r="J1177" s="9" t="s">
        <v>6654</v>
      </c>
      <c r="K1177" s="18"/>
      <c r="L1177" s="18"/>
      <c r="M1177" s="18"/>
      <c r="N1177" s="18"/>
      <c r="O1177" s="18"/>
      <c r="P1177" s="18"/>
      <c r="Q1177" s="18"/>
      <c r="R1177" s="18"/>
      <c r="S1177" s="18"/>
      <c r="T1177" s="18"/>
      <c r="U1177" s="18"/>
      <c r="V1177" s="18"/>
      <c r="W1177" s="18"/>
      <c r="X1177" s="18"/>
      <c r="Y1177" s="18"/>
      <c r="Z1177" s="18"/>
    </row>
    <row r="1178" ht="22.5" customHeight="1">
      <c r="A1178" s="236">
        <v>46080.0</v>
      </c>
      <c r="B1178" s="218" t="s">
        <v>6655</v>
      </c>
      <c r="C1178" s="9"/>
      <c r="D1178" s="228"/>
      <c r="E1178" s="216"/>
      <c r="F1178" s="221" t="s">
        <v>144</v>
      </c>
      <c r="G1178" s="9" t="s">
        <v>6656</v>
      </c>
      <c r="H1178" s="234"/>
      <c r="I1178" s="232"/>
      <c r="J1178" s="9"/>
      <c r="K1178" s="18"/>
      <c r="L1178" s="18"/>
      <c r="M1178" s="18"/>
      <c r="N1178" s="18"/>
      <c r="O1178" s="18"/>
      <c r="P1178" s="18"/>
      <c r="Q1178" s="18"/>
      <c r="R1178" s="18"/>
      <c r="S1178" s="18"/>
      <c r="T1178" s="18"/>
      <c r="U1178" s="18"/>
      <c r="V1178" s="18"/>
      <c r="W1178" s="18"/>
      <c r="X1178" s="18"/>
      <c r="Y1178" s="18"/>
      <c r="Z1178" s="18"/>
    </row>
    <row r="1179" ht="22.5" customHeight="1">
      <c r="A1179" s="236">
        <v>46080.0</v>
      </c>
      <c r="B1179" s="218" t="s">
        <v>6655</v>
      </c>
      <c r="C1179" s="9"/>
      <c r="D1179" s="228"/>
      <c r="E1179" s="216"/>
      <c r="F1179" s="221" t="s">
        <v>144</v>
      </c>
      <c r="G1179" s="9" t="s">
        <v>6656</v>
      </c>
      <c r="H1179" s="234"/>
      <c r="I1179" s="232"/>
      <c r="J1179" s="9"/>
      <c r="K1179" s="18"/>
      <c r="L1179" s="18"/>
      <c r="M1179" s="18"/>
      <c r="N1179" s="18"/>
      <c r="O1179" s="18"/>
      <c r="P1179" s="18"/>
      <c r="Q1179" s="18"/>
      <c r="R1179" s="18"/>
      <c r="S1179" s="18"/>
      <c r="T1179" s="18"/>
      <c r="U1179" s="18"/>
      <c r="V1179" s="18"/>
      <c r="W1179" s="18"/>
      <c r="X1179" s="18"/>
      <c r="Y1179" s="18"/>
      <c r="Z1179" s="18"/>
    </row>
    <row r="1180" ht="22.5" customHeight="1">
      <c r="A1180" s="236">
        <v>46080.0</v>
      </c>
      <c r="B1180" s="218" t="s">
        <v>6655</v>
      </c>
      <c r="C1180" s="9"/>
      <c r="D1180" s="228"/>
      <c r="E1180" s="216"/>
      <c r="F1180" s="221" t="s">
        <v>144</v>
      </c>
      <c r="G1180" s="9" t="s">
        <v>6656</v>
      </c>
      <c r="H1180" s="234"/>
      <c r="I1180" s="232"/>
      <c r="J1180" s="9"/>
      <c r="K1180" s="18"/>
      <c r="L1180" s="18"/>
      <c r="M1180" s="18"/>
      <c r="N1180" s="18"/>
      <c r="O1180" s="18"/>
      <c r="P1180" s="18"/>
      <c r="Q1180" s="18"/>
      <c r="R1180" s="18"/>
      <c r="S1180" s="18"/>
      <c r="T1180" s="18"/>
      <c r="U1180" s="18"/>
      <c r="V1180" s="18"/>
      <c r="W1180" s="18"/>
      <c r="X1180" s="18"/>
      <c r="Y1180" s="18"/>
      <c r="Z1180" s="18"/>
    </row>
    <row r="1181" ht="22.5" customHeight="1">
      <c r="A1181" s="236">
        <v>46080.0</v>
      </c>
      <c r="B1181" s="218" t="s">
        <v>6655</v>
      </c>
      <c r="C1181" s="9"/>
      <c r="D1181" s="228"/>
      <c r="E1181" s="216"/>
      <c r="F1181" s="221" t="s">
        <v>144</v>
      </c>
      <c r="G1181" s="9" t="s">
        <v>6656</v>
      </c>
      <c r="H1181" s="234"/>
      <c r="I1181" s="232"/>
      <c r="J1181" s="9"/>
      <c r="K1181" s="18"/>
      <c r="L1181" s="18"/>
      <c r="M1181" s="18"/>
      <c r="N1181" s="18"/>
      <c r="O1181" s="18"/>
      <c r="P1181" s="18"/>
      <c r="Q1181" s="18"/>
      <c r="R1181" s="18"/>
      <c r="S1181" s="18"/>
      <c r="T1181" s="18"/>
      <c r="U1181" s="18"/>
      <c r="V1181" s="18"/>
      <c r="W1181" s="18"/>
      <c r="X1181" s="18"/>
      <c r="Y1181" s="18"/>
      <c r="Z1181" s="18"/>
    </row>
    <row r="1182" ht="22.5" customHeight="1">
      <c r="A1182" s="236">
        <v>46080.0</v>
      </c>
      <c r="B1182" s="218" t="s">
        <v>6657</v>
      </c>
      <c r="C1182" s="9"/>
      <c r="D1182" s="228" t="s">
        <v>6658</v>
      </c>
      <c r="E1182" s="216">
        <v>8.91947707E9</v>
      </c>
      <c r="F1182" s="221" t="s">
        <v>1919</v>
      </c>
      <c r="G1182" s="9" t="s">
        <v>6659</v>
      </c>
      <c r="H1182" s="234"/>
      <c r="I1182" s="232"/>
      <c r="J1182" s="9"/>
      <c r="K1182" s="18"/>
      <c r="L1182" s="18"/>
      <c r="M1182" s="18"/>
      <c r="N1182" s="18"/>
      <c r="O1182" s="18"/>
      <c r="P1182" s="18"/>
      <c r="Q1182" s="18"/>
      <c r="R1182" s="18"/>
      <c r="S1182" s="18"/>
      <c r="T1182" s="18"/>
      <c r="U1182" s="18"/>
      <c r="V1182" s="18"/>
      <c r="W1182" s="18"/>
      <c r="X1182" s="18"/>
      <c r="Y1182" s="18"/>
      <c r="Z1182" s="18"/>
    </row>
    <row r="1183" ht="22.5" customHeight="1">
      <c r="A1183" s="236">
        <v>46080.0</v>
      </c>
      <c r="B1183" s="218" t="s">
        <v>6660</v>
      </c>
      <c r="C1183" s="9"/>
      <c r="D1183" s="228" t="s">
        <v>6661</v>
      </c>
      <c r="E1183" s="216">
        <v>9.000200207E9</v>
      </c>
      <c r="F1183" s="221" t="s">
        <v>1919</v>
      </c>
      <c r="G1183" s="9" t="s">
        <v>6662</v>
      </c>
      <c r="H1183" s="234">
        <v>46082.0</v>
      </c>
      <c r="I1183" s="232">
        <v>0.5833333333333334</v>
      </c>
      <c r="J1183" s="35" t="s">
        <v>6663</v>
      </c>
      <c r="K1183" s="18"/>
      <c r="L1183" s="18"/>
      <c r="M1183" s="18"/>
      <c r="N1183" s="18"/>
      <c r="O1183" s="18"/>
      <c r="P1183" s="18"/>
      <c r="Q1183" s="18"/>
      <c r="R1183" s="18"/>
      <c r="S1183" s="18"/>
      <c r="T1183" s="18"/>
      <c r="U1183" s="18"/>
      <c r="V1183" s="18"/>
      <c r="W1183" s="18"/>
      <c r="X1183" s="18"/>
      <c r="Y1183" s="18"/>
      <c r="Z1183" s="18"/>
    </row>
    <row r="1184" ht="22.5" customHeight="1">
      <c r="A1184" s="236">
        <v>46080.0</v>
      </c>
      <c r="B1184" s="218" t="s">
        <v>6664</v>
      </c>
      <c r="C1184" s="9"/>
      <c r="D1184" s="228"/>
      <c r="E1184" s="216"/>
      <c r="F1184" s="221" t="s">
        <v>73</v>
      </c>
      <c r="G1184" s="15" t="s">
        <v>3862</v>
      </c>
      <c r="H1184" s="234"/>
      <c r="I1184" s="232"/>
      <c r="J1184" s="9"/>
      <c r="K1184" s="18"/>
      <c r="L1184" s="18"/>
      <c r="M1184" s="18"/>
      <c r="N1184" s="18"/>
      <c r="O1184" s="18"/>
      <c r="P1184" s="18"/>
      <c r="Q1184" s="18"/>
      <c r="R1184" s="18"/>
      <c r="S1184" s="18"/>
      <c r="T1184" s="18"/>
      <c r="U1184" s="18"/>
      <c r="V1184" s="18"/>
      <c r="W1184" s="18"/>
      <c r="X1184" s="18"/>
      <c r="Y1184" s="18"/>
      <c r="Z1184" s="18"/>
    </row>
    <row r="1185" ht="22.5" customHeight="1">
      <c r="A1185" s="236">
        <v>46080.0</v>
      </c>
      <c r="B1185" s="218" t="s">
        <v>6665</v>
      </c>
      <c r="C1185" s="9"/>
      <c r="D1185" s="228"/>
      <c r="E1185" s="216"/>
      <c r="F1185" s="221" t="s">
        <v>73</v>
      </c>
      <c r="G1185" s="15" t="s">
        <v>3862</v>
      </c>
      <c r="H1185" s="234"/>
      <c r="I1185" s="232"/>
      <c r="J1185" s="9"/>
      <c r="K1185" s="18"/>
      <c r="L1185" s="18"/>
      <c r="M1185" s="18"/>
      <c r="N1185" s="18"/>
      <c r="O1185" s="18"/>
      <c r="P1185" s="18"/>
      <c r="Q1185" s="18"/>
      <c r="R1185" s="18"/>
      <c r="S1185" s="18"/>
      <c r="T1185" s="18"/>
      <c r="U1185" s="18"/>
      <c r="V1185" s="18"/>
      <c r="W1185" s="18"/>
      <c r="X1185" s="18"/>
      <c r="Y1185" s="18"/>
      <c r="Z1185" s="18"/>
    </row>
    <row r="1186" ht="22.5" customHeight="1">
      <c r="A1186" s="236">
        <v>46080.0</v>
      </c>
      <c r="B1186" s="218" t="s">
        <v>6666</v>
      </c>
      <c r="C1186" s="9"/>
      <c r="D1186" s="228"/>
      <c r="E1186" s="216"/>
      <c r="F1186" s="221" t="s">
        <v>73</v>
      </c>
      <c r="G1186" s="15" t="s">
        <v>3862</v>
      </c>
      <c r="H1186" s="234"/>
      <c r="I1186" s="232"/>
      <c r="J1186" s="9"/>
      <c r="K1186" s="18"/>
      <c r="L1186" s="18"/>
      <c r="M1186" s="18"/>
      <c r="N1186" s="18"/>
      <c r="O1186" s="18"/>
      <c r="P1186" s="18"/>
      <c r="Q1186" s="18"/>
      <c r="R1186" s="18"/>
      <c r="S1186" s="18"/>
      <c r="T1186" s="18"/>
      <c r="U1186" s="18"/>
      <c r="V1186" s="18"/>
      <c r="W1186" s="18"/>
      <c r="X1186" s="18"/>
      <c r="Y1186" s="18"/>
      <c r="Z1186" s="18"/>
    </row>
    <row r="1187" ht="22.5" customHeight="1">
      <c r="A1187" s="236">
        <v>46080.0</v>
      </c>
      <c r="B1187" s="218" t="s">
        <v>6667</v>
      </c>
      <c r="C1187" s="9"/>
      <c r="D1187" s="228"/>
      <c r="E1187" s="216"/>
      <c r="F1187" s="221" t="s">
        <v>73</v>
      </c>
      <c r="G1187" s="15" t="s">
        <v>3862</v>
      </c>
      <c r="H1187" s="234"/>
      <c r="I1187" s="232"/>
      <c r="J1187" s="9"/>
      <c r="K1187" s="18"/>
      <c r="L1187" s="18"/>
      <c r="M1187" s="18"/>
      <c r="N1187" s="18"/>
      <c r="O1187" s="18"/>
      <c r="P1187" s="18"/>
      <c r="Q1187" s="18"/>
      <c r="R1187" s="18"/>
      <c r="S1187" s="18"/>
      <c r="T1187" s="18"/>
      <c r="U1187" s="18"/>
      <c r="V1187" s="18"/>
      <c r="W1187" s="18"/>
      <c r="X1187" s="18"/>
      <c r="Y1187" s="18"/>
      <c r="Z1187" s="18"/>
    </row>
    <row r="1188" ht="22.5" customHeight="1">
      <c r="A1188" s="236">
        <v>46080.0</v>
      </c>
      <c r="B1188" s="218" t="s">
        <v>6668</v>
      </c>
      <c r="C1188" s="9"/>
      <c r="D1188" s="228"/>
      <c r="E1188" s="216"/>
      <c r="F1188" s="221" t="s">
        <v>73</v>
      </c>
      <c r="G1188" s="15" t="s">
        <v>3862</v>
      </c>
      <c r="H1188" s="234"/>
      <c r="I1188" s="232"/>
      <c r="J1188" s="9"/>
      <c r="K1188" s="18"/>
      <c r="L1188" s="18"/>
      <c r="M1188" s="18"/>
      <c r="N1188" s="18"/>
      <c r="O1188" s="18"/>
      <c r="P1188" s="18"/>
      <c r="Q1188" s="18"/>
      <c r="R1188" s="18"/>
      <c r="S1188" s="18"/>
      <c r="T1188" s="18"/>
      <c r="U1188" s="18"/>
      <c r="V1188" s="18"/>
      <c r="W1188" s="18"/>
      <c r="X1188" s="18"/>
      <c r="Y1188" s="18"/>
      <c r="Z1188" s="18"/>
    </row>
    <row r="1189" ht="22.5" customHeight="1">
      <c r="A1189" s="236">
        <v>46080.0</v>
      </c>
      <c r="B1189" s="218" t="s">
        <v>6669</v>
      </c>
      <c r="C1189" s="9"/>
      <c r="D1189" s="228"/>
      <c r="E1189" s="216"/>
      <c r="F1189" s="221" t="s">
        <v>73</v>
      </c>
      <c r="G1189" s="15" t="s">
        <v>3862</v>
      </c>
      <c r="H1189" s="234"/>
      <c r="I1189" s="232"/>
      <c r="J1189" s="9"/>
      <c r="K1189" s="18"/>
      <c r="L1189" s="18"/>
      <c r="M1189" s="18"/>
      <c r="N1189" s="18"/>
      <c r="O1189" s="18"/>
      <c r="P1189" s="18"/>
      <c r="Q1189" s="18"/>
      <c r="R1189" s="18"/>
      <c r="S1189" s="18"/>
      <c r="T1189" s="18"/>
      <c r="U1189" s="18"/>
      <c r="V1189" s="18"/>
      <c r="W1189" s="18"/>
      <c r="X1189" s="18"/>
      <c r="Y1189" s="18"/>
      <c r="Z1189" s="18"/>
    </row>
    <row r="1190" ht="22.5" customHeight="1">
      <c r="A1190" s="236">
        <v>46080.0</v>
      </c>
      <c r="B1190" s="218" t="s">
        <v>6670</v>
      </c>
      <c r="C1190" s="9"/>
      <c r="D1190" s="228"/>
      <c r="E1190" s="216"/>
      <c r="F1190" s="221" t="s">
        <v>73</v>
      </c>
      <c r="G1190" s="15" t="s">
        <v>3862</v>
      </c>
      <c r="H1190" s="234"/>
      <c r="I1190" s="232"/>
      <c r="J1190" s="9"/>
      <c r="K1190" s="18"/>
      <c r="L1190" s="18"/>
      <c r="M1190" s="18"/>
      <c r="N1190" s="18"/>
      <c r="O1190" s="18"/>
      <c r="P1190" s="18"/>
      <c r="Q1190" s="18"/>
      <c r="R1190" s="18"/>
      <c r="S1190" s="18"/>
      <c r="T1190" s="18"/>
      <c r="U1190" s="18"/>
      <c r="V1190" s="18"/>
      <c r="W1190" s="18"/>
      <c r="X1190" s="18"/>
      <c r="Y1190" s="18"/>
      <c r="Z1190" s="18"/>
    </row>
    <row r="1191" ht="22.5" customHeight="1">
      <c r="A1191" s="236">
        <v>46080.0</v>
      </c>
      <c r="B1191" s="218" t="s">
        <v>6671</v>
      </c>
      <c r="C1191" s="9"/>
      <c r="D1191" s="228"/>
      <c r="E1191" s="216"/>
      <c r="F1191" s="221" t="s">
        <v>73</v>
      </c>
      <c r="G1191" s="15" t="s">
        <v>3862</v>
      </c>
      <c r="H1191" s="234"/>
      <c r="I1191" s="232"/>
      <c r="J1191" s="9"/>
      <c r="K1191" s="18"/>
      <c r="L1191" s="18"/>
      <c r="M1191" s="18"/>
      <c r="N1191" s="18"/>
      <c r="O1191" s="18"/>
      <c r="P1191" s="18"/>
      <c r="Q1191" s="18"/>
      <c r="R1191" s="18"/>
      <c r="S1191" s="18"/>
      <c r="T1191" s="18"/>
      <c r="U1191" s="18"/>
      <c r="V1191" s="18"/>
      <c r="W1191" s="18"/>
      <c r="X1191" s="18"/>
      <c r="Y1191" s="18"/>
      <c r="Z1191" s="18"/>
    </row>
    <row r="1192" ht="22.5" customHeight="1">
      <c r="A1192" s="236">
        <v>46080.0</v>
      </c>
      <c r="B1192" s="218" t="s">
        <v>6672</v>
      </c>
      <c r="C1192" s="9"/>
      <c r="D1192" s="228"/>
      <c r="E1192" s="216"/>
      <c r="F1192" s="221" t="s">
        <v>73</v>
      </c>
      <c r="G1192" s="15" t="s">
        <v>3862</v>
      </c>
      <c r="H1192" s="234"/>
      <c r="I1192" s="232"/>
      <c r="J1192" s="9"/>
      <c r="K1192" s="18"/>
      <c r="L1192" s="18"/>
      <c r="M1192" s="18"/>
      <c r="N1192" s="18"/>
      <c r="O1192" s="18"/>
      <c r="P1192" s="18"/>
      <c r="Q1192" s="18"/>
      <c r="R1192" s="18"/>
      <c r="S1192" s="18"/>
      <c r="T1192" s="18"/>
      <c r="U1192" s="18"/>
      <c r="V1192" s="18"/>
      <c r="W1192" s="18"/>
      <c r="X1192" s="18"/>
      <c r="Y1192" s="18"/>
      <c r="Z1192" s="18"/>
    </row>
    <row r="1193" ht="22.5" customHeight="1">
      <c r="A1193" s="236">
        <v>46080.0</v>
      </c>
      <c r="B1193" s="218" t="s">
        <v>2875</v>
      </c>
      <c r="C1193" s="9"/>
      <c r="D1193" s="228"/>
      <c r="E1193" s="216"/>
      <c r="F1193" s="221" t="s">
        <v>73</v>
      </c>
      <c r="G1193" s="15" t="s">
        <v>3862</v>
      </c>
      <c r="H1193" s="234"/>
      <c r="I1193" s="232"/>
      <c r="J1193" s="9"/>
      <c r="K1193" s="18"/>
      <c r="L1193" s="18"/>
      <c r="M1193" s="18"/>
      <c r="N1193" s="18"/>
      <c r="O1193" s="18"/>
      <c r="P1193" s="18"/>
      <c r="Q1193" s="18"/>
      <c r="R1193" s="18"/>
      <c r="S1193" s="18"/>
      <c r="T1193" s="18"/>
      <c r="U1193" s="18"/>
      <c r="V1193" s="18"/>
      <c r="W1193" s="18"/>
      <c r="X1193" s="18"/>
      <c r="Y1193" s="18"/>
      <c r="Z1193" s="18"/>
    </row>
    <row r="1194" ht="22.5" customHeight="1">
      <c r="A1194" s="236">
        <v>46080.0</v>
      </c>
      <c r="B1194" s="218" t="s">
        <v>6673</v>
      </c>
      <c r="C1194" s="9"/>
      <c r="D1194" s="228"/>
      <c r="E1194" s="216"/>
      <c r="F1194" s="221" t="s">
        <v>73</v>
      </c>
      <c r="G1194" s="15" t="s">
        <v>3862</v>
      </c>
      <c r="H1194" s="234"/>
      <c r="I1194" s="232"/>
      <c r="J1194" s="9"/>
      <c r="K1194" s="18"/>
      <c r="L1194" s="18"/>
      <c r="M1194" s="18"/>
      <c r="N1194" s="18"/>
      <c r="O1194" s="18"/>
      <c r="P1194" s="18"/>
      <c r="Q1194" s="18"/>
      <c r="R1194" s="18"/>
      <c r="S1194" s="18"/>
      <c r="T1194" s="18"/>
      <c r="U1194" s="18"/>
      <c r="V1194" s="18"/>
      <c r="W1194" s="18"/>
      <c r="X1194" s="18"/>
      <c r="Y1194" s="18"/>
      <c r="Z1194" s="18"/>
    </row>
    <row r="1195" ht="22.5" customHeight="1">
      <c r="A1195" s="236">
        <v>46080.0</v>
      </c>
      <c r="B1195" s="218" t="s">
        <v>6674</v>
      </c>
      <c r="C1195" s="9"/>
      <c r="D1195" s="228"/>
      <c r="E1195" s="216"/>
      <c r="F1195" s="221" t="s">
        <v>73</v>
      </c>
      <c r="G1195" s="15" t="s">
        <v>3862</v>
      </c>
      <c r="H1195" s="234"/>
      <c r="I1195" s="232"/>
      <c r="J1195" s="9"/>
      <c r="K1195" s="18"/>
      <c r="L1195" s="18"/>
      <c r="M1195" s="18"/>
      <c r="N1195" s="18"/>
      <c r="O1195" s="18"/>
      <c r="P1195" s="18"/>
      <c r="Q1195" s="18"/>
      <c r="R1195" s="18"/>
      <c r="S1195" s="18"/>
      <c r="T1195" s="18"/>
      <c r="U1195" s="18"/>
      <c r="V1195" s="18"/>
      <c r="W1195" s="18"/>
      <c r="X1195" s="18"/>
      <c r="Y1195" s="18"/>
      <c r="Z1195" s="18"/>
    </row>
    <row r="1196" ht="22.5" customHeight="1">
      <c r="A1196" s="236">
        <v>46080.0</v>
      </c>
      <c r="B1196" s="218" t="s">
        <v>6675</v>
      </c>
      <c r="C1196" s="9"/>
      <c r="D1196" s="228"/>
      <c r="E1196" s="216"/>
      <c r="F1196" s="221" t="s">
        <v>73</v>
      </c>
      <c r="G1196" s="15" t="s">
        <v>3862</v>
      </c>
      <c r="H1196" s="234"/>
      <c r="I1196" s="232"/>
      <c r="J1196" s="9"/>
      <c r="K1196" s="18"/>
      <c r="L1196" s="18"/>
      <c r="M1196" s="18"/>
      <c r="N1196" s="18"/>
      <c r="O1196" s="18"/>
      <c r="P1196" s="18"/>
      <c r="Q1196" s="18"/>
      <c r="R1196" s="18"/>
      <c r="S1196" s="18"/>
      <c r="T1196" s="18"/>
      <c r="U1196" s="18"/>
      <c r="V1196" s="18"/>
      <c r="W1196" s="18"/>
      <c r="X1196" s="18"/>
      <c r="Y1196" s="18"/>
      <c r="Z1196" s="18"/>
    </row>
    <row r="1197" ht="22.5" customHeight="1">
      <c r="A1197" s="236">
        <v>46080.0</v>
      </c>
      <c r="B1197" s="218" t="s">
        <v>2884</v>
      </c>
      <c r="C1197" s="9"/>
      <c r="D1197" s="228"/>
      <c r="E1197" s="216"/>
      <c r="F1197" s="221" t="s">
        <v>73</v>
      </c>
      <c r="G1197" s="15" t="s">
        <v>3862</v>
      </c>
      <c r="H1197" s="234"/>
      <c r="I1197" s="232"/>
      <c r="J1197" s="9"/>
      <c r="K1197" s="18"/>
      <c r="L1197" s="18"/>
      <c r="M1197" s="18"/>
      <c r="N1197" s="18"/>
      <c r="O1197" s="18"/>
      <c r="P1197" s="18"/>
      <c r="Q1197" s="18"/>
      <c r="R1197" s="18"/>
      <c r="S1197" s="18"/>
      <c r="T1197" s="18"/>
      <c r="U1197" s="18"/>
      <c r="V1197" s="18"/>
      <c r="W1197" s="18"/>
      <c r="X1197" s="18"/>
      <c r="Y1197" s="18"/>
      <c r="Z1197" s="18"/>
    </row>
    <row r="1198" ht="22.5" customHeight="1">
      <c r="A1198" s="236">
        <v>46080.0</v>
      </c>
      <c r="B1198" s="218" t="s">
        <v>2894</v>
      </c>
      <c r="C1198" s="9"/>
      <c r="D1198" s="228"/>
      <c r="E1198" s="216"/>
      <c r="F1198" s="221" t="s">
        <v>73</v>
      </c>
      <c r="G1198" s="15" t="s">
        <v>3862</v>
      </c>
      <c r="H1198" s="234"/>
      <c r="I1198" s="232"/>
      <c r="J1198" s="9"/>
      <c r="K1198" s="18"/>
      <c r="L1198" s="18"/>
      <c r="M1198" s="18"/>
      <c r="N1198" s="18"/>
      <c r="O1198" s="18"/>
      <c r="P1198" s="18"/>
      <c r="Q1198" s="18"/>
      <c r="R1198" s="18"/>
      <c r="S1198" s="18"/>
      <c r="T1198" s="18"/>
      <c r="U1198" s="18"/>
      <c r="V1198" s="18"/>
      <c r="W1198" s="18"/>
      <c r="X1198" s="18"/>
      <c r="Y1198" s="18"/>
      <c r="Z1198" s="18"/>
    </row>
    <row r="1199" ht="22.5" customHeight="1">
      <c r="A1199" s="250">
        <v>46080.0</v>
      </c>
      <c r="B1199" s="218" t="s">
        <v>6676</v>
      </c>
      <c r="C1199" s="9"/>
      <c r="D1199" s="228"/>
      <c r="E1199" s="216"/>
      <c r="F1199" s="221" t="s">
        <v>1919</v>
      </c>
      <c r="G1199" s="9" t="s">
        <v>3862</v>
      </c>
      <c r="H1199" s="234"/>
      <c r="I1199" s="232"/>
      <c r="J1199" s="9"/>
      <c r="K1199" s="18"/>
      <c r="L1199" s="18"/>
      <c r="M1199" s="18"/>
      <c r="N1199" s="18"/>
      <c r="O1199" s="18"/>
      <c r="P1199" s="18"/>
      <c r="Q1199" s="18"/>
      <c r="R1199" s="18"/>
      <c r="S1199" s="18"/>
      <c r="T1199" s="18"/>
      <c r="U1199" s="18"/>
      <c r="V1199" s="18"/>
      <c r="W1199" s="18"/>
      <c r="X1199" s="18"/>
      <c r="Y1199" s="18"/>
      <c r="Z1199" s="18"/>
    </row>
    <row r="1200" ht="22.5" customHeight="1">
      <c r="A1200" s="250">
        <v>46080.0</v>
      </c>
      <c r="B1200" s="218" t="s">
        <v>6676</v>
      </c>
      <c r="C1200" s="9"/>
      <c r="D1200" s="228"/>
      <c r="E1200" s="216"/>
      <c r="F1200" s="221" t="s">
        <v>1919</v>
      </c>
      <c r="G1200" s="9" t="s">
        <v>3862</v>
      </c>
      <c r="H1200" s="234"/>
      <c r="I1200" s="232"/>
      <c r="J1200" s="9"/>
      <c r="K1200" s="18"/>
      <c r="L1200" s="18"/>
      <c r="M1200" s="18"/>
      <c r="N1200" s="18"/>
      <c r="O1200" s="18"/>
      <c r="P1200" s="18"/>
      <c r="Q1200" s="18"/>
      <c r="R1200" s="18"/>
      <c r="S1200" s="18"/>
      <c r="T1200" s="18"/>
      <c r="U1200" s="18"/>
      <c r="V1200" s="18"/>
      <c r="W1200" s="18"/>
      <c r="X1200" s="18"/>
      <c r="Y1200" s="18"/>
      <c r="Z1200" s="18"/>
    </row>
    <row r="1201" ht="22.5" customHeight="1">
      <c r="A1201" s="250">
        <v>46080.0</v>
      </c>
      <c r="B1201" s="218" t="s">
        <v>6676</v>
      </c>
      <c r="C1201" s="9"/>
      <c r="D1201" s="228"/>
      <c r="E1201" s="216"/>
      <c r="F1201" s="221" t="s">
        <v>1919</v>
      </c>
      <c r="G1201" s="9" t="s">
        <v>3862</v>
      </c>
      <c r="H1201" s="234"/>
      <c r="I1201" s="232"/>
      <c r="J1201" s="9"/>
      <c r="K1201" s="18"/>
      <c r="L1201" s="18"/>
      <c r="M1201" s="18"/>
      <c r="N1201" s="18"/>
      <c r="O1201" s="18"/>
      <c r="P1201" s="18"/>
      <c r="Q1201" s="18"/>
      <c r="R1201" s="18"/>
      <c r="S1201" s="18"/>
      <c r="T1201" s="18"/>
      <c r="U1201" s="18"/>
      <c r="V1201" s="18"/>
      <c r="W1201" s="18"/>
      <c r="X1201" s="18"/>
      <c r="Y1201" s="18"/>
      <c r="Z1201" s="18"/>
    </row>
    <row r="1202" ht="22.5" customHeight="1">
      <c r="A1202" s="250">
        <v>46080.0</v>
      </c>
      <c r="B1202" s="218" t="s">
        <v>6677</v>
      </c>
      <c r="C1202" s="9"/>
      <c r="D1202" s="228"/>
      <c r="E1202" s="216"/>
      <c r="F1202" s="221" t="s">
        <v>1919</v>
      </c>
      <c r="G1202" s="9" t="s">
        <v>6678</v>
      </c>
      <c r="H1202" s="234">
        <v>46083.0</v>
      </c>
      <c r="I1202" s="232">
        <v>0.5833333333333334</v>
      </c>
      <c r="J1202" s="9"/>
      <c r="K1202" s="18"/>
      <c r="L1202" s="18"/>
      <c r="M1202" s="18"/>
      <c r="N1202" s="18"/>
      <c r="O1202" s="18"/>
      <c r="P1202" s="18"/>
      <c r="Q1202" s="18"/>
      <c r="R1202" s="18"/>
      <c r="S1202" s="18"/>
      <c r="T1202" s="18"/>
      <c r="U1202" s="18"/>
      <c r="V1202" s="18"/>
      <c r="W1202" s="18"/>
      <c r="X1202" s="18"/>
      <c r="Y1202" s="18"/>
      <c r="Z1202" s="18"/>
    </row>
    <row r="1203" ht="22.5" customHeight="1">
      <c r="A1203" s="251">
        <v>46081.0</v>
      </c>
      <c r="B1203" s="218" t="s">
        <v>6679</v>
      </c>
      <c r="C1203" s="9"/>
      <c r="D1203" s="228"/>
      <c r="E1203" s="216"/>
      <c r="F1203" s="221" t="s">
        <v>60</v>
      </c>
      <c r="G1203" s="9" t="s">
        <v>3862</v>
      </c>
      <c r="H1203" s="234"/>
      <c r="I1203" s="232"/>
      <c r="J1203" s="9"/>
      <c r="K1203" s="18"/>
      <c r="L1203" s="18"/>
      <c r="M1203" s="18"/>
      <c r="N1203" s="18"/>
      <c r="O1203" s="18"/>
      <c r="P1203" s="18"/>
      <c r="Q1203" s="18"/>
      <c r="R1203" s="18"/>
      <c r="S1203" s="18"/>
      <c r="T1203" s="18"/>
      <c r="U1203" s="18"/>
      <c r="V1203" s="18"/>
      <c r="W1203" s="18"/>
      <c r="X1203" s="18"/>
      <c r="Y1203" s="18"/>
      <c r="Z1203" s="18"/>
    </row>
    <row r="1204" ht="22.5" customHeight="1">
      <c r="A1204" s="251">
        <v>46081.0</v>
      </c>
      <c r="B1204" s="218" t="s">
        <v>6679</v>
      </c>
      <c r="C1204" s="9"/>
      <c r="D1204" s="228"/>
      <c r="E1204" s="216"/>
      <c r="F1204" s="221" t="s">
        <v>60</v>
      </c>
      <c r="G1204" s="9" t="s">
        <v>3862</v>
      </c>
      <c r="H1204" s="234"/>
      <c r="I1204" s="232"/>
      <c r="J1204" s="9"/>
      <c r="K1204" s="18"/>
      <c r="L1204" s="18"/>
      <c r="M1204" s="18"/>
      <c r="N1204" s="18"/>
      <c r="O1204" s="18"/>
      <c r="P1204" s="18"/>
      <c r="Q1204" s="18"/>
      <c r="R1204" s="18"/>
      <c r="S1204" s="18"/>
      <c r="T1204" s="18"/>
      <c r="U1204" s="18"/>
      <c r="V1204" s="18"/>
      <c r="W1204" s="18"/>
      <c r="X1204" s="18"/>
      <c r="Y1204" s="18"/>
      <c r="Z1204" s="18"/>
    </row>
    <row r="1205" ht="22.5" customHeight="1">
      <c r="A1205" s="251">
        <v>46081.0</v>
      </c>
      <c r="B1205" s="218" t="s">
        <v>6679</v>
      </c>
      <c r="C1205" s="9"/>
      <c r="D1205" s="228"/>
      <c r="E1205" s="216"/>
      <c r="F1205" s="221" t="s">
        <v>60</v>
      </c>
      <c r="G1205" s="9" t="s">
        <v>3862</v>
      </c>
      <c r="H1205" s="234"/>
      <c r="I1205" s="232"/>
      <c r="J1205" s="9"/>
      <c r="K1205" s="18"/>
      <c r="L1205" s="18"/>
      <c r="M1205" s="18"/>
      <c r="N1205" s="18"/>
      <c r="O1205" s="18"/>
      <c r="P1205" s="18"/>
      <c r="Q1205" s="18"/>
      <c r="R1205" s="18"/>
      <c r="S1205" s="18"/>
      <c r="T1205" s="18"/>
      <c r="U1205" s="18"/>
      <c r="V1205" s="18"/>
      <c r="W1205" s="18"/>
      <c r="X1205" s="18"/>
      <c r="Y1205" s="18"/>
      <c r="Z1205" s="18"/>
    </row>
    <row r="1206" ht="22.5" customHeight="1">
      <c r="A1206" s="251">
        <v>46081.0</v>
      </c>
      <c r="B1206" s="218" t="s">
        <v>6680</v>
      </c>
      <c r="C1206" s="9"/>
      <c r="D1206" s="228" t="s">
        <v>6681</v>
      </c>
      <c r="E1206" s="216"/>
      <c r="F1206" s="221" t="s">
        <v>144</v>
      </c>
      <c r="G1206" s="9" t="s">
        <v>6682</v>
      </c>
      <c r="H1206" s="234"/>
      <c r="I1206" s="232"/>
      <c r="J1206" s="9" t="s">
        <v>6683</v>
      </c>
      <c r="K1206" s="18"/>
      <c r="L1206" s="18"/>
      <c r="M1206" s="18"/>
      <c r="N1206" s="18"/>
      <c r="O1206" s="18"/>
      <c r="P1206" s="18"/>
      <c r="Q1206" s="18"/>
      <c r="R1206" s="18"/>
      <c r="S1206" s="18"/>
      <c r="T1206" s="18"/>
      <c r="U1206" s="18"/>
      <c r="V1206" s="18"/>
      <c r="W1206" s="18"/>
      <c r="X1206" s="18"/>
      <c r="Y1206" s="18"/>
      <c r="Z1206" s="18"/>
    </row>
    <row r="1207" ht="22.5" customHeight="1">
      <c r="A1207" s="251">
        <v>46081.0</v>
      </c>
      <c r="B1207" s="218" t="s">
        <v>6684</v>
      </c>
      <c r="C1207" s="9"/>
      <c r="D1207" s="228"/>
      <c r="E1207" s="216"/>
      <c r="F1207" s="221" t="s">
        <v>144</v>
      </c>
      <c r="G1207" s="9" t="s">
        <v>6685</v>
      </c>
      <c r="H1207" s="234">
        <v>46081.0</v>
      </c>
      <c r="I1207" s="232"/>
      <c r="J1207" s="9" t="s">
        <v>6686</v>
      </c>
      <c r="K1207" s="18"/>
      <c r="L1207" s="18"/>
      <c r="M1207" s="18"/>
      <c r="N1207" s="18"/>
      <c r="O1207" s="18"/>
      <c r="P1207" s="18"/>
      <c r="Q1207" s="18"/>
      <c r="R1207" s="18"/>
      <c r="S1207" s="18"/>
      <c r="T1207" s="18"/>
      <c r="U1207" s="18"/>
      <c r="V1207" s="18"/>
      <c r="W1207" s="18"/>
      <c r="X1207" s="18"/>
      <c r="Y1207" s="18"/>
      <c r="Z1207" s="18"/>
    </row>
    <row r="1208" ht="22.5" customHeight="1">
      <c r="A1208" s="251">
        <v>46081.0</v>
      </c>
      <c r="B1208" s="218" t="s">
        <v>6687</v>
      </c>
      <c r="C1208" s="9"/>
      <c r="D1208" s="228" t="s">
        <v>6688</v>
      </c>
      <c r="E1208" s="216"/>
      <c r="F1208" s="221" t="s">
        <v>144</v>
      </c>
      <c r="G1208" s="9" t="s">
        <v>5383</v>
      </c>
      <c r="H1208" s="234"/>
      <c r="I1208" s="232"/>
      <c r="J1208" s="9" t="s">
        <v>6689</v>
      </c>
      <c r="K1208" s="18"/>
      <c r="L1208" s="18"/>
      <c r="M1208" s="18"/>
      <c r="N1208" s="18"/>
      <c r="O1208" s="18"/>
      <c r="P1208" s="18"/>
      <c r="Q1208" s="18"/>
      <c r="R1208" s="18"/>
      <c r="S1208" s="18"/>
      <c r="T1208" s="18"/>
      <c r="U1208" s="18"/>
      <c r="V1208" s="18"/>
      <c r="W1208" s="18"/>
      <c r="X1208" s="18"/>
      <c r="Y1208" s="18"/>
      <c r="Z1208" s="18"/>
    </row>
    <row r="1209" ht="22.5" customHeight="1">
      <c r="A1209" s="251">
        <v>46081.0</v>
      </c>
      <c r="B1209" s="218" t="s">
        <v>6690</v>
      </c>
      <c r="C1209" s="9"/>
      <c r="D1209" s="228"/>
      <c r="E1209" s="216">
        <v>9.849794341E9</v>
      </c>
      <c r="F1209" s="221" t="s">
        <v>73</v>
      </c>
      <c r="G1209" s="218" t="s">
        <v>6691</v>
      </c>
      <c r="H1209" s="234">
        <v>46083.0</v>
      </c>
      <c r="I1209" s="232"/>
      <c r="J1209" s="9" t="s">
        <v>6692</v>
      </c>
      <c r="K1209" s="18"/>
      <c r="L1209" s="18"/>
      <c r="M1209" s="18"/>
      <c r="N1209" s="18"/>
      <c r="O1209" s="18"/>
      <c r="P1209" s="18"/>
      <c r="Q1209" s="18"/>
      <c r="R1209" s="18"/>
      <c r="S1209" s="18"/>
      <c r="T1209" s="18"/>
      <c r="U1209" s="18"/>
      <c r="V1209" s="18"/>
      <c r="W1209" s="18"/>
      <c r="X1209" s="18"/>
      <c r="Y1209" s="18"/>
      <c r="Z1209" s="18"/>
    </row>
    <row r="1210" ht="22.5" customHeight="1">
      <c r="A1210" s="251">
        <v>46081.0</v>
      </c>
      <c r="B1210" s="218" t="s">
        <v>6693</v>
      </c>
      <c r="C1210" s="9"/>
      <c r="D1210" s="228" t="s">
        <v>6694</v>
      </c>
      <c r="E1210" s="216">
        <v>7.671075758E9</v>
      </c>
      <c r="F1210" s="221" t="s">
        <v>73</v>
      </c>
      <c r="G1210" s="9" t="s">
        <v>6695</v>
      </c>
      <c r="H1210" s="234">
        <v>46083.0</v>
      </c>
      <c r="I1210" s="232"/>
      <c r="J1210" s="9"/>
      <c r="K1210" s="18"/>
      <c r="L1210" s="18"/>
      <c r="M1210" s="18"/>
      <c r="N1210" s="18"/>
      <c r="O1210" s="18"/>
      <c r="P1210" s="18"/>
      <c r="Q1210" s="18"/>
      <c r="R1210" s="18"/>
      <c r="S1210" s="18"/>
      <c r="T1210" s="18"/>
      <c r="U1210" s="18"/>
      <c r="V1210" s="18"/>
      <c r="W1210" s="18"/>
      <c r="X1210" s="18"/>
      <c r="Y1210" s="18"/>
      <c r="Z1210" s="18"/>
    </row>
    <row r="1211" ht="22.5" customHeight="1">
      <c r="A1211" s="251">
        <v>46081.0</v>
      </c>
      <c r="B1211" s="218" t="s">
        <v>6696</v>
      </c>
      <c r="C1211" s="9"/>
      <c r="D1211" s="228"/>
      <c r="E1211" s="216"/>
      <c r="F1211" s="221" t="s">
        <v>60</v>
      </c>
      <c r="G1211" s="9" t="s">
        <v>6697</v>
      </c>
      <c r="H1211" s="234"/>
      <c r="I1211" s="232"/>
      <c r="J1211" s="9"/>
      <c r="K1211" s="18"/>
      <c r="L1211" s="18"/>
      <c r="M1211" s="18"/>
      <c r="N1211" s="18"/>
      <c r="O1211" s="18"/>
      <c r="P1211" s="18"/>
      <c r="Q1211" s="18"/>
      <c r="R1211" s="18"/>
      <c r="S1211" s="18"/>
      <c r="T1211" s="18"/>
      <c r="U1211" s="18"/>
      <c r="V1211" s="18"/>
      <c r="W1211" s="18"/>
      <c r="X1211" s="18"/>
      <c r="Y1211" s="18"/>
      <c r="Z1211" s="18"/>
    </row>
    <row r="1212" ht="22.5" customHeight="1">
      <c r="A1212" s="251">
        <v>46081.0</v>
      </c>
      <c r="B1212" s="218" t="s">
        <v>6696</v>
      </c>
      <c r="C1212" s="9"/>
      <c r="D1212" s="228"/>
      <c r="E1212" s="216"/>
      <c r="F1212" s="221" t="s">
        <v>60</v>
      </c>
      <c r="G1212" s="9" t="s">
        <v>6697</v>
      </c>
      <c r="H1212" s="234"/>
      <c r="I1212" s="232"/>
      <c r="J1212" s="9"/>
      <c r="K1212" s="18"/>
      <c r="L1212" s="18"/>
      <c r="M1212" s="18"/>
      <c r="N1212" s="18"/>
      <c r="O1212" s="18"/>
      <c r="P1212" s="18"/>
      <c r="Q1212" s="18"/>
      <c r="R1212" s="18"/>
      <c r="S1212" s="18"/>
      <c r="T1212" s="18"/>
      <c r="U1212" s="18"/>
      <c r="V1212" s="18"/>
      <c r="W1212" s="18"/>
      <c r="X1212" s="18"/>
      <c r="Y1212" s="18"/>
      <c r="Z1212" s="18"/>
    </row>
    <row r="1213" ht="22.5" customHeight="1">
      <c r="A1213" s="251">
        <v>46081.0</v>
      </c>
      <c r="B1213" s="218" t="s">
        <v>6696</v>
      </c>
      <c r="C1213" s="9"/>
      <c r="D1213" s="228"/>
      <c r="E1213" s="216"/>
      <c r="F1213" s="221" t="s">
        <v>60</v>
      </c>
      <c r="G1213" s="9" t="s">
        <v>6697</v>
      </c>
      <c r="H1213" s="234"/>
      <c r="I1213" s="232"/>
      <c r="J1213" s="9"/>
      <c r="K1213" s="18"/>
      <c r="L1213" s="18"/>
      <c r="M1213" s="18"/>
      <c r="N1213" s="18"/>
      <c r="O1213" s="18"/>
      <c r="P1213" s="18"/>
      <c r="Q1213" s="18"/>
      <c r="R1213" s="18"/>
      <c r="S1213" s="18"/>
      <c r="T1213" s="18"/>
      <c r="U1213" s="18"/>
      <c r="V1213" s="18"/>
      <c r="W1213" s="18"/>
      <c r="X1213" s="18"/>
      <c r="Y1213" s="18"/>
      <c r="Z1213" s="18"/>
    </row>
    <row r="1214" ht="22.5" customHeight="1">
      <c r="A1214" s="251">
        <v>46081.0</v>
      </c>
      <c r="B1214" s="218" t="s">
        <v>5925</v>
      </c>
      <c r="C1214" s="9"/>
      <c r="D1214" s="228"/>
      <c r="E1214" s="216"/>
      <c r="F1214" s="221" t="s">
        <v>73</v>
      </c>
      <c r="G1214" s="9" t="s">
        <v>6698</v>
      </c>
      <c r="H1214" s="234">
        <v>46083.0</v>
      </c>
      <c r="I1214" s="232"/>
      <c r="J1214" s="9" t="s">
        <v>6699</v>
      </c>
      <c r="K1214" s="18"/>
      <c r="L1214" s="18"/>
      <c r="M1214" s="18"/>
      <c r="N1214" s="18"/>
      <c r="O1214" s="18"/>
      <c r="P1214" s="18"/>
      <c r="Q1214" s="18"/>
      <c r="R1214" s="18"/>
      <c r="S1214" s="18"/>
      <c r="T1214" s="18"/>
      <c r="U1214" s="18"/>
      <c r="V1214" s="18"/>
      <c r="W1214" s="18"/>
      <c r="X1214" s="18"/>
      <c r="Y1214" s="18"/>
      <c r="Z1214" s="18"/>
    </row>
    <row r="1215" ht="22.5" customHeight="1">
      <c r="A1215" s="251">
        <v>46081.0</v>
      </c>
      <c r="B1215" s="218" t="s">
        <v>6700</v>
      </c>
      <c r="C1215" s="9"/>
      <c r="D1215" s="228"/>
      <c r="E1215" s="216"/>
      <c r="F1215" s="221" t="s">
        <v>60</v>
      </c>
      <c r="G1215" s="9" t="s">
        <v>6701</v>
      </c>
      <c r="H1215" s="234"/>
      <c r="I1215" s="232"/>
      <c r="J1215" s="9"/>
      <c r="K1215" s="18"/>
      <c r="L1215" s="18"/>
      <c r="M1215" s="18"/>
      <c r="N1215" s="18"/>
      <c r="O1215" s="18"/>
      <c r="P1215" s="18"/>
      <c r="Q1215" s="18"/>
      <c r="R1215" s="18"/>
      <c r="S1215" s="18"/>
      <c r="T1215" s="18"/>
      <c r="U1215" s="18"/>
      <c r="V1215" s="18"/>
      <c r="W1215" s="18"/>
      <c r="X1215" s="18"/>
      <c r="Y1215" s="18"/>
      <c r="Z1215" s="18"/>
    </row>
    <row r="1216" ht="22.5" customHeight="1">
      <c r="A1216" s="251">
        <v>46081.0</v>
      </c>
      <c r="B1216" s="218" t="s">
        <v>6700</v>
      </c>
      <c r="C1216" s="9"/>
      <c r="D1216" s="228"/>
      <c r="E1216" s="216"/>
      <c r="F1216" s="221" t="s">
        <v>60</v>
      </c>
      <c r="G1216" s="9" t="s">
        <v>6701</v>
      </c>
      <c r="H1216" s="234"/>
      <c r="I1216" s="232"/>
      <c r="J1216" s="9"/>
      <c r="K1216" s="18"/>
      <c r="L1216" s="18"/>
      <c r="M1216" s="18"/>
      <c r="N1216" s="18"/>
      <c r="O1216" s="18"/>
      <c r="P1216" s="18"/>
      <c r="Q1216" s="18"/>
      <c r="R1216" s="18"/>
      <c r="S1216" s="18"/>
      <c r="T1216" s="18"/>
      <c r="U1216" s="18"/>
      <c r="V1216" s="18"/>
      <c r="W1216" s="18"/>
      <c r="X1216" s="18"/>
      <c r="Y1216" s="18"/>
      <c r="Z1216" s="18"/>
    </row>
    <row r="1217" ht="22.5" customHeight="1">
      <c r="A1217" s="236">
        <v>46083.0</v>
      </c>
      <c r="B1217" s="218" t="s">
        <v>6702</v>
      </c>
      <c r="C1217" s="9"/>
      <c r="D1217" s="228"/>
      <c r="E1217" s="216"/>
      <c r="F1217" s="221" t="s">
        <v>96</v>
      </c>
      <c r="G1217" s="9" t="s">
        <v>6703</v>
      </c>
      <c r="H1217" s="234"/>
      <c r="I1217" s="232"/>
      <c r="J1217" s="9"/>
      <c r="K1217" s="18"/>
      <c r="L1217" s="18"/>
      <c r="M1217" s="18"/>
      <c r="N1217" s="18"/>
      <c r="O1217" s="18"/>
      <c r="P1217" s="18"/>
      <c r="Q1217" s="18"/>
      <c r="R1217" s="18"/>
      <c r="S1217" s="18"/>
      <c r="T1217" s="18"/>
      <c r="U1217" s="18"/>
      <c r="V1217" s="18"/>
      <c r="W1217" s="18"/>
      <c r="X1217" s="18"/>
      <c r="Y1217" s="18"/>
      <c r="Z1217" s="18"/>
    </row>
    <row r="1218" ht="22.5" customHeight="1">
      <c r="A1218" s="236">
        <v>46083.0</v>
      </c>
      <c r="B1218" s="218" t="s">
        <v>6704</v>
      </c>
      <c r="C1218" s="9"/>
      <c r="D1218" s="228" t="s">
        <v>6705</v>
      </c>
      <c r="E1218" s="216">
        <v>9.24621305E9</v>
      </c>
      <c r="F1218" s="221" t="s">
        <v>60</v>
      </c>
      <c r="G1218" s="9" t="s">
        <v>6706</v>
      </c>
      <c r="H1218" s="234"/>
      <c r="I1218" s="232"/>
      <c r="J1218" s="9" t="s">
        <v>6707</v>
      </c>
      <c r="K1218" s="18"/>
      <c r="L1218" s="18"/>
      <c r="M1218" s="18"/>
      <c r="N1218" s="18"/>
      <c r="O1218" s="18"/>
      <c r="P1218" s="18"/>
      <c r="Q1218" s="18"/>
      <c r="R1218" s="18"/>
      <c r="S1218" s="18"/>
      <c r="T1218" s="18"/>
      <c r="U1218" s="18"/>
      <c r="V1218" s="18"/>
      <c r="W1218" s="18"/>
      <c r="X1218" s="18"/>
      <c r="Y1218" s="18"/>
      <c r="Z1218" s="18"/>
    </row>
    <row r="1219" ht="22.5" customHeight="1">
      <c r="A1219" s="236">
        <v>46083.0</v>
      </c>
      <c r="B1219" s="218" t="s">
        <v>6708</v>
      </c>
      <c r="C1219" s="9"/>
      <c r="D1219" s="228" t="s">
        <v>5062</v>
      </c>
      <c r="E1219" s="216"/>
      <c r="F1219" s="221" t="s">
        <v>60</v>
      </c>
      <c r="G1219" s="9" t="s">
        <v>6709</v>
      </c>
      <c r="H1219" s="234"/>
      <c r="I1219" s="232"/>
      <c r="J1219" s="35" t="s">
        <v>6710</v>
      </c>
      <c r="K1219" s="18"/>
      <c r="L1219" s="18"/>
      <c r="M1219" s="18"/>
      <c r="N1219" s="18"/>
      <c r="O1219" s="18"/>
      <c r="P1219" s="18"/>
      <c r="Q1219" s="18"/>
      <c r="R1219" s="18"/>
      <c r="S1219" s="18"/>
      <c r="T1219" s="18"/>
      <c r="U1219" s="18"/>
      <c r="V1219" s="18"/>
      <c r="W1219" s="18"/>
      <c r="X1219" s="18"/>
      <c r="Y1219" s="18"/>
      <c r="Z1219" s="18"/>
    </row>
    <row r="1220" ht="22.5" customHeight="1">
      <c r="A1220" s="236">
        <v>46083.0</v>
      </c>
      <c r="B1220" s="218" t="s">
        <v>6711</v>
      </c>
      <c r="C1220" s="9"/>
      <c r="D1220" s="228"/>
      <c r="E1220" s="216"/>
      <c r="F1220" s="221" t="s">
        <v>45</v>
      </c>
      <c r="G1220" s="9" t="s">
        <v>6712</v>
      </c>
      <c r="H1220" s="234">
        <v>46083.0</v>
      </c>
      <c r="I1220" s="232"/>
      <c r="J1220" s="9" t="s">
        <v>6713</v>
      </c>
      <c r="K1220" s="18"/>
      <c r="L1220" s="18"/>
      <c r="M1220" s="18"/>
      <c r="N1220" s="18"/>
      <c r="O1220" s="18"/>
      <c r="P1220" s="18"/>
      <c r="Q1220" s="18"/>
      <c r="R1220" s="18"/>
      <c r="S1220" s="18"/>
      <c r="T1220" s="18"/>
      <c r="U1220" s="18"/>
      <c r="V1220" s="18"/>
      <c r="W1220" s="18"/>
      <c r="X1220" s="18"/>
      <c r="Y1220" s="18"/>
      <c r="Z1220" s="18"/>
    </row>
    <row r="1221" ht="22.5" customHeight="1">
      <c r="A1221" s="236">
        <v>46083.0</v>
      </c>
      <c r="B1221" s="218" t="s">
        <v>6714</v>
      </c>
      <c r="C1221" s="9"/>
      <c r="D1221" s="228"/>
      <c r="E1221" s="216"/>
      <c r="F1221" s="221" t="s">
        <v>1919</v>
      </c>
      <c r="G1221" s="9" t="s">
        <v>4261</v>
      </c>
      <c r="H1221" s="234"/>
      <c r="I1221" s="232"/>
      <c r="J1221" s="9"/>
      <c r="K1221" s="18"/>
      <c r="L1221" s="18"/>
      <c r="M1221" s="18"/>
      <c r="N1221" s="18"/>
      <c r="O1221" s="18"/>
      <c r="P1221" s="18"/>
      <c r="Q1221" s="18"/>
      <c r="R1221" s="18"/>
      <c r="S1221" s="18"/>
      <c r="T1221" s="18"/>
      <c r="U1221" s="18"/>
      <c r="V1221" s="18"/>
      <c r="W1221" s="18"/>
      <c r="X1221" s="18"/>
      <c r="Y1221" s="18"/>
      <c r="Z1221" s="18"/>
    </row>
    <row r="1222" ht="22.5" customHeight="1">
      <c r="A1222" s="236">
        <v>46083.0</v>
      </c>
      <c r="B1222" s="218" t="s">
        <v>6715</v>
      </c>
      <c r="C1222" s="9" t="s">
        <v>1999</v>
      </c>
      <c r="D1222" s="228"/>
      <c r="E1222" s="216"/>
      <c r="F1222" s="221" t="s">
        <v>73</v>
      </c>
      <c r="G1222" s="9" t="s">
        <v>6716</v>
      </c>
      <c r="H1222" s="234"/>
      <c r="I1222" s="232"/>
      <c r="J1222" s="9" t="s">
        <v>6717</v>
      </c>
      <c r="K1222" s="18"/>
      <c r="L1222" s="18"/>
      <c r="M1222" s="18"/>
      <c r="N1222" s="18"/>
      <c r="O1222" s="18"/>
      <c r="P1222" s="18"/>
      <c r="Q1222" s="18"/>
      <c r="R1222" s="18"/>
      <c r="S1222" s="18"/>
      <c r="T1222" s="18"/>
      <c r="U1222" s="18"/>
      <c r="V1222" s="18"/>
      <c r="W1222" s="18"/>
      <c r="X1222" s="18"/>
      <c r="Y1222" s="18"/>
      <c r="Z1222" s="18"/>
    </row>
    <row r="1223" ht="22.5" customHeight="1">
      <c r="A1223" s="236">
        <v>46083.0</v>
      </c>
      <c r="B1223" s="218" t="s">
        <v>6715</v>
      </c>
      <c r="C1223" s="9" t="s">
        <v>1999</v>
      </c>
      <c r="D1223" s="228"/>
      <c r="E1223" s="216"/>
      <c r="F1223" s="221" t="s">
        <v>73</v>
      </c>
      <c r="G1223" s="9" t="s">
        <v>6716</v>
      </c>
      <c r="H1223" s="234"/>
      <c r="I1223" s="232"/>
      <c r="J1223" s="9" t="s">
        <v>6717</v>
      </c>
      <c r="K1223" s="18"/>
      <c r="L1223" s="18"/>
      <c r="M1223" s="18"/>
      <c r="N1223" s="18"/>
      <c r="O1223" s="18"/>
      <c r="P1223" s="18"/>
      <c r="Q1223" s="18"/>
      <c r="R1223" s="18"/>
      <c r="S1223" s="18"/>
      <c r="T1223" s="18"/>
      <c r="U1223" s="18"/>
      <c r="V1223" s="18"/>
      <c r="W1223" s="18"/>
      <c r="X1223" s="18"/>
      <c r="Y1223" s="18"/>
      <c r="Z1223" s="18"/>
    </row>
    <row r="1224" ht="22.5" customHeight="1">
      <c r="A1224" s="236">
        <v>46083.0</v>
      </c>
      <c r="B1224" s="218" t="s">
        <v>6715</v>
      </c>
      <c r="C1224" s="9" t="s">
        <v>1999</v>
      </c>
      <c r="D1224" s="228"/>
      <c r="E1224" s="216"/>
      <c r="F1224" s="221" t="s">
        <v>73</v>
      </c>
      <c r="G1224" s="9" t="s">
        <v>6716</v>
      </c>
      <c r="H1224" s="234"/>
      <c r="I1224" s="232"/>
      <c r="J1224" s="9" t="s">
        <v>6717</v>
      </c>
      <c r="K1224" s="18"/>
      <c r="L1224" s="18"/>
      <c r="M1224" s="18"/>
      <c r="N1224" s="18"/>
      <c r="O1224" s="18"/>
      <c r="P1224" s="18"/>
      <c r="Q1224" s="18"/>
      <c r="R1224" s="18"/>
      <c r="S1224" s="18"/>
      <c r="T1224" s="18"/>
      <c r="U1224" s="18"/>
      <c r="V1224" s="18"/>
      <c r="W1224" s="18"/>
      <c r="X1224" s="18"/>
      <c r="Y1224" s="18"/>
      <c r="Z1224" s="18"/>
    </row>
    <row r="1225" ht="22.5" customHeight="1">
      <c r="A1225" s="236">
        <v>46083.0</v>
      </c>
      <c r="B1225" s="218" t="s">
        <v>6718</v>
      </c>
      <c r="C1225" s="9"/>
      <c r="D1225" s="228"/>
      <c r="E1225" s="216"/>
      <c r="F1225" s="221" t="s">
        <v>96</v>
      </c>
      <c r="G1225" s="9" t="s">
        <v>6719</v>
      </c>
      <c r="H1225" s="234"/>
      <c r="I1225" s="232"/>
      <c r="J1225" s="9"/>
      <c r="K1225" s="18"/>
      <c r="L1225" s="18"/>
      <c r="M1225" s="18"/>
      <c r="N1225" s="18"/>
      <c r="O1225" s="18"/>
      <c r="P1225" s="18"/>
      <c r="Q1225" s="18"/>
      <c r="R1225" s="18"/>
      <c r="S1225" s="18"/>
      <c r="T1225" s="18"/>
      <c r="U1225" s="18"/>
      <c r="V1225" s="18"/>
      <c r="W1225" s="18"/>
      <c r="X1225" s="18"/>
      <c r="Y1225" s="18"/>
      <c r="Z1225" s="18"/>
    </row>
    <row r="1226" ht="22.5" customHeight="1">
      <c r="A1226" s="236">
        <v>46083.0</v>
      </c>
      <c r="B1226" s="218" t="s">
        <v>6720</v>
      </c>
      <c r="C1226" s="9"/>
      <c r="D1226" s="228" t="s">
        <v>6721</v>
      </c>
      <c r="E1226" s="216">
        <v>6.301944159E9</v>
      </c>
      <c r="F1226" s="221" t="s">
        <v>1919</v>
      </c>
      <c r="G1226" s="9" t="s">
        <v>6722</v>
      </c>
      <c r="H1226" s="234">
        <v>46091.0</v>
      </c>
      <c r="I1226" s="232"/>
      <c r="J1226" s="9"/>
      <c r="K1226" s="18"/>
      <c r="L1226" s="18"/>
      <c r="M1226" s="18"/>
      <c r="N1226" s="18"/>
      <c r="O1226" s="18"/>
      <c r="P1226" s="18"/>
      <c r="Q1226" s="18"/>
      <c r="R1226" s="18"/>
      <c r="S1226" s="18"/>
      <c r="T1226" s="18"/>
      <c r="U1226" s="18"/>
      <c r="V1226" s="18"/>
      <c r="W1226" s="18"/>
      <c r="X1226" s="18"/>
      <c r="Y1226" s="18"/>
      <c r="Z1226" s="18"/>
    </row>
    <row r="1227" ht="22.5" customHeight="1">
      <c r="A1227" s="236">
        <v>46083.0</v>
      </c>
      <c r="B1227" s="218" t="s">
        <v>6723</v>
      </c>
      <c r="C1227" s="9"/>
      <c r="D1227" s="228" t="s">
        <v>2649</v>
      </c>
      <c r="E1227" s="216">
        <v>9.951343434E9</v>
      </c>
      <c r="F1227" s="221" t="s">
        <v>60</v>
      </c>
      <c r="G1227" s="9" t="s">
        <v>6724</v>
      </c>
      <c r="H1227" s="234"/>
      <c r="I1227" s="232"/>
      <c r="J1227" s="35" t="s">
        <v>6725</v>
      </c>
      <c r="K1227" s="18"/>
      <c r="L1227" s="18"/>
      <c r="M1227" s="18"/>
      <c r="N1227" s="18"/>
      <c r="O1227" s="18"/>
      <c r="P1227" s="18"/>
      <c r="Q1227" s="18"/>
      <c r="R1227" s="18"/>
      <c r="S1227" s="18"/>
      <c r="T1227" s="18"/>
      <c r="U1227" s="18"/>
      <c r="V1227" s="18"/>
      <c r="W1227" s="18"/>
      <c r="X1227" s="18"/>
      <c r="Y1227" s="18"/>
      <c r="Z1227" s="18"/>
    </row>
    <row r="1228" ht="22.5" customHeight="1">
      <c r="A1228" s="236">
        <v>46083.0</v>
      </c>
      <c r="B1228" s="218" t="s">
        <v>6726</v>
      </c>
      <c r="C1228" s="9"/>
      <c r="D1228" s="228"/>
      <c r="E1228" s="216"/>
      <c r="F1228" s="221" t="s">
        <v>73</v>
      </c>
      <c r="G1228" s="9" t="s">
        <v>6727</v>
      </c>
      <c r="H1228" s="234"/>
      <c r="I1228" s="232"/>
      <c r="J1228" s="9" t="s">
        <v>6728</v>
      </c>
      <c r="K1228" s="18"/>
      <c r="L1228" s="18"/>
      <c r="M1228" s="18"/>
      <c r="N1228" s="18"/>
      <c r="O1228" s="18"/>
      <c r="P1228" s="18"/>
      <c r="Q1228" s="18"/>
      <c r="R1228" s="18"/>
      <c r="S1228" s="18"/>
      <c r="T1228" s="18"/>
      <c r="U1228" s="18"/>
      <c r="V1228" s="18"/>
      <c r="W1228" s="18"/>
      <c r="X1228" s="18"/>
      <c r="Y1228" s="18"/>
      <c r="Z1228" s="18"/>
    </row>
    <row r="1229" ht="22.5" customHeight="1">
      <c r="A1229" s="236">
        <v>46083.0</v>
      </c>
      <c r="B1229" s="218" t="s">
        <v>6729</v>
      </c>
      <c r="C1229" s="9"/>
      <c r="D1229" s="228" t="s">
        <v>6730</v>
      </c>
      <c r="E1229" s="216">
        <v>8.125397376E9</v>
      </c>
      <c r="F1229" s="221" t="s">
        <v>73</v>
      </c>
      <c r="G1229" s="9" t="s">
        <v>6731</v>
      </c>
      <c r="H1229" s="234"/>
      <c r="I1229" s="232"/>
      <c r="J1229" s="9" t="s">
        <v>6732</v>
      </c>
      <c r="K1229" s="18"/>
      <c r="L1229" s="18"/>
      <c r="M1229" s="18"/>
      <c r="N1229" s="18"/>
      <c r="O1229" s="18"/>
      <c r="P1229" s="18"/>
      <c r="Q1229" s="18"/>
      <c r="R1229" s="18"/>
      <c r="S1229" s="18"/>
      <c r="T1229" s="18"/>
      <c r="U1229" s="18"/>
      <c r="V1229" s="18"/>
      <c r="W1229" s="18"/>
      <c r="X1229" s="18"/>
      <c r="Y1229" s="18"/>
      <c r="Z1229" s="18"/>
    </row>
    <row r="1230" ht="22.5" customHeight="1">
      <c r="A1230" s="236">
        <v>46083.0</v>
      </c>
      <c r="B1230" s="218" t="s">
        <v>6733</v>
      </c>
      <c r="C1230" s="9"/>
      <c r="D1230" s="228"/>
      <c r="E1230" s="216"/>
      <c r="F1230" s="221" t="s">
        <v>73</v>
      </c>
      <c r="G1230" s="9" t="s">
        <v>5324</v>
      </c>
      <c r="H1230" s="234"/>
      <c r="I1230" s="232"/>
      <c r="J1230" s="9" t="s">
        <v>6734</v>
      </c>
      <c r="K1230" s="18"/>
      <c r="L1230" s="18"/>
      <c r="M1230" s="18"/>
      <c r="N1230" s="18"/>
      <c r="O1230" s="18"/>
      <c r="P1230" s="18"/>
      <c r="Q1230" s="18"/>
      <c r="R1230" s="18"/>
      <c r="S1230" s="18"/>
      <c r="T1230" s="18"/>
      <c r="U1230" s="18"/>
      <c r="V1230" s="18"/>
      <c r="W1230" s="18"/>
      <c r="X1230" s="18"/>
      <c r="Y1230" s="18"/>
      <c r="Z1230" s="18"/>
    </row>
    <row r="1231" ht="22.5" customHeight="1">
      <c r="A1231" s="236">
        <v>46083.0</v>
      </c>
      <c r="B1231" s="218" t="s">
        <v>6735</v>
      </c>
      <c r="C1231" s="9"/>
      <c r="D1231" s="216" t="s">
        <v>6736</v>
      </c>
      <c r="E1231" s="216">
        <v>9.154181471E9</v>
      </c>
      <c r="F1231" s="221" t="s">
        <v>60</v>
      </c>
      <c r="G1231" s="9" t="s">
        <v>6737</v>
      </c>
      <c r="H1231" s="234"/>
      <c r="I1231" s="232"/>
      <c r="J1231" s="140" t="s">
        <v>6738</v>
      </c>
      <c r="K1231" s="18"/>
      <c r="L1231" s="18"/>
      <c r="M1231" s="18"/>
      <c r="N1231" s="18"/>
      <c r="O1231" s="18"/>
      <c r="P1231" s="18"/>
      <c r="Q1231" s="18"/>
      <c r="R1231" s="18"/>
      <c r="S1231" s="18"/>
      <c r="T1231" s="18"/>
      <c r="U1231" s="18"/>
      <c r="V1231" s="18"/>
      <c r="W1231" s="18"/>
      <c r="X1231" s="18"/>
      <c r="Y1231" s="18"/>
      <c r="Z1231" s="18"/>
    </row>
    <row r="1232" ht="22.5" customHeight="1">
      <c r="A1232" s="236">
        <v>46083.0</v>
      </c>
      <c r="B1232" s="218" t="s">
        <v>6739</v>
      </c>
      <c r="C1232" s="9"/>
      <c r="D1232" s="228"/>
      <c r="E1232" s="214"/>
      <c r="F1232" s="221" t="s">
        <v>45</v>
      </c>
      <c r="G1232" s="9" t="s">
        <v>6740</v>
      </c>
      <c r="H1232" s="234"/>
      <c r="I1232" s="232"/>
      <c r="J1232" s="35" t="s">
        <v>6741</v>
      </c>
      <c r="K1232" s="18"/>
      <c r="L1232" s="18"/>
      <c r="M1232" s="18"/>
      <c r="N1232" s="18"/>
      <c r="O1232" s="18"/>
      <c r="P1232" s="18"/>
      <c r="Q1232" s="18"/>
      <c r="R1232" s="18"/>
      <c r="S1232" s="18"/>
      <c r="T1232" s="18"/>
      <c r="U1232" s="18"/>
      <c r="V1232" s="18"/>
      <c r="W1232" s="18"/>
      <c r="X1232" s="18"/>
      <c r="Y1232" s="18"/>
      <c r="Z1232" s="18"/>
    </row>
    <row r="1233" ht="22.5" customHeight="1">
      <c r="A1233" s="236">
        <v>46083.0</v>
      </c>
      <c r="B1233" s="218" t="s">
        <v>6742</v>
      </c>
      <c r="C1233" s="9"/>
      <c r="D1233" s="228" t="s">
        <v>6743</v>
      </c>
      <c r="E1233" s="216">
        <v>8.688880266E9</v>
      </c>
      <c r="F1233" s="221" t="s">
        <v>60</v>
      </c>
      <c r="G1233" s="9" t="s">
        <v>6744</v>
      </c>
      <c r="H1233" s="234">
        <v>46084.0</v>
      </c>
      <c r="I1233" s="232"/>
      <c r="J1233" s="140" t="s">
        <v>6745</v>
      </c>
      <c r="K1233" s="18"/>
      <c r="L1233" s="18"/>
      <c r="M1233" s="18"/>
      <c r="N1233" s="18"/>
      <c r="O1233" s="18"/>
      <c r="P1233" s="18"/>
      <c r="Q1233" s="18"/>
      <c r="R1233" s="18"/>
      <c r="S1233" s="18"/>
      <c r="T1233" s="18"/>
      <c r="U1233" s="18"/>
      <c r="V1233" s="18"/>
      <c r="W1233" s="18"/>
      <c r="X1233" s="18"/>
      <c r="Y1233" s="18"/>
      <c r="Z1233" s="18"/>
    </row>
    <row r="1234" ht="22.5" customHeight="1">
      <c r="A1234" s="236">
        <v>46083.0</v>
      </c>
      <c r="B1234" s="218" t="s">
        <v>6746</v>
      </c>
      <c r="C1234" s="9" t="s">
        <v>1999</v>
      </c>
      <c r="D1234" s="228"/>
      <c r="E1234" s="216"/>
      <c r="F1234" s="221" t="s">
        <v>73</v>
      </c>
      <c r="G1234" s="9" t="s">
        <v>6747</v>
      </c>
      <c r="H1234" s="234">
        <v>46084.0</v>
      </c>
      <c r="I1234" s="232"/>
      <c r="J1234" s="9" t="s">
        <v>6748</v>
      </c>
      <c r="K1234" s="18"/>
      <c r="L1234" s="18"/>
      <c r="M1234" s="18"/>
      <c r="N1234" s="18"/>
      <c r="O1234" s="18"/>
      <c r="P1234" s="18"/>
      <c r="Q1234" s="18"/>
      <c r="R1234" s="18"/>
      <c r="S1234" s="18"/>
      <c r="T1234" s="18"/>
      <c r="U1234" s="18"/>
      <c r="V1234" s="18"/>
      <c r="W1234" s="18"/>
      <c r="X1234" s="18"/>
      <c r="Y1234" s="18"/>
      <c r="Z1234" s="18"/>
    </row>
    <row r="1235" ht="22.5" customHeight="1">
      <c r="A1235" s="236">
        <v>46083.0</v>
      </c>
      <c r="B1235" s="218" t="s">
        <v>6749</v>
      </c>
      <c r="C1235" s="9"/>
      <c r="D1235" s="228" t="s">
        <v>957</v>
      </c>
      <c r="E1235" s="216">
        <v>9.949098489E9</v>
      </c>
      <c r="F1235" s="221" t="s">
        <v>73</v>
      </c>
      <c r="G1235" s="9" t="s">
        <v>4714</v>
      </c>
      <c r="H1235" s="234"/>
      <c r="I1235" s="232"/>
      <c r="J1235" s="9" t="s">
        <v>6750</v>
      </c>
      <c r="K1235" s="18"/>
      <c r="L1235" s="18"/>
      <c r="M1235" s="18"/>
      <c r="N1235" s="18"/>
      <c r="O1235" s="18"/>
      <c r="P1235" s="18"/>
      <c r="Q1235" s="18"/>
      <c r="R1235" s="18"/>
      <c r="S1235" s="18"/>
      <c r="T1235" s="18"/>
      <c r="U1235" s="18"/>
      <c r="V1235" s="18"/>
      <c r="W1235" s="18"/>
      <c r="X1235" s="18"/>
      <c r="Y1235" s="18"/>
      <c r="Z1235" s="18"/>
    </row>
    <row r="1236" ht="22.5" customHeight="1">
      <c r="A1236" s="236">
        <v>46083.0</v>
      </c>
      <c r="B1236" s="218" t="s">
        <v>6751</v>
      </c>
      <c r="C1236" s="9"/>
      <c r="D1236" s="228" t="s">
        <v>6752</v>
      </c>
      <c r="E1236" s="216">
        <v>7.032690373E9</v>
      </c>
      <c r="F1236" s="221" t="s">
        <v>144</v>
      </c>
      <c r="G1236" s="9" t="s">
        <v>6753</v>
      </c>
      <c r="H1236" s="234">
        <v>46083.0</v>
      </c>
      <c r="I1236" s="232">
        <v>0.6666666666666666</v>
      </c>
      <c r="J1236" s="9" t="s">
        <v>6754</v>
      </c>
      <c r="K1236" s="18"/>
      <c r="L1236" s="18"/>
      <c r="M1236" s="18"/>
      <c r="N1236" s="18"/>
      <c r="O1236" s="18"/>
      <c r="P1236" s="18"/>
      <c r="Q1236" s="18"/>
      <c r="R1236" s="18"/>
      <c r="S1236" s="18"/>
      <c r="T1236" s="18"/>
      <c r="U1236" s="18"/>
      <c r="V1236" s="18"/>
      <c r="W1236" s="18"/>
      <c r="X1236" s="18"/>
      <c r="Y1236" s="18"/>
      <c r="Z1236" s="18"/>
    </row>
    <row r="1237" ht="22.5" customHeight="1">
      <c r="A1237" s="236">
        <v>46083.0</v>
      </c>
      <c r="B1237" s="218" t="s">
        <v>6755</v>
      </c>
      <c r="C1237" s="9"/>
      <c r="D1237" s="228" t="s">
        <v>6756</v>
      </c>
      <c r="E1237" s="216"/>
      <c r="F1237" s="221" t="s">
        <v>144</v>
      </c>
      <c r="G1237" s="9" t="s">
        <v>6757</v>
      </c>
      <c r="H1237" s="234">
        <v>46083.0</v>
      </c>
      <c r="I1237" s="232">
        <v>0.7916666666666666</v>
      </c>
      <c r="J1237" s="9"/>
      <c r="K1237" s="18"/>
      <c r="L1237" s="18"/>
      <c r="M1237" s="18"/>
      <c r="N1237" s="18"/>
      <c r="O1237" s="18"/>
      <c r="P1237" s="18"/>
      <c r="Q1237" s="18"/>
      <c r="R1237" s="18"/>
      <c r="S1237" s="18"/>
      <c r="T1237" s="18"/>
      <c r="U1237" s="18"/>
      <c r="V1237" s="18"/>
      <c r="W1237" s="18"/>
      <c r="X1237" s="18"/>
      <c r="Y1237" s="18"/>
      <c r="Z1237" s="18"/>
    </row>
    <row r="1238" ht="22.5" customHeight="1">
      <c r="A1238" s="236">
        <v>46083.0</v>
      </c>
      <c r="B1238" s="218" t="s">
        <v>6758</v>
      </c>
      <c r="C1238" s="9"/>
      <c r="D1238" s="228" t="s">
        <v>6759</v>
      </c>
      <c r="E1238" s="216">
        <v>9.154999897E9</v>
      </c>
      <c r="F1238" s="221" t="s">
        <v>3857</v>
      </c>
      <c r="G1238" s="9" t="s">
        <v>6760</v>
      </c>
      <c r="H1238" s="234"/>
      <c r="I1238" s="232"/>
      <c r="J1238" s="9" t="s">
        <v>6761</v>
      </c>
      <c r="K1238" s="18"/>
      <c r="L1238" s="18"/>
      <c r="M1238" s="18"/>
      <c r="N1238" s="18"/>
      <c r="O1238" s="18"/>
      <c r="P1238" s="18"/>
      <c r="Q1238" s="18"/>
      <c r="R1238" s="18"/>
      <c r="S1238" s="18"/>
      <c r="T1238" s="18"/>
      <c r="U1238" s="18"/>
      <c r="V1238" s="18"/>
      <c r="W1238" s="18"/>
      <c r="X1238" s="18"/>
      <c r="Y1238" s="18"/>
      <c r="Z1238" s="18"/>
    </row>
    <row r="1239" ht="22.5" customHeight="1">
      <c r="A1239" s="236">
        <v>46083.0</v>
      </c>
      <c r="B1239" s="218" t="s">
        <v>6762</v>
      </c>
      <c r="C1239" s="9"/>
      <c r="D1239" s="228"/>
      <c r="E1239" s="216"/>
      <c r="F1239" s="221" t="s">
        <v>96</v>
      </c>
      <c r="G1239" s="9" t="s">
        <v>6763</v>
      </c>
      <c r="H1239" s="234"/>
      <c r="I1239" s="232"/>
      <c r="J1239" s="9" t="s">
        <v>6764</v>
      </c>
      <c r="K1239" s="18"/>
      <c r="L1239" s="18"/>
      <c r="M1239" s="18"/>
      <c r="N1239" s="18"/>
      <c r="O1239" s="18"/>
      <c r="P1239" s="18"/>
      <c r="Q1239" s="18"/>
      <c r="R1239" s="18"/>
      <c r="S1239" s="18"/>
      <c r="T1239" s="18"/>
      <c r="U1239" s="18"/>
      <c r="V1239" s="18"/>
      <c r="W1239" s="18"/>
      <c r="X1239" s="18"/>
      <c r="Y1239" s="18"/>
      <c r="Z1239" s="18"/>
    </row>
    <row r="1240" ht="22.5" customHeight="1">
      <c r="A1240" s="236">
        <v>46083.0</v>
      </c>
      <c r="B1240" s="218" t="s">
        <v>6765</v>
      </c>
      <c r="C1240" s="9"/>
      <c r="D1240" s="228"/>
      <c r="E1240" s="216"/>
      <c r="F1240" s="221" t="s">
        <v>1919</v>
      </c>
      <c r="G1240" s="9" t="s">
        <v>6766</v>
      </c>
      <c r="H1240" s="234"/>
      <c r="I1240" s="232"/>
      <c r="J1240" s="9"/>
      <c r="K1240" s="18"/>
      <c r="L1240" s="18"/>
      <c r="M1240" s="18"/>
      <c r="N1240" s="18"/>
      <c r="O1240" s="18"/>
      <c r="P1240" s="18"/>
      <c r="Q1240" s="18"/>
      <c r="R1240" s="18"/>
      <c r="S1240" s="18"/>
      <c r="T1240" s="18"/>
      <c r="U1240" s="18"/>
      <c r="V1240" s="18"/>
      <c r="W1240" s="18"/>
      <c r="X1240" s="18"/>
      <c r="Y1240" s="18"/>
      <c r="Z1240" s="18"/>
    </row>
    <row r="1241" ht="22.5" customHeight="1">
      <c r="A1241" s="236">
        <v>46083.0</v>
      </c>
      <c r="B1241" s="218" t="s">
        <v>6767</v>
      </c>
      <c r="C1241" s="9"/>
      <c r="D1241" s="228" t="s">
        <v>6768</v>
      </c>
      <c r="E1241" s="216">
        <v>8.1795347E9</v>
      </c>
      <c r="F1241" s="221" t="s">
        <v>96</v>
      </c>
      <c r="G1241" s="9" t="s">
        <v>6769</v>
      </c>
      <c r="H1241" s="234"/>
      <c r="I1241" s="232"/>
      <c r="J1241" s="9" t="s">
        <v>6770</v>
      </c>
      <c r="K1241" s="18"/>
      <c r="L1241" s="18"/>
      <c r="M1241" s="18"/>
      <c r="N1241" s="18"/>
      <c r="O1241" s="18"/>
      <c r="P1241" s="18"/>
      <c r="Q1241" s="18"/>
      <c r="R1241" s="18"/>
      <c r="S1241" s="18"/>
      <c r="T1241" s="18"/>
      <c r="U1241" s="18"/>
      <c r="V1241" s="18"/>
      <c r="W1241" s="18"/>
      <c r="X1241" s="18"/>
      <c r="Y1241" s="18"/>
      <c r="Z1241" s="18"/>
    </row>
    <row r="1242" ht="22.5" customHeight="1">
      <c r="A1242" s="236">
        <v>46083.0</v>
      </c>
      <c r="B1242" s="218" t="s">
        <v>6771</v>
      </c>
      <c r="C1242" s="9"/>
      <c r="D1242" s="228"/>
      <c r="E1242" s="216"/>
      <c r="F1242" s="221" t="s">
        <v>60</v>
      </c>
      <c r="G1242" s="9" t="s">
        <v>4261</v>
      </c>
      <c r="H1242" s="234"/>
      <c r="I1242" s="232"/>
      <c r="J1242" s="9"/>
      <c r="K1242" s="18"/>
      <c r="L1242" s="18"/>
      <c r="M1242" s="18"/>
      <c r="N1242" s="18"/>
      <c r="O1242" s="18"/>
      <c r="P1242" s="18"/>
      <c r="Q1242" s="18"/>
      <c r="R1242" s="18"/>
      <c r="S1242" s="18"/>
      <c r="T1242" s="18"/>
      <c r="U1242" s="18"/>
      <c r="V1242" s="18"/>
      <c r="W1242" s="18"/>
      <c r="X1242" s="18"/>
      <c r="Y1242" s="18"/>
      <c r="Z1242" s="18"/>
    </row>
    <row r="1243" ht="22.5" customHeight="1">
      <c r="A1243" s="236">
        <v>46083.0</v>
      </c>
      <c r="B1243" s="218" t="s">
        <v>6772</v>
      </c>
      <c r="C1243" s="9"/>
      <c r="D1243" s="228"/>
      <c r="E1243" s="216"/>
      <c r="F1243" s="221" t="s">
        <v>60</v>
      </c>
      <c r="G1243" s="9" t="s">
        <v>4261</v>
      </c>
      <c r="H1243" s="234"/>
      <c r="I1243" s="232"/>
      <c r="J1243" s="9"/>
      <c r="K1243" s="18"/>
      <c r="L1243" s="18"/>
      <c r="M1243" s="18"/>
      <c r="N1243" s="18"/>
      <c r="O1243" s="18"/>
      <c r="P1243" s="18"/>
      <c r="Q1243" s="18"/>
      <c r="R1243" s="18"/>
      <c r="S1243" s="18"/>
      <c r="T1243" s="18"/>
      <c r="U1243" s="18"/>
      <c r="V1243" s="18"/>
      <c r="W1243" s="18"/>
      <c r="X1243" s="18"/>
      <c r="Y1243" s="18"/>
      <c r="Z1243" s="18"/>
    </row>
    <row r="1244" ht="22.5" customHeight="1">
      <c r="A1244" s="236">
        <v>46083.0</v>
      </c>
      <c r="B1244" s="218" t="s">
        <v>6773</v>
      </c>
      <c r="C1244" s="9"/>
      <c r="D1244" s="228" t="s">
        <v>6774</v>
      </c>
      <c r="E1244" s="216">
        <v>8.875840852E9</v>
      </c>
      <c r="F1244" s="221" t="s">
        <v>3857</v>
      </c>
      <c r="G1244" s="9" t="s">
        <v>6775</v>
      </c>
      <c r="H1244" s="234">
        <v>46086.0</v>
      </c>
      <c r="I1244" s="232"/>
      <c r="J1244" s="9" t="s">
        <v>6776</v>
      </c>
      <c r="K1244" s="18"/>
      <c r="L1244" s="18"/>
      <c r="M1244" s="18"/>
      <c r="N1244" s="18"/>
      <c r="O1244" s="18"/>
      <c r="P1244" s="18"/>
      <c r="Q1244" s="18"/>
      <c r="R1244" s="18"/>
      <c r="S1244" s="18"/>
      <c r="T1244" s="18"/>
      <c r="U1244" s="18"/>
      <c r="V1244" s="18"/>
      <c r="W1244" s="18"/>
      <c r="X1244" s="18"/>
      <c r="Y1244" s="18"/>
      <c r="Z1244" s="18"/>
    </row>
    <row r="1245" ht="22.5" customHeight="1">
      <c r="A1245" s="236">
        <v>46083.0</v>
      </c>
      <c r="B1245" s="218" t="s">
        <v>6777</v>
      </c>
      <c r="C1245" s="9"/>
      <c r="D1245" s="228" t="s">
        <v>6778</v>
      </c>
      <c r="E1245" s="216">
        <v>8.686503599E9</v>
      </c>
      <c r="F1245" s="221" t="s">
        <v>1919</v>
      </c>
      <c r="G1245" s="9" t="s">
        <v>6779</v>
      </c>
      <c r="H1245" s="234">
        <v>46083.0</v>
      </c>
      <c r="I1245" s="232">
        <v>0.75</v>
      </c>
      <c r="J1245" s="9" t="s">
        <v>6780</v>
      </c>
      <c r="K1245" s="18"/>
      <c r="L1245" s="18"/>
      <c r="M1245" s="18"/>
      <c r="N1245" s="18"/>
      <c r="O1245" s="18"/>
      <c r="P1245" s="18"/>
      <c r="Q1245" s="18"/>
      <c r="R1245" s="18"/>
      <c r="S1245" s="18"/>
      <c r="T1245" s="18"/>
      <c r="U1245" s="18"/>
      <c r="V1245" s="18"/>
      <c r="W1245" s="18"/>
      <c r="X1245" s="18"/>
      <c r="Y1245" s="18"/>
      <c r="Z1245" s="18"/>
    </row>
    <row r="1246" ht="22.5" customHeight="1">
      <c r="A1246" s="236">
        <v>46083.0</v>
      </c>
      <c r="B1246" s="218" t="s">
        <v>6781</v>
      </c>
      <c r="C1246" s="9"/>
      <c r="D1246" s="228" t="s">
        <v>6782</v>
      </c>
      <c r="E1246" s="216">
        <v>9.347536751E9</v>
      </c>
      <c r="F1246" s="221" t="s">
        <v>3857</v>
      </c>
      <c r="G1246" s="9" t="s">
        <v>6783</v>
      </c>
      <c r="H1246" s="234">
        <v>46085.0</v>
      </c>
      <c r="I1246" s="232"/>
      <c r="J1246" s="9" t="s">
        <v>6784</v>
      </c>
      <c r="K1246" s="18"/>
      <c r="L1246" s="18"/>
      <c r="M1246" s="18"/>
      <c r="N1246" s="18"/>
      <c r="O1246" s="18"/>
      <c r="P1246" s="18"/>
      <c r="Q1246" s="18"/>
      <c r="R1246" s="18"/>
      <c r="S1246" s="18"/>
      <c r="T1246" s="18"/>
      <c r="U1246" s="18"/>
      <c r="V1246" s="18"/>
      <c r="W1246" s="18"/>
      <c r="X1246" s="18"/>
      <c r="Y1246" s="18"/>
      <c r="Z1246" s="18"/>
    </row>
    <row r="1247" ht="22.5" customHeight="1">
      <c r="A1247" s="236">
        <v>46083.0</v>
      </c>
      <c r="B1247" s="218" t="s">
        <v>6785</v>
      </c>
      <c r="C1247" s="9"/>
      <c r="D1247" s="228"/>
      <c r="E1247" s="216"/>
      <c r="F1247" s="221" t="s">
        <v>3857</v>
      </c>
      <c r="G1247" s="9" t="s">
        <v>6786</v>
      </c>
      <c r="H1247" s="234">
        <v>46083.0</v>
      </c>
      <c r="I1247" s="232">
        <v>0.7916666666666666</v>
      </c>
      <c r="J1247" s="9"/>
      <c r="K1247" s="18"/>
      <c r="L1247" s="18"/>
      <c r="M1247" s="18"/>
      <c r="N1247" s="18"/>
      <c r="O1247" s="18"/>
      <c r="P1247" s="18"/>
      <c r="Q1247" s="18"/>
      <c r="R1247" s="18"/>
      <c r="S1247" s="18"/>
      <c r="T1247" s="18"/>
      <c r="U1247" s="18"/>
      <c r="V1247" s="18"/>
      <c r="W1247" s="18"/>
      <c r="X1247" s="18"/>
      <c r="Y1247" s="18"/>
      <c r="Z1247" s="18"/>
    </row>
    <row r="1248" ht="22.5" customHeight="1">
      <c r="A1248" s="236">
        <v>46083.0</v>
      </c>
      <c r="B1248" s="218" t="s">
        <v>6787</v>
      </c>
      <c r="C1248" s="9"/>
      <c r="D1248" s="228" t="s">
        <v>6788</v>
      </c>
      <c r="E1248" s="216">
        <v>9.490422404E9</v>
      </c>
      <c r="F1248" s="221" t="s">
        <v>3857</v>
      </c>
      <c r="G1248" s="9" t="s">
        <v>6789</v>
      </c>
      <c r="H1248" s="234">
        <v>46086.0</v>
      </c>
      <c r="I1248" s="232"/>
      <c r="J1248" s="9" t="s">
        <v>6790</v>
      </c>
      <c r="K1248" s="18"/>
      <c r="L1248" s="18"/>
      <c r="M1248" s="18"/>
      <c r="N1248" s="18"/>
      <c r="O1248" s="18"/>
      <c r="P1248" s="18"/>
      <c r="Q1248" s="18"/>
      <c r="R1248" s="18"/>
      <c r="S1248" s="18"/>
      <c r="T1248" s="18"/>
      <c r="U1248" s="18"/>
      <c r="V1248" s="18"/>
      <c r="W1248" s="18"/>
      <c r="X1248" s="18"/>
      <c r="Y1248" s="18"/>
      <c r="Z1248" s="18"/>
    </row>
    <row r="1249" ht="22.5" customHeight="1">
      <c r="A1249" s="236">
        <v>46083.0</v>
      </c>
      <c r="B1249" s="218" t="s">
        <v>6791</v>
      </c>
      <c r="C1249" s="9"/>
      <c r="D1249" s="228" t="s">
        <v>6792</v>
      </c>
      <c r="E1249" s="216">
        <v>9.989859992E9</v>
      </c>
      <c r="F1249" s="221" t="s">
        <v>3857</v>
      </c>
      <c r="G1249" s="9" t="s">
        <v>6099</v>
      </c>
      <c r="H1249" s="234">
        <v>46084.0</v>
      </c>
      <c r="I1249" s="232"/>
      <c r="J1249" s="9" t="s">
        <v>6793</v>
      </c>
      <c r="K1249" s="18"/>
      <c r="L1249" s="18"/>
      <c r="M1249" s="18"/>
      <c r="N1249" s="18"/>
      <c r="O1249" s="18"/>
      <c r="P1249" s="18"/>
      <c r="Q1249" s="18"/>
      <c r="R1249" s="18"/>
      <c r="S1249" s="18"/>
      <c r="T1249" s="18"/>
      <c r="U1249" s="18"/>
      <c r="V1249" s="18"/>
      <c r="W1249" s="18"/>
      <c r="X1249" s="18"/>
      <c r="Y1249" s="18"/>
      <c r="Z1249" s="18"/>
    </row>
    <row r="1250" ht="22.5" customHeight="1">
      <c r="A1250" s="236">
        <v>46083.0</v>
      </c>
      <c r="B1250" s="218" t="s">
        <v>6794</v>
      </c>
      <c r="C1250" s="9"/>
      <c r="D1250" s="228"/>
      <c r="E1250" s="216"/>
      <c r="F1250" s="221" t="s">
        <v>73</v>
      </c>
      <c r="G1250" s="9" t="s">
        <v>6795</v>
      </c>
      <c r="H1250" s="234"/>
      <c r="I1250" s="232"/>
      <c r="J1250" s="9"/>
      <c r="K1250" s="18"/>
      <c r="L1250" s="18"/>
      <c r="M1250" s="18"/>
      <c r="N1250" s="18"/>
      <c r="O1250" s="18"/>
      <c r="P1250" s="18"/>
      <c r="Q1250" s="18"/>
      <c r="R1250" s="18"/>
      <c r="S1250" s="18"/>
      <c r="T1250" s="18"/>
      <c r="U1250" s="18"/>
      <c r="V1250" s="18"/>
      <c r="W1250" s="18"/>
      <c r="X1250" s="18"/>
      <c r="Y1250" s="18"/>
      <c r="Z1250" s="18"/>
    </row>
    <row r="1251" ht="22.5" customHeight="1">
      <c r="A1251" s="236">
        <v>46083.0</v>
      </c>
      <c r="B1251" s="218" t="s">
        <v>6796</v>
      </c>
      <c r="C1251" s="9"/>
      <c r="D1251" s="228" t="s">
        <v>4291</v>
      </c>
      <c r="E1251" s="216"/>
      <c r="F1251" s="221" t="s">
        <v>144</v>
      </c>
      <c r="G1251" s="9" t="s">
        <v>6797</v>
      </c>
      <c r="H1251" s="234"/>
      <c r="I1251" s="232"/>
      <c r="J1251" s="9"/>
      <c r="K1251" s="18"/>
      <c r="L1251" s="18"/>
      <c r="M1251" s="18"/>
      <c r="N1251" s="18"/>
      <c r="O1251" s="18"/>
      <c r="P1251" s="18"/>
      <c r="Q1251" s="18"/>
      <c r="R1251" s="18"/>
      <c r="S1251" s="18"/>
      <c r="T1251" s="18"/>
      <c r="U1251" s="18"/>
      <c r="V1251" s="18"/>
      <c r="W1251" s="18"/>
      <c r="X1251" s="18"/>
      <c r="Y1251" s="18"/>
      <c r="Z1251" s="18"/>
    </row>
    <row r="1252" ht="22.5" customHeight="1">
      <c r="A1252" s="236">
        <v>46083.0</v>
      </c>
      <c r="B1252" s="218" t="s">
        <v>6798</v>
      </c>
      <c r="C1252" s="9"/>
      <c r="D1252" s="228" t="s">
        <v>6799</v>
      </c>
      <c r="E1252" s="216">
        <v>9.666313134E9</v>
      </c>
      <c r="F1252" s="221" t="s">
        <v>60</v>
      </c>
      <c r="G1252" s="9" t="s">
        <v>6800</v>
      </c>
      <c r="H1252" s="234">
        <v>46083.0</v>
      </c>
      <c r="I1252" s="232">
        <v>0.8541666666666666</v>
      </c>
      <c r="J1252" s="140" t="s">
        <v>6801</v>
      </c>
      <c r="K1252" s="18"/>
      <c r="L1252" s="18"/>
      <c r="M1252" s="18"/>
      <c r="N1252" s="18"/>
      <c r="O1252" s="18"/>
      <c r="P1252" s="18"/>
      <c r="Q1252" s="18"/>
      <c r="R1252" s="18"/>
      <c r="S1252" s="18"/>
      <c r="T1252" s="18"/>
      <c r="U1252" s="18"/>
      <c r="V1252" s="18"/>
      <c r="W1252" s="18"/>
      <c r="X1252" s="18"/>
      <c r="Y1252" s="18"/>
      <c r="Z1252" s="18"/>
    </row>
    <row r="1253" ht="22.5" customHeight="1">
      <c r="A1253" s="236">
        <v>46083.0</v>
      </c>
      <c r="B1253" s="218" t="s">
        <v>5713</v>
      </c>
      <c r="C1253" s="9"/>
      <c r="D1253" s="228"/>
      <c r="E1253" s="216"/>
      <c r="F1253" s="221" t="s">
        <v>45</v>
      </c>
      <c r="G1253" s="9" t="s">
        <v>6802</v>
      </c>
      <c r="H1253" s="234"/>
      <c r="I1253" s="232"/>
      <c r="J1253" s="9" t="s">
        <v>6803</v>
      </c>
      <c r="K1253" s="18"/>
      <c r="L1253" s="18"/>
      <c r="M1253" s="18"/>
      <c r="N1253" s="18"/>
      <c r="O1253" s="18"/>
      <c r="P1253" s="18"/>
      <c r="Q1253" s="18"/>
      <c r="R1253" s="18"/>
      <c r="S1253" s="18"/>
      <c r="T1253" s="18"/>
      <c r="U1253" s="18"/>
      <c r="V1253" s="18"/>
      <c r="W1253" s="18"/>
      <c r="X1253" s="18"/>
      <c r="Y1253" s="18"/>
      <c r="Z1253" s="18"/>
    </row>
    <row r="1254" ht="22.5" customHeight="1">
      <c r="A1254" s="236">
        <v>46083.0</v>
      </c>
      <c r="B1254" s="218" t="s">
        <v>6804</v>
      </c>
      <c r="C1254" s="9"/>
      <c r="D1254" s="228" t="s">
        <v>6805</v>
      </c>
      <c r="E1254" s="216">
        <v>9.030944113E9</v>
      </c>
      <c r="F1254" s="221" t="s">
        <v>96</v>
      </c>
      <c r="G1254" s="9" t="s">
        <v>6806</v>
      </c>
      <c r="H1254" s="234">
        <v>46084.0</v>
      </c>
      <c r="I1254" s="232"/>
      <c r="J1254" s="9" t="s">
        <v>6807</v>
      </c>
      <c r="K1254" s="18"/>
      <c r="L1254" s="18"/>
      <c r="M1254" s="18"/>
      <c r="N1254" s="18"/>
      <c r="O1254" s="18"/>
      <c r="P1254" s="18"/>
      <c r="Q1254" s="18"/>
      <c r="R1254" s="18"/>
      <c r="S1254" s="18"/>
      <c r="T1254" s="18"/>
      <c r="U1254" s="18"/>
      <c r="V1254" s="18"/>
      <c r="W1254" s="18"/>
      <c r="X1254" s="18"/>
      <c r="Y1254" s="18"/>
      <c r="Z1254" s="18"/>
    </row>
    <row r="1255" ht="22.5" customHeight="1">
      <c r="A1255" s="236">
        <v>46083.0</v>
      </c>
      <c r="B1255" s="218" t="s">
        <v>6808</v>
      </c>
      <c r="C1255" s="9"/>
      <c r="D1255" s="228" t="s">
        <v>6809</v>
      </c>
      <c r="E1255" s="216"/>
      <c r="F1255" s="221" t="s">
        <v>144</v>
      </c>
      <c r="G1255" s="9"/>
      <c r="H1255" s="234"/>
      <c r="I1255" s="232"/>
      <c r="J1255" s="9" t="s">
        <v>6810</v>
      </c>
      <c r="K1255" s="18"/>
      <c r="L1255" s="18"/>
      <c r="M1255" s="18"/>
      <c r="N1255" s="18"/>
      <c r="O1255" s="18"/>
      <c r="P1255" s="18"/>
      <c r="Q1255" s="18"/>
      <c r="R1255" s="18"/>
      <c r="S1255" s="18"/>
      <c r="T1255" s="18"/>
      <c r="U1255" s="18"/>
      <c r="V1255" s="18"/>
      <c r="W1255" s="18"/>
      <c r="X1255" s="18"/>
      <c r="Y1255" s="18"/>
      <c r="Z1255" s="18"/>
    </row>
    <row r="1256" ht="22.5" customHeight="1">
      <c r="A1256" s="236">
        <v>46083.0</v>
      </c>
      <c r="B1256" s="218" t="s">
        <v>6811</v>
      </c>
      <c r="C1256" s="9"/>
      <c r="D1256" s="228"/>
      <c r="E1256" s="216"/>
      <c r="F1256" s="221" t="s">
        <v>45</v>
      </c>
      <c r="G1256" s="9" t="s">
        <v>4596</v>
      </c>
      <c r="H1256" s="234"/>
      <c r="I1256" s="232"/>
      <c r="J1256" s="9" t="s">
        <v>6812</v>
      </c>
      <c r="K1256" s="18"/>
      <c r="L1256" s="18"/>
      <c r="M1256" s="18"/>
      <c r="N1256" s="18"/>
      <c r="O1256" s="18"/>
      <c r="P1256" s="18"/>
      <c r="Q1256" s="18"/>
      <c r="R1256" s="18"/>
      <c r="S1256" s="18"/>
      <c r="T1256" s="18"/>
      <c r="U1256" s="18"/>
      <c r="V1256" s="18"/>
      <c r="W1256" s="18"/>
      <c r="X1256" s="18"/>
      <c r="Y1256" s="18"/>
      <c r="Z1256" s="18"/>
    </row>
    <row r="1257" ht="22.5" customHeight="1">
      <c r="A1257" s="236">
        <v>46083.0</v>
      </c>
      <c r="B1257" s="218" t="s">
        <v>6813</v>
      </c>
      <c r="C1257" s="9"/>
      <c r="D1257" s="228" t="s">
        <v>6814</v>
      </c>
      <c r="E1257" s="216">
        <v>8.801417049E9</v>
      </c>
      <c r="F1257" s="221" t="s">
        <v>3857</v>
      </c>
      <c r="G1257" s="9" t="s">
        <v>6815</v>
      </c>
      <c r="H1257" s="234"/>
      <c r="I1257" s="232"/>
      <c r="J1257" s="9"/>
      <c r="K1257" s="18"/>
      <c r="L1257" s="18"/>
      <c r="M1257" s="18"/>
      <c r="N1257" s="18"/>
      <c r="O1257" s="18"/>
      <c r="P1257" s="18"/>
      <c r="Q1257" s="18"/>
      <c r="R1257" s="18"/>
      <c r="S1257" s="18"/>
      <c r="T1257" s="18"/>
      <c r="U1257" s="18"/>
      <c r="V1257" s="18"/>
      <c r="W1257" s="18"/>
      <c r="X1257" s="18"/>
      <c r="Y1257" s="18"/>
      <c r="Z1257" s="18"/>
    </row>
    <row r="1258" ht="22.5" customHeight="1">
      <c r="A1258" s="236">
        <v>46083.0</v>
      </c>
      <c r="B1258" s="218" t="s">
        <v>6816</v>
      </c>
      <c r="C1258" s="9" t="s">
        <v>1507</v>
      </c>
      <c r="D1258" s="228" t="s">
        <v>6817</v>
      </c>
      <c r="E1258" s="216">
        <v>8.801417049E9</v>
      </c>
      <c r="F1258" s="221" t="s">
        <v>1919</v>
      </c>
      <c r="G1258" s="9" t="s">
        <v>4053</v>
      </c>
      <c r="H1258" s="234"/>
      <c r="I1258" s="232"/>
      <c r="J1258" s="35" t="s">
        <v>6818</v>
      </c>
      <c r="K1258" s="18"/>
      <c r="L1258" s="18"/>
      <c r="M1258" s="18"/>
      <c r="N1258" s="18"/>
      <c r="O1258" s="18"/>
      <c r="P1258" s="18"/>
      <c r="Q1258" s="18"/>
      <c r="R1258" s="18"/>
      <c r="S1258" s="18"/>
      <c r="T1258" s="18"/>
      <c r="U1258" s="18"/>
      <c r="V1258" s="18"/>
      <c r="W1258" s="18"/>
      <c r="X1258" s="18"/>
      <c r="Y1258" s="18"/>
      <c r="Z1258" s="18"/>
    </row>
    <row r="1259" ht="22.5" customHeight="1">
      <c r="A1259" s="236">
        <v>46083.0</v>
      </c>
      <c r="B1259" s="218" t="s">
        <v>6819</v>
      </c>
      <c r="C1259" s="9"/>
      <c r="D1259" s="228" t="s">
        <v>6820</v>
      </c>
      <c r="E1259" s="216">
        <v>9.010000086E9</v>
      </c>
      <c r="F1259" s="221" t="s">
        <v>60</v>
      </c>
      <c r="G1259" s="9" t="s">
        <v>6821</v>
      </c>
      <c r="H1259" s="234">
        <v>46086.0</v>
      </c>
      <c r="I1259" s="232"/>
      <c r="J1259" s="9"/>
      <c r="K1259" s="18"/>
      <c r="L1259" s="18"/>
      <c r="M1259" s="18"/>
      <c r="N1259" s="18"/>
      <c r="O1259" s="18"/>
      <c r="P1259" s="18"/>
      <c r="Q1259" s="18"/>
      <c r="R1259" s="18"/>
      <c r="S1259" s="18"/>
      <c r="T1259" s="18"/>
      <c r="U1259" s="18"/>
      <c r="V1259" s="18"/>
      <c r="W1259" s="18"/>
      <c r="X1259" s="18"/>
      <c r="Y1259" s="18"/>
      <c r="Z1259" s="18"/>
    </row>
    <row r="1260" ht="22.5" customHeight="1">
      <c r="A1260" s="236">
        <v>46083.0</v>
      </c>
      <c r="B1260" s="218" t="s">
        <v>6822</v>
      </c>
      <c r="C1260" s="9"/>
      <c r="D1260" s="228" t="s">
        <v>5508</v>
      </c>
      <c r="E1260" s="216">
        <v>8.328055327E9</v>
      </c>
      <c r="F1260" s="221" t="s">
        <v>73</v>
      </c>
      <c r="G1260" s="9" t="s">
        <v>6823</v>
      </c>
      <c r="H1260" s="234">
        <v>46084.0</v>
      </c>
      <c r="I1260" s="232">
        <v>0.6666666666666666</v>
      </c>
      <c r="J1260" s="9" t="s">
        <v>6824</v>
      </c>
      <c r="K1260" s="18"/>
      <c r="L1260" s="18"/>
      <c r="M1260" s="18"/>
      <c r="N1260" s="18"/>
      <c r="O1260" s="18"/>
      <c r="P1260" s="18"/>
      <c r="Q1260" s="18"/>
      <c r="R1260" s="18"/>
      <c r="S1260" s="18"/>
      <c r="T1260" s="18"/>
      <c r="U1260" s="18"/>
      <c r="V1260" s="18"/>
      <c r="W1260" s="18"/>
      <c r="X1260" s="18"/>
      <c r="Y1260" s="18"/>
      <c r="Z1260" s="18"/>
    </row>
    <row r="1261" ht="22.5" customHeight="1">
      <c r="A1261" s="236">
        <v>46083.0</v>
      </c>
      <c r="B1261" s="218" t="s">
        <v>6825</v>
      </c>
      <c r="C1261" s="9"/>
      <c r="D1261" s="228"/>
      <c r="E1261" s="216"/>
      <c r="F1261" s="221" t="s">
        <v>1919</v>
      </c>
      <c r="G1261" s="9" t="s">
        <v>6826</v>
      </c>
      <c r="H1261" s="234"/>
      <c r="I1261" s="232"/>
      <c r="J1261" s="140" t="s">
        <v>6827</v>
      </c>
      <c r="K1261" s="18"/>
      <c r="L1261" s="18"/>
      <c r="M1261" s="18"/>
      <c r="N1261" s="18"/>
      <c r="O1261" s="18"/>
      <c r="P1261" s="18"/>
      <c r="Q1261" s="18"/>
      <c r="R1261" s="18"/>
      <c r="S1261" s="18"/>
      <c r="T1261" s="18"/>
      <c r="U1261" s="18"/>
      <c r="V1261" s="18"/>
      <c r="W1261" s="18"/>
      <c r="X1261" s="18"/>
      <c r="Y1261" s="18"/>
      <c r="Z1261" s="18"/>
    </row>
    <row r="1262" ht="22.5" customHeight="1">
      <c r="A1262" s="236">
        <v>46083.0</v>
      </c>
      <c r="B1262" s="218" t="s">
        <v>6828</v>
      </c>
      <c r="C1262" s="9"/>
      <c r="D1262" s="228" t="s">
        <v>6829</v>
      </c>
      <c r="E1262" s="216">
        <v>9.642274228E9</v>
      </c>
      <c r="F1262" s="221" t="s">
        <v>60</v>
      </c>
      <c r="G1262" s="9" t="s">
        <v>6830</v>
      </c>
      <c r="H1262" s="234">
        <v>46084.0</v>
      </c>
      <c r="I1262" s="232">
        <v>0.75</v>
      </c>
      <c r="J1262" s="35" t="s">
        <v>6831</v>
      </c>
      <c r="K1262" s="18"/>
      <c r="L1262" s="18"/>
      <c r="M1262" s="18"/>
      <c r="N1262" s="18"/>
      <c r="O1262" s="18"/>
      <c r="P1262" s="18"/>
      <c r="Q1262" s="18"/>
      <c r="R1262" s="18"/>
      <c r="S1262" s="18"/>
      <c r="T1262" s="18"/>
      <c r="U1262" s="18"/>
      <c r="V1262" s="18"/>
      <c r="W1262" s="18"/>
      <c r="X1262" s="18"/>
      <c r="Y1262" s="18"/>
      <c r="Z1262" s="18"/>
    </row>
    <row r="1263" ht="22.5" customHeight="1">
      <c r="A1263" s="236">
        <v>46083.0</v>
      </c>
      <c r="B1263" s="218" t="s">
        <v>6832</v>
      </c>
      <c r="C1263" s="9"/>
      <c r="D1263" s="228" t="s">
        <v>6833</v>
      </c>
      <c r="E1263" s="216"/>
      <c r="F1263" s="221" t="s">
        <v>241</v>
      </c>
      <c r="G1263" s="9" t="s">
        <v>6834</v>
      </c>
      <c r="H1263" s="234"/>
      <c r="I1263" s="232"/>
      <c r="J1263" s="9"/>
      <c r="K1263" s="18"/>
      <c r="L1263" s="18"/>
      <c r="M1263" s="18"/>
      <c r="N1263" s="18"/>
      <c r="O1263" s="18"/>
      <c r="P1263" s="18"/>
      <c r="Q1263" s="18"/>
      <c r="R1263" s="18"/>
      <c r="S1263" s="18"/>
      <c r="T1263" s="18"/>
      <c r="U1263" s="18"/>
      <c r="V1263" s="18"/>
      <c r="W1263" s="18"/>
      <c r="X1263" s="18"/>
      <c r="Y1263" s="18"/>
      <c r="Z1263" s="18"/>
    </row>
    <row r="1264" ht="22.5" customHeight="1">
      <c r="A1264" s="236">
        <v>46083.0</v>
      </c>
      <c r="B1264" s="218" t="s">
        <v>6835</v>
      </c>
      <c r="C1264" s="9"/>
      <c r="D1264" s="228" t="s">
        <v>6836</v>
      </c>
      <c r="E1264" s="216"/>
      <c r="F1264" s="221" t="s">
        <v>60</v>
      </c>
      <c r="G1264" s="9" t="s">
        <v>6837</v>
      </c>
      <c r="H1264" s="234"/>
      <c r="I1264" s="232"/>
      <c r="J1264" s="9"/>
      <c r="K1264" s="18"/>
      <c r="L1264" s="18"/>
      <c r="M1264" s="18"/>
      <c r="N1264" s="18"/>
      <c r="O1264" s="18"/>
      <c r="P1264" s="18"/>
      <c r="Q1264" s="18"/>
      <c r="R1264" s="18"/>
      <c r="S1264" s="18"/>
      <c r="T1264" s="18"/>
      <c r="U1264" s="18"/>
      <c r="V1264" s="18"/>
      <c r="W1264" s="18"/>
      <c r="X1264" s="18"/>
      <c r="Y1264" s="18"/>
      <c r="Z1264" s="18"/>
    </row>
    <row r="1265" ht="22.5" customHeight="1">
      <c r="A1265" s="236">
        <v>46083.0</v>
      </c>
      <c r="B1265" s="218" t="s">
        <v>6838</v>
      </c>
      <c r="C1265" s="9" t="s">
        <v>6839</v>
      </c>
      <c r="D1265" s="228"/>
      <c r="E1265" s="216"/>
      <c r="F1265" s="221" t="s">
        <v>186</v>
      </c>
      <c r="G1265" s="9" t="s">
        <v>6840</v>
      </c>
      <c r="H1265" s="234"/>
      <c r="I1265" s="232"/>
      <c r="J1265" s="9"/>
      <c r="K1265" s="18"/>
      <c r="L1265" s="18"/>
      <c r="M1265" s="18"/>
      <c r="N1265" s="18"/>
      <c r="O1265" s="18"/>
      <c r="P1265" s="18"/>
      <c r="Q1265" s="18"/>
      <c r="R1265" s="18"/>
      <c r="S1265" s="18"/>
      <c r="T1265" s="18"/>
      <c r="U1265" s="18"/>
      <c r="V1265" s="18"/>
      <c r="W1265" s="18"/>
      <c r="X1265" s="18"/>
      <c r="Y1265" s="18"/>
      <c r="Z1265" s="18"/>
    </row>
    <row r="1266" ht="22.5" customHeight="1">
      <c r="A1266" s="236">
        <v>46083.0</v>
      </c>
      <c r="B1266" s="218" t="s">
        <v>6841</v>
      </c>
      <c r="C1266" s="9"/>
      <c r="D1266" s="228" t="s">
        <v>6842</v>
      </c>
      <c r="E1266" s="216">
        <v>9.01405136E9</v>
      </c>
      <c r="F1266" s="221" t="s">
        <v>1919</v>
      </c>
      <c r="G1266" s="9" t="s">
        <v>6843</v>
      </c>
      <c r="H1266" s="234">
        <v>46083.0</v>
      </c>
      <c r="I1266" s="232">
        <v>0.7916666666666666</v>
      </c>
      <c r="J1266" s="9" t="s">
        <v>6844</v>
      </c>
      <c r="K1266" s="18"/>
      <c r="L1266" s="18"/>
      <c r="M1266" s="18"/>
      <c r="N1266" s="18"/>
      <c r="O1266" s="18"/>
      <c r="P1266" s="18"/>
      <c r="Q1266" s="18"/>
      <c r="R1266" s="18"/>
      <c r="S1266" s="18"/>
      <c r="T1266" s="18"/>
      <c r="U1266" s="18"/>
      <c r="V1266" s="18"/>
      <c r="W1266" s="18"/>
      <c r="X1266" s="18"/>
      <c r="Y1266" s="18"/>
      <c r="Z1266" s="18"/>
    </row>
    <row r="1267" ht="22.5" customHeight="1">
      <c r="A1267" s="236">
        <v>46083.0</v>
      </c>
      <c r="B1267" s="218" t="s">
        <v>6845</v>
      </c>
      <c r="C1267" s="9"/>
      <c r="D1267" s="228" t="s">
        <v>6846</v>
      </c>
      <c r="E1267" s="216">
        <v>8.688612955E9</v>
      </c>
      <c r="F1267" s="221" t="s">
        <v>1919</v>
      </c>
      <c r="G1267" s="9" t="s">
        <v>6847</v>
      </c>
      <c r="H1267" s="234">
        <v>46083.0</v>
      </c>
      <c r="I1267" s="232">
        <v>0.8333333333333334</v>
      </c>
      <c r="J1267" s="9" t="s">
        <v>6844</v>
      </c>
      <c r="K1267" s="18"/>
      <c r="L1267" s="18"/>
      <c r="M1267" s="18"/>
      <c r="N1267" s="18"/>
      <c r="O1267" s="18"/>
      <c r="P1267" s="18"/>
      <c r="Q1267" s="18"/>
      <c r="R1267" s="18"/>
      <c r="S1267" s="18"/>
      <c r="T1267" s="18"/>
      <c r="U1267" s="18"/>
      <c r="V1267" s="18"/>
      <c r="W1267" s="18"/>
      <c r="X1267" s="18"/>
      <c r="Y1267" s="18"/>
      <c r="Z1267" s="18"/>
    </row>
    <row r="1268" ht="22.5" customHeight="1">
      <c r="A1268" s="236">
        <v>46083.0</v>
      </c>
      <c r="B1268" s="218" t="s">
        <v>6848</v>
      </c>
      <c r="C1268" s="9"/>
      <c r="D1268" s="228"/>
      <c r="E1268" s="216"/>
      <c r="F1268" s="221" t="s">
        <v>45</v>
      </c>
      <c r="G1268" s="9" t="s">
        <v>4714</v>
      </c>
      <c r="H1268" s="234"/>
      <c r="I1268" s="232"/>
      <c r="J1268" s="9" t="s">
        <v>6849</v>
      </c>
      <c r="K1268" s="18"/>
      <c r="L1268" s="18"/>
      <c r="M1268" s="18"/>
      <c r="N1268" s="18"/>
      <c r="O1268" s="18"/>
      <c r="P1268" s="18"/>
      <c r="Q1268" s="18"/>
      <c r="R1268" s="18"/>
      <c r="S1268" s="18"/>
      <c r="T1268" s="18"/>
      <c r="U1268" s="18"/>
      <c r="V1268" s="18"/>
      <c r="W1268" s="18"/>
      <c r="X1268" s="18"/>
      <c r="Y1268" s="18"/>
      <c r="Z1268" s="18"/>
    </row>
    <row r="1269" ht="22.5" customHeight="1">
      <c r="A1269" s="236">
        <v>46083.0</v>
      </c>
      <c r="B1269" s="218" t="s">
        <v>6850</v>
      </c>
      <c r="C1269" s="9"/>
      <c r="D1269" s="228" t="s">
        <v>6851</v>
      </c>
      <c r="E1269" s="216">
        <v>8.303445729E9</v>
      </c>
      <c r="F1269" s="221" t="s">
        <v>96</v>
      </c>
      <c r="G1269" s="9" t="s">
        <v>6852</v>
      </c>
      <c r="H1269" s="234"/>
      <c r="I1269" s="232"/>
      <c r="J1269" s="9" t="s">
        <v>6853</v>
      </c>
      <c r="K1269" s="18"/>
      <c r="L1269" s="18"/>
      <c r="M1269" s="18"/>
      <c r="N1269" s="18"/>
      <c r="O1269" s="18"/>
      <c r="P1269" s="18"/>
      <c r="Q1269" s="18"/>
      <c r="R1269" s="18"/>
      <c r="S1269" s="18"/>
      <c r="T1269" s="18"/>
      <c r="U1269" s="18"/>
      <c r="V1269" s="18"/>
      <c r="W1269" s="18"/>
      <c r="X1269" s="18"/>
      <c r="Y1269" s="18"/>
      <c r="Z1269" s="18"/>
    </row>
    <row r="1270" ht="22.5" customHeight="1">
      <c r="A1270" s="236">
        <v>46083.0</v>
      </c>
      <c r="B1270" s="218" t="s">
        <v>6854</v>
      </c>
      <c r="C1270" s="9"/>
      <c r="D1270" s="228"/>
      <c r="E1270" s="216"/>
      <c r="F1270" s="221" t="s">
        <v>1919</v>
      </c>
      <c r="G1270" s="9" t="s">
        <v>6855</v>
      </c>
      <c r="H1270" s="234">
        <v>46084.0</v>
      </c>
      <c r="I1270" s="232">
        <v>0.5416666666666666</v>
      </c>
      <c r="J1270" s="35" t="s">
        <v>6856</v>
      </c>
      <c r="K1270" s="18"/>
      <c r="L1270" s="18"/>
      <c r="M1270" s="18"/>
      <c r="N1270" s="18"/>
      <c r="O1270" s="18"/>
      <c r="P1270" s="18"/>
      <c r="Q1270" s="18"/>
      <c r="R1270" s="18"/>
      <c r="S1270" s="18"/>
      <c r="T1270" s="18"/>
      <c r="U1270" s="18"/>
      <c r="V1270" s="18"/>
      <c r="W1270" s="18"/>
      <c r="X1270" s="18"/>
      <c r="Y1270" s="18"/>
      <c r="Z1270" s="18"/>
    </row>
    <row r="1271" ht="22.5" customHeight="1">
      <c r="A1271" s="236">
        <v>46083.0</v>
      </c>
      <c r="B1271" s="218" t="s">
        <v>6857</v>
      </c>
      <c r="C1271" s="9"/>
      <c r="D1271" s="228" t="s">
        <v>6858</v>
      </c>
      <c r="E1271" s="216"/>
      <c r="F1271" s="221" t="s">
        <v>144</v>
      </c>
      <c r="G1271" s="9" t="s">
        <v>6859</v>
      </c>
      <c r="H1271" s="234">
        <v>46084.0</v>
      </c>
      <c r="I1271" s="232">
        <v>0.4791666666666667</v>
      </c>
      <c r="J1271" s="9" t="s">
        <v>6860</v>
      </c>
      <c r="K1271" s="18"/>
      <c r="L1271" s="18"/>
      <c r="M1271" s="18"/>
      <c r="N1271" s="18"/>
      <c r="O1271" s="18"/>
      <c r="P1271" s="18"/>
      <c r="Q1271" s="18"/>
      <c r="R1271" s="18"/>
      <c r="S1271" s="18"/>
      <c r="T1271" s="18"/>
      <c r="U1271" s="18"/>
      <c r="V1271" s="18"/>
      <c r="W1271" s="18"/>
      <c r="X1271" s="18"/>
      <c r="Y1271" s="18"/>
      <c r="Z1271" s="18"/>
    </row>
    <row r="1272" ht="22.5" customHeight="1">
      <c r="A1272" s="236">
        <v>46083.0</v>
      </c>
      <c r="B1272" s="218" t="s">
        <v>3497</v>
      </c>
      <c r="C1272" s="9"/>
      <c r="D1272" s="228" t="s">
        <v>6861</v>
      </c>
      <c r="E1272" s="216">
        <v>9.966887205E9</v>
      </c>
      <c r="F1272" s="221" t="s">
        <v>73</v>
      </c>
      <c r="G1272" s="9" t="s">
        <v>6020</v>
      </c>
      <c r="H1272" s="234"/>
      <c r="I1272" s="232"/>
      <c r="J1272" s="9" t="s">
        <v>6862</v>
      </c>
      <c r="K1272" s="18"/>
      <c r="L1272" s="18"/>
      <c r="M1272" s="18"/>
      <c r="N1272" s="18"/>
      <c r="O1272" s="18"/>
      <c r="P1272" s="18"/>
      <c r="Q1272" s="18"/>
      <c r="R1272" s="18"/>
      <c r="S1272" s="18"/>
      <c r="T1272" s="18"/>
      <c r="U1272" s="18"/>
      <c r="V1272" s="18"/>
      <c r="W1272" s="18"/>
      <c r="X1272" s="18"/>
      <c r="Y1272" s="18"/>
      <c r="Z1272" s="18"/>
    </row>
    <row r="1273" ht="22.5" customHeight="1">
      <c r="A1273" s="236">
        <v>46083.0</v>
      </c>
      <c r="B1273" s="218" t="s">
        <v>6863</v>
      </c>
      <c r="C1273" s="9"/>
      <c r="D1273" s="228"/>
      <c r="E1273" s="216"/>
      <c r="F1273" s="221" t="s">
        <v>96</v>
      </c>
      <c r="G1273" s="9" t="s">
        <v>6864</v>
      </c>
      <c r="H1273" s="234"/>
      <c r="I1273" s="232"/>
      <c r="J1273" s="9" t="s">
        <v>6865</v>
      </c>
      <c r="K1273" s="18"/>
      <c r="L1273" s="18"/>
      <c r="M1273" s="18"/>
      <c r="N1273" s="18"/>
      <c r="O1273" s="18"/>
      <c r="P1273" s="18"/>
      <c r="Q1273" s="18"/>
      <c r="R1273" s="18"/>
      <c r="S1273" s="18"/>
      <c r="T1273" s="18"/>
      <c r="U1273" s="18"/>
      <c r="V1273" s="18"/>
      <c r="W1273" s="18"/>
      <c r="X1273" s="18"/>
      <c r="Y1273" s="18"/>
      <c r="Z1273" s="18"/>
    </row>
    <row r="1274" ht="22.5" customHeight="1">
      <c r="A1274" s="236">
        <v>46083.0</v>
      </c>
      <c r="B1274" s="218" t="s">
        <v>6866</v>
      </c>
      <c r="C1274" s="9"/>
      <c r="D1274" s="228" t="s">
        <v>6867</v>
      </c>
      <c r="E1274" s="216">
        <v>8.8018589E9</v>
      </c>
      <c r="F1274" s="221" t="s">
        <v>1919</v>
      </c>
      <c r="G1274" s="9" t="s">
        <v>6868</v>
      </c>
      <c r="H1274" s="234"/>
      <c r="I1274" s="232"/>
      <c r="J1274" s="9"/>
      <c r="K1274" s="18"/>
      <c r="L1274" s="18"/>
      <c r="M1274" s="18"/>
      <c r="N1274" s="18"/>
      <c r="O1274" s="18"/>
      <c r="P1274" s="18"/>
      <c r="Q1274" s="18"/>
      <c r="R1274" s="18"/>
      <c r="S1274" s="18"/>
      <c r="T1274" s="18"/>
      <c r="U1274" s="18"/>
      <c r="V1274" s="18"/>
      <c r="W1274" s="18"/>
      <c r="X1274" s="18"/>
      <c r="Y1274" s="18"/>
      <c r="Z1274" s="18"/>
    </row>
    <row r="1275" ht="22.5" customHeight="1">
      <c r="A1275" s="250">
        <v>46083.0</v>
      </c>
      <c r="B1275" s="218" t="s">
        <v>6869</v>
      </c>
      <c r="C1275" s="9"/>
      <c r="D1275" s="228" t="s">
        <v>6870</v>
      </c>
      <c r="E1275" s="216">
        <v>8.297858217E9</v>
      </c>
      <c r="F1275" s="221" t="s">
        <v>3857</v>
      </c>
      <c r="G1275" s="9" t="s">
        <v>6871</v>
      </c>
      <c r="H1275" s="234"/>
      <c r="I1275" s="232"/>
      <c r="J1275" s="9"/>
      <c r="K1275" s="18"/>
      <c r="L1275" s="18"/>
      <c r="M1275" s="18"/>
      <c r="N1275" s="18"/>
      <c r="O1275" s="18"/>
      <c r="P1275" s="18"/>
      <c r="Q1275" s="18"/>
      <c r="R1275" s="18"/>
      <c r="S1275" s="18"/>
      <c r="T1275" s="18"/>
      <c r="U1275" s="18"/>
      <c r="V1275" s="18"/>
      <c r="W1275" s="18"/>
      <c r="X1275" s="18"/>
      <c r="Y1275" s="18"/>
      <c r="Z1275" s="18"/>
    </row>
    <row r="1276" ht="22.5" customHeight="1">
      <c r="A1276" s="252">
        <v>46084.0</v>
      </c>
      <c r="B1276" s="218" t="s">
        <v>6872</v>
      </c>
      <c r="C1276" s="9" t="s">
        <v>6873</v>
      </c>
      <c r="D1276" s="228"/>
      <c r="E1276" s="216"/>
      <c r="F1276" s="221" t="s">
        <v>73</v>
      </c>
      <c r="G1276" s="9" t="s">
        <v>6874</v>
      </c>
      <c r="H1276" s="234"/>
      <c r="I1276" s="232"/>
      <c r="J1276" s="140" t="s">
        <v>6875</v>
      </c>
      <c r="K1276" s="18"/>
      <c r="L1276" s="18"/>
      <c r="M1276" s="18"/>
      <c r="N1276" s="18"/>
      <c r="O1276" s="18"/>
      <c r="P1276" s="18"/>
      <c r="Q1276" s="18"/>
      <c r="R1276" s="18"/>
      <c r="S1276" s="18"/>
      <c r="T1276" s="18"/>
      <c r="U1276" s="18"/>
      <c r="V1276" s="18"/>
      <c r="W1276" s="18"/>
      <c r="X1276" s="18"/>
      <c r="Y1276" s="18"/>
      <c r="Z1276" s="18"/>
    </row>
    <row r="1277" ht="22.5" customHeight="1">
      <c r="A1277" s="252">
        <v>46084.0</v>
      </c>
      <c r="B1277" s="218" t="s">
        <v>5925</v>
      </c>
      <c r="C1277" s="9"/>
      <c r="D1277" s="228"/>
      <c r="E1277" s="216"/>
      <c r="F1277" s="221" t="s">
        <v>60</v>
      </c>
      <c r="G1277" s="9" t="s">
        <v>6876</v>
      </c>
      <c r="H1277" s="234"/>
      <c r="I1277" s="232"/>
      <c r="J1277" s="9"/>
      <c r="K1277" s="18"/>
      <c r="L1277" s="18"/>
      <c r="M1277" s="18"/>
      <c r="N1277" s="18"/>
      <c r="O1277" s="18"/>
      <c r="P1277" s="18"/>
      <c r="Q1277" s="18"/>
      <c r="R1277" s="18"/>
      <c r="S1277" s="18"/>
      <c r="T1277" s="18"/>
      <c r="U1277" s="18"/>
      <c r="V1277" s="18"/>
      <c r="W1277" s="18"/>
      <c r="X1277" s="18"/>
      <c r="Y1277" s="18"/>
      <c r="Z1277" s="18"/>
    </row>
    <row r="1278" ht="22.5" customHeight="1">
      <c r="A1278" s="252">
        <v>46084.0</v>
      </c>
      <c r="B1278" s="218" t="s">
        <v>6877</v>
      </c>
      <c r="C1278" s="9"/>
      <c r="D1278" s="228"/>
      <c r="E1278" s="216"/>
      <c r="F1278" s="221" t="s">
        <v>144</v>
      </c>
      <c r="G1278" s="9" t="s">
        <v>6878</v>
      </c>
      <c r="H1278" s="234">
        <v>46084.0</v>
      </c>
      <c r="I1278" s="232">
        <v>0.75</v>
      </c>
      <c r="J1278" s="9"/>
      <c r="K1278" s="18"/>
      <c r="L1278" s="18"/>
      <c r="M1278" s="18"/>
      <c r="N1278" s="18"/>
      <c r="O1278" s="18"/>
      <c r="P1278" s="18"/>
      <c r="Q1278" s="18"/>
      <c r="R1278" s="18"/>
      <c r="S1278" s="18"/>
      <c r="T1278" s="18"/>
      <c r="U1278" s="18"/>
      <c r="V1278" s="18"/>
      <c r="W1278" s="18"/>
      <c r="X1278" s="18"/>
      <c r="Y1278" s="18"/>
      <c r="Z1278" s="18"/>
    </row>
    <row r="1279" ht="22.5" customHeight="1">
      <c r="A1279" s="252">
        <v>46084.0</v>
      </c>
      <c r="B1279" s="218" t="s">
        <v>6879</v>
      </c>
      <c r="C1279" s="9"/>
      <c r="D1279" s="228"/>
      <c r="E1279" s="216"/>
      <c r="F1279" s="221" t="s">
        <v>45</v>
      </c>
      <c r="G1279" s="9" t="s">
        <v>6880</v>
      </c>
      <c r="H1279" s="234"/>
      <c r="I1279" s="232"/>
      <c r="J1279" s="9" t="s">
        <v>6881</v>
      </c>
      <c r="K1279" s="18"/>
      <c r="L1279" s="18"/>
      <c r="M1279" s="18"/>
      <c r="N1279" s="18"/>
      <c r="O1279" s="18"/>
      <c r="P1279" s="18"/>
      <c r="Q1279" s="18"/>
      <c r="R1279" s="18"/>
      <c r="S1279" s="18"/>
      <c r="T1279" s="18"/>
      <c r="U1279" s="18"/>
      <c r="V1279" s="18"/>
      <c r="W1279" s="18"/>
      <c r="X1279" s="18"/>
      <c r="Y1279" s="18"/>
      <c r="Z1279" s="18"/>
    </row>
    <row r="1280" ht="22.5" customHeight="1">
      <c r="A1280" s="252">
        <v>46084.0</v>
      </c>
      <c r="B1280" s="218" t="s">
        <v>6652</v>
      </c>
      <c r="C1280" s="9"/>
      <c r="D1280" s="228"/>
      <c r="E1280" s="216"/>
      <c r="F1280" s="221" t="s">
        <v>144</v>
      </c>
      <c r="G1280" s="9" t="s">
        <v>6882</v>
      </c>
      <c r="H1280" s="234"/>
      <c r="I1280" s="232"/>
      <c r="J1280" s="9" t="s">
        <v>6883</v>
      </c>
      <c r="K1280" s="18"/>
      <c r="L1280" s="18"/>
      <c r="M1280" s="18"/>
      <c r="N1280" s="18"/>
      <c r="O1280" s="18"/>
      <c r="P1280" s="18"/>
      <c r="Q1280" s="18"/>
      <c r="R1280" s="18"/>
      <c r="S1280" s="18"/>
      <c r="T1280" s="18"/>
      <c r="U1280" s="18"/>
      <c r="V1280" s="18"/>
      <c r="W1280" s="18"/>
      <c r="X1280" s="18"/>
      <c r="Y1280" s="18"/>
      <c r="Z1280" s="18"/>
    </row>
    <row r="1281" ht="22.5" customHeight="1">
      <c r="A1281" s="252">
        <v>46084.0</v>
      </c>
      <c r="B1281" s="218" t="s">
        <v>6884</v>
      </c>
      <c r="C1281" s="9"/>
      <c r="D1281" s="228" t="s">
        <v>6885</v>
      </c>
      <c r="E1281" s="216">
        <v>7.893779377E9</v>
      </c>
      <c r="F1281" s="221" t="s">
        <v>45</v>
      </c>
      <c r="G1281" s="9" t="s">
        <v>6886</v>
      </c>
      <c r="H1281" s="234"/>
      <c r="I1281" s="232"/>
      <c r="J1281" s="9"/>
      <c r="K1281" s="18"/>
      <c r="L1281" s="18"/>
      <c r="M1281" s="18"/>
      <c r="N1281" s="18"/>
      <c r="O1281" s="18"/>
      <c r="P1281" s="18"/>
      <c r="Q1281" s="18"/>
      <c r="R1281" s="18"/>
      <c r="S1281" s="18"/>
      <c r="T1281" s="18"/>
      <c r="U1281" s="18"/>
      <c r="V1281" s="18"/>
      <c r="W1281" s="18"/>
      <c r="X1281" s="18"/>
      <c r="Y1281" s="18"/>
      <c r="Z1281" s="18"/>
    </row>
    <row r="1282" ht="22.5" customHeight="1">
      <c r="A1282" s="252">
        <v>46084.0</v>
      </c>
      <c r="B1282" s="218" t="s">
        <v>6887</v>
      </c>
      <c r="C1282" s="9" t="s">
        <v>6888</v>
      </c>
      <c r="D1282" s="228" t="s">
        <v>6889</v>
      </c>
      <c r="E1282" s="216">
        <v>9.652727251E9</v>
      </c>
      <c r="F1282" s="221" t="s">
        <v>241</v>
      </c>
      <c r="G1282" s="9" t="s">
        <v>6890</v>
      </c>
      <c r="H1282" s="234"/>
      <c r="I1282" s="232"/>
      <c r="J1282" s="140" t="s">
        <v>6891</v>
      </c>
      <c r="K1282" s="18"/>
      <c r="L1282" s="18"/>
      <c r="M1282" s="18"/>
      <c r="N1282" s="18"/>
      <c r="O1282" s="18"/>
      <c r="P1282" s="18"/>
      <c r="Q1282" s="18"/>
      <c r="R1282" s="18"/>
      <c r="S1282" s="18"/>
      <c r="T1282" s="18"/>
      <c r="U1282" s="18"/>
      <c r="V1282" s="18"/>
      <c r="W1282" s="18"/>
      <c r="X1282" s="18"/>
      <c r="Y1282" s="18"/>
      <c r="Z1282" s="18"/>
    </row>
    <row r="1283" ht="22.5" customHeight="1">
      <c r="A1283" s="252">
        <v>46084.0</v>
      </c>
      <c r="B1283" s="218" t="s">
        <v>6892</v>
      </c>
      <c r="C1283" s="9"/>
      <c r="D1283" s="228" t="s">
        <v>6893</v>
      </c>
      <c r="E1283" s="216">
        <v>8.374165833E9</v>
      </c>
      <c r="F1283" s="221" t="s">
        <v>73</v>
      </c>
      <c r="G1283" s="9" t="s">
        <v>6894</v>
      </c>
      <c r="H1283" s="234">
        <v>46086.0</v>
      </c>
      <c r="I1283" s="232"/>
      <c r="J1283" s="9" t="s">
        <v>6895</v>
      </c>
      <c r="K1283" s="18"/>
      <c r="L1283" s="18"/>
      <c r="M1283" s="18"/>
      <c r="N1283" s="18"/>
      <c r="O1283" s="18"/>
      <c r="P1283" s="18"/>
      <c r="Q1283" s="18"/>
      <c r="R1283" s="18"/>
      <c r="S1283" s="18"/>
      <c r="T1283" s="18"/>
      <c r="U1283" s="18"/>
      <c r="V1283" s="18"/>
      <c r="W1283" s="18"/>
      <c r="X1283" s="18"/>
      <c r="Y1283" s="18"/>
      <c r="Z1283" s="18"/>
    </row>
    <row r="1284" ht="22.5" customHeight="1">
      <c r="A1284" s="252">
        <v>46084.0</v>
      </c>
      <c r="B1284" s="218" t="s">
        <v>6896</v>
      </c>
      <c r="C1284" s="9"/>
      <c r="D1284" s="228" t="s">
        <v>6897</v>
      </c>
      <c r="E1284" s="216"/>
      <c r="F1284" s="221" t="s">
        <v>248</v>
      </c>
      <c r="G1284" s="9" t="s">
        <v>6898</v>
      </c>
      <c r="H1284" s="234">
        <v>46084.0</v>
      </c>
      <c r="I1284" s="232">
        <v>0.5625</v>
      </c>
      <c r="J1284" s="9" t="s">
        <v>6899</v>
      </c>
      <c r="K1284" s="18"/>
      <c r="L1284" s="18"/>
      <c r="M1284" s="18"/>
      <c r="N1284" s="18"/>
      <c r="O1284" s="18"/>
      <c r="P1284" s="18"/>
      <c r="Q1284" s="18"/>
      <c r="R1284" s="18"/>
      <c r="S1284" s="18"/>
      <c r="T1284" s="18"/>
      <c r="U1284" s="18"/>
      <c r="V1284" s="18"/>
      <c r="W1284" s="18"/>
      <c r="X1284" s="18"/>
      <c r="Y1284" s="18"/>
      <c r="Z1284" s="18"/>
    </row>
    <row r="1285" ht="22.5" customHeight="1">
      <c r="A1285" s="252">
        <v>46084.0</v>
      </c>
      <c r="B1285" s="218" t="s">
        <v>6900</v>
      </c>
      <c r="C1285" s="9"/>
      <c r="D1285" s="228"/>
      <c r="E1285" s="216">
        <v>7.032537092E9</v>
      </c>
      <c r="F1285" s="221" t="s">
        <v>241</v>
      </c>
      <c r="G1285" s="9" t="s">
        <v>6901</v>
      </c>
      <c r="H1285" s="234"/>
      <c r="I1285" s="232"/>
      <c r="J1285" s="9" t="s">
        <v>6902</v>
      </c>
      <c r="K1285" s="18"/>
      <c r="L1285" s="18"/>
      <c r="M1285" s="18"/>
      <c r="N1285" s="18"/>
      <c r="O1285" s="18"/>
      <c r="P1285" s="18"/>
      <c r="Q1285" s="18"/>
      <c r="R1285" s="18"/>
      <c r="S1285" s="18"/>
      <c r="T1285" s="18"/>
      <c r="U1285" s="18"/>
      <c r="V1285" s="18"/>
      <c r="W1285" s="18"/>
      <c r="X1285" s="18"/>
      <c r="Y1285" s="18"/>
      <c r="Z1285" s="18"/>
    </row>
    <row r="1286" ht="22.5" customHeight="1">
      <c r="A1286" s="252">
        <v>46084.0</v>
      </c>
      <c r="B1286" s="218" t="s">
        <v>6903</v>
      </c>
      <c r="C1286" s="9"/>
      <c r="D1286" s="228"/>
      <c r="E1286" s="216"/>
      <c r="F1286" s="221" t="s">
        <v>60</v>
      </c>
      <c r="G1286" s="9" t="s">
        <v>5804</v>
      </c>
      <c r="H1286" s="234"/>
      <c r="I1286" s="232"/>
      <c r="J1286" s="9"/>
      <c r="K1286" s="18"/>
      <c r="L1286" s="18"/>
      <c r="M1286" s="18"/>
      <c r="N1286" s="18"/>
      <c r="O1286" s="18"/>
      <c r="P1286" s="18"/>
      <c r="Q1286" s="18"/>
      <c r="R1286" s="18"/>
      <c r="S1286" s="18"/>
      <c r="T1286" s="18"/>
      <c r="U1286" s="18"/>
      <c r="V1286" s="18"/>
      <c r="W1286" s="18"/>
      <c r="X1286" s="18"/>
      <c r="Y1286" s="18"/>
      <c r="Z1286" s="18"/>
    </row>
    <row r="1287" ht="22.5" customHeight="1">
      <c r="A1287" s="252">
        <v>46084.0</v>
      </c>
      <c r="B1287" s="218" t="s">
        <v>6904</v>
      </c>
      <c r="C1287" s="9"/>
      <c r="D1287" s="228" t="s">
        <v>6905</v>
      </c>
      <c r="E1287" s="216">
        <v>8.801729791E9</v>
      </c>
      <c r="F1287" s="221" t="s">
        <v>96</v>
      </c>
      <c r="G1287" s="9" t="s">
        <v>6906</v>
      </c>
      <c r="H1287" s="234"/>
      <c r="I1287" s="232"/>
      <c r="J1287" s="9" t="s">
        <v>6907</v>
      </c>
      <c r="K1287" s="18"/>
      <c r="L1287" s="18"/>
      <c r="M1287" s="18"/>
      <c r="N1287" s="18"/>
      <c r="O1287" s="18"/>
      <c r="P1287" s="18"/>
      <c r="Q1287" s="18"/>
      <c r="R1287" s="18"/>
      <c r="S1287" s="18"/>
      <c r="T1287" s="18"/>
      <c r="U1287" s="18"/>
      <c r="V1287" s="18"/>
      <c r="W1287" s="18"/>
      <c r="X1287" s="18"/>
      <c r="Y1287" s="18"/>
      <c r="Z1287" s="18"/>
    </row>
    <row r="1288" ht="22.5" customHeight="1">
      <c r="A1288" s="252">
        <v>46084.0</v>
      </c>
      <c r="B1288" s="218" t="s">
        <v>6908</v>
      </c>
      <c r="C1288" s="9"/>
      <c r="D1288" s="228" t="s">
        <v>6909</v>
      </c>
      <c r="E1288" s="216">
        <v>9.849847665E9</v>
      </c>
      <c r="F1288" s="221" t="s">
        <v>241</v>
      </c>
      <c r="G1288" s="9" t="s">
        <v>6020</v>
      </c>
      <c r="H1288" s="234"/>
      <c r="I1288" s="232"/>
      <c r="J1288" s="9" t="s">
        <v>6910</v>
      </c>
      <c r="K1288" s="18"/>
      <c r="L1288" s="18"/>
      <c r="M1288" s="18"/>
      <c r="N1288" s="18"/>
      <c r="O1288" s="18"/>
      <c r="P1288" s="18"/>
      <c r="Q1288" s="18"/>
      <c r="R1288" s="18"/>
      <c r="S1288" s="18"/>
      <c r="T1288" s="18"/>
      <c r="U1288" s="18"/>
      <c r="V1288" s="18"/>
      <c r="W1288" s="18"/>
      <c r="X1288" s="18"/>
      <c r="Y1288" s="18"/>
      <c r="Z1288" s="18"/>
    </row>
    <row r="1289" ht="22.5" customHeight="1">
      <c r="A1289" s="252">
        <v>46084.0</v>
      </c>
      <c r="B1289" s="218" t="s">
        <v>6911</v>
      </c>
      <c r="C1289" s="9"/>
      <c r="D1289" s="228" t="s">
        <v>6912</v>
      </c>
      <c r="E1289" s="216"/>
      <c r="F1289" s="221" t="s">
        <v>144</v>
      </c>
      <c r="G1289" s="9" t="s">
        <v>6913</v>
      </c>
      <c r="H1289" s="234">
        <v>46084.0</v>
      </c>
      <c r="I1289" s="232">
        <v>0.5416666666666666</v>
      </c>
      <c r="J1289" s="9"/>
      <c r="K1289" s="18"/>
      <c r="L1289" s="18"/>
      <c r="M1289" s="18"/>
      <c r="N1289" s="18"/>
      <c r="O1289" s="18"/>
      <c r="P1289" s="18"/>
      <c r="Q1289" s="18"/>
      <c r="R1289" s="18"/>
      <c r="S1289" s="18"/>
      <c r="T1289" s="18"/>
      <c r="U1289" s="18"/>
      <c r="V1289" s="18"/>
      <c r="W1289" s="18"/>
      <c r="X1289" s="18"/>
      <c r="Y1289" s="18"/>
      <c r="Z1289" s="18"/>
    </row>
    <row r="1290" ht="22.5" customHeight="1">
      <c r="A1290" s="252">
        <v>46084.0</v>
      </c>
      <c r="B1290" s="218" t="s">
        <v>6914</v>
      </c>
      <c r="C1290" s="9"/>
      <c r="D1290" s="228"/>
      <c r="E1290" s="216"/>
      <c r="F1290" s="221" t="s">
        <v>73</v>
      </c>
      <c r="G1290" s="9" t="s">
        <v>6915</v>
      </c>
      <c r="H1290" s="234"/>
      <c r="I1290" s="232"/>
      <c r="J1290" s="9" t="s">
        <v>6916</v>
      </c>
      <c r="K1290" s="18"/>
      <c r="L1290" s="18"/>
      <c r="M1290" s="18"/>
      <c r="N1290" s="18"/>
      <c r="O1290" s="18"/>
      <c r="P1290" s="18"/>
      <c r="Q1290" s="18"/>
      <c r="R1290" s="18"/>
      <c r="S1290" s="18"/>
      <c r="T1290" s="18"/>
      <c r="U1290" s="18"/>
      <c r="V1290" s="18"/>
      <c r="W1290" s="18"/>
      <c r="X1290" s="18"/>
      <c r="Y1290" s="18"/>
      <c r="Z1290" s="18"/>
    </row>
    <row r="1291" ht="22.5" customHeight="1">
      <c r="A1291" s="252">
        <v>46084.0</v>
      </c>
      <c r="B1291" s="218" t="s">
        <v>6917</v>
      </c>
      <c r="C1291" s="9"/>
      <c r="D1291" s="228"/>
      <c r="E1291" s="216"/>
      <c r="F1291" s="221" t="s">
        <v>73</v>
      </c>
      <c r="G1291" s="9" t="s">
        <v>6918</v>
      </c>
      <c r="H1291" s="234"/>
      <c r="I1291" s="232"/>
      <c r="J1291" s="9" t="s">
        <v>6919</v>
      </c>
      <c r="K1291" s="18"/>
      <c r="L1291" s="18"/>
      <c r="M1291" s="18"/>
      <c r="N1291" s="18"/>
      <c r="O1291" s="18"/>
      <c r="P1291" s="18"/>
      <c r="Q1291" s="18"/>
      <c r="R1291" s="18"/>
      <c r="S1291" s="18"/>
      <c r="T1291" s="18"/>
      <c r="U1291" s="18"/>
      <c r="V1291" s="18"/>
      <c r="W1291" s="18"/>
      <c r="X1291" s="18"/>
      <c r="Y1291" s="18"/>
      <c r="Z1291" s="18"/>
    </row>
    <row r="1292" ht="22.5" customHeight="1">
      <c r="A1292" s="252">
        <v>46084.0</v>
      </c>
      <c r="B1292" s="218" t="s">
        <v>6920</v>
      </c>
      <c r="C1292" s="9"/>
      <c r="D1292" s="228"/>
      <c r="E1292" s="216"/>
      <c r="F1292" s="221" t="s">
        <v>73</v>
      </c>
      <c r="G1292" s="9" t="s">
        <v>6915</v>
      </c>
      <c r="H1292" s="234"/>
      <c r="I1292" s="232"/>
      <c r="J1292" s="9" t="s">
        <v>6921</v>
      </c>
      <c r="K1292" s="18"/>
      <c r="L1292" s="18"/>
      <c r="M1292" s="18"/>
      <c r="N1292" s="18"/>
      <c r="O1292" s="18"/>
      <c r="P1292" s="18"/>
      <c r="Q1292" s="18"/>
      <c r="R1292" s="18"/>
      <c r="S1292" s="18"/>
      <c r="T1292" s="18"/>
      <c r="U1292" s="18"/>
      <c r="V1292" s="18"/>
      <c r="W1292" s="18"/>
      <c r="X1292" s="18"/>
      <c r="Y1292" s="18"/>
      <c r="Z1292" s="18"/>
    </row>
    <row r="1293" ht="22.5" customHeight="1">
      <c r="A1293" s="252">
        <v>46084.0</v>
      </c>
      <c r="B1293" s="218" t="s">
        <v>6922</v>
      </c>
      <c r="C1293" s="9" t="s">
        <v>6923</v>
      </c>
      <c r="D1293" s="228" t="s">
        <v>6924</v>
      </c>
      <c r="E1293" s="216">
        <v>8.885000505E9</v>
      </c>
      <c r="F1293" s="221" t="s">
        <v>1919</v>
      </c>
      <c r="G1293" s="9" t="s">
        <v>6925</v>
      </c>
      <c r="H1293" s="234"/>
      <c r="I1293" s="232"/>
      <c r="J1293" s="9" t="s">
        <v>6926</v>
      </c>
      <c r="K1293" s="18"/>
      <c r="L1293" s="18"/>
      <c r="M1293" s="18"/>
      <c r="N1293" s="18"/>
      <c r="O1293" s="18"/>
      <c r="P1293" s="18"/>
      <c r="Q1293" s="18"/>
      <c r="R1293" s="18"/>
      <c r="S1293" s="18"/>
      <c r="T1293" s="18"/>
      <c r="U1293" s="18"/>
      <c r="V1293" s="18"/>
      <c r="W1293" s="18"/>
      <c r="X1293" s="18"/>
      <c r="Y1293" s="18"/>
      <c r="Z1293" s="18"/>
    </row>
    <row r="1294" ht="22.5" customHeight="1">
      <c r="A1294" s="252">
        <v>46084.0</v>
      </c>
      <c r="B1294" s="218" t="s">
        <v>6927</v>
      </c>
      <c r="C1294" s="9"/>
      <c r="D1294" s="228" t="s">
        <v>6928</v>
      </c>
      <c r="E1294" s="216">
        <v>9.703972766E9</v>
      </c>
      <c r="F1294" s="221" t="s">
        <v>248</v>
      </c>
      <c r="G1294" s="9" t="s">
        <v>6929</v>
      </c>
      <c r="H1294" s="234"/>
      <c r="I1294" s="232"/>
      <c r="J1294" s="9" t="s">
        <v>6930</v>
      </c>
      <c r="K1294" s="18"/>
      <c r="L1294" s="18"/>
      <c r="M1294" s="18"/>
      <c r="N1294" s="18"/>
      <c r="O1294" s="18"/>
      <c r="P1294" s="18"/>
      <c r="Q1294" s="18"/>
      <c r="R1294" s="18"/>
      <c r="S1294" s="18"/>
      <c r="T1294" s="18"/>
      <c r="U1294" s="18"/>
      <c r="V1294" s="18"/>
      <c r="W1294" s="18"/>
      <c r="X1294" s="18"/>
      <c r="Y1294" s="18"/>
      <c r="Z1294" s="18"/>
    </row>
    <row r="1295" ht="22.5" customHeight="1">
      <c r="A1295" s="252">
        <v>46084.0</v>
      </c>
      <c r="B1295" s="218" t="s">
        <v>3329</v>
      </c>
      <c r="C1295" s="9"/>
      <c r="D1295" s="228" t="s">
        <v>6931</v>
      </c>
      <c r="E1295" s="216">
        <v>8.328047934E9</v>
      </c>
      <c r="F1295" s="221" t="s">
        <v>241</v>
      </c>
      <c r="G1295" s="9" t="s">
        <v>6932</v>
      </c>
      <c r="H1295" s="234"/>
      <c r="I1295" s="232"/>
      <c r="J1295" s="9" t="s">
        <v>6933</v>
      </c>
      <c r="K1295" s="18"/>
      <c r="L1295" s="18"/>
      <c r="M1295" s="18"/>
      <c r="N1295" s="18"/>
      <c r="O1295" s="18"/>
      <c r="P1295" s="18"/>
      <c r="Q1295" s="18"/>
      <c r="R1295" s="18"/>
      <c r="S1295" s="18"/>
      <c r="T1295" s="18"/>
      <c r="U1295" s="18"/>
      <c r="V1295" s="18"/>
      <c r="W1295" s="18"/>
      <c r="X1295" s="18"/>
      <c r="Y1295" s="18"/>
      <c r="Z1295" s="18"/>
    </row>
    <row r="1296" ht="22.5" customHeight="1">
      <c r="A1296" s="252">
        <v>46084.0</v>
      </c>
      <c r="B1296" s="218" t="s">
        <v>6934</v>
      </c>
      <c r="C1296" s="9"/>
      <c r="D1296" s="228" t="s">
        <v>6935</v>
      </c>
      <c r="E1296" s="216">
        <v>9.703736799E9</v>
      </c>
      <c r="F1296" s="221" t="s">
        <v>248</v>
      </c>
      <c r="G1296" s="9" t="s">
        <v>6936</v>
      </c>
      <c r="H1296" s="234"/>
      <c r="I1296" s="232"/>
      <c r="J1296" s="9" t="s">
        <v>6937</v>
      </c>
      <c r="K1296" s="18"/>
      <c r="L1296" s="18"/>
      <c r="M1296" s="18"/>
      <c r="N1296" s="18"/>
      <c r="O1296" s="18"/>
      <c r="P1296" s="18"/>
      <c r="Q1296" s="18"/>
      <c r="R1296" s="18"/>
      <c r="S1296" s="18"/>
      <c r="T1296" s="18"/>
      <c r="U1296" s="18"/>
      <c r="V1296" s="18"/>
      <c r="W1296" s="18"/>
      <c r="X1296" s="18"/>
      <c r="Y1296" s="18"/>
      <c r="Z1296" s="18"/>
    </row>
    <row r="1297" ht="22.5" customHeight="1">
      <c r="A1297" s="252">
        <v>46084.0</v>
      </c>
      <c r="B1297" s="218" t="s">
        <v>6938</v>
      </c>
      <c r="C1297" s="9"/>
      <c r="D1297" s="228"/>
      <c r="E1297" s="216"/>
      <c r="F1297" s="221" t="s">
        <v>144</v>
      </c>
      <c r="G1297" s="9" t="s">
        <v>6939</v>
      </c>
      <c r="H1297" s="234">
        <v>46091.0</v>
      </c>
      <c r="I1297" s="232">
        <v>0.625</v>
      </c>
      <c r="J1297" s="9" t="s">
        <v>6940</v>
      </c>
      <c r="K1297" s="18"/>
      <c r="L1297" s="18"/>
      <c r="M1297" s="18"/>
      <c r="N1297" s="18"/>
      <c r="O1297" s="18"/>
      <c r="P1297" s="18"/>
      <c r="Q1297" s="18"/>
      <c r="R1297" s="18"/>
      <c r="S1297" s="18"/>
      <c r="T1297" s="18"/>
      <c r="U1297" s="18"/>
      <c r="V1297" s="18"/>
      <c r="W1297" s="18"/>
      <c r="X1297" s="18"/>
      <c r="Y1297" s="18"/>
      <c r="Z1297" s="18"/>
    </row>
    <row r="1298" ht="22.5" customHeight="1">
      <c r="A1298" s="252">
        <v>46084.0</v>
      </c>
      <c r="B1298" s="218" t="s">
        <v>6941</v>
      </c>
      <c r="C1298" s="9"/>
      <c r="D1298" s="228"/>
      <c r="E1298" s="216"/>
      <c r="F1298" s="221" t="s">
        <v>144</v>
      </c>
      <c r="G1298" s="9"/>
      <c r="H1298" s="234"/>
      <c r="I1298" s="232"/>
      <c r="J1298" s="9" t="s">
        <v>6942</v>
      </c>
      <c r="K1298" s="18"/>
      <c r="L1298" s="18"/>
      <c r="M1298" s="18"/>
      <c r="N1298" s="18"/>
      <c r="O1298" s="18"/>
      <c r="P1298" s="18"/>
      <c r="Q1298" s="18"/>
      <c r="R1298" s="18"/>
      <c r="S1298" s="18"/>
      <c r="T1298" s="18"/>
      <c r="U1298" s="18"/>
      <c r="V1298" s="18"/>
      <c r="W1298" s="18"/>
      <c r="X1298" s="18"/>
      <c r="Y1298" s="18"/>
      <c r="Z1298" s="18"/>
    </row>
    <row r="1299" ht="22.5" customHeight="1">
      <c r="A1299" s="252">
        <v>46084.0</v>
      </c>
      <c r="B1299" s="218" t="s">
        <v>6943</v>
      </c>
      <c r="C1299" s="9"/>
      <c r="D1299" s="228" t="s">
        <v>6944</v>
      </c>
      <c r="E1299" s="216">
        <v>9.885748057E9</v>
      </c>
      <c r="F1299" s="221" t="s">
        <v>248</v>
      </c>
      <c r="G1299" s="9" t="s">
        <v>6945</v>
      </c>
      <c r="H1299" s="234"/>
      <c r="I1299" s="232"/>
      <c r="J1299" s="9" t="s">
        <v>6946</v>
      </c>
      <c r="K1299" s="18"/>
      <c r="L1299" s="18"/>
      <c r="M1299" s="18"/>
      <c r="N1299" s="18"/>
      <c r="O1299" s="18"/>
      <c r="P1299" s="18"/>
      <c r="Q1299" s="18"/>
      <c r="R1299" s="18"/>
      <c r="S1299" s="18"/>
      <c r="T1299" s="18"/>
      <c r="U1299" s="18"/>
      <c r="V1299" s="18"/>
      <c r="W1299" s="18"/>
      <c r="X1299" s="18"/>
      <c r="Y1299" s="18"/>
      <c r="Z1299" s="18"/>
    </row>
    <row r="1300" ht="22.5" customHeight="1">
      <c r="A1300" s="252">
        <v>46084.0</v>
      </c>
      <c r="B1300" s="218" t="s">
        <v>1813</v>
      </c>
      <c r="C1300" s="9"/>
      <c r="D1300" s="228" t="s">
        <v>3950</v>
      </c>
      <c r="E1300" s="216">
        <v>7.406466642E9</v>
      </c>
      <c r="F1300" s="221" t="s">
        <v>241</v>
      </c>
      <c r="G1300" s="9" t="s">
        <v>6947</v>
      </c>
      <c r="H1300" s="234"/>
      <c r="I1300" s="232"/>
      <c r="J1300" s="9" t="s">
        <v>6948</v>
      </c>
      <c r="K1300" s="18"/>
      <c r="L1300" s="18"/>
      <c r="M1300" s="18"/>
      <c r="N1300" s="18"/>
      <c r="O1300" s="18"/>
      <c r="P1300" s="18"/>
      <c r="Q1300" s="18"/>
      <c r="R1300" s="18"/>
      <c r="S1300" s="18"/>
      <c r="T1300" s="18"/>
      <c r="U1300" s="18"/>
      <c r="V1300" s="18"/>
      <c r="W1300" s="18"/>
      <c r="X1300" s="18"/>
      <c r="Y1300" s="18"/>
      <c r="Z1300" s="18"/>
    </row>
    <row r="1301" ht="22.5" customHeight="1">
      <c r="A1301" s="252">
        <v>46084.0</v>
      </c>
      <c r="B1301" s="218" t="s">
        <v>6949</v>
      </c>
      <c r="C1301" s="9"/>
      <c r="D1301" s="228" t="s">
        <v>5640</v>
      </c>
      <c r="E1301" s="216">
        <v>7.981180887E9</v>
      </c>
      <c r="F1301" s="221" t="s">
        <v>73</v>
      </c>
      <c r="G1301" s="9" t="s">
        <v>6950</v>
      </c>
      <c r="H1301" s="234">
        <v>46086.0</v>
      </c>
      <c r="I1301" s="232"/>
      <c r="J1301" s="9" t="s">
        <v>6951</v>
      </c>
      <c r="K1301" s="18"/>
      <c r="L1301" s="18"/>
      <c r="M1301" s="18"/>
      <c r="N1301" s="18"/>
      <c r="O1301" s="18"/>
      <c r="P1301" s="18"/>
      <c r="Q1301" s="18"/>
      <c r="R1301" s="18"/>
      <c r="S1301" s="18"/>
      <c r="T1301" s="18"/>
      <c r="U1301" s="18"/>
      <c r="V1301" s="18"/>
      <c r="W1301" s="18"/>
      <c r="X1301" s="18"/>
      <c r="Y1301" s="18"/>
      <c r="Z1301" s="18"/>
    </row>
    <row r="1302" ht="22.5" customHeight="1">
      <c r="A1302" s="252">
        <v>46084.0</v>
      </c>
      <c r="B1302" s="218" t="s">
        <v>6952</v>
      </c>
      <c r="C1302" s="9"/>
      <c r="D1302" s="228" t="s">
        <v>6953</v>
      </c>
      <c r="E1302" s="216">
        <v>9.849556473E9</v>
      </c>
      <c r="F1302" s="221" t="s">
        <v>1919</v>
      </c>
      <c r="G1302" s="9" t="s">
        <v>6954</v>
      </c>
      <c r="H1302" s="234">
        <v>46084.0</v>
      </c>
      <c r="I1302" s="232">
        <v>0.7083333333333334</v>
      </c>
      <c r="J1302" s="9" t="s">
        <v>6955</v>
      </c>
      <c r="K1302" s="18"/>
      <c r="L1302" s="18"/>
      <c r="M1302" s="18"/>
      <c r="N1302" s="18"/>
      <c r="O1302" s="18"/>
      <c r="P1302" s="18"/>
      <c r="Q1302" s="18"/>
      <c r="R1302" s="18"/>
      <c r="S1302" s="18"/>
      <c r="T1302" s="18"/>
      <c r="U1302" s="18"/>
      <c r="V1302" s="18"/>
      <c r="W1302" s="18"/>
      <c r="X1302" s="18"/>
      <c r="Y1302" s="18"/>
      <c r="Z1302" s="18"/>
    </row>
    <row r="1303" ht="22.5" customHeight="1">
      <c r="A1303" s="252">
        <v>46084.0</v>
      </c>
      <c r="B1303" s="218" t="s">
        <v>6956</v>
      </c>
      <c r="C1303" s="9"/>
      <c r="D1303" s="228"/>
      <c r="E1303" s="216"/>
      <c r="F1303" s="221" t="s">
        <v>60</v>
      </c>
      <c r="G1303" s="9" t="s">
        <v>6957</v>
      </c>
      <c r="H1303" s="234">
        <v>46085.0</v>
      </c>
      <c r="I1303" s="232"/>
      <c r="J1303" s="35" t="s">
        <v>6958</v>
      </c>
      <c r="K1303" s="18"/>
      <c r="L1303" s="18"/>
      <c r="M1303" s="18"/>
      <c r="N1303" s="18"/>
      <c r="O1303" s="18"/>
      <c r="P1303" s="18"/>
      <c r="Q1303" s="18"/>
      <c r="R1303" s="18"/>
      <c r="S1303" s="18"/>
      <c r="T1303" s="18"/>
      <c r="U1303" s="18"/>
      <c r="V1303" s="18"/>
      <c r="W1303" s="18"/>
      <c r="X1303" s="18"/>
      <c r="Y1303" s="18"/>
      <c r="Z1303" s="18"/>
    </row>
    <row r="1304" ht="22.5" customHeight="1">
      <c r="A1304" s="252">
        <v>46084.0</v>
      </c>
      <c r="B1304" s="218" t="s">
        <v>6959</v>
      </c>
      <c r="C1304" s="9"/>
      <c r="D1304" s="228" t="s">
        <v>6960</v>
      </c>
      <c r="E1304" s="216">
        <v>7.981958799E9</v>
      </c>
      <c r="F1304" s="221" t="s">
        <v>241</v>
      </c>
      <c r="G1304" s="9" t="s">
        <v>6961</v>
      </c>
      <c r="H1304" s="234"/>
      <c r="I1304" s="232"/>
      <c r="J1304" s="9"/>
      <c r="K1304" s="18"/>
      <c r="L1304" s="18"/>
      <c r="M1304" s="18"/>
      <c r="N1304" s="18"/>
      <c r="O1304" s="18"/>
      <c r="P1304" s="18"/>
      <c r="Q1304" s="18"/>
      <c r="R1304" s="18"/>
      <c r="S1304" s="18"/>
      <c r="T1304" s="18"/>
      <c r="U1304" s="18"/>
      <c r="V1304" s="18"/>
      <c r="W1304" s="18"/>
      <c r="X1304" s="18"/>
      <c r="Y1304" s="18"/>
      <c r="Z1304" s="18"/>
    </row>
    <row r="1305" ht="22.5" customHeight="1">
      <c r="A1305" s="252">
        <v>46084.0</v>
      </c>
      <c r="B1305" s="218" t="s">
        <v>6962</v>
      </c>
      <c r="C1305" s="9"/>
      <c r="D1305" s="228" t="s">
        <v>6963</v>
      </c>
      <c r="E1305" s="216">
        <v>7.993617733E9</v>
      </c>
      <c r="F1305" s="221" t="s">
        <v>241</v>
      </c>
      <c r="G1305" s="9" t="s">
        <v>6964</v>
      </c>
      <c r="H1305" s="234">
        <v>46085.0</v>
      </c>
      <c r="I1305" s="232"/>
      <c r="J1305" s="140" t="s">
        <v>6965</v>
      </c>
      <c r="K1305" s="18"/>
      <c r="L1305" s="18"/>
      <c r="M1305" s="18"/>
      <c r="N1305" s="18"/>
      <c r="O1305" s="18"/>
      <c r="P1305" s="18"/>
      <c r="Q1305" s="18"/>
      <c r="R1305" s="18"/>
      <c r="S1305" s="18"/>
      <c r="T1305" s="18"/>
      <c r="U1305" s="18"/>
      <c r="V1305" s="18"/>
      <c r="W1305" s="18"/>
      <c r="X1305" s="18"/>
      <c r="Y1305" s="18"/>
      <c r="Z1305" s="18"/>
    </row>
    <row r="1306" ht="22.5" customHeight="1">
      <c r="A1306" s="252">
        <v>46084.0</v>
      </c>
      <c r="B1306" s="218" t="s">
        <v>6966</v>
      </c>
      <c r="C1306" s="9"/>
      <c r="D1306" s="228"/>
      <c r="E1306" s="216"/>
      <c r="F1306" s="221" t="s">
        <v>1919</v>
      </c>
      <c r="G1306" s="9" t="s">
        <v>6967</v>
      </c>
      <c r="H1306" s="234"/>
      <c r="I1306" s="232"/>
      <c r="J1306" s="35" t="s">
        <v>6856</v>
      </c>
      <c r="K1306" s="18"/>
      <c r="L1306" s="18"/>
      <c r="M1306" s="18"/>
      <c r="N1306" s="18"/>
      <c r="O1306" s="18"/>
      <c r="P1306" s="18"/>
      <c r="Q1306" s="18"/>
      <c r="R1306" s="18"/>
      <c r="S1306" s="18"/>
      <c r="T1306" s="18"/>
      <c r="U1306" s="18"/>
      <c r="V1306" s="18"/>
      <c r="W1306" s="18"/>
      <c r="X1306" s="18"/>
      <c r="Y1306" s="18"/>
      <c r="Z1306" s="18"/>
    </row>
    <row r="1307" ht="22.5" customHeight="1">
      <c r="A1307" s="252">
        <v>46084.0</v>
      </c>
      <c r="B1307" s="218" t="s">
        <v>6968</v>
      </c>
      <c r="C1307" s="9"/>
      <c r="D1307" s="228"/>
      <c r="E1307" s="216"/>
      <c r="F1307" s="221" t="s">
        <v>96</v>
      </c>
      <c r="G1307" s="9" t="s">
        <v>6969</v>
      </c>
      <c r="H1307" s="234">
        <v>46084.0</v>
      </c>
      <c r="I1307" s="232">
        <v>0.875</v>
      </c>
      <c r="J1307" s="9" t="s">
        <v>6970</v>
      </c>
      <c r="K1307" s="18"/>
      <c r="L1307" s="18"/>
      <c r="M1307" s="18"/>
      <c r="N1307" s="18"/>
      <c r="O1307" s="18"/>
      <c r="P1307" s="18"/>
      <c r="Q1307" s="18"/>
      <c r="R1307" s="18"/>
      <c r="S1307" s="18"/>
      <c r="T1307" s="18"/>
      <c r="U1307" s="18"/>
      <c r="V1307" s="18"/>
      <c r="W1307" s="18"/>
      <c r="X1307" s="18"/>
      <c r="Y1307" s="18"/>
      <c r="Z1307" s="18"/>
    </row>
    <row r="1308" ht="22.5" customHeight="1">
      <c r="A1308" s="252">
        <v>46084.0</v>
      </c>
      <c r="B1308" s="218" t="s">
        <v>6850</v>
      </c>
      <c r="C1308" s="9"/>
      <c r="D1308" s="228"/>
      <c r="E1308" s="216"/>
      <c r="F1308" s="221" t="s">
        <v>96</v>
      </c>
      <c r="G1308" s="9" t="s">
        <v>6971</v>
      </c>
      <c r="H1308" s="234"/>
      <c r="I1308" s="232"/>
      <c r="J1308" s="9" t="s">
        <v>6972</v>
      </c>
      <c r="K1308" s="18"/>
      <c r="L1308" s="18"/>
      <c r="M1308" s="18"/>
      <c r="N1308" s="18"/>
      <c r="O1308" s="18"/>
      <c r="P1308" s="18"/>
      <c r="Q1308" s="18"/>
      <c r="R1308" s="18"/>
      <c r="S1308" s="18"/>
      <c r="T1308" s="18"/>
      <c r="U1308" s="18"/>
      <c r="V1308" s="18"/>
      <c r="W1308" s="18"/>
      <c r="X1308" s="18"/>
      <c r="Y1308" s="18"/>
      <c r="Z1308" s="18"/>
    </row>
    <row r="1309" ht="22.5" customHeight="1">
      <c r="A1309" s="252">
        <v>46084.0</v>
      </c>
      <c r="B1309" s="218" t="s">
        <v>6973</v>
      </c>
      <c r="C1309" s="9"/>
      <c r="D1309" s="228"/>
      <c r="E1309" s="216">
        <v>9.000777275E9</v>
      </c>
      <c r="F1309" s="221" t="s">
        <v>248</v>
      </c>
      <c r="G1309" s="9" t="s">
        <v>6974</v>
      </c>
      <c r="H1309" s="234"/>
      <c r="I1309" s="232"/>
      <c r="J1309" s="9" t="s">
        <v>6975</v>
      </c>
      <c r="K1309" s="18"/>
      <c r="L1309" s="18"/>
      <c r="M1309" s="18"/>
      <c r="N1309" s="18"/>
      <c r="O1309" s="18"/>
      <c r="P1309" s="18"/>
      <c r="Q1309" s="18"/>
      <c r="R1309" s="18"/>
      <c r="S1309" s="18"/>
      <c r="T1309" s="18"/>
      <c r="U1309" s="18"/>
      <c r="V1309" s="18"/>
      <c r="W1309" s="18"/>
      <c r="X1309" s="18"/>
      <c r="Y1309" s="18"/>
      <c r="Z1309" s="18"/>
    </row>
    <row r="1310" ht="22.5" customHeight="1">
      <c r="A1310" s="252">
        <v>46084.0</v>
      </c>
      <c r="B1310" s="218" t="s">
        <v>6976</v>
      </c>
      <c r="C1310" s="9"/>
      <c r="D1310" s="228" t="s">
        <v>6977</v>
      </c>
      <c r="E1310" s="216">
        <v>9.951698337E9</v>
      </c>
      <c r="F1310" s="221" t="s">
        <v>241</v>
      </c>
      <c r="G1310" s="9" t="s">
        <v>6961</v>
      </c>
      <c r="H1310" s="234"/>
      <c r="I1310" s="232"/>
      <c r="J1310" s="9"/>
      <c r="K1310" s="18"/>
      <c r="L1310" s="18"/>
      <c r="M1310" s="18"/>
      <c r="N1310" s="18"/>
      <c r="O1310" s="18"/>
      <c r="P1310" s="18"/>
      <c r="Q1310" s="18"/>
      <c r="R1310" s="18"/>
      <c r="S1310" s="18"/>
      <c r="T1310" s="18"/>
      <c r="U1310" s="18"/>
      <c r="V1310" s="18"/>
      <c r="W1310" s="18"/>
      <c r="X1310" s="18"/>
      <c r="Y1310" s="18"/>
      <c r="Z1310" s="18"/>
    </row>
    <row r="1311" ht="22.5" customHeight="1">
      <c r="A1311" s="252">
        <v>46084.0</v>
      </c>
      <c r="B1311" s="218" t="s">
        <v>6978</v>
      </c>
      <c r="C1311" s="9"/>
      <c r="D1311" s="228"/>
      <c r="E1311" s="216">
        <v>9.177056777E9</v>
      </c>
      <c r="F1311" s="221" t="s">
        <v>241</v>
      </c>
      <c r="G1311" s="9" t="s">
        <v>6979</v>
      </c>
      <c r="H1311" s="234"/>
      <c r="I1311" s="232"/>
      <c r="J1311" s="9" t="s">
        <v>6980</v>
      </c>
      <c r="K1311" s="18"/>
      <c r="L1311" s="18"/>
      <c r="M1311" s="18"/>
      <c r="N1311" s="18"/>
      <c r="O1311" s="18"/>
      <c r="P1311" s="18"/>
      <c r="Q1311" s="18"/>
      <c r="R1311" s="18"/>
      <c r="S1311" s="18"/>
      <c r="T1311" s="18"/>
      <c r="U1311" s="18"/>
      <c r="V1311" s="18"/>
      <c r="W1311" s="18"/>
      <c r="X1311" s="18"/>
      <c r="Y1311" s="18"/>
      <c r="Z1311" s="18"/>
    </row>
    <row r="1312" ht="22.5" customHeight="1">
      <c r="A1312" s="252">
        <v>46084.0</v>
      </c>
      <c r="B1312" s="218" t="s">
        <v>6981</v>
      </c>
      <c r="C1312" s="9"/>
      <c r="D1312" s="228" t="s">
        <v>6982</v>
      </c>
      <c r="E1312" s="216">
        <v>9.985294783E9</v>
      </c>
      <c r="F1312" s="221" t="s">
        <v>248</v>
      </c>
      <c r="G1312" s="9" t="s">
        <v>6983</v>
      </c>
      <c r="H1312" s="234">
        <v>46086.0</v>
      </c>
      <c r="I1312" s="232"/>
      <c r="J1312" s="9" t="s">
        <v>6984</v>
      </c>
      <c r="K1312" s="18"/>
      <c r="L1312" s="18"/>
      <c r="M1312" s="18"/>
      <c r="N1312" s="18"/>
      <c r="O1312" s="18"/>
      <c r="P1312" s="18"/>
      <c r="Q1312" s="18"/>
      <c r="R1312" s="18"/>
      <c r="S1312" s="18"/>
      <c r="T1312" s="18"/>
      <c r="U1312" s="18"/>
      <c r="V1312" s="18"/>
      <c r="W1312" s="18"/>
      <c r="X1312" s="18"/>
      <c r="Y1312" s="18"/>
      <c r="Z1312" s="18"/>
    </row>
    <row r="1313" ht="22.5" customHeight="1">
      <c r="A1313" s="252">
        <v>46084.0</v>
      </c>
      <c r="B1313" s="218" t="s">
        <v>6985</v>
      </c>
      <c r="C1313" s="9"/>
      <c r="D1313" s="228" t="s">
        <v>6986</v>
      </c>
      <c r="E1313" s="216">
        <v>9.160016806E9</v>
      </c>
      <c r="F1313" s="221" t="s">
        <v>1919</v>
      </c>
      <c r="G1313" s="9" t="s">
        <v>6987</v>
      </c>
      <c r="H1313" s="234"/>
      <c r="I1313" s="232"/>
      <c r="J1313" s="9" t="s">
        <v>6988</v>
      </c>
      <c r="K1313" s="18"/>
      <c r="L1313" s="18"/>
      <c r="M1313" s="18"/>
      <c r="N1313" s="18"/>
      <c r="O1313" s="18"/>
      <c r="P1313" s="18"/>
      <c r="Q1313" s="18"/>
      <c r="R1313" s="18"/>
      <c r="S1313" s="18"/>
      <c r="T1313" s="18"/>
      <c r="U1313" s="18"/>
      <c r="V1313" s="18"/>
      <c r="W1313" s="18"/>
      <c r="X1313" s="18"/>
      <c r="Y1313" s="18"/>
      <c r="Z1313" s="18"/>
    </row>
    <row r="1314" ht="22.5" customHeight="1">
      <c r="A1314" s="252">
        <v>46084.0</v>
      </c>
      <c r="B1314" s="218" t="s">
        <v>6989</v>
      </c>
      <c r="C1314" s="9"/>
      <c r="D1314" s="228"/>
      <c r="E1314" s="216">
        <v>9.347762647E9</v>
      </c>
      <c r="F1314" s="221" t="s">
        <v>96</v>
      </c>
      <c r="G1314" s="9" t="s">
        <v>6990</v>
      </c>
      <c r="H1314" s="234"/>
      <c r="I1314" s="232"/>
      <c r="J1314" s="9" t="s">
        <v>6991</v>
      </c>
      <c r="K1314" s="18"/>
      <c r="L1314" s="18"/>
      <c r="M1314" s="18"/>
      <c r="N1314" s="18"/>
      <c r="O1314" s="18"/>
      <c r="P1314" s="18"/>
      <c r="Q1314" s="18"/>
      <c r="R1314" s="18"/>
      <c r="S1314" s="18"/>
      <c r="T1314" s="18"/>
      <c r="U1314" s="18"/>
      <c r="V1314" s="18"/>
      <c r="W1314" s="18"/>
      <c r="X1314" s="18"/>
      <c r="Y1314" s="18"/>
      <c r="Z1314" s="18"/>
    </row>
    <row r="1315" ht="22.5" customHeight="1">
      <c r="A1315" s="252">
        <v>46084.0</v>
      </c>
      <c r="B1315" s="218" t="s">
        <v>6992</v>
      </c>
      <c r="C1315" s="9"/>
      <c r="D1315" s="228" t="s">
        <v>6993</v>
      </c>
      <c r="E1315" s="216">
        <v>9.3910197604E10</v>
      </c>
      <c r="F1315" s="221" t="s">
        <v>248</v>
      </c>
      <c r="G1315" s="9" t="s">
        <v>6994</v>
      </c>
      <c r="H1315" s="234">
        <v>46087.0</v>
      </c>
      <c r="I1315" s="232"/>
      <c r="J1315" s="9" t="s">
        <v>6995</v>
      </c>
      <c r="K1315" s="18"/>
      <c r="L1315" s="18"/>
      <c r="M1315" s="18"/>
      <c r="N1315" s="18"/>
      <c r="O1315" s="18"/>
      <c r="P1315" s="18"/>
      <c r="Q1315" s="18"/>
      <c r="R1315" s="18"/>
      <c r="S1315" s="18"/>
      <c r="T1315" s="18"/>
      <c r="U1315" s="18"/>
      <c r="V1315" s="18"/>
      <c r="W1315" s="18"/>
      <c r="X1315" s="18"/>
      <c r="Y1315" s="18"/>
      <c r="Z1315" s="18"/>
    </row>
    <row r="1316" ht="22.5" customHeight="1">
      <c r="A1316" s="252">
        <v>46084.0</v>
      </c>
      <c r="B1316" s="218" t="s">
        <v>6996</v>
      </c>
      <c r="C1316" s="9"/>
      <c r="D1316" s="228" t="s">
        <v>4646</v>
      </c>
      <c r="E1316" s="216"/>
      <c r="F1316" s="221" t="s">
        <v>1919</v>
      </c>
      <c r="G1316" s="9" t="s">
        <v>6997</v>
      </c>
      <c r="H1316" s="234"/>
      <c r="I1316" s="232"/>
      <c r="J1316" s="9" t="s">
        <v>6998</v>
      </c>
      <c r="K1316" s="18"/>
      <c r="L1316" s="18"/>
      <c r="M1316" s="18"/>
      <c r="N1316" s="18"/>
      <c r="O1316" s="18"/>
      <c r="P1316" s="18"/>
      <c r="Q1316" s="18"/>
      <c r="R1316" s="18"/>
      <c r="S1316" s="18"/>
      <c r="T1316" s="18"/>
      <c r="U1316" s="18"/>
      <c r="V1316" s="18"/>
      <c r="W1316" s="18"/>
      <c r="X1316" s="18"/>
      <c r="Y1316" s="18"/>
      <c r="Z1316" s="18"/>
    </row>
    <row r="1317" ht="22.5" customHeight="1">
      <c r="A1317" s="252">
        <v>46084.0</v>
      </c>
      <c r="B1317" s="218" t="s">
        <v>6999</v>
      </c>
      <c r="C1317" s="9"/>
      <c r="D1317" s="228"/>
      <c r="E1317" s="216"/>
      <c r="F1317" s="221" t="s">
        <v>96</v>
      </c>
      <c r="G1317" s="9" t="s">
        <v>7000</v>
      </c>
      <c r="H1317" s="234"/>
      <c r="I1317" s="232"/>
      <c r="J1317" s="9" t="s">
        <v>7001</v>
      </c>
      <c r="K1317" s="18"/>
      <c r="L1317" s="18"/>
      <c r="M1317" s="18"/>
      <c r="N1317" s="18"/>
      <c r="O1317" s="18"/>
      <c r="P1317" s="18"/>
      <c r="Q1317" s="18"/>
      <c r="R1317" s="18"/>
      <c r="S1317" s="18"/>
      <c r="T1317" s="18"/>
      <c r="U1317" s="18"/>
      <c r="V1317" s="18"/>
      <c r="W1317" s="18"/>
      <c r="X1317" s="18"/>
      <c r="Y1317" s="18"/>
      <c r="Z1317" s="18"/>
    </row>
    <row r="1318" ht="22.5" customHeight="1">
      <c r="A1318" s="252">
        <v>46084.0</v>
      </c>
      <c r="B1318" s="218" t="s">
        <v>7002</v>
      </c>
      <c r="C1318" s="9"/>
      <c r="D1318" s="228"/>
      <c r="E1318" s="216"/>
      <c r="F1318" s="221" t="s">
        <v>96</v>
      </c>
      <c r="G1318" s="9" t="s">
        <v>7003</v>
      </c>
      <c r="H1318" s="234"/>
      <c r="I1318" s="232"/>
      <c r="J1318" s="9" t="s">
        <v>7004</v>
      </c>
      <c r="K1318" s="18"/>
      <c r="L1318" s="18"/>
      <c r="M1318" s="18"/>
      <c r="N1318" s="18"/>
      <c r="O1318" s="18"/>
      <c r="P1318" s="18"/>
      <c r="Q1318" s="18"/>
      <c r="R1318" s="18"/>
      <c r="S1318" s="18"/>
      <c r="T1318" s="18"/>
      <c r="U1318" s="18"/>
      <c r="V1318" s="18"/>
      <c r="W1318" s="18"/>
      <c r="X1318" s="18"/>
      <c r="Y1318" s="18"/>
      <c r="Z1318" s="18"/>
    </row>
    <row r="1319" ht="22.5" customHeight="1">
      <c r="A1319" s="252">
        <v>46084.0</v>
      </c>
      <c r="B1319" s="218" t="s">
        <v>7005</v>
      </c>
      <c r="C1319" s="9"/>
      <c r="D1319" s="228"/>
      <c r="E1319" s="216">
        <v>9.398596919E9</v>
      </c>
      <c r="F1319" s="221" t="s">
        <v>96</v>
      </c>
      <c r="G1319" s="9" t="s">
        <v>7006</v>
      </c>
      <c r="H1319" s="234"/>
      <c r="I1319" s="232"/>
      <c r="J1319" s="9" t="s">
        <v>7007</v>
      </c>
      <c r="K1319" s="18"/>
      <c r="L1319" s="18"/>
      <c r="M1319" s="18"/>
      <c r="N1319" s="18"/>
      <c r="O1319" s="18"/>
      <c r="P1319" s="18"/>
      <c r="Q1319" s="18"/>
      <c r="R1319" s="18"/>
      <c r="S1319" s="18"/>
      <c r="T1319" s="18"/>
      <c r="U1319" s="18"/>
      <c r="V1319" s="18"/>
      <c r="W1319" s="18"/>
      <c r="X1319" s="18"/>
      <c r="Y1319" s="18"/>
      <c r="Z1319" s="18"/>
    </row>
    <row r="1320" ht="22.5" customHeight="1">
      <c r="A1320" s="252">
        <v>46084.0</v>
      </c>
      <c r="B1320" s="218" t="s">
        <v>7008</v>
      </c>
      <c r="C1320" s="9"/>
      <c r="D1320" s="228"/>
      <c r="E1320" s="216"/>
      <c r="F1320" s="221" t="s">
        <v>144</v>
      </c>
      <c r="G1320" s="9" t="s">
        <v>7009</v>
      </c>
      <c r="H1320" s="234"/>
      <c r="I1320" s="232"/>
      <c r="J1320" s="9"/>
      <c r="K1320" s="18"/>
      <c r="L1320" s="18"/>
      <c r="M1320" s="18"/>
      <c r="N1320" s="18"/>
      <c r="O1320" s="18"/>
      <c r="P1320" s="18"/>
      <c r="Q1320" s="18"/>
      <c r="R1320" s="18"/>
      <c r="S1320" s="18"/>
      <c r="T1320" s="18"/>
      <c r="U1320" s="18"/>
      <c r="V1320" s="18"/>
      <c r="W1320" s="18"/>
      <c r="X1320" s="18"/>
      <c r="Y1320" s="18"/>
      <c r="Z1320" s="18"/>
    </row>
    <row r="1321" ht="22.5" customHeight="1">
      <c r="A1321" s="252">
        <v>46084.0</v>
      </c>
      <c r="B1321" s="218" t="s">
        <v>7010</v>
      </c>
      <c r="C1321" s="9"/>
      <c r="D1321" s="228" t="s">
        <v>952</v>
      </c>
      <c r="E1321" s="216">
        <v>8.88581819E9</v>
      </c>
      <c r="F1321" s="221" t="s">
        <v>96</v>
      </c>
      <c r="G1321" s="9" t="s">
        <v>7011</v>
      </c>
      <c r="H1321" s="234"/>
      <c r="I1321" s="232"/>
      <c r="J1321" s="9" t="s">
        <v>7012</v>
      </c>
      <c r="K1321" s="18"/>
      <c r="L1321" s="18"/>
      <c r="M1321" s="18"/>
      <c r="N1321" s="18"/>
      <c r="O1321" s="18"/>
      <c r="P1321" s="18"/>
      <c r="Q1321" s="18"/>
      <c r="R1321" s="18"/>
      <c r="S1321" s="18"/>
      <c r="T1321" s="18"/>
      <c r="U1321" s="18"/>
      <c r="V1321" s="18"/>
      <c r="W1321" s="18"/>
      <c r="X1321" s="18"/>
      <c r="Y1321" s="18"/>
      <c r="Z1321" s="18"/>
    </row>
    <row r="1322" ht="22.5" customHeight="1">
      <c r="A1322" s="252">
        <v>46084.0</v>
      </c>
      <c r="B1322" s="218" t="s">
        <v>7013</v>
      </c>
      <c r="C1322" s="9"/>
      <c r="D1322" s="228" t="s">
        <v>7014</v>
      </c>
      <c r="E1322" s="216">
        <v>7.989506022E9</v>
      </c>
      <c r="F1322" s="221" t="s">
        <v>248</v>
      </c>
      <c r="G1322" s="9" t="s">
        <v>7015</v>
      </c>
      <c r="H1322" s="234"/>
      <c r="I1322" s="232"/>
      <c r="J1322" s="9" t="s">
        <v>7016</v>
      </c>
      <c r="K1322" s="18"/>
      <c r="L1322" s="18"/>
      <c r="M1322" s="18"/>
      <c r="N1322" s="18"/>
      <c r="O1322" s="18"/>
      <c r="P1322" s="18"/>
      <c r="Q1322" s="18"/>
      <c r="R1322" s="18"/>
      <c r="S1322" s="18"/>
      <c r="T1322" s="18"/>
      <c r="U1322" s="18"/>
      <c r="V1322" s="18"/>
      <c r="W1322" s="18"/>
      <c r="X1322" s="18"/>
      <c r="Y1322" s="18"/>
      <c r="Z1322" s="18"/>
    </row>
    <row r="1323" ht="22.5" customHeight="1">
      <c r="A1323" s="252">
        <v>46084.0</v>
      </c>
      <c r="B1323" s="218" t="s">
        <v>7017</v>
      </c>
      <c r="C1323" s="9" t="s">
        <v>7018</v>
      </c>
      <c r="D1323" s="228" t="s">
        <v>7019</v>
      </c>
      <c r="E1323" s="216">
        <v>9.100086888E9</v>
      </c>
      <c r="F1323" s="221" t="s">
        <v>96</v>
      </c>
      <c r="G1323" s="9" t="s">
        <v>7020</v>
      </c>
      <c r="H1323" s="234"/>
      <c r="I1323" s="232"/>
      <c r="J1323" s="9" t="s">
        <v>7021</v>
      </c>
      <c r="K1323" s="18"/>
      <c r="L1323" s="18"/>
      <c r="M1323" s="18"/>
      <c r="N1323" s="18"/>
      <c r="O1323" s="18"/>
      <c r="P1323" s="18"/>
      <c r="Q1323" s="18"/>
      <c r="R1323" s="18"/>
      <c r="S1323" s="18"/>
      <c r="T1323" s="18"/>
      <c r="U1323" s="18"/>
      <c r="V1323" s="18"/>
      <c r="W1323" s="18"/>
      <c r="X1323" s="18"/>
      <c r="Y1323" s="18"/>
      <c r="Z1323" s="18"/>
    </row>
    <row r="1324" ht="22.5" customHeight="1">
      <c r="A1324" s="252">
        <v>46084.0</v>
      </c>
      <c r="B1324" s="218" t="s">
        <v>7022</v>
      </c>
      <c r="C1324" s="9"/>
      <c r="D1324" s="228" t="s">
        <v>5677</v>
      </c>
      <c r="E1324" s="216">
        <v>9.392458705E9</v>
      </c>
      <c r="F1324" s="221" t="s">
        <v>96</v>
      </c>
      <c r="G1324" s="9" t="s">
        <v>7023</v>
      </c>
      <c r="H1324" s="234"/>
      <c r="I1324" s="232"/>
      <c r="J1324" s="9" t="s">
        <v>6998</v>
      </c>
      <c r="K1324" s="18"/>
      <c r="L1324" s="18"/>
      <c r="M1324" s="18"/>
      <c r="N1324" s="18"/>
      <c r="O1324" s="18"/>
      <c r="P1324" s="18"/>
      <c r="Q1324" s="18"/>
      <c r="R1324" s="18"/>
      <c r="S1324" s="18"/>
      <c r="T1324" s="18"/>
      <c r="U1324" s="18"/>
      <c r="V1324" s="18"/>
      <c r="W1324" s="18"/>
      <c r="X1324" s="18"/>
      <c r="Y1324" s="18"/>
      <c r="Z1324" s="18"/>
    </row>
    <row r="1325" ht="22.5" customHeight="1">
      <c r="A1325" s="252">
        <v>46084.0</v>
      </c>
      <c r="B1325" s="218" t="s">
        <v>7024</v>
      </c>
      <c r="C1325" s="9"/>
      <c r="D1325" s="228" t="s">
        <v>7025</v>
      </c>
      <c r="E1325" s="216">
        <v>7.397400542E9</v>
      </c>
      <c r="F1325" s="221" t="s">
        <v>96</v>
      </c>
      <c r="G1325" s="9" t="s">
        <v>7026</v>
      </c>
      <c r="H1325" s="234"/>
      <c r="I1325" s="232"/>
      <c r="J1325" s="9" t="s">
        <v>7027</v>
      </c>
      <c r="K1325" s="18"/>
      <c r="L1325" s="18"/>
      <c r="M1325" s="18"/>
      <c r="N1325" s="18"/>
      <c r="O1325" s="18"/>
      <c r="P1325" s="18"/>
      <c r="Q1325" s="18"/>
      <c r="R1325" s="18"/>
      <c r="S1325" s="18"/>
      <c r="T1325" s="18"/>
      <c r="U1325" s="18"/>
      <c r="V1325" s="18"/>
      <c r="W1325" s="18"/>
      <c r="X1325" s="18"/>
      <c r="Y1325" s="18"/>
      <c r="Z1325" s="18"/>
    </row>
    <row r="1326" ht="22.5" customHeight="1">
      <c r="A1326" s="252">
        <v>46084.0</v>
      </c>
      <c r="B1326" s="218" t="s">
        <v>7028</v>
      </c>
      <c r="C1326" s="9"/>
      <c r="D1326" s="228" t="s">
        <v>7029</v>
      </c>
      <c r="E1326" s="216">
        <v>9.86636464E9</v>
      </c>
      <c r="F1326" s="221" t="s">
        <v>144</v>
      </c>
      <c r="G1326" s="9" t="s">
        <v>7030</v>
      </c>
      <c r="H1326" s="234">
        <v>46085.0</v>
      </c>
      <c r="I1326" s="232"/>
      <c r="J1326" s="9"/>
      <c r="K1326" s="18"/>
      <c r="L1326" s="18"/>
      <c r="M1326" s="18"/>
      <c r="N1326" s="18"/>
      <c r="O1326" s="18"/>
      <c r="P1326" s="18"/>
      <c r="Q1326" s="18"/>
      <c r="R1326" s="18"/>
      <c r="S1326" s="18"/>
      <c r="T1326" s="18"/>
      <c r="U1326" s="18"/>
      <c r="V1326" s="18"/>
      <c r="W1326" s="18"/>
      <c r="X1326" s="18"/>
      <c r="Y1326" s="18"/>
      <c r="Z1326" s="18"/>
    </row>
    <row r="1327" ht="22.5" customHeight="1">
      <c r="A1327" s="252">
        <v>46084.0</v>
      </c>
      <c r="B1327" s="218" t="s">
        <v>7031</v>
      </c>
      <c r="C1327" s="9"/>
      <c r="D1327" s="228" t="s">
        <v>7032</v>
      </c>
      <c r="E1327" s="216">
        <v>9.67609933E9</v>
      </c>
      <c r="F1327" s="221" t="s">
        <v>241</v>
      </c>
      <c r="G1327" s="9" t="s">
        <v>7033</v>
      </c>
      <c r="H1327" s="234"/>
      <c r="I1327" s="232"/>
      <c r="J1327" s="9"/>
      <c r="K1327" s="18"/>
      <c r="L1327" s="18"/>
      <c r="M1327" s="18"/>
      <c r="N1327" s="18"/>
      <c r="O1327" s="18"/>
      <c r="P1327" s="18"/>
      <c r="Q1327" s="18"/>
      <c r="R1327" s="18"/>
      <c r="S1327" s="18"/>
      <c r="T1327" s="18"/>
      <c r="U1327" s="18"/>
      <c r="V1327" s="18"/>
      <c r="W1327" s="18"/>
      <c r="X1327" s="18"/>
      <c r="Y1327" s="18"/>
      <c r="Z1327" s="18"/>
    </row>
    <row r="1328" ht="22.5" customHeight="1">
      <c r="A1328" s="252">
        <v>46084.0</v>
      </c>
      <c r="B1328" s="218" t="s">
        <v>7034</v>
      </c>
      <c r="C1328" s="9"/>
      <c r="D1328" s="228" t="s">
        <v>3278</v>
      </c>
      <c r="E1328" s="216">
        <v>9.67609933E9</v>
      </c>
      <c r="F1328" s="221" t="s">
        <v>241</v>
      </c>
      <c r="G1328" s="9" t="s">
        <v>7033</v>
      </c>
      <c r="H1328" s="234"/>
      <c r="I1328" s="232"/>
      <c r="J1328" s="140" t="s">
        <v>7035</v>
      </c>
      <c r="K1328" s="18"/>
      <c r="L1328" s="18"/>
      <c r="M1328" s="18"/>
      <c r="N1328" s="18"/>
      <c r="O1328" s="18"/>
      <c r="P1328" s="18"/>
      <c r="Q1328" s="18"/>
      <c r="R1328" s="18"/>
      <c r="S1328" s="18"/>
      <c r="T1328" s="18"/>
      <c r="U1328" s="18"/>
      <c r="V1328" s="18"/>
      <c r="W1328" s="18"/>
      <c r="X1328" s="18"/>
      <c r="Y1328" s="18"/>
      <c r="Z1328" s="18"/>
    </row>
    <row r="1329" ht="22.5" customHeight="1">
      <c r="A1329" s="252">
        <v>46084.0</v>
      </c>
      <c r="B1329" s="218" t="s">
        <v>7036</v>
      </c>
      <c r="C1329" s="9"/>
      <c r="D1329" s="228"/>
      <c r="E1329" s="216"/>
      <c r="F1329" s="221" t="s">
        <v>241</v>
      </c>
      <c r="G1329" s="9" t="s">
        <v>7037</v>
      </c>
      <c r="H1329" s="234"/>
      <c r="I1329" s="232"/>
      <c r="J1329" s="9"/>
      <c r="K1329" s="18"/>
      <c r="L1329" s="18"/>
      <c r="M1329" s="18"/>
      <c r="N1329" s="18"/>
      <c r="O1329" s="18"/>
      <c r="P1329" s="18"/>
      <c r="Q1329" s="18"/>
      <c r="R1329" s="18"/>
      <c r="S1329" s="18"/>
      <c r="T1329" s="18"/>
      <c r="U1329" s="18"/>
      <c r="V1329" s="18"/>
      <c r="W1329" s="18"/>
      <c r="X1329" s="18"/>
      <c r="Y1329" s="18"/>
      <c r="Z1329" s="18"/>
    </row>
    <row r="1330" ht="22.5" customHeight="1">
      <c r="A1330" s="252">
        <v>46084.0</v>
      </c>
      <c r="B1330" s="218" t="s">
        <v>7038</v>
      </c>
      <c r="C1330" s="9"/>
      <c r="D1330" s="228"/>
      <c r="E1330" s="216"/>
      <c r="F1330" s="221" t="s">
        <v>241</v>
      </c>
      <c r="G1330" s="9" t="s">
        <v>7039</v>
      </c>
      <c r="H1330" s="234"/>
      <c r="I1330" s="232"/>
      <c r="J1330" s="9" t="s">
        <v>7040</v>
      </c>
      <c r="K1330" s="18"/>
      <c r="L1330" s="18"/>
      <c r="M1330" s="18"/>
      <c r="N1330" s="18"/>
      <c r="O1330" s="18"/>
      <c r="P1330" s="18"/>
      <c r="Q1330" s="18"/>
      <c r="R1330" s="18"/>
      <c r="S1330" s="18"/>
      <c r="T1330" s="18"/>
      <c r="U1330" s="18"/>
      <c r="V1330" s="18"/>
      <c r="W1330" s="18"/>
      <c r="X1330" s="18"/>
      <c r="Y1330" s="18"/>
      <c r="Z1330" s="18"/>
    </row>
    <row r="1331" ht="22.5" customHeight="1">
      <c r="A1331" s="252">
        <v>46084.0</v>
      </c>
      <c r="B1331" s="218" t="s">
        <v>7041</v>
      </c>
      <c r="C1331" s="9"/>
      <c r="D1331" s="228" t="s">
        <v>7042</v>
      </c>
      <c r="E1331" s="216"/>
      <c r="F1331" s="221" t="s">
        <v>144</v>
      </c>
      <c r="G1331" s="9" t="s">
        <v>7043</v>
      </c>
      <c r="H1331" s="234"/>
      <c r="I1331" s="232"/>
      <c r="J1331" s="9"/>
      <c r="K1331" s="18"/>
      <c r="L1331" s="18"/>
      <c r="M1331" s="18"/>
      <c r="N1331" s="18"/>
      <c r="O1331" s="18"/>
      <c r="P1331" s="18"/>
      <c r="Q1331" s="18"/>
      <c r="R1331" s="18"/>
      <c r="S1331" s="18"/>
      <c r="T1331" s="18"/>
      <c r="U1331" s="18"/>
      <c r="V1331" s="18"/>
      <c r="W1331" s="18"/>
      <c r="X1331" s="18"/>
      <c r="Y1331" s="18"/>
      <c r="Z1331" s="18"/>
    </row>
    <row r="1332" ht="22.5" customHeight="1">
      <c r="A1332" s="252">
        <v>46084.0</v>
      </c>
      <c r="B1332" s="218" t="s">
        <v>7044</v>
      </c>
      <c r="C1332" s="9"/>
      <c r="D1332" s="228" t="s">
        <v>609</v>
      </c>
      <c r="E1332" s="216"/>
      <c r="F1332" s="221" t="s">
        <v>144</v>
      </c>
      <c r="G1332" s="9" t="s">
        <v>7045</v>
      </c>
      <c r="H1332" s="234"/>
      <c r="I1332" s="232"/>
      <c r="J1332" s="9"/>
      <c r="K1332" s="18"/>
      <c r="L1332" s="18"/>
      <c r="M1332" s="18"/>
      <c r="N1332" s="18"/>
      <c r="O1332" s="18"/>
      <c r="P1332" s="18"/>
      <c r="Q1332" s="18"/>
      <c r="R1332" s="18"/>
      <c r="S1332" s="18"/>
      <c r="T1332" s="18"/>
      <c r="U1332" s="18"/>
      <c r="V1332" s="18"/>
      <c r="W1332" s="18"/>
      <c r="X1332" s="18"/>
      <c r="Y1332" s="18"/>
      <c r="Z1332" s="18"/>
    </row>
    <row r="1333" ht="22.5" customHeight="1">
      <c r="A1333" s="252">
        <v>46084.0</v>
      </c>
      <c r="B1333" s="218" t="s">
        <v>3297</v>
      </c>
      <c r="C1333" s="9" t="s">
        <v>1165</v>
      </c>
      <c r="D1333" s="228"/>
      <c r="E1333" s="216"/>
      <c r="F1333" s="221" t="s">
        <v>73</v>
      </c>
      <c r="G1333" s="9" t="s">
        <v>7046</v>
      </c>
      <c r="H1333" s="234"/>
      <c r="I1333" s="232"/>
      <c r="J1333" s="35" t="s">
        <v>7047</v>
      </c>
      <c r="K1333" s="18"/>
      <c r="L1333" s="18"/>
      <c r="M1333" s="18"/>
      <c r="N1333" s="18"/>
      <c r="O1333" s="18"/>
      <c r="P1333" s="18"/>
      <c r="Q1333" s="18"/>
      <c r="R1333" s="18"/>
      <c r="S1333" s="18"/>
      <c r="T1333" s="18"/>
      <c r="U1333" s="18"/>
      <c r="V1333" s="18"/>
      <c r="W1333" s="18"/>
      <c r="X1333" s="18"/>
      <c r="Y1333" s="18"/>
      <c r="Z1333" s="18"/>
    </row>
    <row r="1334" ht="22.5" customHeight="1">
      <c r="A1334" s="252">
        <v>46084.0</v>
      </c>
      <c r="B1334" s="218" t="s">
        <v>3297</v>
      </c>
      <c r="C1334" s="9" t="s">
        <v>1165</v>
      </c>
      <c r="D1334" s="228"/>
      <c r="E1334" s="216"/>
      <c r="F1334" s="221" t="s">
        <v>73</v>
      </c>
      <c r="G1334" s="9" t="s">
        <v>7046</v>
      </c>
      <c r="H1334" s="234"/>
      <c r="I1334" s="232"/>
      <c r="J1334" s="35" t="s">
        <v>7047</v>
      </c>
      <c r="K1334" s="18"/>
      <c r="L1334" s="18"/>
      <c r="M1334" s="18"/>
      <c r="N1334" s="18"/>
      <c r="O1334" s="18"/>
      <c r="P1334" s="18"/>
      <c r="Q1334" s="18"/>
      <c r="R1334" s="18"/>
      <c r="S1334" s="18"/>
      <c r="T1334" s="18"/>
      <c r="U1334" s="18"/>
      <c r="V1334" s="18"/>
      <c r="W1334" s="18"/>
      <c r="X1334" s="18"/>
      <c r="Y1334" s="18"/>
      <c r="Z1334" s="18"/>
    </row>
    <row r="1335" ht="22.5" customHeight="1">
      <c r="A1335" s="252">
        <v>46084.0</v>
      </c>
      <c r="B1335" s="218" t="s">
        <v>7048</v>
      </c>
      <c r="C1335" s="9"/>
      <c r="D1335" s="228"/>
      <c r="E1335" s="216"/>
      <c r="F1335" s="221" t="s">
        <v>60</v>
      </c>
      <c r="G1335" s="9" t="s">
        <v>7049</v>
      </c>
      <c r="H1335" s="234"/>
      <c r="I1335" s="232"/>
      <c r="J1335" s="9" t="s">
        <v>7050</v>
      </c>
      <c r="K1335" s="18"/>
      <c r="L1335" s="18"/>
      <c r="M1335" s="18"/>
      <c r="N1335" s="18"/>
      <c r="O1335" s="18"/>
      <c r="P1335" s="18"/>
      <c r="Q1335" s="18"/>
      <c r="R1335" s="18"/>
      <c r="S1335" s="18"/>
      <c r="T1335" s="18"/>
      <c r="U1335" s="18"/>
      <c r="V1335" s="18"/>
      <c r="W1335" s="18"/>
      <c r="X1335" s="18"/>
      <c r="Y1335" s="18"/>
      <c r="Z1335" s="18"/>
    </row>
    <row r="1336" ht="22.5" customHeight="1">
      <c r="A1336" s="252">
        <v>46084.0</v>
      </c>
      <c r="B1336" s="218" t="s">
        <v>7051</v>
      </c>
      <c r="C1336" s="9"/>
      <c r="D1336" s="228" t="s">
        <v>7052</v>
      </c>
      <c r="E1336" s="216"/>
      <c r="F1336" s="221" t="s">
        <v>144</v>
      </c>
      <c r="G1336" s="9" t="s">
        <v>7053</v>
      </c>
      <c r="H1336" s="234"/>
      <c r="I1336" s="232"/>
      <c r="J1336" s="9"/>
      <c r="K1336" s="18"/>
      <c r="L1336" s="18"/>
      <c r="M1336" s="18"/>
      <c r="N1336" s="18"/>
      <c r="O1336" s="18"/>
      <c r="P1336" s="18"/>
      <c r="Q1336" s="18"/>
      <c r="R1336" s="18"/>
      <c r="S1336" s="18"/>
      <c r="T1336" s="18"/>
      <c r="U1336" s="18"/>
      <c r="V1336" s="18"/>
      <c r="W1336" s="18"/>
      <c r="X1336" s="18"/>
      <c r="Y1336" s="18"/>
      <c r="Z1336" s="18"/>
    </row>
    <row r="1337" ht="22.5" customHeight="1">
      <c r="A1337" s="252">
        <v>46084.0</v>
      </c>
      <c r="B1337" s="218" t="s">
        <v>7054</v>
      </c>
      <c r="C1337" s="9"/>
      <c r="D1337" s="228"/>
      <c r="E1337" s="216"/>
      <c r="F1337" s="221" t="s">
        <v>144</v>
      </c>
      <c r="G1337" s="9" t="s">
        <v>7055</v>
      </c>
      <c r="H1337" s="234">
        <v>46085.0</v>
      </c>
      <c r="I1337" s="232">
        <v>0.4583333333333333</v>
      </c>
      <c r="J1337" s="9"/>
      <c r="K1337" s="18"/>
      <c r="L1337" s="18"/>
      <c r="M1337" s="18"/>
      <c r="N1337" s="18"/>
      <c r="O1337" s="18"/>
      <c r="P1337" s="18"/>
      <c r="Q1337" s="18"/>
      <c r="R1337" s="18"/>
      <c r="S1337" s="18"/>
      <c r="T1337" s="18"/>
      <c r="U1337" s="18"/>
      <c r="V1337" s="18"/>
      <c r="W1337" s="18"/>
      <c r="X1337" s="18"/>
      <c r="Y1337" s="18"/>
      <c r="Z1337" s="18"/>
    </row>
    <row r="1338" ht="22.5" customHeight="1">
      <c r="A1338" s="252">
        <v>46084.0</v>
      </c>
      <c r="B1338" s="218" t="s">
        <v>7056</v>
      </c>
      <c r="C1338" s="9"/>
      <c r="D1338" s="228" t="s">
        <v>3291</v>
      </c>
      <c r="E1338" s="216">
        <v>9.100028909E9</v>
      </c>
      <c r="F1338" s="221" t="s">
        <v>73</v>
      </c>
      <c r="G1338" s="9" t="s">
        <v>7057</v>
      </c>
      <c r="H1338" s="234">
        <v>46086.0</v>
      </c>
      <c r="I1338" s="232"/>
      <c r="J1338" s="140" t="s">
        <v>7058</v>
      </c>
      <c r="K1338" s="18"/>
      <c r="L1338" s="18"/>
      <c r="M1338" s="18"/>
      <c r="N1338" s="18"/>
      <c r="O1338" s="18"/>
      <c r="P1338" s="18"/>
      <c r="Q1338" s="18"/>
      <c r="R1338" s="18"/>
      <c r="S1338" s="18"/>
      <c r="T1338" s="18"/>
      <c r="U1338" s="18"/>
      <c r="V1338" s="18"/>
      <c r="W1338" s="18"/>
      <c r="X1338" s="18"/>
      <c r="Y1338" s="18"/>
      <c r="Z1338" s="18"/>
    </row>
    <row r="1339" ht="22.5" customHeight="1">
      <c r="A1339" s="252">
        <v>46084.0</v>
      </c>
      <c r="B1339" s="218" t="s">
        <v>7059</v>
      </c>
      <c r="C1339" s="9"/>
      <c r="D1339" s="228" t="s">
        <v>7060</v>
      </c>
      <c r="E1339" s="216"/>
      <c r="F1339" s="221" t="s">
        <v>144</v>
      </c>
      <c r="G1339" s="9" t="s">
        <v>7061</v>
      </c>
      <c r="H1339" s="234">
        <v>46085.0</v>
      </c>
      <c r="I1339" s="232">
        <v>0.375</v>
      </c>
      <c r="J1339" s="9"/>
      <c r="K1339" s="18"/>
      <c r="L1339" s="18"/>
      <c r="M1339" s="18"/>
      <c r="N1339" s="18"/>
      <c r="O1339" s="18"/>
      <c r="P1339" s="18"/>
      <c r="Q1339" s="18"/>
      <c r="R1339" s="18"/>
      <c r="S1339" s="18"/>
      <c r="T1339" s="18"/>
      <c r="U1339" s="18"/>
      <c r="V1339" s="18"/>
      <c r="W1339" s="18"/>
      <c r="X1339" s="18"/>
      <c r="Y1339" s="18"/>
      <c r="Z1339" s="18"/>
    </row>
    <row r="1340" ht="22.5" customHeight="1">
      <c r="A1340" s="252">
        <v>46084.0</v>
      </c>
      <c r="B1340" s="218" t="s">
        <v>7062</v>
      </c>
      <c r="C1340" s="9" t="s">
        <v>7063</v>
      </c>
      <c r="D1340" s="228"/>
      <c r="E1340" s="216"/>
      <c r="F1340" s="221" t="s">
        <v>1919</v>
      </c>
      <c r="G1340" s="9" t="s">
        <v>7064</v>
      </c>
      <c r="H1340" s="234"/>
      <c r="I1340" s="232"/>
      <c r="J1340" s="140" t="s">
        <v>7065</v>
      </c>
      <c r="K1340" s="18"/>
      <c r="L1340" s="18"/>
      <c r="M1340" s="18"/>
      <c r="N1340" s="18"/>
      <c r="O1340" s="18"/>
      <c r="P1340" s="18"/>
      <c r="Q1340" s="18"/>
      <c r="R1340" s="18"/>
      <c r="S1340" s="18"/>
      <c r="T1340" s="18"/>
      <c r="U1340" s="18"/>
      <c r="V1340" s="18"/>
      <c r="W1340" s="18"/>
      <c r="X1340" s="18"/>
      <c r="Y1340" s="18"/>
      <c r="Z1340" s="18"/>
    </row>
    <row r="1341" ht="22.5" customHeight="1">
      <c r="A1341" s="252">
        <v>46084.0</v>
      </c>
      <c r="B1341" s="218" t="s">
        <v>7062</v>
      </c>
      <c r="C1341" s="9" t="s">
        <v>7063</v>
      </c>
      <c r="D1341" s="228"/>
      <c r="E1341" s="216"/>
      <c r="F1341" s="221" t="s">
        <v>1919</v>
      </c>
      <c r="G1341" s="9" t="s">
        <v>7064</v>
      </c>
      <c r="H1341" s="234"/>
      <c r="I1341" s="232"/>
      <c r="J1341" s="140" t="s">
        <v>7066</v>
      </c>
      <c r="K1341" s="18"/>
      <c r="L1341" s="18"/>
      <c r="M1341" s="18"/>
      <c r="N1341" s="18"/>
      <c r="O1341" s="18"/>
      <c r="P1341" s="18"/>
      <c r="Q1341" s="18"/>
      <c r="R1341" s="18"/>
      <c r="S1341" s="18"/>
      <c r="T1341" s="18"/>
      <c r="U1341" s="18"/>
      <c r="V1341" s="18"/>
      <c r="W1341" s="18"/>
      <c r="X1341" s="18"/>
      <c r="Y1341" s="18"/>
      <c r="Z1341" s="18"/>
    </row>
    <row r="1342" ht="22.5" customHeight="1">
      <c r="A1342" s="252">
        <v>46084.0</v>
      </c>
      <c r="B1342" s="218" t="s">
        <v>7062</v>
      </c>
      <c r="C1342" s="9" t="s">
        <v>7063</v>
      </c>
      <c r="D1342" s="228"/>
      <c r="E1342" s="216"/>
      <c r="F1342" s="221" t="s">
        <v>1919</v>
      </c>
      <c r="G1342" s="9" t="s">
        <v>7064</v>
      </c>
      <c r="H1342" s="234"/>
      <c r="I1342" s="232"/>
      <c r="J1342" s="140" t="s">
        <v>7067</v>
      </c>
      <c r="K1342" s="18"/>
      <c r="L1342" s="18"/>
      <c r="M1342" s="18"/>
      <c r="N1342" s="18"/>
      <c r="O1342" s="18"/>
      <c r="P1342" s="18"/>
      <c r="Q1342" s="18"/>
      <c r="R1342" s="18"/>
      <c r="S1342" s="18"/>
      <c r="T1342" s="18"/>
      <c r="U1342" s="18"/>
      <c r="V1342" s="18"/>
      <c r="W1342" s="18"/>
      <c r="X1342" s="18"/>
      <c r="Y1342" s="18"/>
      <c r="Z1342" s="18"/>
    </row>
    <row r="1343" ht="22.5" customHeight="1">
      <c r="A1343" s="252">
        <v>46084.0</v>
      </c>
      <c r="B1343" s="218" t="s">
        <v>7068</v>
      </c>
      <c r="C1343" s="9"/>
      <c r="D1343" s="228" t="s">
        <v>5640</v>
      </c>
      <c r="E1343" s="216">
        <v>9.603039045E9</v>
      </c>
      <c r="F1343" s="221" t="s">
        <v>144</v>
      </c>
      <c r="G1343" s="9" t="s">
        <v>7069</v>
      </c>
      <c r="H1343" s="234"/>
      <c r="I1343" s="232"/>
      <c r="J1343" s="9"/>
      <c r="K1343" s="18"/>
      <c r="L1343" s="18"/>
      <c r="M1343" s="18"/>
      <c r="N1343" s="18"/>
      <c r="O1343" s="18"/>
      <c r="P1343" s="18"/>
      <c r="Q1343" s="18"/>
      <c r="R1343" s="18"/>
      <c r="S1343" s="18"/>
      <c r="T1343" s="18"/>
      <c r="U1343" s="18"/>
      <c r="V1343" s="18"/>
      <c r="W1343" s="18"/>
      <c r="X1343" s="18"/>
      <c r="Y1343" s="18"/>
      <c r="Z1343" s="18"/>
    </row>
    <row r="1344" ht="22.5" customHeight="1">
      <c r="A1344" s="252">
        <v>46084.0</v>
      </c>
      <c r="B1344" s="218" t="s">
        <v>7070</v>
      </c>
      <c r="C1344" s="9"/>
      <c r="D1344" s="228"/>
      <c r="E1344" s="216"/>
      <c r="F1344" s="221" t="s">
        <v>96</v>
      </c>
      <c r="G1344" s="9" t="s">
        <v>7071</v>
      </c>
      <c r="H1344" s="234">
        <v>46085.0</v>
      </c>
      <c r="I1344" s="232"/>
      <c r="J1344" s="9" t="s">
        <v>7072</v>
      </c>
      <c r="K1344" s="18"/>
      <c r="L1344" s="18"/>
      <c r="M1344" s="18"/>
      <c r="N1344" s="18"/>
      <c r="O1344" s="18"/>
      <c r="P1344" s="18"/>
      <c r="Q1344" s="18"/>
      <c r="R1344" s="18"/>
      <c r="S1344" s="18"/>
      <c r="T1344" s="18"/>
      <c r="U1344" s="18"/>
      <c r="V1344" s="18"/>
      <c r="W1344" s="18"/>
      <c r="X1344" s="18"/>
      <c r="Y1344" s="18"/>
      <c r="Z1344" s="18"/>
    </row>
    <row r="1345" ht="22.5" customHeight="1">
      <c r="A1345" s="252">
        <v>46084.0</v>
      </c>
      <c r="B1345" s="218" t="s">
        <v>7073</v>
      </c>
      <c r="C1345" s="9"/>
      <c r="D1345" s="228"/>
      <c r="E1345" s="216"/>
      <c r="F1345" s="221" t="s">
        <v>96</v>
      </c>
      <c r="G1345" s="9" t="s">
        <v>7074</v>
      </c>
      <c r="H1345" s="234"/>
      <c r="I1345" s="232"/>
      <c r="J1345" s="140" t="s">
        <v>7075</v>
      </c>
      <c r="K1345" s="18"/>
      <c r="L1345" s="18"/>
      <c r="M1345" s="18"/>
      <c r="N1345" s="18"/>
      <c r="O1345" s="18"/>
      <c r="P1345" s="18"/>
      <c r="Q1345" s="18"/>
      <c r="R1345" s="18"/>
      <c r="S1345" s="18"/>
      <c r="T1345" s="18"/>
      <c r="U1345" s="18"/>
      <c r="V1345" s="18"/>
      <c r="W1345" s="18"/>
      <c r="X1345" s="18"/>
      <c r="Y1345" s="18"/>
      <c r="Z1345" s="18"/>
    </row>
    <row r="1346" ht="22.5" customHeight="1">
      <c r="A1346" s="252">
        <v>46084.0</v>
      </c>
      <c r="B1346" s="218" t="s">
        <v>7076</v>
      </c>
      <c r="C1346" s="9"/>
      <c r="D1346" s="228" t="s">
        <v>7077</v>
      </c>
      <c r="E1346" s="216">
        <v>9.391179371E9</v>
      </c>
      <c r="F1346" s="221" t="s">
        <v>144</v>
      </c>
      <c r="G1346" s="9" t="s">
        <v>7078</v>
      </c>
      <c r="H1346" s="234">
        <v>46085.0</v>
      </c>
      <c r="I1346" s="232">
        <v>0.8333333333333334</v>
      </c>
      <c r="J1346" s="9" t="s">
        <v>7079</v>
      </c>
      <c r="K1346" s="18"/>
      <c r="L1346" s="18"/>
      <c r="M1346" s="18"/>
      <c r="N1346" s="18"/>
      <c r="O1346" s="18"/>
      <c r="P1346" s="18"/>
      <c r="Q1346" s="18"/>
      <c r="R1346" s="18"/>
      <c r="S1346" s="18"/>
      <c r="T1346" s="18"/>
      <c r="U1346" s="18"/>
      <c r="V1346" s="18"/>
      <c r="W1346" s="18"/>
      <c r="X1346" s="18"/>
      <c r="Y1346" s="18"/>
      <c r="Z1346" s="18"/>
    </row>
    <row r="1347" ht="22.5" customHeight="1">
      <c r="A1347" s="252">
        <v>46084.0</v>
      </c>
      <c r="B1347" s="218" t="s">
        <v>7080</v>
      </c>
      <c r="C1347" s="9"/>
      <c r="D1347" s="228" t="s">
        <v>7081</v>
      </c>
      <c r="E1347" s="216"/>
      <c r="F1347" s="221" t="s">
        <v>144</v>
      </c>
      <c r="G1347" s="9" t="s">
        <v>7082</v>
      </c>
      <c r="H1347" s="234">
        <v>46085.0</v>
      </c>
      <c r="I1347" s="232">
        <v>0.8333333333333334</v>
      </c>
      <c r="J1347" s="9" t="s">
        <v>7083</v>
      </c>
      <c r="K1347" s="18"/>
      <c r="L1347" s="18"/>
      <c r="M1347" s="18"/>
      <c r="N1347" s="18"/>
      <c r="O1347" s="18"/>
      <c r="P1347" s="18"/>
      <c r="Q1347" s="18"/>
      <c r="R1347" s="18"/>
      <c r="S1347" s="18"/>
      <c r="T1347" s="18"/>
      <c r="U1347" s="18"/>
      <c r="V1347" s="18"/>
      <c r="W1347" s="18"/>
      <c r="X1347" s="18"/>
      <c r="Y1347" s="18"/>
      <c r="Z1347" s="18"/>
    </row>
    <row r="1348" ht="22.5" customHeight="1">
      <c r="A1348" s="252">
        <v>46084.0</v>
      </c>
      <c r="B1348" s="218" t="s">
        <v>7084</v>
      </c>
      <c r="C1348" s="9"/>
      <c r="D1348" s="228" t="s">
        <v>7085</v>
      </c>
      <c r="E1348" s="216">
        <v>9.849991664E9</v>
      </c>
      <c r="F1348" s="221" t="s">
        <v>96</v>
      </c>
      <c r="G1348" s="9" t="s">
        <v>7086</v>
      </c>
      <c r="H1348" s="234"/>
      <c r="I1348" s="232"/>
      <c r="J1348" s="9" t="s">
        <v>7087</v>
      </c>
      <c r="K1348" s="18"/>
      <c r="L1348" s="18"/>
      <c r="M1348" s="18"/>
      <c r="N1348" s="18"/>
      <c r="O1348" s="18"/>
      <c r="P1348" s="18"/>
      <c r="Q1348" s="18"/>
      <c r="R1348" s="18"/>
      <c r="S1348" s="18"/>
      <c r="T1348" s="18"/>
      <c r="U1348" s="18"/>
      <c r="V1348" s="18"/>
      <c r="W1348" s="18"/>
      <c r="X1348" s="18"/>
      <c r="Y1348" s="18"/>
      <c r="Z1348" s="18"/>
    </row>
    <row r="1349" ht="22.5" customHeight="1">
      <c r="A1349" s="252">
        <v>46084.0</v>
      </c>
      <c r="B1349" s="218" t="s">
        <v>7088</v>
      </c>
      <c r="C1349" s="9"/>
      <c r="D1349" s="228" t="s">
        <v>7089</v>
      </c>
      <c r="E1349" s="220">
        <v>9.701857699E9</v>
      </c>
      <c r="F1349" s="221" t="s">
        <v>1919</v>
      </c>
      <c r="G1349" s="9" t="s">
        <v>5383</v>
      </c>
      <c r="H1349" s="234"/>
      <c r="I1349" s="232"/>
      <c r="J1349" s="9" t="s">
        <v>7090</v>
      </c>
      <c r="K1349" s="18"/>
      <c r="L1349" s="18"/>
      <c r="M1349" s="18"/>
      <c r="N1349" s="18"/>
      <c r="O1349" s="18"/>
      <c r="P1349" s="18"/>
      <c r="Q1349" s="18"/>
      <c r="R1349" s="18"/>
      <c r="S1349" s="18"/>
      <c r="T1349" s="18"/>
      <c r="U1349" s="18"/>
      <c r="V1349" s="18"/>
      <c r="W1349" s="18"/>
      <c r="X1349" s="18"/>
      <c r="Y1349" s="18"/>
      <c r="Z1349" s="18"/>
    </row>
    <row r="1350" ht="22.5" customHeight="1">
      <c r="A1350" s="252">
        <v>46084.0</v>
      </c>
      <c r="B1350" s="218" t="s">
        <v>7091</v>
      </c>
      <c r="C1350" s="9" t="s">
        <v>7092</v>
      </c>
      <c r="D1350" s="228"/>
      <c r="E1350" s="216"/>
      <c r="F1350" s="221" t="s">
        <v>73</v>
      </c>
      <c r="G1350" s="9" t="s">
        <v>7093</v>
      </c>
      <c r="H1350" s="234"/>
      <c r="I1350" s="232"/>
      <c r="J1350" s="9"/>
      <c r="K1350" s="18"/>
      <c r="L1350" s="18"/>
      <c r="M1350" s="18"/>
      <c r="N1350" s="18"/>
      <c r="O1350" s="18"/>
      <c r="P1350" s="18"/>
      <c r="Q1350" s="18"/>
      <c r="R1350" s="18"/>
      <c r="S1350" s="18"/>
      <c r="T1350" s="18"/>
      <c r="U1350" s="18"/>
      <c r="V1350" s="18"/>
      <c r="W1350" s="18"/>
      <c r="X1350" s="18"/>
      <c r="Y1350" s="18"/>
      <c r="Z1350" s="18"/>
    </row>
    <row r="1351" ht="22.5" customHeight="1">
      <c r="A1351" s="252">
        <v>46084.0</v>
      </c>
      <c r="B1351" s="15" t="s">
        <v>7094</v>
      </c>
      <c r="C1351" s="9"/>
      <c r="D1351" s="228"/>
      <c r="E1351" s="216"/>
      <c r="F1351" s="221" t="s">
        <v>144</v>
      </c>
      <c r="G1351" s="9" t="s">
        <v>7095</v>
      </c>
      <c r="H1351" s="234"/>
      <c r="I1351" s="232"/>
      <c r="J1351" s="9" t="s">
        <v>7096</v>
      </c>
      <c r="K1351" s="18"/>
      <c r="L1351" s="18"/>
      <c r="M1351" s="18"/>
      <c r="N1351" s="18"/>
      <c r="O1351" s="18"/>
      <c r="P1351" s="18"/>
      <c r="Q1351" s="18"/>
      <c r="R1351" s="18"/>
      <c r="S1351" s="18"/>
      <c r="T1351" s="18"/>
      <c r="U1351" s="18"/>
      <c r="V1351" s="18"/>
      <c r="W1351" s="18"/>
      <c r="X1351" s="18"/>
      <c r="Y1351" s="18"/>
      <c r="Z1351" s="18"/>
    </row>
    <row r="1352" ht="22.5" customHeight="1">
      <c r="A1352" s="252">
        <v>46084.0</v>
      </c>
      <c r="B1352" s="218" t="s">
        <v>7097</v>
      </c>
      <c r="C1352" s="9" t="s">
        <v>7098</v>
      </c>
      <c r="D1352" s="228"/>
      <c r="E1352" s="216"/>
      <c r="F1352" s="221" t="s">
        <v>96</v>
      </c>
      <c r="G1352" s="9" t="s">
        <v>4261</v>
      </c>
      <c r="H1352" s="234"/>
      <c r="I1352" s="232"/>
      <c r="J1352" s="9"/>
      <c r="K1352" s="18"/>
      <c r="L1352" s="18"/>
      <c r="M1352" s="18"/>
      <c r="N1352" s="18"/>
      <c r="O1352" s="18"/>
      <c r="P1352" s="18"/>
      <c r="Q1352" s="18"/>
      <c r="R1352" s="18"/>
      <c r="S1352" s="18"/>
      <c r="T1352" s="18"/>
      <c r="U1352" s="18"/>
      <c r="V1352" s="18"/>
      <c r="W1352" s="18"/>
      <c r="X1352" s="18"/>
      <c r="Y1352" s="18"/>
      <c r="Z1352" s="18"/>
    </row>
    <row r="1353" ht="22.5" customHeight="1">
      <c r="A1353" s="252">
        <v>46084.0</v>
      </c>
      <c r="B1353" s="218" t="s">
        <v>7099</v>
      </c>
      <c r="C1353" s="9" t="s">
        <v>7098</v>
      </c>
      <c r="D1353" s="228"/>
      <c r="E1353" s="216"/>
      <c r="F1353" s="221" t="s">
        <v>96</v>
      </c>
      <c r="G1353" s="9" t="s">
        <v>4261</v>
      </c>
      <c r="H1353" s="234"/>
      <c r="I1353" s="232"/>
      <c r="J1353" s="9"/>
      <c r="K1353" s="18"/>
      <c r="L1353" s="18"/>
      <c r="M1353" s="18"/>
      <c r="N1353" s="18"/>
      <c r="O1353" s="18"/>
      <c r="P1353" s="18"/>
      <c r="Q1353" s="18"/>
      <c r="R1353" s="18"/>
      <c r="S1353" s="18"/>
      <c r="T1353" s="18"/>
      <c r="U1353" s="18"/>
      <c r="V1353" s="18"/>
      <c r="W1353" s="18"/>
      <c r="X1353" s="18"/>
      <c r="Y1353" s="18"/>
      <c r="Z1353" s="18"/>
    </row>
    <row r="1354" ht="22.5" customHeight="1">
      <c r="A1354" s="252">
        <v>46084.0</v>
      </c>
      <c r="B1354" s="218" t="s">
        <v>7099</v>
      </c>
      <c r="C1354" s="9" t="s">
        <v>7098</v>
      </c>
      <c r="D1354" s="228"/>
      <c r="E1354" s="216"/>
      <c r="F1354" s="221" t="s">
        <v>96</v>
      </c>
      <c r="G1354" s="9" t="s">
        <v>4261</v>
      </c>
      <c r="H1354" s="234"/>
      <c r="I1354" s="232"/>
      <c r="J1354" s="9"/>
      <c r="K1354" s="18"/>
      <c r="L1354" s="18"/>
      <c r="M1354" s="18"/>
      <c r="N1354" s="18"/>
      <c r="O1354" s="18"/>
      <c r="P1354" s="18"/>
      <c r="Q1354" s="18"/>
      <c r="R1354" s="18"/>
      <c r="S1354" s="18"/>
      <c r="T1354" s="18"/>
      <c r="U1354" s="18"/>
      <c r="V1354" s="18"/>
      <c r="W1354" s="18"/>
      <c r="X1354" s="18"/>
      <c r="Y1354" s="18"/>
      <c r="Z1354" s="18"/>
    </row>
    <row r="1355" ht="22.5" customHeight="1">
      <c r="A1355" s="252">
        <v>46084.0</v>
      </c>
      <c r="B1355" s="15" t="s">
        <v>7100</v>
      </c>
      <c r="C1355" s="9"/>
      <c r="D1355" s="228" t="s">
        <v>7101</v>
      </c>
      <c r="E1355" s="216">
        <v>8.88587547E9</v>
      </c>
      <c r="F1355" s="221" t="s">
        <v>1919</v>
      </c>
      <c r="G1355" s="9" t="s">
        <v>7102</v>
      </c>
      <c r="H1355" s="234"/>
      <c r="I1355" s="232"/>
      <c r="J1355" s="35" t="s">
        <v>7103</v>
      </c>
      <c r="K1355" s="18"/>
      <c r="L1355" s="18"/>
      <c r="M1355" s="18"/>
      <c r="N1355" s="18"/>
      <c r="O1355" s="18"/>
      <c r="P1355" s="18"/>
      <c r="Q1355" s="18"/>
      <c r="R1355" s="18"/>
      <c r="S1355" s="18"/>
      <c r="T1355" s="18"/>
      <c r="U1355" s="18"/>
      <c r="V1355" s="18"/>
      <c r="W1355" s="18"/>
      <c r="X1355" s="18"/>
      <c r="Y1355" s="18"/>
      <c r="Z1355" s="18"/>
    </row>
    <row r="1356" ht="22.5" customHeight="1">
      <c r="A1356" s="252">
        <v>46084.0</v>
      </c>
      <c r="B1356" s="218" t="s">
        <v>7104</v>
      </c>
      <c r="C1356" s="9" t="s">
        <v>6477</v>
      </c>
      <c r="D1356" s="228" t="s">
        <v>7105</v>
      </c>
      <c r="E1356" s="216">
        <v>7.032226551E9</v>
      </c>
      <c r="F1356" s="221" t="s">
        <v>96</v>
      </c>
      <c r="G1356" s="9" t="s">
        <v>7106</v>
      </c>
      <c r="H1356" s="234"/>
      <c r="I1356" s="232"/>
      <c r="J1356" s="9" t="s">
        <v>7107</v>
      </c>
      <c r="K1356" s="18"/>
      <c r="L1356" s="18"/>
      <c r="M1356" s="18"/>
      <c r="N1356" s="18"/>
      <c r="O1356" s="18"/>
      <c r="P1356" s="18"/>
      <c r="Q1356" s="18"/>
      <c r="R1356" s="18"/>
      <c r="S1356" s="18"/>
      <c r="T1356" s="18"/>
      <c r="U1356" s="18"/>
      <c r="V1356" s="18"/>
      <c r="W1356" s="18"/>
      <c r="X1356" s="18"/>
      <c r="Y1356" s="18"/>
      <c r="Z1356" s="18"/>
    </row>
    <row r="1357" ht="22.5" customHeight="1">
      <c r="A1357" s="252">
        <v>46084.0</v>
      </c>
      <c r="B1357" s="218" t="s">
        <v>7108</v>
      </c>
      <c r="C1357" s="9"/>
      <c r="D1357" s="228" t="s">
        <v>4646</v>
      </c>
      <c r="E1357" s="216">
        <v>8.885303345E9</v>
      </c>
      <c r="F1357" s="221" t="s">
        <v>248</v>
      </c>
      <c r="G1357" s="9" t="s">
        <v>7109</v>
      </c>
      <c r="H1357" s="234"/>
      <c r="I1357" s="232"/>
      <c r="J1357" s="35" t="s">
        <v>7110</v>
      </c>
      <c r="K1357" s="18"/>
      <c r="L1357" s="18"/>
      <c r="M1357" s="18"/>
      <c r="N1357" s="18"/>
      <c r="O1357" s="18"/>
      <c r="P1357" s="18"/>
      <c r="Q1357" s="18"/>
      <c r="R1357" s="18"/>
      <c r="S1357" s="18"/>
      <c r="T1357" s="18"/>
      <c r="U1357" s="18"/>
      <c r="V1357" s="18"/>
      <c r="W1357" s="18"/>
      <c r="X1357" s="18"/>
      <c r="Y1357" s="18"/>
      <c r="Z1357" s="18"/>
    </row>
    <row r="1358" ht="22.5" customHeight="1">
      <c r="A1358" s="252">
        <v>46084.0</v>
      </c>
      <c r="B1358" s="218" t="s">
        <v>7111</v>
      </c>
      <c r="C1358" s="9"/>
      <c r="D1358" s="228" t="s">
        <v>7112</v>
      </c>
      <c r="E1358" s="216">
        <v>8.886826873E9</v>
      </c>
      <c r="F1358" s="221" t="s">
        <v>1919</v>
      </c>
      <c r="G1358" s="9" t="s">
        <v>7113</v>
      </c>
      <c r="H1358" s="234">
        <v>46084.0</v>
      </c>
      <c r="I1358" s="232">
        <v>0.9166666666666666</v>
      </c>
      <c r="J1358" s="35" t="s">
        <v>7114</v>
      </c>
      <c r="K1358" s="18"/>
      <c r="L1358" s="18"/>
      <c r="M1358" s="18"/>
      <c r="N1358" s="18"/>
      <c r="O1358" s="18"/>
      <c r="P1358" s="18"/>
      <c r="Q1358" s="18"/>
      <c r="R1358" s="18"/>
      <c r="S1358" s="18"/>
      <c r="T1358" s="18"/>
      <c r="U1358" s="18"/>
      <c r="V1358" s="18"/>
      <c r="W1358" s="18"/>
      <c r="X1358" s="18"/>
      <c r="Y1358" s="18"/>
      <c r="Z1358" s="18"/>
    </row>
    <row r="1359" ht="22.5" customHeight="1">
      <c r="A1359" s="252">
        <v>46084.0</v>
      </c>
      <c r="B1359" s="218" t="s">
        <v>7115</v>
      </c>
      <c r="C1359" s="9"/>
      <c r="D1359" s="228" t="s">
        <v>7116</v>
      </c>
      <c r="E1359" s="216">
        <v>7.569171589E9</v>
      </c>
      <c r="F1359" s="221" t="s">
        <v>144</v>
      </c>
      <c r="G1359" s="9" t="s">
        <v>7117</v>
      </c>
      <c r="H1359" s="234"/>
      <c r="I1359" s="232"/>
      <c r="J1359" s="35" t="s">
        <v>7118</v>
      </c>
      <c r="K1359" s="18"/>
      <c r="L1359" s="18"/>
      <c r="M1359" s="18"/>
      <c r="N1359" s="18"/>
      <c r="O1359" s="18"/>
      <c r="P1359" s="18"/>
      <c r="Q1359" s="18"/>
      <c r="R1359" s="18"/>
      <c r="S1359" s="18"/>
      <c r="T1359" s="18"/>
      <c r="U1359" s="18"/>
      <c r="V1359" s="18"/>
      <c r="W1359" s="18"/>
      <c r="X1359" s="18"/>
      <c r="Y1359" s="18"/>
      <c r="Z1359" s="18"/>
    </row>
    <row r="1360" ht="22.5" customHeight="1">
      <c r="A1360" s="252">
        <v>46084.0</v>
      </c>
      <c r="B1360" s="218" t="s">
        <v>4654</v>
      </c>
      <c r="C1360" s="9"/>
      <c r="D1360" s="228" t="s">
        <v>4192</v>
      </c>
      <c r="E1360" s="216">
        <v>9.9493955E9</v>
      </c>
      <c r="F1360" s="221" t="s">
        <v>248</v>
      </c>
      <c r="G1360" s="9" t="s">
        <v>7119</v>
      </c>
      <c r="H1360" s="234"/>
      <c r="I1360" s="232"/>
      <c r="J1360" s="35" t="s">
        <v>7120</v>
      </c>
      <c r="K1360" s="18"/>
      <c r="L1360" s="18"/>
      <c r="M1360" s="18"/>
      <c r="N1360" s="18"/>
      <c r="O1360" s="18"/>
      <c r="P1360" s="18"/>
      <c r="Q1360" s="18"/>
      <c r="R1360" s="18"/>
      <c r="S1360" s="18"/>
      <c r="T1360" s="18"/>
      <c r="U1360" s="18"/>
      <c r="V1360" s="18"/>
      <c r="W1360" s="18"/>
      <c r="X1360" s="18"/>
      <c r="Y1360" s="18"/>
      <c r="Z1360" s="18"/>
    </row>
    <row r="1361" ht="22.5" customHeight="1">
      <c r="A1361" s="252">
        <v>46084.0</v>
      </c>
      <c r="B1361" s="218" t="s">
        <v>7121</v>
      </c>
      <c r="C1361" s="9"/>
      <c r="D1361" s="228" t="s">
        <v>6870</v>
      </c>
      <c r="E1361" s="216">
        <v>8.297858217E9</v>
      </c>
      <c r="F1361" s="221" t="s">
        <v>248</v>
      </c>
      <c r="G1361" s="9" t="s">
        <v>7122</v>
      </c>
      <c r="H1361" s="234"/>
      <c r="I1361" s="232"/>
      <c r="J1361" s="35" t="s">
        <v>7123</v>
      </c>
      <c r="K1361" s="18"/>
      <c r="L1361" s="18"/>
      <c r="M1361" s="18"/>
      <c r="N1361" s="18"/>
      <c r="O1361" s="18"/>
      <c r="P1361" s="18"/>
      <c r="Q1361" s="18"/>
      <c r="R1361" s="18"/>
      <c r="S1361" s="18"/>
      <c r="T1361" s="18"/>
      <c r="U1361" s="18"/>
      <c r="V1361" s="18"/>
      <c r="W1361" s="18"/>
      <c r="X1361" s="18"/>
      <c r="Y1361" s="18"/>
      <c r="Z1361" s="18"/>
    </row>
    <row r="1362" ht="22.5" customHeight="1">
      <c r="A1362" s="252">
        <v>46084.0</v>
      </c>
      <c r="B1362" s="218" t="s">
        <v>1829</v>
      </c>
      <c r="C1362" s="9"/>
      <c r="D1362" s="228" t="s">
        <v>7124</v>
      </c>
      <c r="E1362" s="216">
        <v>9.55304089E9</v>
      </c>
      <c r="F1362" s="221" t="s">
        <v>248</v>
      </c>
      <c r="G1362" s="9" t="s">
        <v>7125</v>
      </c>
      <c r="H1362" s="234"/>
      <c r="I1362" s="232"/>
      <c r="J1362" s="35" t="s">
        <v>7126</v>
      </c>
      <c r="K1362" s="18"/>
      <c r="L1362" s="18"/>
      <c r="M1362" s="18"/>
      <c r="N1362" s="18"/>
      <c r="O1362" s="18"/>
      <c r="P1362" s="18"/>
      <c r="Q1362" s="18"/>
      <c r="R1362" s="18"/>
      <c r="S1362" s="18"/>
      <c r="T1362" s="18"/>
      <c r="U1362" s="18"/>
      <c r="V1362" s="18"/>
      <c r="W1362" s="18"/>
      <c r="X1362" s="18"/>
      <c r="Y1362" s="18"/>
      <c r="Z1362" s="18"/>
    </row>
    <row r="1363" ht="22.5" customHeight="1">
      <c r="A1363" s="252">
        <v>46084.0</v>
      </c>
      <c r="B1363" s="218" t="s">
        <v>7127</v>
      </c>
      <c r="C1363" s="9"/>
      <c r="D1363" s="228" t="s">
        <v>7124</v>
      </c>
      <c r="E1363" s="216">
        <v>9.55304089E9</v>
      </c>
      <c r="F1363" s="221" t="s">
        <v>248</v>
      </c>
      <c r="G1363" s="9" t="s">
        <v>7128</v>
      </c>
      <c r="H1363" s="234"/>
      <c r="I1363" s="232"/>
      <c r="J1363" s="9"/>
      <c r="K1363" s="18"/>
      <c r="L1363" s="18"/>
      <c r="M1363" s="18"/>
      <c r="N1363" s="18"/>
      <c r="O1363" s="18"/>
      <c r="P1363" s="18"/>
      <c r="Q1363" s="18"/>
      <c r="R1363" s="18"/>
      <c r="S1363" s="18"/>
      <c r="T1363" s="18"/>
      <c r="U1363" s="18"/>
      <c r="V1363" s="18"/>
      <c r="W1363" s="18"/>
      <c r="X1363" s="18"/>
      <c r="Y1363" s="18"/>
      <c r="Z1363" s="18"/>
    </row>
    <row r="1364" ht="22.5" customHeight="1">
      <c r="A1364" s="253">
        <v>46086.0</v>
      </c>
      <c r="B1364" s="15" t="s">
        <v>7129</v>
      </c>
      <c r="C1364" s="9"/>
      <c r="D1364" s="228" t="s">
        <v>7130</v>
      </c>
      <c r="E1364" s="216">
        <v>9.573281025E9</v>
      </c>
      <c r="F1364" s="221" t="s">
        <v>248</v>
      </c>
      <c r="G1364" s="9" t="s">
        <v>7131</v>
      </c>
      <c r="H1364" s="234">
        <v>46086.0</v>
      </c>
      <c r="I1364" s="232">
        <v>0.7916666666666666</v>
      </c>
      <c r="J1364" s="9" t="s">
        <v>7132</v>
      </c>
      <c r="K1364" s="18"/>
      <c r="L1364" s="18"/>
      <c r="M1364" s="18"/>
      <c r="N1364" s="18"/>
      <c r="O1364" s="18"/>
      <c r="P1364" s="18"/>
      <c r="Q1364" s="18"/>
      <c r="R1364" s="18"/>
      <c r="S1364" s="18"/>
      <c r="T1364" s="18"/>
      <c r="U1364" s="18"/>
      <c r="V1364" s="18"/>
      <c r="W1364" s="18"/>
      <c r="X1364" s="18"/>
      <c r="Y1364" s="18"/>
      <c r="Z1364" s="18"/>
    </row>
    <row r="1365" ht="22.5" customHeight="1">
      <c r="A1365" s="253">
        <v>46086.0</v>
      </c>
      <c r="B1365" s="218" t="s">
        <v>7133</v>
      </c>
      <c r="C1365" s="9" t="s">
        <v>5860</v>
      </c>
      <c r="D1365" s="228" t="s">
        <v>7134</v>
      </c>
      <c r="E1365" s="216">
        <v>8.686464689E9</v>
      </c>
      <c r="F1365" s="221" t="s">
        <v>73</v>
      </c>
      <c r="G1365" s="9" t="s">
        <v>7135</v>
      </c>
      <c r="H1365" s="234"/>
      <c r="I1365" s="232"/>
      <c r="J1365" s="9" t="s">
        <v>7136</v>
      </c>
      <c r="K1365" s="18"/>
      <c r="L1365" s="18"/>
      <c r="M1365" s="18"/>
      <c r="N1365" s="18"/>
      <c r="O1365" s="18"/>
      <c r="P1365" s="18"/>
      <c r="Q1365" s="18"/>
      <c r="R1365" s="18"/>
      <c r="S1365" s="18"/>
      <c r="T1365" s="18"/>
      <c r="U1365" s="18"/>
      <c r="V1365" s="18"/>
      <c r="W1365" s="18"/>
      <c r="X1365" s="18"/>
      <c r="Y1365" s="18"/>
      <c r="Z1365" s="18"/>
    </row>
    <row r="1366" ht="22.5" customHeight="1">
      <c r="A1366" s="253">
        <v>46086.0</v>
      </c>
      <c r="B1366" s="218" t="s">
        <v>7137</v>
      </c>
      <c r="C1366" s="9"/>
      <c r="D1366" s="228" t="s">
        <v>7138</v>
      </c>
      <c r="E1366" s="216">
        <v>9.963605557E9</v>
      </c>
      <c r="F1366" s="221" t="s">
        <v>1919</v>
      </c>
      <c r="G1366" s="9" t="s">
        <v>7139</v>
      </c>
      <c r="H1366" s="234">
        <v>46086.0</v>
      </c>
      <c r="I1366" s="232">
        <v>0.7083333333333334</v>
      </c>
      <c r="J1366" s="9" t="s">
        <v>7140</v>
      </c>
      <c r="K1366" s="18"/>
      <c r="L1366" s="18"/>
      <c r="M1366" s="18"/>
      <c r="N1366" s="18"/>
      <c r="O1366" s="18"/>
      <c r="P1366" s="18"/>
      <c r="Q1366" s="18"/>
      <c r="R1366" s="18"/>
      <c r="S1366" s="18"/>
      <c r="T1366" s="18"/>
      <c r="U1366" s="18"/>
      <c r="V1366" s="18"/>
      <c r="W1366" s="18"/>
      <c r="X1366" s="18"/>
      <c r="Y1366" s="18"/>
      <c r="Z1366" s="18"/>
    </row>
    <row r="1367" ht="22.5" customHeight="1">
      <c r="A1367" s="253">
        <v>46086.0</v>
      </c>
      <c r="B1367" s="218" t="s">
        <v>7141</v>
      </c>
      <c r="C1367" s="9"/>
      <c r="D1367" s="228" t="s">
        <v>7142</v>
      </c>
      <c r="E1367" s="216">
        <v>9.398645876E9</v>
      </c>
      <c r="F1367" s="221" t="s">
        <v>248</v>
      </c>
      <c r="G1367" s="9" t="s">
        <v>7143</v>
      </c>
      <c r="H1367" s="234">
        <v>46086.0</v>
      </c>
      <c r="I1367" s="232">
        <v>0.7916666666666666</v>
      </c>
      <c r="J1367" s="9" t="s">
        <v>7144</v>
      </c>
      <c r="K1367" s="18"/>
      <c r="L1367" s="18"/>
      <c r="M1367" s="18"/>
      <c r="N1367" s="18"/>
      <c r="O1367" s="18"/>
      <c r="P1367" s="18"/>
      <c r="Q1367" s="18"/>
      <c r="R1367" s="18"/>
      <c r="S1367" s="18"/>
      <c r="T1367" s="18"/>
      <c r="U1367" s="18"/>
      <c r="V1367" s="18"/>
      <c r="W1367" s="18"/>
      <c r="X1367" s="18"/>
      <c r="Y1367" s="18"/>
      <c r="Z1367" s="18"/>
    </row>
    <row r="1368" ht="22.5" customHeight="1">
      <c r="A1368" s="253">
        <v>46086.0</v>
      </c>
      <c r="B1368" s="218" t="s">
        <v>7145</v>
      </c>
      <c r="C1368" s="9"/>
      <c r="D1368" s="228" t="s">
        <v>7146</v>
      </c>
      <c r="E1368" s="216">
        <v>9.343102102E9</v>
      </c>
      <c r="F1368" s="221" t="s">
        <v>45</v>
      </c>
      <c r="G1368" s="9" t="s">
        <v>7147</v>
      </c>
      <c r="H1368" s="234"/>
      <c r="I1368" s="232"/>
      <c r="J1368" s="9" t="s">
        <v>7148</v>
      </c>
      <c r="K1368" s="18"/>
      <c r="L1368" s="18"/>
      <c r="M1368" s="18"/>
      <c r="N1368" s="18"/>
      <c r="O1368" s="18"/>
      <c r="P1368" s="18"/>
      <c r="Q1368" s="18"/>
      <c r="R1368" s="18"/>
      <c r="S1368" s="18"/>
      <c r="T1368" s="18"/>
      <c r="U1368" s="18"/>
      <c r="V1368" s="18"/>
      <c r="W1368" s="18"/>
      <c r="X1368" s="18"/>
      <c r="Y1368" s="18"/>
      <c r="Z1368" s="18"/>
    </row>
    <row r="1369" ht="22.5" customHeight="1">
      <c r="A1369" s="253">
        <v>46086.0</v>
      </c>
      <c r="B1369" s="218" t="s">
        <v>7149</v>
      </c>
      <c r="C1369" s="9"/>
      <c r="D1369" s="228"/>
      <c r="E1369" s="216">
        <v>6.300703058E9</v>
      </c>
      <c r="F1369" s="221" t="s">
        <v>96</v>
      </c>
      <c r="G1369" s="9" t="s">
        <v>7150</v>
      </c>
      <c r="H1369" s="234"/>
      <c r="I1369" s="232"/>
      <c r="J1369" s="9" t="s">
        <v>7151</v>
      </c>
      <c r="K1369" s="18"/>
      <c r="L1369" s="18"/>
      <c r="M1369" s="18"/>
      <c r="N1369" s="18"/>
      <c r="O1369" s="18"/>
      <c r="P1369" s="18"/>
      <c r="Q1369" s="18"/>
      <c r="R1369" s="18"/>
      <c r="S1369" s="18"/>
      <c r="T1369" s="18"/>
      <c r="U1369" s="18"/>
      <c r="V1369" s="18"/>
      <c r="W1369" s="18"/>
      <c r="X1369" s="18"/>
      <c r="Y1369" s="18"/>
      <c r="Z1369" s="18"/>
    </row>
    <row r="1370" ht="22.5" customHeight="1">
      <c r="A1370" s="253">
        <v>46086.0</v>
      </c>
      <c r="B1370" s="218" t="s">
        <v>7152</v>
      </c>
      <c r="C1370" s="9"/>
      <c r="D1370" s="228"/>
      <c r="E1370" s="216"/>
      <c r="F1370" s="221" t="s">
        <v>1919</v>
      </c>
      <c r="G1370" s="9" t="s">
        <v>7153</v>
      </c>
      <c r="H1370" s="234"/>
      <c r="I1370" s="232"/>
      <c r="J1370" s="140" t="s">
        <v>7154</v>
      </c>
      <c r="K1370" s="18"/>
      <c r="L1370" s="18"/>
      <c r="M1370" s="18"/>
      <c r="N1370" s="18"/>
      <c r="O1370" s="18"/>
      <c r="P1370" s="18"/>
      <c r="Q1370" s="18"/>
      <c r="R1370" s="18"/>
      <c r="S1370" s="18"/>
      <c r="T1370" s="18"/>
      <c r="U1370" s="18"/>
      <c r="V1370" s="18"/>
      <c r="W1370" s="18"/>
      <c r="X1370" s="18"/>
      <c r="Y1370" s="18"/>
      <c r="Z1370" s="18"/>
    </row>
    <row r="1371" ht="22.5" customHeight="1">
      <c r="A1371" s="253">
        <v>46086.0</v>
      </c>
      <c r="B1371" s="218" t="s">
        <v>7155</v>
      </c>
      <c r="C1371" s="9"/>
      <c r="D1371" s="228"/>
      <c r="E1371" s="216"/>
      <c r="F1371" s="221" t="s">
        <v>73</v>
      </c>
      <c r="G1371" s="9" t="s">
        <v>5937</v>
      </c>
      <c r="H1371" s="234"/>
      <c r="I1371" s="232"/>
      <c r="J1371" s="9" t="s">
        <v>7156</v>
      </c>
      <c r="K1371" s="18"/>
      <c r="L1371" s="18"/>
      <c r="M1371" s="18"/>
      <c r="N1371" s="18"/>
      <c r="O1371" s="18"/>
      <c r="P1371" s="18"/>
      <c r="Q1371" s="18"/>
      <c r="R1371" s="18"/>
      <c r="S1371" s="18"/>
      <c r="T1371" s="18"/>
      <c r="U1371" s="18"/>
      <c r="V1371" s="18"/>
      <c r="W1371" s="18"/>
      <c r="X1371" s="18"/>
      <c r="Y1371" s="18"/>
      <c r="Z1371" s="18"/>
    </row>
    <row r="1372" ht="22.5" customHeight="1">
      <c r="A1372" s="253">
        <v>46086.0</v>
      </c>
      <c r="B1372" s="218" t="s">
        <v>7157</v>
      </c>
      <c r="C1372" s="9"/>
      <c r="D1372" s="228" t="s">
        <v>7158</v>
      </c>
      <c r="E1372" s="216">
        <v>9.39322002E9</v>
      </c>
      <c r="F1372" s="221" t="s">
        <v>1919</v>
      </c>
      <c r="G1372" s="9" t="s">
        <v>7159</v>
      </c>
      <c r="H1372" s="234">
        <v>46086.0</v>
      </c>
      <c r="I1372" s="232">
        <v>0.7083333333333334</v>
      </c>
      <c r="J1372" s="9" t="s">
        <v>7160</v>
      </c>
      <c r="K1372" s="18"/>
      <c r="L1372" s="18"/>
      <c r="M1372" s="18"/>
      <c r="N1372" s="18"/>
      <c r="O1372" s="18"/>
      <c r="P1372" s="18"/>
      <c r="Q1372" s="18"/>
      <c r="R1372" s="18"/>
      <c r="S1372" s="18"/>
      <c r="T1372" s="18"/>
      <c r="U1372" s="18"/>
      <c r="V1372" s="18"/>
      <c r="W1372" s="18"/>
      <c r="X1372" s="18"/>
      <c r="Y1372" s="18"/>
      <c r="Z1372" s="18"/>
    </row>
    <row r="1373" ht="22.5" customHeight="1">
      <c r="A1373" s="253">
        <v>46086.0</v>
      </c>
      <c r="B1373" s="218" t="s">
        <v>7161</v>
      </c>
      <c r="C1373" s="228" t="s">
        <v>1999</v>
      </c>
      <c r="E1373" s="216">
        <v>9.849183812E9</v>
      </c>
      <c r="F1373" s="221" t="s">
        <v>96</v>
      </c>
      <c r="G1373" s="9" t="s">
        <v>7162</v>
      </c>
      <c r="H1373" s="234"/>
      <c r="I1373" s="232"/>
      <c r="J1373" s="9" t="s">
        <v>7163</v>
      </c>
      <c r="K1373" s="18"/>
      <c r="L1373" s="18"/>
      <c r="M1373" s="18"/>
      <c r="N1373" s="18"/>
      <c r="O1373" s="18"/>
      <c r="P1373" s="18"/>
      <c r="Q1373" s="18"/>
      <c r="R1373" s="18"/>
      <c r="S1373" s="18"/>
      <c r="T1373" s="18"/>
      <c r="U1373" s="18"/>
      <c r="V1373" s="18"/>
      <c r="W1373" s="18"/>
      <c r="X1373" s="18"/>
      <c r="Y1373" s="18"/>
      <c r="Z1373" s="18"/>
    </row>
    <row r="1374" ht="22.5" customHeight="1">
      <c r="A1374" s="253">
        <v>46086.0</v>
      </c>
      <c r="B1374" s="218" t="s">
        <v>7164</v>
      </c>
      <c r="C1374" s="9"/>
      <c r="D1374" s="228" t="s">
        <v>7165</v>
      </c>
      <c r="E1374" s="216">
        <v>7.41663075E9</v>
      </c>
      <c r="F1374" s="221" t="s">
        <v>1919</v>
      </c>
      <c r="G1374" s="9" t="s">
        <v>7166</v>
      </c>
      <c r="H1374" s="234">
        <v>46087.0</v>
      </c>
      <c r="I1374" s="232">
        <v>0.8958333333333334</v>
      </c>
      <c r="J1374" s="9" t="s">
        <v>7167</v>
      </c>
      <c r="K1374" s="18"/>
      <c r="L1374" s="18"/>
      <c r="M1374" s="18"/>
      <c r="N1374" s="18"/>
      <c r="O1374" s="18"/>
      <c r="P1374" s="18"/>
      <c r="Q1374" s="18"/>
      <c r="R1374" s="18"/>
      <c r="S1374" s="18"/>
      <c r="T1374" s="18"/>
      <c r="U1374" s="18"/>
      <c r="V1374" s="18"/>
      <c r="W1374" s="18"/>
      <c r="X1374" s="18"/>
      <c r="Y1374" s="18"/>
      <c r="Z1374" s="18"/>
    </row>
    <row r="1375" ht="22.5" customHeight="1">
      <c r="A1375" s="253">
        <v>46086.0</v>
      </c>
      <c r="B1375" s="218" t="s">
        <v>7168</v>
      </c>
      <c r="C1375" s="9"/>
      <c r="D1375" s="228" t="s">
        <v>4750</v>
      </c>
      <c r="E1375" s="216">
        <v>9.15489371E9</v>
      </c>
      <c r="F1375" s="221" t="s">
        <v>248</v>
      </c>
      <c r="G1375" s="9" t="s">
        <v>7169</v>
      </c>
      <c r="H1375" s="234">
        <v>46087.0</v>
      </c>
      <c r="I1375" s="232"/>
      <c r="J1375" s="9" t="s">
        <v>7170</v>
      </c>
      <c r="K1375" s="18"/>
      <c r="L1375" s="18"/>
      <c r="M1375" s="18"/>
      <c r="N1375" s="18"/>
      <c r="O1375" s="18"/>
      <c r="P1375" s="18"/>
      <c r="Q1375" s="18"/>
      <c r="R1375" s="18"/>
      <c r="S1375" s="18"/>
      <c r="T1375" s="18"/>
      <c r="U1375" s="18"/>
      <c r="V1375" s="18"/>
      <c r="W1375" s="18"/>
      <c r="X1375" s="18"/>
      <c r="Y1375" s="18"/>
      <c r="Z1375" s="18"/>
    </row>
    <row r="1376" ht="22.5" customHeight="1">
      <c r="A1376" s="253">
        <v>46086.0</v>
      </c>
      <c r="B1376" s="218" t="s">
        <v>7171</v>
      </c>
      <c r="C1376" s="9"/>
      <c r="D1376" s="228"/>
      <c r="E1376" s="216"/>
      <c r="F1376" s="221" t="s">
        <v>45</v>
      </c>
      <c r="G1376" s="9" t="s">
        <v>5109</v>
      </c>
      <c r="H1376" s="234">
        <v>46086.0</v>
      </c>
      <c r="I1376" s="232">
        <v>0.8333333333333334</v>
      </c>
      <c r="J1376" s="9" t="s">
        <v>7172</v>
      </c>
      <c r="K1376" s="18"/>
      <c r="L1376" s="18"/>
      <c r="M1376" s="18"/>
      <c r="N1376" s="18"/>
      <c r="O1376" s="18"/>
      <c r="P1376" s="18"/>
      <c r="Q1376" s="18"/>
      <c r="R1376" s="18"/>
      <c r="S1376" s="18"/>
      <c r="T1376" s="18"/>
      <c r="U1376" s="18"/>
      <c r="V1376" s="18"/>
      <c r="W1376" s="18"/>
      <c r="X1376" s="18"/>
      <c r="Y1376" s="18"/>
      <c r="Z1376" s="18"/>
    </row>
    <row r="1377" ht="22.5" customHeight="1">
      <c r="A1377" s="253">
        <v>46086.0</v>
      </c>
      <c r="B1377" s="218" t="s">
        <v>7173</v>
      </c>
      <c r="C1377" s="9"/>
      <c r="D1377" s="228"/>
      <c r="E1377" s="216">
        <v>7.032537092E9</v>
      </c>
      <c r="F1377" s="221" t="s">
        <v>96</v>
      </c>
      <c r="G1377" s="9" t="s">
        <v>7174</v>
      </c>
      <c r="H1377" s="234">
        <v>46086.0</v>
      </c>
      <c r="I1377" s="232">
        <v>0.6875</v>
      </c>
      <c r="J1377" s="9" t="s">
        <v>7175</v>
      </c>
      <c r="K1377" s="18"/>
      <c r="L1377" s="18"/>
      <c r="M1377" s="18"/>
      <c r="N1377" s="18"/>
      <c r="O1377" s="18"/>
      <c r="P1377" s="18"/>
      <c r="Q1377" s="18"/>
      <c r="R1377" s="18"/>
      <c r="S1377" s="18"/>
      <c r="T1377" s="18"/>
      <c r="U1377" s="18"/>
      <c r="V1377" s="18"/>
      <c r="W1377" s="18"/>
      <c r="X1377" s="18"/>
      <c r="Y1377" s="18"/>
      <c r="Z1377" s="18"/>
    </row>
    <row r="1378" ht="22.5" customHeight="1">
      <c r="A1378" s="253">
        <v>46086.0</v>
      </c>
      <c r="B1378" s="218" t="s">
        <v>5863</v>
      </c>
      <c r="C1378" s="9"/>
      <c r="D1378" s="228" t="s">
        <v>7176</v>
      </c>
      <c r="E1378" s="216">
        <v>9.642302809E9</v>
      </c>
      <c r="F1378" s="221" t="s">
        <v>248</v>
      </c>
      <c r="G1378" s="9" t="s">
        <v>7177</v>
      </c>
      <c r="H1378" s="234"/>
      <c r="I1378" s="232"/>
      <c r="J1378" s="9" t="s">
        <v>7178</v>
      </c>
      <c r="K1378" s="18"/>
      <c r="L1378" s="18"/>
      <c r="M1378" s="18"/>
      <c r="N1378" s="18"/>
      <c r="O1378" s="18"/>
      <c r="P1378" s="18"/>
      <c r="Q1378" s="18"/>
      <c r="R1378" s="18"/>
      <c r="S1378" s="18"/>
      <c r="T1378" s="18"/>
      <c r="U1378" s="18"/>
      <c r="V1378" s="18"/>
      <c r="W1378" s="18"/>
      <c r="X1378" s="18"/>
      <c r="Y1378" s="18"/>
      <c r="Z1378" s="18"/>
    </row>
    <row r="1379" ht="22.5" customHeight="1">
      <c r="A1379" s="253">
        <v>46086.0</v>
      </c>
      <c r="B1379" s="218" t="s">
        <v>5536</v>
      </c>
      <c r="C1379" s="9"/>
      <c r="D1379" s="228" t="s">
        <v>7179</v>
      </c>
      <c r="E1379" s="216">
        <v>9.949595361E9</v>
      </c>
      <c r="F1379" s="221" t="s">
        <v>45</v>
      </c>
      <c r="G1379" s="9" t="s">
        <v>7180</v>
      </c>
      <c r="H1379" s="234"/>
      <c r="I1379" s="232"/>
      <c r="J1379" s="9" t="s">
        <v>7181</v>
      </c>
      <c r="K1379" s="18"/>
      <c r="L1379" s="18"/>
      <c r="M1379" s="18"/>
      <c r="N1379" s="18"/>
      <c r="O1379" s="18"/>
      <c r="P1379" s="18"/>
      <c r="Q1379" s="18"/>
      <c r="R1379" s="18"/>
      <c r="S1379" s="18"/>
      <c r="T1379" s="18"/>
      <c r="U1379" s="18"/>
      <c r="V1379" s="18"/>
      <c r="W1379" s="18"/>
      <c r="X1379" s="18"/>
      <c r="Y1379" s="18"/>
      <c r="Z1379" s="18"/>
    </row>
    <row r="1380" ht="22.5" customHeight="1">
      <c r="A1380" s="253">
        <v>46086.0</v>
      </c>
      <c r="B1380" s="218" t="s">
        <v>7182</v>
      </c>
      <c r="C1380" s="9"/>
      <c r="D1380" s="228"/>
      <c r="E1380" s="216"/>
      <c r="F1380" s="221" t="s">
        <v>1919</v>
      </c>
      <c r="G1380" s="9" t="s">
        <v>7183</v>
      </c>
      <c r="H1380" s="234"/>
      <c r="I1380" s="232"/>
      <c r="J1380" s="9"/>
      <c r="K1380" s="18"/>
      <c r="L1380" s="18"/>
      <c r="M1380" s="18"/>
      <c r="N1380" s="18"/>
      <c r="O1380" s="18"/>
      <c r="P1380" s="18"/>
      <c r="Q1380" s="18"/>
      <c r="R1380" s="18"/>
      <c r="S1380" s="18"/>
      <c r="T1380" s="18"/>
      <c r="U1380" s="18"/>
      <c r="V1380" s="18"/>
      <c r="W1380" s="18"/>
      <c r="X1380" s="18"/>
      <c r="Y1380" s="18"/>
      <c r="Z1380" s="18"/>
    </row>
    <row r="1381" ht="22.5" customHeight="1">
      <c r="A1381" s="253">
        <v>46086.0</v>
      </c>
      <c r="B1381" s="218" t="s">
        <v>7184</v>
      </c>
      <c r="C1381" s="9"/>
      <c r="D1381" s="228"/>
      <c r="E1381" s="216"/>
      <c r="F1381" s="221" t="s">
        <v>45</v>
      </c>
      <c r="G1381" s="9" t="s">
        <v>7185</v>
      </c>
      <c r="H1381" s="234"/>
      <c r="I1381" s="232"/>
      <c r="J1381" s="9" t="s">
        <v>7186</v>
      </c>
      <c r="K1381" s="18"/>
      <c r="L1381" s="18"/>
      <c r="M1381" s="18"/>
      <c r="N1381" s="18"/>
      <c r="O1381" s="18"/>
      <c r="P1381" s="18"/>
      <c r="Q1381" s="18"/>
      <c r="R1381" s="18"/>
      <c r="S1381" s="18"/>
      <c r="T1381" s="18"/>
      <c r="U1381" s="18"/>
      <c r="V1381" s="18"/>
      <c r="W1381" s="18"/>
      <c r="X1381" s="18"/>
      <c r="Y1381" s="18"/>
      <c r="Z1381" s="18"/>
    </row>
    <row r="1382" ht="22.5" customHeight="1">
      <c r="A1382" s="253">
        <v>46086.0</v>
      </c>
      <c r="B1382" s="218" t="s">
        <v>7187</v>
      </c>
      <c r="C1382" s="9"/>
      <c r="D1382" s="228" t="s">
        <v>5418</v>
      </c>
      <c r="E1382" s="216"/>
      <c r="F1382" s="221" t="s">
        <v>248</v>
      </c>
      <c r="G1382" s="9" t="s">
        <v>7188</v>
      </c>
      <c r="H1382" s="234">
        <v>46086.0</v>
      </c>
      <c r="I1382" s="232">
        <v>0.7083333333333334</v>
      </c>
      <c r="J1382" s="9" t="s">
        <v>7189</v>
      </c>
      <c r="K1382" s="18"/>
      <c r="L1382" s="18"/>
      <c r="M1382" s="18"/>
      <c r="N1382" s="18"/>
      <c r="O1382" s="18"/>
      <c r="P1382" s="18"/>
      <c r="Q1382" s="18"/>
      <c r="R1382" s="18"/>
      <c r="S1382" s="18"/>
      <c r="T1382" s="18"/>
      <c r="U1382" s="18"/>
      <c r="V1382" s="18"/>
      <c r="W1382" s="18"/>
      <c r="X1382" s="18"/>
      <c r="Y1382" s="18"/>
      <c r="Z1382" s="18"/>
    </row>
    <row r="1383" ht="22.5" customHeight="1">
      <c r="A1383" s="253">
        <v>46086.0</v>
      </c>
      <c r="B1383" s="218" t="s">
        <v>7190</v>
      </c>
      <c r="C1383" s="9"/>
      <c r="D1383" s="228" t="s">
        <v>7191</v>
      </c>
      <c r="E1383" s="216">
        <v>8.008645443E9</v>
      </c>
      <c r="F1383" s="221" t="s">
        <v>248</v>
      </c>
      <c r="G1383" s="9" t="s">
        <v>5419</v>
      </c>
      <c r="H1383" s="234">
        <v>46090.0</v>
      </c>
      <c r="I1383" s="232"/>
      <c r="J1383" s="9" t="s">
        <v>7192</v>
      </c>
      <c r="K1383" s="18"/>
      <c r="L1383" s="18"/>
      <c r="M1383" s="18"/>
      <c r="N1383" s="18"/>
      <c r="O1383" s="18"/>
      <c r="P1383" s="18"/>
      <c r="Q1383" s="18"/>
      <c r="R1383" s="18"/>
      <c r="S1383" s="18"/>
      <c r="T1383" s="18"/>
      <c r="U1383" s="18"/>
      <c r="V1383" s="18"/>
      <c r="W1383" s="18"/>
      <c r="X1383" s="18"/>
      <c r="Y1383" s="18"/>
      <c r="Z1383" s="18"/>
    </row>
    <row r="1384" ht="22.5" customHeight="1">
      <c r="A1384" s="253">
        <v>46086.0</v>
      </c>
      <c r="B1384" s="218" t="s">
        <v>7193</v>
      </c>
      <c r="C1384" s="9"/>
      <c r="D1384" s="228"/>
      <c r="E1384" s="216"/>
      <c r="F1384" s="221" t="s">
        <v>45</v>
      </c>
      <c r="G1384" s="9" t="s">
        <v>7194</v>
      </c>
      <c r="H1384" s="234"/>
      <c r="I1384" s="232"/>
      <c r="J1384" s="9" t="s">
        <v>7195</v>
      </c>
      <c r="K1384" s="18"/>
      <c r="L1384" s="18"/>
      <c r="M1384" s="18"/>
      <c r="N1384" s="18"/>
      <c r="O1384" s="18"/>
      <c r="P1384" s="18"/>
      <c r="Q1384" s="18"/>
      <c r="R1384" s="18"/>
      <c r="S1384" s="18"/>
      <c r="T1384" s="18"/>
      <c r="U1384" s="18"/>
      <c r="V1384" s="18"/>
      <c r="W1384" s="18"/>
      <c r="X1384" s="18"/>
      <c r="Y1384" s="18"/>
      <c r="Z1384" s="18"/>
    </row>
    <row r="1385" ht="22.5" customHeight="1">
      <c r="A1385" s="253">
        <v>46086.0</v>
      </c>
      <c r="B1385" s="218" t="s">
        <v>7196</v>
      </c>
      <c r="C1385" s="9"/>
      <c r="D1385" s="228" t="s">
        <v>3856</v>
      </c>
      <c r="E1385" s="216">
        <v>7.780181321E9</v>
      </c>
      <c r="F1385" s="221" t="s">
        <v>248</v>
      </c>
      <c r="G1385" s="9" t="s">
        <v>6099</v>
      </c>
      <c r="H1385" s="234">
        <v>46087.0</v>
      </c>
      <c r="I1385" s="232"/>
      <c r="J1385" s="9" t="s">
        <v>7197</v>
      </c>
      <c r="K1385" s="18"/>
      <c r="L1385" s="18"/>
      <c r="M1385" s="18"/>
      <c r="N1385" s="18"/>
      <c r="O1385" s="18"/>
      <c r="P1385" s="18"/>
      <c r="Q1385" s="18"/>
      <c r="R1385" s="18"/>
      <c r="S1385" s="18"/>
      <c r="T1385" s="18"/>
      <c r="U1385" s="18"/>
      <c r="V1385" s="18"/>
      <c r="W1385" s="18"/>
      <c r="X1385" s="18"/>
      <c r="Y1385" s="18"/>
      <c r="Z1385" s="18"/>
    </row>
    <row r="1386" ht="22.5" customHeight="1">
      <c r="A1386" s="253">
        <v>46086.0</v>
      </c>
      <c r="B1386" s="218" t="s">
        <v>3442</v>
      </c>
      <c r="C1386" s="9"/>
      <c r="D1386" s="228" t="s">
        <v>7198</v>
      </c>
      <c r="E1386" s="216">
        <v>8.125638358E9</v>
      </c>
      <c r="F1386" s="221" t="s">
        <v>73</v>
      </c>
      <c r="G1386" s="9" t="s">
        <v>7199</v>
      </c>
      <c r="H1386" s="234"/>
      <c r="I1386" s="232"/>
      <c r="J1386" s="9" t="s">
        <v>7200</v>
      </c>
      <c r="K1386" s="18"/>
      <c r="L1386" s="18"/>
      <c r="M1386" s="18"/>
      <c r="N1386" s="18"/>
      <c r="O1386" s="18"/>
      <c r="P1386" s="18"/>
      <c r="Q1386" s="18"/>
      <c r="R1386" s="18"/>
      <c r="S1386" s="18"/>
      <c r="T1386" s="18"/>
      <c r="U1386" s="18"/>
      <c r="V1386" s="18"/>
      <c r="W1386" s="18"/>
      <c r="X1386" s="18"/>
      <c r="Y1386" s="18"/>
      <c r="Z1386" s="18"/>
    </row>
    <row r="1387" ht="22.5" customHeight="1">
      <c r="A1387" s="253">
        <v>46086.0</v>
      </c>
      <c r="B1387" s="218" t="s">
        <v>7201</v>
      </c>
      <c r="C1387" s="9"/>
      <c r="D1387" s="228"/>
      <c r="E1387" s="216">
        <v>7.89334345E9</v>
      </c>
      <c r="F1387" s="221" t="s">
        <v>1919</v>
      </c>
      <c r="G1387" s="9" t="s">
        <v>7202</v>
      </c>
      <c r="H1387" s="234"/>
      <c r="I1387" s="232"/>
      <c r="J1387" s="9" t="s">
        <v>7203</v>
      </c>
      <c r="K1387" s="18"/>
      <c r="L1387" s="18"/>
      <c r="M1387" s="18"/>
      <c r="N1387" s="18"/>
      <c r="O1387" s="18"/>
      <c r="P1387" s="18"/>
      <c r="Q1387" s="18"/>
      <c r="R1387" s="18"/>
      <c r="S1387" s="18"/>
      <c r="T1387" s="18"/>
      <c r="U1387" s="18"/>
      <c r="V1387" s="18"/>
      <c r="W1387" s="18"/>
      <c r="X1387" s="18"/>
      <c r="Y1387" s="18"/>
      <c r="Z1387" s="18"/>
    </row>
    <row r="1388" ht="22.5" customHeight="1">
      <c r="A1388" s="253">
        <v>46086.0</v>
      </c>
      <c r="B1388" s="218" t="s">
        <v>7204</v>
      </c>
      <c r="C1388" s="9"/>
      <c r="D1388" s="228" t="s">
        <v>7205</v>
      </c>
      <c r="E1388" s="213">
        <v>9.177813356E9</v>
      </c>
      <c r="F1388" s="221" t="s">
        <v>73</v>
      </c>
      <c r="G1388" s="9" t="s">
        <v>6918</v>
      </c>
      <c r="H1388" s="234"/>
      <c r="I1388" s="232"/>
      <c r="J1388" s="9" t="s">
        <v>7206</v>
      </c>
      <c r="K1388" s="18"/>
      <c r="L1388" s="18"/>
      <c r="M1388" s="18"/>
      <c r="N1388" s="18"/>
      <c r="O1388" s="18"/>
      <c r="P1388" s="18"/>
      <c r="Q1388" s="18"/>
      <c r="R1388" s="18"/>
      <c r="S1388" s="18"/>
      <c r="T1388" s="18"/>
      <c r="U1388" s="18"/>
      <c r="V1388" s="18"/>
      <c r="W1388" s="18"/>
      <c r="X1388" s="18"/>
      <c r="Y1388" s="18"/>
      <c r="Z1388" s="18"/>
    </row>
    <row r="1389" ht="22.5" customHeight="1">
      <c r="A1389" s="253">
        <v>46086.0</v>
      </c>
      <c r="B1389" s="218" t="s">
        <v>7207</v>
      </c>
      <c r="C1389" s="9"/>
      <c r="D1389" s="228" t="s">
        <v>7208</v>
      </c>
      <c r="E1389" s="216">
        <v>9.849477304E9</v>
      </c>
      <c r="F1389" s="221" t="s">
        <v>1919</v>
      </c>
      <c r="G1389" s="9" t="s">
        <v>7209</v>
      </c>
      <c r="H1389" s="234"/>
      <c r="I1389" s="232"/>
      <c r="J1389" s="9" t="s">
        <v>7210</v>
      </c>
      <c r="K1389" s="18"/>
      <c r="L1389" s="18"/>
      <c r="M1389" s="18"/>
      <c r="N1389" s="18"/>
      <c r="O1389" s="18"/>
      <c r="P1389" s="18"/>
      <c r="Q1389" s="18"/>
      <c r="R1389" s="18"/>
      <c r="S1389" s="18"/>
      <c r="T1389" s="18"/>
      <c r="U1389" s="18"/>
      <c r="V1389" s="18"/>
      <c r="W1389" s="18"/>
      <c r="X1389" s="18"/>
      <c r="Y1389" s="18"/>
      <c r="Z1389" s="18"/>
    </row>
    <row r="1390" ht="22.5" customHeight="1">
      <c r="A1390" s="253">
        <v>46086.0</v>
      </c>
      <c r="B1390" s="218" t="s">
        <v>7211</v>
      </c>
      <c r="C1390" s="9"/>
      <c r="D1390" s="228"/>
      <c r="E1390" s="216"/>
      <c r="F1390" s="221" t="s">
        <v>73</v>
      </c>
      <c r="G1390" s="9" t="s">
        <v>7212</v>
      </c>
      <c r="H1390" s="234"/>
      <c r="I1390" s="232"/>
      <c r="J1390" s="9" t="s">
        <v>7213</v>
      </c>
      <c r="K1390" s="18"/>
      <c r="L1390" s="18"/>
      <c r="M1390" s="18"/>
      <c r="N1390" s="18"/>
      <c r="O1390" s="18"/>
      <c r="P1390" s="18"/>
      <c r="Q1390" s="18"/>
      <c r="R1390" s="18"/>
      <c r="S1390" s="18"/>
      <c r="T1390" s="18"/>
      <c r="U1390" s="18"/>
      <c r="V1390" s="18"/>
      <c r="W1390" s="18"/>
      <c r="X1390" s="18"/>
      <c r="Y1390" s="18"/>
      <c r="Z1390" s="18"/>
    </row>
    <row r="1391" ht="22.5" customHeight="1">
      <c r="A1391" s="253">
        <v>46086.0</v>
      </c>
      <c r="B1391" s="218" t="s">
        <v>7214</v>
      </c>
      <c r="C1391" s="9"/>
      <c r="D1391" s="228" t="s">
        <v>2122</v>
      </c>
      <c r="E1391" s="216">
        <v>9.989445803E9</v>
      </c>
      <c r="F1391" s="221" t="s">
        <v>248</v>
      </c>
      <c r="G1391" s="9" t="s">
        <v>7215</v>
      </c>
      <c r="H1391" s="234"/>
      <c r="I1391" s="232"/>
      <c r="J1391" s="9" t="s">
        <v>7216</v>
      </c>
      <c r="K1391" s="18"/>
      <c r="L1391" s="18"/>
      <c r="M1391" s="18"/>
      <c r="N1391" s="18"/>
      <c r="O1391" s="18"/>
      <c r="P1391" s="18"/>
      <c r="Q1391" s="18"/>
      <c r="R1391" s="18"/>
      <c r="S1391" s="18"/>
      <c r="T1391" s="18"/>
      <c r="U1391" s="18"/>
      <c r="V1391" s="18"/>
      <c r="W1391" s="18"/>
      <c r="X1391" s="18"/>
      <c r="Y1391" s="18"/>
      <c r="Z1391" s="18"/>
    </row>
    <row r="1392" ht="22.5" customHeight="1">
      <c r="A1392" s="253">
        <v>46086.0</v>
      </c>
      <c r="B1392" s="218" t="s">
        <v>7217</v>
      </c>
      <c r="C1392" s="9" t="s">
        <v>389</v>
      </c>
      <c r="D1392" s="228" t="s">
        <v>7218</v>
      </c>
      <c r="E1392" s="216"/>
      <c r="F1392" s="221" t="s">
        <v>186</v>
      </c>
      <c r="G1392" s="9" t="s">
        <v>7219</v>
      </c>
      <c r="H1392" s="234"/>
      <c r="I1392" s="232"/>
      <c r="J1392" s="9"/>
      <c r="K1392" s="18"/>
      <c r="L1392" s="18"/>
      <c r="M1392" s="18"/>
      <c r="N1392" s="18"/>
      <c r="O1392" s="18"/>
      <c r="P1392" s="18"/>
      <c r="Q1392" s="18"/>
      <c r="R1392" s="18"/>
      <c r="S1392" s="18"/>
      <c r="T1392" s="18"/>
      <c r="U1392" s="18"/>
      <c r="V1392" s="18"/>
      <c r="W1392" s="18"/>
      <c r="X1392" s="18"/>
      <c r="Y1392" s="18"/>
      <c r="Z1392" s="18"/>
    </row>
    <row r="1393" ht="22.5" customHeight="1">
      <c r="A1393" s="253">
        <v>46086.0</v>
      </c>
      <c r="B1393" s="218" t="s">
        <v>7220</v>
      </c>
      <c r="C1393" s="9"/>
      <c r="D1393" s="228"/>
      <c r="E1393" s="216"/>
      <c r="F1393" s="221" t="s">
        <v>45</v>
      </c>
      <c r="G1393" s="9" t="s">
        <v>4714</v>
      </c>
      <c r="H1393" s="234"/>
      <c r="I1393" s="232"/>
      <c r="J1393" s="9" t="s">
        <v>7221</v>
      </c>
      <c r="K1393" s="18"/>
      <c r="L1393" s="18"/>
      <c r="M1393" s="18"/>
      <c r="N1393" s="18"/>
      <c r="O1393" s="18"/>
      <c r="P1393" s="18"/>
      <c r="Q1393" s="18"/>
      <c r="R1393" s="18"/>
      <c r="S1393" s="18"/>
      <c r="T1393" s="18"/>
      <c r="U1393" s="18"/>
      <c r="V1393" s="18"/>
      <c r="W1393" s="18"/>
      <c r="X1393" s="18"/>
      <c r="Y1393" s="18"/>
      <c r="Z1393" s="18"/>
    </row>
    <row r="1394" ht="22.5" customHeight="1">
      <c r="A1394" s="253">
        <v>46086.0</v>
      </c>
      <c r="B1394" s="218" t="s">
        <v>7222</v>
      </c>
      <c r="C1394" s="9"/>
      <c r="D1394" s="228"/>
      <c r="E1394" s="216"/>
      <c r="F1394" s="221" t="s">
        <v>45</v>
      </c>
      <c r="G1394" s="9" t="s">
        <v>7223</v>
      </c>
      <c r="H1394" s="234">
        <v>46086.0</v>
      </c>
      <c r="I1394" s="232">
        <v>0.7916666666666666</v>
      </c>
      <c r="J1394" s="9" t="s">
        <v>7224</v>
      </c>
      <c r="K1394" s="18"/>
      <c r="L1394" s="18"/>
      <c r="M1394" s="18"/>
      <c r="N1394" s="18"/>
      <c r="O1394" s="18"/>
      <c r="P1394" s="18"/>
      <c r="Q1394" s="18"/>
      <c r="R1394" s="18"/>
      <c r="S1394" s="18"/>
      <c r="T1394" s="18"/>
      <c r="U1394" s="18"/>
      <c r="V1394" s="18"/>
      <c r="W1394" s="18"/>
      <c r="X1394" s="18"/>
      <c r="Y1394" s="18"/>
      <c r="Z1394" s="18"/>
    </row>
    <row r="1395" ht="22.5" customHeight="1">
      <c r="A1395" s="253">
        <v>46086.0</v>
      </c>
      <c r="B1395" s="218" t="s">
        <v>7225</v>
      </c>
      <c r="C1395" s="9"/>
      <c r="D1395" s="228"/>
      <c r="E1395" s="216"/>
      <c r="F1395" s="221" t="s">
        <v>248</v>
      </c>
      <c r="G1395" s="9" t="s">
        <v>6099</v>
      </c>
      <c r="H1395" s="234">
        <v>46087.0</v>
      </c>
      <c r="I1395" s="232"/>
      <c r="J1395" s="9" t="s">
        <v>7226</v>
      </c>
      <c r="K1395" s="18"/>
      <c r="L1395" s="18"/>
      <c r="M1395" s="18"/>
      <c r="N1395" s="18"/>
      <c r="O1395" s="18"/>
      <c r="P1395" s="18"/>
      <c r="Q1395" s="18"/>
      <c r="R1395" s="18"/>
      <c r="S1395" s="18"/>
      <c r="T1395" s="18"/>
      <c r="U1395" s="18"/>
      <c r="V1395" s="18"/>
      <c r="W1395" s="18"/>
      <c r="X1395" s="18"/>
      <c r="Y1395" s="18"/>
      <c r="Z1395" s="18"/>
    </row>
    <row r="1396" ht="22.5" customHeight="1">
      <c r="A1396" s="253">
        <v>46086.0</v>
      </c>
      <c r="B1396" s="218" t="s">
        <v>7227</v>
      </c>
      <c r="C1396" s="9" t="s">
        <v>1999</v>
      </c>
      <c r="D1396" s="228"/>
      <c r="E1396" s="216"/>
      <c r="F1396" s="221" t="s">
        <v>73</v>
      </c>
      <c r="G1396" s="9" t="s">
        <v>7228</v>
      </c>
      <c r="H1396" s="234"/>
      <c r="I1396" s="232"/>
      <c r="J1396" s="9"/>
      <c r="K1396" s="18"/>
      <c r="L1396" s="18"/>
      <c r="M1396" s="18"/>
      <c r="N1396" s="18"/>
      <c r="O1396" s="18"/>
      <c r="P1396" s="18"/>
      <c r="Q1396" s="18"/>
      <c r="R1396" s="18"/>
      <c r="S1396" s="18"/>
      <c r="T1396" s="18"/>
      <c r="U1396" s="18"/>
      <c r="V1396" s="18"/>
      <c r="W1396" s="18"/>
      <c r="X1396" s="18"/>
      <c r="Y1396" s="18"/>
      <c r="Z1396" s="18"/>
    </row>
    <row r="1397" ht="22.5" customHeight="1">
      <c r="A1397" s="253">
        <v>46086.0</v>
      </c>
      <c r="B1397" s="218" t="s">
        <v>7229</v>
      </c>
      <c r="C1397" s="9" t="s">
        <v>1999</v>
      </c>
      <c r="D1397" s="228" t="s">
        <v>7230</v>
      </c>
      <c r="E1397" s="216"/>
      <c r="F1397" s="221" t="s">
        <v>186</v>
      </c>
      <c r="G1397" s="9" t="s">
        <v>7231</v>
      </c>
      <c r="H1397" s="234"/>
      <c r="I1397" s="232"/>
      <c r="J1397" s="9"/>
      <c r="K1397" s="18"/>
      <c r="L1397" s="18"/>
      <c r="M1397" s="18"/>
      <c r="N1397" s="18"/>
      <c r="O1397" s="18"/>
      <c r="P1397" s="18"/>
      <c r="Q1397" s="18"/>
      <c r="R1397" s="18"/>
      <c r="S1397" s="18"/>
      <c r="T1397" s="18"/>
      <c r="U1397" s="18"/>
      <c r="V1397" s="18"/>
      <c r="W1397" s="18"/>
      <c r="X1397" s="18"/>
      <c r="Y1397" s="18"/>
      <c r="Z1397" s="18"/>
    </row>
    <row r="1398" ht="22.5" customHeight="1">
      <c r="A1398" s="253">
        <v>46086.0</v>
      </c>
      <c r="B1398" s="218" t="s">
        <v>7232</v>
      </c>
      <c r="C1398" s="9"/>
      <c r="D1398" s="228"/>
      <c r="E1398" s="216"/>
      <c r="F1398" s="221" t="s">
        <v>45</v>
      </c>
      <c r="G1398" s="9" t="s">
        <v>7233</v>
      </c>
      <c r="H1398" s="234">
        <v>46087.0</v>
      </c>
      <c r="I1398" s="232"/>
      <c r="J1398" s="9" t="s">
        <v>7234</v>
      </c>
      <c r="K1398" s="18"/>
      <c r="L1398" s="18"/>
      <c r="M1398" s="18"/>
      <c r="N1398" s="18"/>
      <c r="O1398" s="18"/>
      <c r="P1398" s="18"/>
      <c r="Q1398" s="18"/>
      <c r="R1398" s="18"/>
      <c r="S1398" s="18"/>
      <c r="T1398" s="18"/>
      <c r="U1398" s="18"/>
      <c r="V1398" s="18"/>
      <c r="W1398" s="18"/>
      <c r="X1398" s="18"/>
      <c r="Y1398" s="18"/>
      <c r="Z1398" s="18"/>
    </row>
    <row r="1399" ht="22.5" customHeight="1">
      <c r="A1399" s="253">
        <v>46086.0</v>
      </c>
      <c r="B1399" s="218" t="s">
        <v>3472</v>
      </c>
      <c r="C1399" s="9" t="s">
        <v>1999</v>
      </c>
      <c r="D1399" s="228"/>
      <c r="E1399" s="216"/>
      <c r="F1399" s="221" t="s">
        <v>73</v>
      </c>
      <c r="G1399" s="9" t="s">
        <v>7228</v>
      </c>
      <c r="H1399" s="234"/>
      <c r="I1399" s="232"/>
      <c r="J1399" s="9"/>
      <c r="K1399" s="18"/>
      <c r="L1399" s="18"/>
      <c r="M1399" s="18"/>
      <c r="N1399" s="18"/>
      <c r="O1399" s="18"/>
      <c r="P1399" s="18"/>
      <c r="Q1399" s="18"/>
      <c r="R1399" s="18"/>
      <c r="S1399" s="18"/>
      <c r="T1399" s="18"/>
      <c r="U1399" s="18"/>
      <c r="V1399" s="18"/>
      <c r="W1399" s="18"/>
      <c r="X1399" s="18"/>
      <c r="Y1399" s="18"/>
      <c r="Z1399" s="18"/>
    </row>
    <row r="1400" ht="22.5" customHeight="1">
      <c r="A1400" s="253">
        <v>46086.0</v>
      </c>
      <c r="B1400" s="218" t="s">
        <v>7235</v>
      </c>
      <c r="C1400" s="9"/>
      <c r="D1400" s="228" t="s">
        <v>7236</v>
      </c>
      <c r="E1400" s="216">
        <v>8.121918468E9</v>
      </c>
      <c r="F1400" s="221" t="s">
        <v>1919</v>
      </c>
      <c r="G1400" s="9" t="s">
        <v>7237</v>
      </c>
      <c r="H1400" s="234"/>
      <c r="I1400" s="232"/>
      <c r="J1400" s="9" t="s">
        <v>7238</v>
      </c>
      <c r="K1400" s="18"/>
      <c r="L1400" s="18"/>
      <c r="M1400" s="18"/>
      <c r="N1400" s="18"/>
      <c r="O1400" s="18"/>
      <c r="P1400" s="18"/>
      <c r="Q1400" s="18"/>
      <c r="R1400" s="18"/>
      <c r="S1400" s="18"/>
      <c r="T1400" s="18"/>
      <c r="U1400" s="18"/>
      <c r="V1400" s="18"/>
      <c r="W1400" s="18"/>
      <c r="X1400" s="18"/>
      <c r="Y1400" s="18"/>
      <c r="Z1400" s="18"/>
    </row>
    <row r="1401" ht="22.5" customHeight="1">
      <c r="A1401" s="253">
        <v>46086.0</v>
      </c>
      <c r="B1401" s="218" t="s">
        <v>7235</v>
      </c>
      <c r="C1401" s="9"/>
      <c r="D1401" s="228" t="s">
        <v>7239</v>
      </c>
      <c r="E1401" s="216">
        <v>8.688138887E9</v>
      </c>
      <c r="F1401" s="221" t="s">
        <v>1919</v>
      </c>
      <c r="G1401" s="9" t="s">
        <v>7237</v>
      </c>
      <c r="H1401" s="234"/>
      <c r="I1401" s="232"/>
      <c r="J1401" s="9" t="s">
        <v>7238</v>
      </c>
      <c r="K1401" s="18"/>
      <c r="L1401" s="18"/>
      <c r="M1401" s="18"/>
      <c r="N1401" s="18"/>
      <c r="O1401" s="18"/>
      <c r="P1401" s="18"/>
      <c r="Q1401" s="18"/>
      <c r="R1401" s="18"/>
      <c r="S1401" s="18"/>
      <c r="T1401" s="18"/>
      <c r="U1401" s="18"/>
      <c r="V1401" s="18"/>
      <c r="W1401" s="18"/>
      <c r="X1401" s="18"/>
      <c r="Y1401" s="18"/>
      <c r="Z1401" s="18"/>
    </row>
    <row r="1402" ht="22.5" customHeight="1">
      <c r="A1402" s="253">
        <v>46086.0</v>
      </c>
      <c r="B1402" s="218" t="s">
        <v>7240</v>
      </c>
      <c r="C1402" s="9" t="s">
        <v>3634</v>
      </c>
      <c r="D1402" s="228" t="s">
        <v>7241</v>
      </c>
      <c r="E1402" s="216"/>
      <c r="F1402" s="221" t="s">
        <v>186</v>
      </c>
      <c r="G1402" s="9" t="s">
        <v>7242</v>
      </c>
      <c r="H1402" s="234"/>
      <c r="I1402" s="232"/>
      <c r="J1402" s="9" t="s">
        <v>7243</v>
      </c>
      <c r="K1402" s="18"/>
      <c r="L1402" s="18"/>
      <c r="M1402" s="18"/>
      <c r="N1402" s="18"/>
      <c r="O1402" s="18"/>
      <c r="P1402" s="18"/>
      <c r="Q1402" s="18"/>
      <c r="R1402" s="18"/>
      <c r="S1402" s="18"/>
      <c r="T1402" s="18"/>
      <c r="U1402" s="18"/>
      <c r="V1402" s="18"/>
      <c r="W1402" s="18"/>
      <c r="X1402" s="18"/>
      <c r="Y1402" s="18"/>
      <c r="Z1402" s="18"/>
    </row>
    <row r="1403" ht="22.5" customHeight="1">
      <c r="A1403" s="253">
        <v>46086.0</v>
      </c>
      <c r="B1403" s="218" t="s">
        <v>7244</v>
      </c>
      <c r="C1403" s="9" t="s">
        <v>7245</v>
      </c>
      <c r="D1403" s="228"/>
      <c r="E1403" s="216"/>
      <c r="F1403" s="221" t="s">
        <v>96</v>
      </c>
      <c r="G1403" s="9" t="s">
        <v>7246</v>
      </c>
      <c r="H1403" s="234"/>
      <c r="I1403" s="232"/>
      <c r="J1403" s="9"/>
      <c r="K1403" s="18"/>
      <c r="L1403" s="18"/>
      <c r="M1403" s="18"/>
      <c r="N1403" s="18"/>
      <c r="O1403" s="18"/>
      <c r="P1403" s="18"/>
      <c r="Q1403" s="18"/>
      <c r="R1403" s="18"/>
      <c r="S1403" s="18"/>
      <c r="T1403" s="18"/>
      <c r="U1403" s="18"/>
      <c r="V1403" s="18"/>
      <c r="W1403" s="18"/>
      <c r="X1403" s="18"/>
      <c r="Y1403" s="18"/>
      <c r="Z1403" s="18"/>
    </row>
    <row r="1404" ht="22.5" customHeight="1">
      <c r="A1404" s="253">
        <v>46086.0</v>
      </c>
      <c r="B1404" s="218" t="s">
        <v>7247</v>
      </c>
      <c r="C1404" s="9" t="s">
        <v>7245</v>
      </c>
      <c r="D1404" s="228"/>
      <c r="E1404" s="216"/>
      <c r="F1404" s="221" t="s">
        <v>96</v>
      </c>
      <c r="G1404" s="9" t="s">
        <v>7246</v>
      </c>
      <c r="H1404" s="234"/>
      <c r="I1404" s="232"/>
      <c r="J1404" s="9"/>
      <c r="K1404" s="18"/>
      <c r="L1404" s="18"/>
      <c r="M1404" s="18"/>
      <c r="N1404" s="18"/>
      <c r="O1404" s="18"/>
      <c r="P1404" s="18"/>
      <c r="Q1404" s="18"/>
      <c r="R1404" s="18"/>
      <c r="S1404" s="18"/>
      <c r="T1404" s="18"/>
      <c r="U1404" s="18"/>
      <c r="V1404" s="18"/>
      <c r="W1404" s="18"/>
      <c r="X1404" s="18"/>
      <c r="Y1404" s="18"/>
      <c r="Z1404" s="18"/>
    </row>
    <row r="1405" ht="22.5" customHeight="1">
      <c r="A1405" s="253">
        <v>46086.0</v>
      </c>
      <c r="B1405" s="218" t="s">
        <v>7248</v>
      </c>
      <c r="C1405" s="9" t="s">
        <v>7245</v>
      </c>
      <c r="D1405" s="228"/>
      <c r="E1405" s="216"/>
      <c r="F1405" s="221" t="s">
        <v>96</v>
      </c>
      <c r="G1405" s="9" t="s">
        <v>7249</v>
      </c>
      <c r="H1405" s="234"/>
      <c r="I1405" s="232"/>
      <c r="J1405" s="9"/>
      <c r="K1405" s="18"/>
      <c r="L1405" s="18"/>
      <c r="M1405" s="18"/>
      <c r="N1405" s="18"/>
      <c r="O1405" s="18"/>
      <c r="P1405" s="18"/>
      <c r="Q1405" s="18"/>
      <c r="R1405" s="18"/>
      <c r="S1405" s="18"/>
      <c r="T1405" s="18"/>
      <c r="U1405" s="18"/>
      <c r="V1405" s="18"/>
      <c r="W1405" s="18"/>
      <c r="X1405" s="18"/>
      <c r="Y1405" s="18"/>
      <c r="Z1405" s="18"/>
    </row>
    <row r="1406" ht="22.5" customHeight="1">
      <c r="A1406" s="253">
        <v>46086.0</v>
      </c>
      <c r="B1406" s="218" t="s">
        <v>7250</v>
      </c>
      <c r="C1406" s="9" t="s">
        <v>7245</v>
      </c>
      <c r="D1406" s="228"/>
      <c r="E1406" s="216"/>
      <c r="F1406" s="221" t="s">
        <v>96</v>
      </c>
      <c r="G1406" s="9" t="s">
        <v>7246</v>
      </c>
      <c r="H1406" s="234"/>
      <c r="I1406" s="232"/>
      <c r="J1406" s="9"/>
      <c r="K1406" s="18"/>
      <c r="L1406" s="18"/>
      <c r="M1406" s="18"/>
      <c r="N1406" s="18"/>
      <c r="O1406" s="18"/>
      <c r="P1406" s="18"/>
      <c r="Q1406" s="18"/>
      <c r="R1406" s="18"/>
      <c r="S1406" s="18"/>
      <c r="T1406" s="18"/>
      <c r="U1406" s="18"/>
      <c r="V1406" s="18"/>
      <c r="W1406" s="18"/>
      <c r="X1406" s="18"/>
      <c r="Y1406" s="18"/>
      <c r="Z1406" s="18"/>
    </row>
    <row r="1407" ht="22.5" customHeight="1">
      <c r="A1407" s="253">
        <v>46086.0</v>
      </c>
      <c r="B1407" s="218" t="s">
        <v>7251</v>
      </c>
      <c r="C1407" s="9" t="s">
        <v>7245</v>
      </c>
      <c r="D1407" s="228"/>
      <c r="E1407" s="216"/>
      <c r="F1407" s="221" t="s">
        <v>96</v>
      </c>
      <c r="G1407" s="9" t="s">
        <v>7246</v>
      </c>
      <c r="H1407" s="234"/>
      <c r="I1407" s="232"/>
      <c r="J1407" s="9"/>
      <c r="K1407" s="18"/>
      <c r="L1407" s="18"/>
      <c r="M1407" s="18"/>
      <c r="N1407" s="18"/>
      <c r="O1407" s="18"/>
      <c r="P1407" s="18"/>
      <c r="Q1407" s="18"/>
      <c r="R1407" s="18"/>
      <c r="S1407" s="18"/>
      <c r="T1407" s="18"/>
      <c r="U1407" s="18"/>
      <c r="V1407" s="18"/>
      <c r="W1407" s="18"/>
      <c r="X1407" s="18"/>
      <c r="Y1407" s="18"/>
      <c r="Z1407" s="18"/>
    </row>
    <row r="1408" ht="22.5" customHeight="1">
      <c r="A1408" s="253">
        <v>46086.0</v>
      </c>
      <c r="B1408" s="218" t="s">
        <v>7252</v>
      </c>
      <c r="C1408" s="9" t="s">
        <v>7245</v>
      </c>
      <c r="D1408" s="228"/>
      <c r="E1408" s="216"/>
      <c r="F1408" s="221" t="s">
        <v>96</v>
      </c>
      <c r="G1408" s="9" t="s">
        <v>7253</v>
      </c>
      <c r="H1408" s="234"/>
      <c r="I1408" s="232"/>
      <c r="J1408" s="9"/>
      <c r="K1408" s="18"/>
      <c r="L1408" s="18"/>
      <c r="M1408" s="18"/>
      <c r="N1408" s="18"/>
      <c r="O1408" s="18"/>
      <c r="P1408" s="18"/>
      <c r="Q1408" s="18"/>
      <c r="R1408" s="18"/>
      <c r="S1408" s="18"/>
      <c r="T1408" s="18"/>
      <c r="U1408" s="18"/>
      <c r="V1408" s="18"/>
      <c r="W1408" s="18"/>
      <c r="X1408" s="18"/>
      <c r="Y1408" s="18"/>
      <c r="Z1408" s="18"/>
    </row>
    <row r="1409" ht="22.5" customHeight="1">
      <c r="A1409" s="253">
        <v>46086.0</v>
      </c>
      <c r="B1409" s="218" t="s">
        <v>7254</v>
      </c>
      <c r="C1409" s="9"/>
      <c r="D1409" s="228" t="s">
        <v>7255</v>
      </c>
      <c r="E1409" s="216">
        <v>9.649647535E9</v>
      </c>
      <c r="F1409" s="221" t="s">
        <v>1919</v>
      </c>
      <c r="G1409" s="9" t="s">
        <v>7256</v>
      </c>
      <c r="H1409" s="234"/>
      <c r="I1409" s="232"/>
      <c r="J1409" s="9" t="s">
        <v>7257</v>
      </c>
      <c r="K1409" s="18"/>
      <c r="L1409" s="18"/>
      <c r="M1409" s="18"/>
      <c r="N1409" s="18"/>
      <c r="O1409" s="18"/>
      <c r="P1409" s="18"/>
      <c r="Q1409" s="18"/>
      <c r="R1409" s="18"/>
      <c r="S1409" s="18"/>
      <c r="T1409" s="18"/>
      <c r="U1409" s="18"/>
      <c r="V1409" s="18"/>
      <c r="W1409" s="18"/>
      <c r="X1409" s="18"/>
      <c r="Y1409" s="18"/>
      <c r="Z1409" s="18"/>
    </row>
    <row r="1410" ht="22.5" customHeight="1">
      <c r="A1410" s="253">
        <v>46086.0</v>
      </c>
      <c r="B1410" s="218" t="s">
        <v>7258</v>
      </c>
      <c r="C1410" s="9" t="s">
        <v>7245</v>
      </c>
      <c r="D1410" s="228"/>
      <c r="E1410" s="216"/>
      <c r="F1410" s="221" t="s">
        <v>241</v>
      </c>
      <c r="G1410" s="9" t="s">
        <v>7259</v>
      </c>
      <c r="H1410" s="234"/>
      <c r="I1410" s="232"/>
      <c r="J1410" s="9"/>
      <c r="K1410" s="18"/>
      <c r="L1410" s="18"/>
      <c r="M1410" s="18"/>
      <c r="N1410" s="18"/>
      <c r="O1410" s="18"/>
      <c r="P1410" s="18"/>
      <c r="Q1410" s="18"/>
      <c r="R1410" s="18"/>
      <c r="S1410" s="18"/>
      <c r="T1410" s="18"/>
      <c r="U1410" s="18"/>
      <c r="V1410" s="18"/>
      <c r="W1410" s="18"/>
      <c r="X1410" s="18"/>
      <c r="Y1410" s="18"/>
      <c r="Z1410" s="18"/>
    </row>
    <row r="1411" ht="22.5" customHeight="1">
      <c r="A1411" s="253">
        <v>46086.0</v>
      </c>
      <c r="B1411" s="218" t="s">
        <v>7260</v>
      </c>
      <c r="C1411" s="9" t="s">
        <v>7245</v>
      </c>
      <c r="D1411" s="228"/>
      <c r="E1411" s="216"/>
      <c r="F1411" s="221" t="s">
        <v>241</v>
      </c>
      <c r="G1411" s="9" t="s">
        <v>7249</v>
      </c>
      <c r="H1411" s="234"/>
      <c r="I1411" s="232"/>
      <c r="J1411" s="9"/>
      <c r="K1411" s="18"/>
      <c r="L1411" s="18"/>
      <c r="M1411" s="18"/>
      <c r="N1411" s="18"/>
      <c r="O1411" s="18"/>
      <c r="P1411" s="18"/>
      <c r="Q1411" s="18"/>
      <c r="R1411" s="18"/>
      <c r="S1411" s="18"/>
      <c r="T1411" s="18"/>
      <c r="U1411" s="18"/>
      <c r="V1411" s="18"/>
      <c r="W1411" s="18"/>
      <c r="X1411" s="18"/>
      <c r="Y1411" s="18"/>
      <c r="Z1411" s="18"/>
    </row>
    <row r="1412" ht="22.5" customHeight="1">
      <c r="A1412" s="253">
        <v>46086.0</v>
      </c>
      <c r="B1412" s="218" t="s">
        <v>7261</v>
      </c>
      <c r="C1412" s="9" t="s">
        <v>7245</v>
      </c>
      <c r="D1412" s="228"/>
      <c r="E1412" s="216"/>
      <c r="F1412" s="221" t="s">
        <v>241</v>
      </c>
      <c r="G1412" s="9" t="s">
        <v>7259</v>
      </c>
      <c r="H1412" s="234"/>
      <c r="I1412" s="232"/>
      <c r="J1412" s="9"/>
      <c r="K1412" s="18"/>
      <c r="L1412" s="18"/>
      <c r="M1412" s="18"/>
      <c r="N1412" s="18"/>
      <c r="O1412" s="18"/>
      <c r="P1412" s="18"/>
      <c r="Q1412" s="18"/>
      <c r="R1412" s="18"/>
      <c r="S1412" s="18"/>
      <c r="T1412" s="18"/>
      <c r="U1412" s="18"/>
      <c r="V1412" s="18"/>
      <c r="W1412" s="18"/>
      <c r="X1412" s="18"/>
      <c r="Y1412" s="18"/>
      <c r="Z1412" s="18"/>
    </row>
    <row r="1413" ht="22.5" customHeight="1">
      <c r="A1413" s="253">
        <v>46086.0</v>
      </c>
      <c r="B1413" s="218" t="s">
        <v>7262</v>
      </c>
      <c r="C1413" s="9" t="s">
        <v>7245</v>
      </c>
      <c r="D1413" s="228"/>
      <c r="E1413" s="216"/>
      <c r="F1413" s="221" t="s">
        <v>241</v>
      </c>
      <c r="G1413" s="9" t="s">
        <v>7259</v>
      </c>
      <c r="H1413" s="234"/>
      <c r="I1413" s="232"/>
      <c r="J1413" s="9"/>
      <c r="K1413" s="18"/>
      <c r="L1413" s="18"/>
      <c r="M1413" s="18"/>
      <c r="N1413" s="18"/>
      <c r="O1413" s="18"/>
      <c r="P1413" s="18"/>
      <c r="Q1413" s="18"/>
      <c r="R1413" s="18"/>
      <c r="S1413" s="18"/>
      <c r="T1413" s="18"/>
      <c r="U1413" s="18"/>
      <c r="V1413" s="18"/>
      <c r="W1413" s="18"/>
      <c r="X1413" s="18"/>
      <c r="Y1413" s="18"/>
      <c r="Z1413" s="18"/>
    </row>
    <row r="1414" ht="22.5" customHeight="1">
      <c r="A1414" s="253">
        <v>46086.0</v>
      </c>
      <c r="B1414" s="218" t="s">
        <v>7263</v>
      </c>
      <c r="C1414" s="9" t="s">
        <v>7245</v>
      </c>
      <c r="D1414" s="228"/>
      <c r="E1414" s="216"/>
      <c r="F1414" s="221" t="s">
        <v>241</v>
      </c>
      <c r="G1414" s="9" t="s">
        <v>7259</v>
      </c>
      <c r="H1414" s="234"/>
      <c r="I1414" s="232"/>
      <c r="J1414" s="9"/>
      <c r="K1414" s="18"/>
      <c r="L1414" s="18"/>
      <c r="M1414" s="18"/>
      <c r="N1414" s="18"/>
      <c r="O1414" s="18"/>
      <c r="P1414" s="18"/>
      <c r="Q1414" s="18"/>
      <c r="R1414" s="18"/>
      <c r="S1414" s="18"/>
      <c r="T1414" s="18"/>
      <c r="U1414" s="18"/>
      <c r="V1414" s="18"/>
      <c r="W1414" s="18"/>
      <c r="X1414" s="18"/>
      <c r="Y1414" s="18"/>
      <c r="Z1414" s="18"/>
    </row>
    <row r="1415" ht="22.5" customHeight="1">
      <c r="A1415" s="253">
        <v>46086.0</v>
      </c>
      <c r="B1415" s="218" t="s">
        <v>7264</v>
      </c>
      <c r="C1415" s="9" t="s">
        <v>7245</v>
      </c>
      <c r="D1415" s="228"/>
      <c r="E1415" s="216"/>
      <c r="F1415" s="221" t="s">
        <v>241</v>
      </c>
      <c r="G1415" s="9" t="s">
        <v>7259</v>
      </c>
      <c r="H1415" s="234"/>
      <c r="I1415" s="232"/>
      <c r="J1415" s="9"/>
      <c r="K1415" s="18"/>
      <c r="L1415" s="18"/>
      <c r="M1415" s="18"/>
      <c r="N1415" s="18"/>
      <c r="O1415" s="18"/>
      <c r="P1415" s="18"/>
      <c r="Q1415" s="18"/>
      <c r="R1415" s="18"/>
      <c r="S1415" s="18"/>
      <c r="T1415" s="18"/>
      <c r="U1415" s="18"/>
      <c r="V1415" s="18"/>
      <c r="W1415" s="18"/>
      <c r="X1415" s="18"/>
      <c r="Y1415" s="18"/>
      <c r="Z1415" s="18"/>
    </row>
    <row r="1416" ht="22.5" customHeight="1">
      <c r="A1416" s="253">
        <v>46086.0</v>
      </c>
      <c r="B1416" s="9" t="s">
        <v>7265</v>
      </c>
      <c r="C1416" s="9"/>
      <c r="D1416" s="228"/>
      <c r="E1416" s="216"/>
      <c r="F1416" s="221" t="s">
        <v>248</v>
      </c>
      <c r="G1416" s="9" t="s">
        <v>7266</v>
      </c>
      <c r="H1416" s="234"/>
      <c r="I1416" s="232"/>
      <c r="J1416" s="9" t="s">
        <v>7267</v>
      </c>
      <c r="K1416" s="18"/>
      <c r="L1416" s="18"/>
      <c r="M1416" s="18"/>
      <c r="N1416" s="18"/>
      <c r="O1416" s="18"/>
      <c r="P1416" s="18"/>
      <c r="Q1416" s="18"/>
      <c r="R1416" s="18"/>
      <c r="S1416" s="18"/>
      <c r="T1416" s="18"/>
      <c r="U1416" s="18"/>
      <c r="V1416" s="18"/>
      <c r="W1416" s="18"/>
      <c r="X1416" s="18"/>
      <c r="Y1416" s="18"/>
      <c r="Z1416" s="18"/>
    </row>
    <row r="1417" ht="22.5" customHeight="1">
      <c r="A1417" s="253">
        <v>46086.0</v>
      </c>
      <c r="B1417" s="9" t="s">
        <v>7268</v>
      </c>
      <c r="C1417" s="9"/>
      <c r="D1417" s="228"/>
      <c r="E1417" s="216"/>
      <c r="F1417" s="221" t="s">
        <v>248</v>
      </c>
      <c r="G1417" s="9" t="s">
        <v>7269</v>
      </c>
      <c r="H1417" s="234"/>
      <c r="I1417" s="232"/>
      <c r="J1417" s="9" t="s">
        <v>7267</v>
      </c>
      <c r="K1417" s="18"/>
      <c r="L1417" s="18"/>
      <c r="M1417" s="18"/>
      <c r="N1417" s="18"/>
      <c r="O1417" s="18"/>
      <c r="P1417" s="18"/>
      <c r="Q1417" s="18"/>
      <c r="R1417" s="18"/>
      <c r="S1417" s="18"/>
      <c r="T1417" s="18"/>
      <c r="U1417" s="18"/>
      <c r="V1417" s="18"/>
      <c r="W1417" s="18"/>
      <c r="X1417" s="18"/>
      <c r="Y1417" s="18"/>
      <c r="Z1417" s="18"/>
    </row>
    <row r="1418" ht="22.5" customHeight="1">
      <c r="A1418" s="253">
        <v>46086.0</v>
      </c>
      <c r="B1418" s="218" t="s">
        <v>7270</v>
      </c>
      <c r="C1418" s="9" t="s">
        <v>7271</v>
      </c>
      <c r="D1418" s="228"/>
      <c r="E1418" s="216"/>
      <c r="F1418" s="221" t="s">
        <v>241</v>
      </c>
      <c r="G1418" s="9" t="s">
        <v>7272</v>
      </c>
      <c r="H1418" s="234"/>
      <c r="I1418" s="232"/>
      <c r="J1418" s="9"/>
      <c r="K1418" s="18"/>
      <c r="L1418" s="18"/>
      <c r="M1418" s="18"/>
      <c r="N1418" s="18"/>
      <c r="O1418" s="18"/>
      <c r="P1418" s="18"/>
      <c r="Q1418" s="18"/>
      <c r="R1418" s="18"/>
      <c r="S1418" s="18"/>
      <c r="T1418" s="18"/>
      <c r="U1418" s="18"/>
      <c r="V1418" s="18"/>
      <c r="W1418" s="18"/>
      <c r="X1418" s="18"/>
      <c r="Y1418" s="18"/>
      <c r="Z1418" s="18"/>
    </row>
    <row r="1419" ht="22.5" customHeight="1">
      <c r="A1419" s="253">
        <v>46086.0</v>
      </c>
      <c r="B1419" s="218" t="s">
        <v>7273</v>
      </c>
      <c r="C1419" s="9" t="s">
        <v>7274</v>
      </c>
      <c r="D1419" s="228"/>
      <c r="E1419" s="216"/>
      <c r="F1419" s="221" t="s">
        <v>96</v>
      </c>
      <c r="G1419" s="9" t="s">
        <v>7269</v>
      </c>
      <c r="H1419" s="234"/>
      <c r="I1419" s="232"/>
      <c r="J1419" s="9"/>
      <c r="K1419" s="18"/>
      <c r="L1419" s="18"/>
      <c r="M1419" s="18"/>
      <c r="N1419" s="18"/>
      <c r="O1419" s="18"/>
      <c r="P1419" s="18"/>
      <c r="Q1419" s="18"/>
      <c r="R1419" s="18"/>
      <c r="S1419" s="18"/>
      <c r="T1419" s="18"/>
      <c r="U1419" s="18"/>
      <c r="V1419" s="18"/>
      <c r="W1419" s="18"/>
      <c r="X1419" s="18"/>
      <c r="Y1419" s="18"/>
      <c r="Z1419" s="18"/>
    </row>
    <row r="1420" ht="22.5" customHeight="1">
      <c r="A1420" s="253">
        <v>46086.0</v>
      </c>
      <c r="B1420" s="218" t="s">
        <v>7275</v>
      </c>
      <c r="C1420" s="9" t="s">
        <v>7274</v>
      </c>
      <c r="D1420" s="228"/>
      <c r="E1420" s="216"/>
      <c r="F1420" s="221" t="s">
        <v>96</v>
      </c>
      <c r="G1420" s="15" t="s">
        <v>7269</v>
      </c>
      <c r="H1420" s="234"/>
      <c r="I1420" s="232"/>
      <c r="J1420" s="9"/>
      <c r="K1420" s="18"/>
      <c r="L1420" s="18"/>
      <c r="M1420" s="18"/>
      <c r="N1420" s="18"/>
      <c r="O1420" s="18"/>
      <c r="P1420" s="18"/>
      <c r="Q1420" s="18"/>
      <c r="R1420" s="18"/>
      <c r="S1420" s="18"/>
      <c r="T1420" s="18"/>
      <c r="U1420" s="18"/>
      <c r="V1420" s="18"/>
      <c r="W1420" s="18"/>
      <c r="X1420" s="18"/>
      <c r="Y1420" s="18"/>
      <c r="Z1420" s="18"/>
    </row>
    <row r="1421" ht="22.5" customHeight="1">
      <c r="A1421" s="253">
        <v>46086.0</v>
      </c>
      <c r="B1421" s="218" t="s">
        <v>7276</v>
      </c>
      <c r="C1421" s="9" t="s">
        <v>7274</v>
      </c>
      <c r="D1421" s="228"/>
      <c r="E1421" s="216"/>
      <c r="F1421" s="221" t="s">
        <v>96</v>
      </c>
      <c r="G1421" s="15" t="s">
        <v>7277</v>
      </c>
      <c r="H1421" s="234"/>
      <c r="I1421" s="232"/>
      <c r="J1421" s="9"/>
      <c r="K1421" s="18"/>
      <c r="L1421" s="18"/>
      <c r="M1421" s="18"/>
      <c r="N1421" s="18"/>
      <c r="O1421" s="18"/>
      <c r="P1421" s="18"/>
      <c r="Q1421" s="18"/>
      <c r="R1421" s="18"/>
      <c r="S1421" s="18"/>
      <c r="T1421" s="18"/>
      <c r="U1421" s="18"/>
      <c r="V1421" s="18"/>
      <c r="W1421" s="18"/>
      <c r="X1421" s="18"/>
      <c r="Y1421" s="18"/>
      <c r="Z1421" s="18"/>
    </row>
    <row r="1422" ht="22.5" customHeight="1">
      <c r="A1422" s="253">
        <v>46086.0</v>
      </c>
      <c r="B1422" s="218" t="s">
        <v>7278</v>
      </c>
      <c r="C1422" s="9" t="s">
        <v>7274</v>
      </c>
      <c r="D1422" s="228"/>
      <c r="E1422" s="216"/>
      <c r="F1422" s="221" t="s">
        <v>96</v>
      </c>
      <c r="G1422" s="9" t="s">
        <v>7269</v>
      </c>
      <c r="H1422" s="234"/>
      <c r="I1422" s="232"/>
      <c r="J1422" s="9"/>
      <c r="K1422" s="18"/>
      <c r="L1422" s="18"/>
      <c r="M1422" s="18"/>
      <c r="N1422" s="18"/>
      <c r="O1422" s="18"/>
      <c r="P1422" s="18"/>
      <c r="Q1422" s="18"/>
      <c r="R1422" s="18"/>
      <c r="S1422" s="18"/>
      <c r="T1422" s="18"/>
      <c r="U1422" s="18"/>
      <c r="V1422" s="18"/>
      <c r="W1422" s="18"/>
      <c r="X1422" s="18"/>
      <c r="Y1422" s="18"/>
      <c r="Z1422" s="18"/>
    </row>
    <row r="1423" ht="22.5" customHeight="1">
      <c r="A1423" s="253">
        <v>46086.0</v>
      </c>
      <c r="B1423" s="218" t="s">
        <v>3481</v>
      </c>
      <c r="C1423" s="9" t="s">
        <v>7274</v>
      </c>
      <c r="D1423" s="228"/>
      <c r="E1423" s="216"/>
      <c r="F1423" s="221" t="s">
        <v>96</v>
      </c>
      <c r="G1423" s="15" t="s">
        <v>7279</v>
      </c>
      <c r="H1423" s="234"/>
      <c r="I1423" s="232"/>
      <c r="J1423" s="9"/>
      <c r="K1423" s="18"/>
      <c r="L1423" s="18"/>
      <c r="M1423" s="18"/>
      <c r="N1423" s="18"/>
      <c r="O1423" s="18"/>
      <c r="P1423" s="18"/>
      <c r="Q1423" s="18"/>
      <c r="R1423" s="18"/>
      <c r="S1423" s="18"/>
      <c r="T1423" s="18"/>
      <c r="U1423" s="18"/>
      <c r="V1423" s="18"/>
      <c r="W1423" s="18"/>
      <c r="X1423" s="18"/>
      <c r="Y1423" s="18"/>
      <c r="Z1423" s="18"/>
    </row>
    <row r="1424" ht="22.5" customHeight="1">
      <c r="A1424" s="253">
        <v>46086.0</v>
      </c>
      <c r="B1424" s="218" t="s">
        <v>7280</v>
      </c>
      <c r="C1424" s="9" t="s">
        <v>7274</v>
      </c>
      <c r="D1424" s="228"/>
      <c r="E1424" s="216"/>
      <c r="F1424" s="221" t="s">
        <v>96</v>
      </c>
      <c r="G1424" s="15" t="s">
        <v>7277</v>
      </c>
      <c r="H1424" s="234"/>
      <c r="I1424" s="232"/>
      <c r="J1424" s="9"/>
      <c r="K1424" s="18"/>
      <c r="L1424" s="18"/>
      <c r="M1424" s="18"/>
      <c r="N1424" s="18"/>
      <c r="O1424" s="18"/>
      <c r="P1424" s="18"/>
      <c r="Q1424" s="18"/>
      <c r="R1424" s="18"/>
      <c r="S1424" s="18"/>
      <c r="T1424" s="18"/>
      <c r="U1424" s="18"/>
      <c r="V1424" s="18"/>
      <c r="W1424" s="18"/>
      <c r="X1424" s="18"/>
      <c r="Y1424" s="18"/>
      <c r="Z1424" s="18"/>
    </row>
    <row r="1425" ht="22.5" customHeight="1">
      <c r="A1425" s="253">
        <v>46086.0</v>
      </c>
      <c r="B1425" s="218" t="s">
        <v>7281</v>
      </c>
      <c r="C1425" s="9"/>
      <c r="D1425" s="228"/>
      <c r="E1425" s="216"/>
      <c r="F1425" s="221" t="s">
        <v>1919</v>
      </c>
      <c r="G1425" s="9" t="s">
        <v>7282</v>
      </c>
      <c r="H1425" s="234"/>
      <c r="I1425" s="232"/>
      <c r="J1425" s="9" t="s">
        <v>7283</v>
      </c>
      <c r="K1425" s="18"/>
      <c r="L1425" s="18"/>
      <c r="M1425" s="18"/>
      <c r="N1425" s="18"/>
      <c r="O1425" s="18"/>
      <c r="P1425" s="18"/>
      <c r="Q1425" s="18"/>
      <c r="R1425" s="18"/>
      <c r="S1425" s="18"/>
      <c r="T1425" s="18"/>
      <c r="U1425" s="18"/>
      <c r="V1425" s="18"/>
      <c r="W1425" s="18"/>
      <c r="X1425" s="18"/>
      <c r="Y1425" s="18"/>
      <c r="Z1425" s="18"/>
    </row>
    <row r="1426" ht="22.5" customHeight="1">
      <c r="A1426" s="253">
        <v>46086.0</v>
      </c>
      <c r="B1426" s="218" t="s">
        <v>7284</v>
      </c>
      <c r="C1426" s="9"/>
      <c r="D1426" s="228" t="s">
        <v>7285</v>
      </c>
      <c r="E1426" s="216">
        <v>9.966889981E9</v>
      </c>
      <c r="F1426" s="221" t="s">
        <v>1919</v>
      </c>
      <c r="G1426" s="9" t="s">
        <v>5383</v>
      </c>
      <c r="H1426" s="234"/>
      <c r="I1426" s="232"/>
      <c r="J1426" s="9" t="s">
        <v>7286</v>
      </c>
      <c r="K1426" s="18"/>
      <c r="L1426" s="18"/>
      <c r="M1426" s="18"/>
      <c r="N1426" s="18"/>
      <c r="O1426" s="18"/>
      <c r="P1426" s="18"/>
      <c r="Q1426" s="18"/>
      <c r="R1426" s="18"/>
      <c r="S1426" s="18"/>
      <c r="T1426" s="18"/>
      <c r="U1426" s="18"/>
      <c r="V1426" s="18"/>
      <c r="W1426" s="18"/>
      <c r="X1426" s="18"/>
      <c r="Y1426" s="18"/>
      <c r="Z1426" s="18"/>
    </row>
    <row r="1427" ht="22.5" customHeight="1">
      <c r="A1427" s="253">
        <v>46086.0</v>
      </c>
      <c r="B1427" s="218" t="s">
        <v>3377</v>
      </c>
      <c r="C1427" s="9" t="s">
        <v>7287</v>
      </c>
      <c r="D1427" s="228" t="s">
        <v>4646</v>
      </c>
      <c r="E1427" s="216"/>
      <c r="F1427" s="221" t="s">
        <v>186</v>
      </c>
      <c r="G1427" s="9" t="s">
        <v>7288</v>
      </c>
      <c r="H1427" s="234"/>
      <c r="I1427" s="232"/>
      <c r="J1427" s="9"/>
      <c r="K1427" s="18"/>
      <c r="L1427" s="18"/>
      <c r="M1427" s="18"/>
      <c r="N1427" s="18"/>
      <c r="O1427" s="18"/>
      <c r="P1427" s="18"/>
      <c r="Q1427" s="18"/>
      <c r="R1427" s="18"/>
      <c r="S1427" s="18"/>
      <c r="T1427" s="18"/>
      <c r="U1427" s="18"/>
      <c r="V1427" s="18"/>
      <c r="W1427" s="18"/>
      <c r="X1427" s="18"/>
      <c r="Y1427" s="18"/>
      <c r="Z1427" s="18"/>
    </row>
    <row r="1428" ht="22.5" customHeight="1">
      <c r="A1428" s="250">
        <v>46087.0</v>
      </c>
      <c r="B1428" s="218" t="s">
        <v>7289</v>
      </c>
      <c r="C1428" s="9"/>
      <c r="D1428" s="228"/>
      <c r="E1428" s="216"/>
      <c r="F1428" s="221" t="s">
        <v>1919</v>
      </c>
      <c r="G1428" s="9" t="s">
        <v>7290</v>
      </c>
      <c r="H1428" s="234"/>
      <c r="I1428" s="232"/>
      <c r="J1428" s="9"/>
      <c r="K1428" s="18"/>
      <c r="L1428" s="18"/>
      <c r="M1428" s="18"/>
      <c r="N1428" s="18"/>
      <c r="O1428" s="18"/>
      <c r="P1428" s="18"/>
      <c r="Q1428" s="18"/>
      <c r="R1428" s="18"/>
      <c r="S1428" s="18"/>
      <c r="T1428" s="18"/>
      <c r="U1428" s="18"/>
      <c r="V1428" s="18"/>
      <c r="W1428" s="18"/>
      <c r="X1428" s="18"/>
      <c r="Y1428" s="18"/>
      <c r="Z1428" s="18"/>
    </row>
    <row r="1429" ht="22.5" customHeight="1">
      <c r="A1429" s="250">
        <v>46087.0</v>
      </c>
      <c r="B1429" s="218" t="s">
        <v>7291</v>
      </c>
      <c r="C1429" s="9"/>
      <c r="D1429" s="228"/>
      <c r="E1429" s="216"/>
      <c r="F1429" s="221" t="s">
        <v>144</v>
      </c>
      <c r="G1429" s="9" t="s">
        <v>7292</v>
      </c>
      <c r="H1429" s="234"/>
      <c r="I1429" s="232"/>
      <c r="J1429" s="79" t="s">
        <v>7293</v>
      </c>
      <c r="K1429" s="18"/>
      <c r="L1429" s="18"/>
      <c r="M1429" s="18"/>
      <c r="N1429" s="18"/>
      <c r="O1429" s="18"/>
      <c r="P1429" s="18"/>
      <c r="Q1429" s="18"/>
      <c r="R1429" s="18"/>
      <c r="S1429" s="18"/>
      <c r="T1429" s="18"/>
      <c r="U1429" s="18"/>
      <c r="V1429" s="18"/>
      <c r="W1429" s="18"/>
      <c r="X1429" s="18"/>
      <c r="Y1429" s="18"/>
      <c r="Z1429" s="18"/>
    </row>
    <row r="1430" ht="22.5" customHeight="1">
      <c r="A1430" s="250">
        <v>46087.0</v>
      </c>
      <c r="B1430" s="218" t="s">
        <v>7294</v>
      </c>
      <c r="C1430" s="9"/>
      <c r="D1430" s="228" t="s">
        <v>7295</v>
      </c>
      <c r="E1430" s="216">
        <v>7.569284401E9</v>
      </c>
      <c r="F1430" s="221" t="s">
        <v>45</v>
      </c>
      <c r="G1430" s="9" t="s">
        <v>7296</v>
      </c>
      <c r="H1430" s="234"/>
      <c r="I1430" s="232"/>
      <c r="J1430" s="79" t="s">
        <v>7297</v>
      </c>
      <c r="K1430" s="18"/>
      <c r="L1430" s="18"/>
      <c r="M1430" s="18"/>
      <c r="N1430" s="18"/>
      <c r="O1430" s="18"/>
      <c r="P1430" s="18"/>
      <c r="Q1430" s="18"/>
      <c r="R1430" s="18"/>
      <c r="S1430" s="18"/>
      <c r="T1430" s="18"/>
      <c r="U1430" s="18"/>
      <c r="V1430" s="18"/>
      <c r="W1430" s="18"/>
      <c r="X1430" s="18"/>
      <c r="Y1430" s="18"/>
      <c r="Z1430" s="18"/>
    </row>
    <row r="1431" ht="22.5" customHeight="1">
      <c r="A1431" s="250">
        <v>46087.0</v>
      </c>
      <c r="B1431" s="218" t="s">
        <v>7298</v>
      </c>
      <c r="C1431" s="9"/>
      <c r="D1431" s="228"/>
      <c r="E1431" s="216"/>
      <c r="F1431" s="221" t="s">
        <v>45</v>
      </c>
      <c r="G1431" s="9" t="s">
        <v>7299</v>
      </c>
      <c r="H1431" s="234"/>
      <c r="I1431" s="232"/>
      <c r="J1431" s="9" t="s">
        <v>7300</v>
      </c>
      <c r="K1431" s="18"/>
      <c r="L1431" s="18"/>
      <c r="M1431" s="18"/>
      <c r="N1431" s="18"/>
      <c r="O1431" s="18"/>
      <c r="P1431" s="18"/>
      <c r="Q1431" s="18"/>
      <c r="R1431" s="18"/>
      <c r="S1431" s="18"/>
      <c r="T1431" s="18"/>
      <c r="U1431" s="18"/>
      <c r="V1431" s="18"/>
      <c r="W1431" s="18"/>
      <c r="X1431" s="18"/>
      <c r="Y1431" s="18"/>
      <c r="Z1431" s="18"/>
    </row>
    <row r="1432" ht="22.5" customHeight="1">
      <c r="A1432" s="250">
        <v>46087.0</v>
      </c>
      <c r="B1432" s="218" t="s">
        <v>7301</v>
      </c>
      <c r="C1432" s="9"/>
      <c r="D1432" s="228" t="s">
        <v>7302</v>
      </c>
      <c r="E1432" s="216">
        <v>9.177015185E9</v>
      </c>
      <c r="F1432" s="221" t="s">
        <v>248</v>
      </c>
      <c r="G1432" s="9" t="s">
        <v>7303</v>
      </c>
      <c r="H1432" s="234"/>
      <c r="I1432" s="232"/>
      <c r="J1432" s="9" t="s">
        <v>7304</v>
      </c>
      <c r="K1432" s="18"/>
      <c r="L1432" s="18"/>
      <c r="M1432" s="18"/>
      <c r="N1432" s="18"/>
      <c r="O1432" s="18"/>
      <c r="P1432" s="18"/>
      <c r="Q1432" s="18"/>
      <c r="R1432" s="18"/>
      <c r="S1432" s="18"/>
      <c r="T1432" s="18"/>
      <c r="U1432" s="18"/>
      <c r="V1432" s="18"/>
      <c r="W1432" s="18"/>
      <c r="X1432" s="18"/>
      <c r="Y1432" s="18"/>
      <c r="Z1432" s="18"/>
    </row>
    <row r="1433" ht="22.5" customHeight="1">
      <c r="A1433" s="250">
        <v>46087.0</v>
      </c>
      <c r="B1433" s="218" t="s">
        <v>7305</v>
      </c>
      <c r="C1433" s="9"/>
      <c r="D1433" s="228"/>
      <c r="E1433" s="216"/>
      <c r="F1433" s="221" t="s">
        <v>45</v>
      </c>
      <c r="G1433" s="9" t="s">
        <v>4714</v>
      </c>
      <c r="H1433" s="234"/>
      <c r="I1433" s="232"/>
      <c r="J1433" s="9" t="s">
        <v>7306</v>
      </c>
      <c r="K1433" s="18"/>
      <c r="L1433" s="18"/>
      <c r="M1433" s="18"/>
      <c r="N1433" s="18"/>
      <c r="O1433" s="18"/>
      <c r="P1433" s="18"/>
      <c r="Q1433" s="18"/>
      <c r="R1433" s="18"/>
      <c r="S1433" s="18"/>
      <c r="T1433" s="18"/>
      <c r="U1433" s="18"/>
      <c r="V1433" s="18"/>
      <c r="W1433" s="18"/>
      <c r="X1433" s="18"/>
      <c r="Y1433" s="18"/>
      <c r="Z1433" s="18"/>
    </row>
    <row r="1434" ht="22.5" customHeight="1">
      <c r="A1434" s="250">
        <v>46087.0</v>
      </c>
      <c r="B1434" s="218" t="s">
        <v>6308</v>
      </c>
      <c r="C1434" s="9"/>
      <c r="D1434" s="228" t="s">
        <v>5289</v>
      </c>
      <c r="E1434" s="216">
        <v>6.300078398E9</v>
      </c>
      <c r="F1434" s="221" t="s">
        <v>1919</v>
      </c>
      <c r="G1434" s="9" t="s">
        <v>7307</v>
      </c>
      <c r="H1434" s="234"/>
      <c r="I1434" s="232"/>
      <c r="J1434" s="9" t="s">
        <v>7308</v>
      </c>
      <c r="K1434" s="18"/>
      <c r="L1434" s="18"/>
      <c r="M1434" s="18"/>
      <c r="N1434" s="18"/>
      <c r="O1434" s="18"/>
      <c r="P1434" s="18"/>
      <c r="Q1434" s="18"/>
      <c r="R1434" s="18"/>
      <c r="S1434" s="18"/>
      <c r="T1434" s="18"/>
      <c r="U1434" s="18"/>
      <c r="V1434" s="18"/>
      <c r="W1434" s="18"/>
      <c r="X1434" s="18"/>
      <c r="Y1434" s="18"/>
      <c r="Z1434" s="18"/>
    </row>
    <row r="1435" ht="22.5" customHeight="1">
      <c r="A1435" s="250">
        <v>46087.0</v>
      </c>
      <c r="B1435" s="218" t="s">
        <v>7309</v>
      </c>
      <c r="C1435" s="9"/>
      <c r="D1435" s="228" t="s">
        <v>7310</v>
      </c>
      <c r="E1435" s="216">
        <v>9.985263589E9</v>
      </c>
      <c r="F1435" s="221" t="s">
        <v>1919</v>
      </c>
      <c r="G1435" s="9" t="s">
        <v>7311</v>
      </c>
      <c r="H1435" s="234">
        <v>46087.0</v>
      </c>
      <c r="I1435" s="232">
        <v>0.7083333333333334</v>
      </c>
      <c r="J1435" s="9" t="s">
        <v>7312</v>
      </c>
      <c r="K1435" s="18"/>
      <c r="L1435" s="18"/>
      <c r="M1435" s="18"/>
      <c r="N1435" s="18"/>
      <c r="O1435" s="18"/>
      <c r="P1435" s="18"/>
      <c r="Q1435" s="18"/>
      <c r="R1435" s="18"/>
      <c r="S1435" s="18"/>
      <c r="T1435" s="18"/>
      <c r="U1435" s="18"/>
      <c r="V1435" s="18"/>
      <c r="W1435" s="18"/>
      <c r="X1435" s="18"/>
      <c r="Y1435" s="18"/>
      <c r="Z1435" s="18"/>
    </row>
    <row r="1436" ht="22.5" customHeight="1">
      <c r="A1436" s="250">
        <v>46087.0</v>
      </c>
      <c r="B1436" s="218" t="s">
        <v>7313</v>
      </c>
      <c r="C1436" s="9"/>
      <c r="D1436" s="228"/>
      <c r="E1436" s="216"/>
      <c r="F1436" s="221" t="s">
        <v>45</v>
      </c>
      <c r="G1436" s="9" t="s">
        <v>7314</v>
      </c>
      <c r="H1436" s="234">
        <v>46087.0</v>
      </c>
      <c r="I1436" s="232">
        <v>0.6666666666666666</v>
      </c>
      <c r="J1436" s="9" t="s">
        <v>7315</v>
      </c>
      <c r="K1436" s="18"/>
      <c r="L1436" s="18"/>
      <c r="M1436" s="18"/>
      <c r="N1436" s="18"/>
      <c r="O1436" s="18"/>
      <c r="P1436" s="18"/>
      <c r="Q1436" s="18"/>
      <c r="R1436" s="18"/>
      <c r="S1436" s="18"/>
      <c r="T1436" s="18"/>
      <c r="U1436" s="18"/>
      <c r="V1436" s="18"/>
      <c r="W1436" s="18"/>
      <c r="X1436" s="18"/>
      <c r="Y1436" s="18"/>
      <c r="Z1436" s="18"/>
    </row>
    <row r="1437" ht="22.5" customHeight="1">
      <c r="A1437" s="250">
        <v>46087.0</v>
      </c>
      <c r="B1437" s="218" t="s">
        <v>7316</v>
      </c>
      <c r="C1437" s="9" t="s">
        <v>147</v>
      </c>
      <c r="D1437" s="228" t="s">
        <v>7317</v>
      </c>
      <c r="E1437" s="216"/>
      <c r="F1437" s="221" t="s">
        <v>186</v>
      </c>
      <c r="G1437" s="9" t="s">
        <v>7318</v>
      </c>
      <c r="H1437" s="234"/>
      <c r="I1437" s="232"/>
      <c r="J1437" s="9"/>
      <c r="K1437" s="18"/>
      <c r="L1437" s="18"/>
      <c r="M1437" s="18"/>
      <c r="N1437" s="18"/>
      <c r="O1437" s="18"/>
      <c r="P1437" s="18"/>
      <c r="Q1437" s="18"/>
      <c r="R1437" s="18"/>
      <c r="S1437" s="18"/>
      <c r="T1437" s="18"/>
      <c r="U1437" s="18"/>
      <c r="V1437" s="18"/>
      <c r="W1437" s="18"/>
      <c r="X1437" s="18"/>
      <c r="Y1437" s="18"/>
      <c r="Z1437" s="18"/>
    </row>
    <row r="1438" ht="22.5" customHeight="1">
      <c r="A1438" s="250">
        <v>46087.0</v>
      </c>
      <c r="B1438" s="218" t="s">
        <v>7319</v>
      </c>
      <c r="C1438" s="9"/>
      <c r="D1438" s="228" t="s">
        <v>7320</v>
      </c>
      <c r="E1438" s="216"/>
      <c r="F1438" s="221" t="s">
        <v>96</v>
      </c>
      <c r="G1438" s="9" t="s">
        <v>7321</v>
      </c>
      <c r="H1438" s="234"/>
      <c r="I1438" s="232"/>
      <c r="J1438" s="9" t="s">
        <v>7322</v>
      </c>
      <c r="K1438" s="18"/>
      <c r="L1438" s="18"/>
      <c r="M1438" s="18"/>
      <c r="N1438" s="18"/>
      <c r="O1438" s="18"/>
      <c r="P1438" s="18"/>
      <c r="Q1438" s="18"/>
      <c r="R1438" s="18"/>
      <c r="S1438" s="18"/>
      <c r="T1438" s="18"/>
      <c r="U1438" s="18"/>
      <c r="V1438" s="18"/>
      <c r="W1438" s="18"/>
      <c r="X1438" s="18"/>
      <c r="Y1438" s="18"/>
      <c r="Z1438" s="18"/>
    </row>
    <row r="1439" ht="22.5" customHeight="1">
      <c r="A1439" s="250">
        <v>46087.0</v>
      </c>
      <c r="B1439" s="218" t="s">
        <v>7323</v>
      </c>
      <c r="C1439" s="9" t="s">
        <v>6477</v>
      </c>
      <c r="D1439" s="228" t="s">
        <v>7324</v>
      </c>
      <c r="E1439" s="216"/>
      <c r="F1439" s="221" t="s">
        <v>186</v>
      </c>
      <c r="G1439" s="9" t="s">
        <v>7325</v>
      </c>
      <c r="H1439" s="234"/>
      <c r="I1439" s="232"/>
      <c r="J1439" s="9"/>
      <c r="K1439" s="18"/>
      <c r="L1439" s="18"/>
      <c r="M1439" s="18"/>
      <c r="N1439" s="18"/>
      <c r="O1439" s="18"/>
      <c r="P1439" s="18"/>
      <c r="Q1439" s="18"/>
      <c r="R1439" s="18"/>
      <c r="S1439" s="18"/>
      <c r="T1439" s="18"/>
      <c r="U1439" s="18"/>
      <c r="V1439" s="18"/>
      <c r="W1439" s="18"/>
      <c r="X1439" s="18"/>
      <c r="Y1439" s="18"/>
      <c r="Z1439" s="18"/>
    </row>
    <row r="1440" ht="22.5" customHeight="1">
      <c r="A1440" s="250">
        <v>46087.0</v>
      </c>
      <c r="B1440" s="218" t="s">
        <v>7326</v>
      </c>
      <c r="C1440" s="9"/>
      <c r="D1440" s="228" t="s">
        <v>7327</v>
      </c>
      <c r="E1440" s="216">
        <v>8.019975006E9</v>
      </c>
      <c r="F1440" s="221" t="s">
        <v>73</v>
      </c>
      <c r="G1440" s="9" t="s">
        <v>7328</v>
      </c>
      <c r="H1440" s="234"/>
      <c r="I1440" s="232"/>
      <c r="J1440" s="9" t="s">
        <v>7329</v>
      </c>
      <c r="K1440" s="18"/>
      <c r="L1440" s="18"/>
      <c r="M1440" s="18"/>
      <c r="N1440" s="18"/>
      <c r="O1440" s="18"/>
      <c r="P1440" s="18"/>
      <c r="Q1440" s="18"/>
      <c r="R1440" s="18"/>
      <c r="S1440" s="18"/>
      <c r="T1440" s="18"/>
      <c r="U1440" s="18"/>
      <c r="V1440" s="18"/>
      <c r="W1440" s="18"/>
      <c r="X1440" s="18"/>
      <c r="Y1440" s="18"/>
      <c r="Z1440" s="18"/>
    </row>
    <row r="1441" ht="22.5" customHeight="1">
      <c r="A1441" s="250">
        <v>46087.0</v>
      </c>
      <c r="B1441" s="218" t="s">
        <v>7330</v>
      </c>
      <c r="C1441" s="9"/>
      <c r="D1441" s="228" t="s">
        <v>6893</v>
      </c>
      <c r="E1441" s="216">
        <v>8.374165833E9</v>
      </c>
      <c r="F1441" s="221" t="s">
        <v>73</v>
      </c>
      <c r="G1441" s="9" t="s">
        <v>6038</v>
      </c>
      <c r="H1441" s="234"/>
      <c r="I1441" s="232"/>
      <c r="J1441" s="9" t="s">
        <v>7331</v>
      </c>
      <c r="K1441" s="18"/>
      <c r="L1441" s="18"/>
      <c r="M1441" s="18"/>
      <c r="N1441" s="18"/>
      <c r="O1441" s="18"/>
      <c r="P1441" s="18"/>
      <c r="Q1441" s="18"/>
      <c r="R1441" s="18"/>
      <c r="S1441" s="18"/>
      <c r="T1441" s="18"/>
      <c r="U1441" s="18"/>
      <c r="V1441" s="18"/>
      <c r="W1441" s="18"/>
      <c r="X1441" s="18"/>
      <c r="Y1441" s="18"/>
      <c r="Z1441" s="18"/>
    </row>
    <row r="1442" ht="22.5" customHeight="1">
      <c r="A1442" s="250">
        <v>46087.0</v>
      </c>
      <c r="B1442" s="218" t="s">
        <v>4342</v>
      </c>
      <c r="C1442" s="9"/>
      <c r="D1442" s="228" t="s">
        <v>4344</v>
      </c>
      <c r="E1442" s="216">
        <v>8.688077052E9</v>
      </c>
      <c r="F1442" s="221" t="s">
        <v>1919</v>
      </c>
      <c r="G1442" s="9" t="s">
        <v>7332</v>
      </c>
      <c r="H1442" s="234">
        <v>46087.0</v>
      </c>
      <c r="I1442" s="232">
        <v>0.5833333333333334</v>
      </c>
      <c r="J1442" s="9" t="s">
        <v>7333</v>
      </c>
      <c r="K1442" s="18"/>
      <c r="L1442" s="18"/>
      <c r="M1442" s="18"/>
      <c r="N1442" s="18"/>
      <c r="O1442" s="18"/>
      <c r="P1442" s="18"/>
      <c r="Q1442" s="18"/>
      <c r="R1442" s="18"/>
      <c r="S1442" s="18"/>
      <c r="T1442" s="18"/>
      <c r="U1442" s="18"/>
      <c r="V1442" s="18"/>
      <c r="W1442" s="18"/>
      <c r="X1442" s="18"/>
      <c r="Y1442" s="18"/>
      <c r="Z1442" s="18"/>
    </row>
    <row r="1443" ht="22.5" customHeight="1">
      <c r="A1443" s="250">
        <v>46087.0</v>
      </c>
      <c r="B1443" s="218" t="s">
        <v>5448</v>
      </c>
      <c r="C1443" s="9"/>
      <c r="D1443" s="228" t="s">
        <v>7334</v>
      </c>
      <c r="E1443" s="216">
        <v>7.799956667E9</v>
      </c>
      <c r="F1443" s="221" t="s">
        <v>96</v>
      </c>
      <c r="G1443" s="9" t="s">
        <v>7335</v>
      </c>
      <c r="H1443" s="234"/>
      <c r="I1443" s="232"/>
      <c r="J1443" s="9" t="s">
        <v>7336</v>
      </c>
      <c r="K1443" s="18"/>
      <c r="L1443" s="18"/>
      <c r="M1443" s="18"/>
      <c r="N1443" s="18"/>
      <c r="O1443" s="18"/>
      <c r="P1443" s="18"/>
      <c r="Q1443" s="18"/>
      <c r="R1443" s="18"/>
      <c r="S1443" s="18"/>
      <c r="T1443" s="18"/>
      <c r="U1443" s="18"/>
      <c r="V1443" s="18"/>
      <c r="W1443" s="18"/>
      <c r="X1443" s="18"/>
      <c r="Y1443" s="18"/>
      <c r="Z1443" s="18"/>
    </row>
    <row r="1444" ht="22.5" customHeight="1">
      <c r="A1444" s="250">
        <v>46087.0</v>
      </c>
      <c r="B1444" s="218" t="s">
        <v>7337</v>
      </c>
      <c r="C1444" s="9"/>
      <c r="D1444" s="228" t="s">
        <v>7334</v>
      </c>
      <c r="E1444" s="216">
        <v>9.985690739E9</v>
      </c>
      <c r="F1444" s="221" t="s">
        <v>96</v>
      </c>
      <c r="G1444" s="9" t="s">
        <v>7338</v>
      </c>
      <c r="H1444" s="234">
        <v>46087.0</v>
      </c>
      <c r="I1444" s="232">
        <v>0.5833333333333334</v>
      </c>
      <c r="J1444" s="9" t="s">
        <v>7339</v>
      </c>
      <c r="K1444" s="18"/>
      <c r="L1444" s="18"/>
      <c r="M1444" s="18"/>
      <c r="N1444" s="18"/>
      <c r="O1444" s="18"/>
      <c r="P1444" s="18"/>
      <c r="Q1444" s="18"/>
      <c r="R1444" s="18"/>
      <c r="S1444" s="18"/>
      <c r="T1444" s="18"/>
      <c r="U1444" s="18"/>
      <c r="V1444" s="18"/>
      <c r="W1444" s="18"/>
      <c r="X1444" s="18"/>
      <c r="Y1444" s="18"/>
      <c r="Z1444" s="18"/>
    </row>
    <row r="1445" ht="22.5" customHeight="1">
      <c r="A1445" s="250">
        <v>46087.0</v>
      </c>
      <c r="B1445" s="218" t="s">
        <v>7340</v>
      </c>
      <c r="C1445" s="9"/>
      <c r="D1445" s="228"/>
      <c r="E1445" s="216"/>
      <c r="F1445" s="221" t="s">
        <v>1919</v>
      </c>
      <c r="G1445" s="9" t="s">
        <v>7341</v>
      </c>
      <c r="H1445" s="234">
        <v>46087.0</v>
      </c>
      <c r="I1445" s="232">
        <v>0.6666666666666666</v>
      </c>
      <c r="J1445" s="9" t="s">
        <v>7342</v>
      </c>
      <c r="K1445" s="18"/>
      <c r="L1445" s="18"/>
      <c r="M1445" s="18"/>
      <c r="N1445" s="18"/>
      <c r="O1445" s="18"/>
      <c r="P1445" s="18"/>
      <c r="Q1445" s="18"/>
      <c r="R1445" s="18"/>
      <c r="S1445" s="18"/>
      <c r="T1445" s="18"/>
      <c r="U1445" s="18"/>
      <c r="V1445" s="18"/>
      <c r="W1445" s="18"/>
      <c r="X1445" s="18"/>
      <c r="Y1445" s="18"/>
      <c r="Z1445" s="18"/>
    </row>
    <row r="1446" ht="22.5" customHeight="1">
      <c r="A1446" s="250">
        <v>46087.0</v>
      </c>
      <c r="B1446" s="218" t="s">
        <v>7343</v>
      </c>
      <c r="C1446" s="9"/>
      <c r="D1446" s="228"/>
      <c r="E1446" s="216">
        <v>7.981180887E9</v>
      </c>
      <c r="F1446" s="221" t="s">
        <v>73</v>
      </c>
      <c r="G1446" s="9" t="s">
        <v>7344</v>
      </c>
      <c r="H1446" s="234"/>
      <c r="I1446" s="232"/>
      <c r="J1446" s="9" t="s">
        <v>7345</v>
      </c>
      <c r="K1446" s="18"/>
      <c r="L1446" s="18"/>
      <c r="M1446" s="18"/>
      <c r="N1446" s="18"/>
      <c r="O1446" s="18"/>
      <c r="P1446" s="18"/>
      <c r="Q1446" s="18"/>
      <c r="R1446" s="18"/>
      <c r="S1446" s="18"/>
      <c r="T1446" s="18"/>
      <c r="U1446" s="18"/>
      <c r="V1446" s="18"/>
      <c r="W1446" s="18"/>
      <c r="X1446" s="18"/>
      <c r="Y1446" s="18"/>
      <c r="Z1446" s="18"/>
    </row>
    <row r="1447" ht="22.5" customHeight="1">
      <c r="A1447" s="250">
        <v>46087.0</v>
      </c>
      <c r="B1447" s="218" t="s">
        <v>7346</v>
      </c>
      <c r="C1447" s="9"/>
      <c r="D1447" s="228"/>
      <c r="E1447" s="216">
        <v>8.712220229E9</v>
      </c>
      <c r="F1447" s="221" t="s">
        <v>96</v>
      </c>
      <c r="G1447" s="9" t="s">
        <v>7347</v>
      </c>
      <c r="H1447" s="234">
        <v>46087.0</v>
      </c>
      <c r="I1447" s="232">
        <v>0.6458333333333334</v>
      </c>
      <c r="J1447" s="9" t="s">
        <v>7348</v>
      </c>
      <c r="K1447" s="18"/>
      <c r="L1447" s="18"/>
      <c r="M1447" s="18"/>
      <c r="N1447" s="18"/>
      <c r="O1447" s="18"/>
      <c r="P1447" s="18"/>
      <c r="Q1447" s="18"/>
      <c r="R1447" s="18"/>
      <c r="S1447" s="18"/>
      <c r="T1447" s="18"/>
      <c r="U1447" s="18"/>
      <c r="V1447" s="18"/>
      <c r="W1447" s="18"/>
      <c r="X1447" s="18"/>
      <c r="Y1447" s="18"/>
      <c r="Z1447" s="18"/>
    </row>
    <row r="1448" ht="22.5" customHeight="1">
      <c r="A1448" s="250">
        <v>46087.0</v>
      </c>
      <c r="B1448" s="218" t="s">
        <v>7349</v>
      </c>
      <c r="C1448" s="9"/>
      <c r="D1448" s="228"/>
      <c r="E1448" s="216">
        <v>8.712220229E9</v>
      </c>
      <c r="F1448" s="221" t="s">
        <v>96</v>
      </c>
      <c r="G1448" s="9" t="s">
        <v>7350</v>
      </c>
      <c r="H1448" s="234">
        <v>46087.0</v>
      </c>
      <c r="I1448" s="232">
        <v>0.6458333333333334</v>
      </c>
      <c r="J1448" s="9" t="s">
        <v>7348</v>
      </c>
      <c r="K1448" s="18"/>
      <c r="L1448" s="18"/>
      <c r="M1448" s="18"/>
      <c r="N1448" s="18"/>
      <c r="O1448" s="18"/>
      <c r="P1448" s="18"/>
      <c r="Q1448" s="18"/>
      <c r="R1448" s="18"/>
      <c r="S1448" s="18"/>
      <c r="T1448" s="18"/>
      <c r="U1448" s="18"/>
      <c r="V1448" s="18"/>
      <c r="W1448" s="18"/>
      <c r="X1448" s="18"/>
      <c r="Y1448" s="18"/>
      <c r="Z1448" s="18"/>
    </row>
    <row r="1449" ht="22.5" customHeight="1">
      <c r="A1449" s="250">
        <v>46087.0</v>
      </c>
      <c r="B1449" s="218" t="s">
        <v>7351</v>
      </c>
      <c r="C1449" s="9"/>
      <c r="D1449" s="228" t="s">
        <v>5148</v>
      </c>
      <c r="E1449" s="216">
        <v>9.705805877E9</v>
      </c>
      <c r="F1449" s="221" t="s">
        <v>73</v>
      </c>
      <c r="G1449" s="9" t="s">
        <v>7352</v>
      </c>
      <c r="H1449" s="234"/>
      <c r="I1449" s="232"/>
      <c r="J1449" s="9" t="s">
        <v>7353</v>
      </c>
      <c r="K1449" s="18"/>
      <c r="L1449" s="18"/>
      <c r="M1449" s="18"/>
      <c r="N1449" s="18"/>
      <c r="O1449" s="18"/>
      <c r="P1449" s="18"/>
      <c r="Q1449" s="18"/>
      <c r="R1449" s="18"/>
      <c r="S1449" s="18"/>
      <c r="T1449" s="18"/>
      <c r="U1449" s="18"/>
      <c r="V1449" s="18"/>
      <c r="W1449" s="18"/>
      <c r="X1449" s="18"/>
      <c r="Y1449" s="18"/>
      <c r="Z1449" s="18"/>
    </row>
    <row r="1450" ht="22.5" customHeight="1">
      <c r="A1450" s="250">
        <v>46087.0</v>
      </c>
      <c r="B1450" s="218" t="s">
        <v>7354</v>
      </c>
      <c r="C1450" s="9"/>
      <c r="D1450" s="228"/>
      <c r="E1450" s="216"/>
      <c r="F1450" s="221" t="s">
        <v>45</v>
      </c>
      <c r="G1450" s="9" t="s">
        <v>7355</v>
      </c>
      <c r="H1450" s="234"/>
      <c r="I1450" s="232"/>
      <c r="J1450" s="9"/>
      <c r="K1450" s="18"/>
      <c r="L1450" s="18"/>
      <c r="M1450" s="18"/>
      <c r="N1450" s="18"/>
      <c r="O1450" s="18"/>
      <c r="P1450" s="18"/>
      <c r="Q1450" s="18"/>
      <c r="R1450" s="18"/>
      <c r="S1450" s="18"/>
      <c r="T1450" s="18"/>
      <c r="U1450" s="18"/>
      <c r="V1450" s="18"/>
      <c r="W1450" s="18"/>
      <c r="X1450" s="18"/>
      <c r="Y1450" s="18"/>
      <c r="Z1450" s="18"/>
    </row>
    <row r="1451" ht="22.5" customHeight="1">
      <c r="A1451" s="250">
        <v>46087.0</v>
      </c>
      <c r="B1451" s="218" t="s">
        <v>7354</v>
      </c>
      <c r="C1451" s="9"/>
      <c r="D1451" s="228"/>
      <c r="E1451" s="216"/>
      <c r="F1451" s="221" t="s">
        <v>45</v>
      </c>
      <c r="G1451" s="9" t="s">
        <v>7355</v>
      </c>
      <c r="H1451" s="234"/>
      <c r="I1451" s="232"/>
      <c r="J1451" s="9"/>
      <c r="K1451" s="18"/>
      <c r="L1451" s="18"/>
      <c r="M1451" s="18"/>
      <c r="N1451" s="18"/>
      <c r="O1451" s="18"/>
      <c r="P1451" s="18"/>
      <c r="Q1451" s="18"/>
      <c r="R1451" s="18"/>
      <c r="S1451" s="18"/>
      <c r="T1451" s="18"/>
      <c r="U1451" s="18"/>
      <c r="V1451" s="18"/>
      <c r="W1451" s="18"/>
      <c r="X1451" s="18"/>
      <c r="Y1451" s="18"/>
      <c r="Z1451" s="18"/>
    </row>
    <row r="1452" ht="22.5" customHeight="1">
      <c r="A1452" s="250">
        <v>46087.0</v>
      </c>
      <c r="B1452" s="218" t="s">
        <v>7356</v>
      </c>
      <c r="C1452" s="9"/>
      <c r="D1452" s="228"/>
      <c r="E1452" s="216"/>
      <c r="F1452" s="221" t="s">
        <v>1919</v>
      </c>
      <c r="G1452" s="9" t="s">
        <v>7357</v>
      </c>
      <c r="H1452" s="234">
        <v>46092.0</v>
      </c>
      <c r="I1452" s="232"/>
      <c r="J1452" s="9" t="s">
        <v>7358</v>
      </c>
      <c r="K1452" s="18"/>
      <c r="L1452" s="18"/>
      <c r="M1452" s="18"/>
      <c r="N1452" s="18"/>
      <c r="O1452" s="18"/>
      <c r="P1452" s="18"/>
      <c r="Q1452" s="18"/>
      <c r="R1452" s="18"/>
      <c r="S1452" s="18"/>
      <c r="T1452" s="18"/>
      <c r="U1452" s="18"/>
      <c r="V1452" s="18"/>
      <c r="W1452" s="18"/>
      <c r="X1452" s="18"/>
      <c r="Y1452" s="18"/>
      <c r="Z1452" s="18"/>
    </row>
    <row r="1453" ht="22.5" customHeight="1">
      <c r="A1453" s="250">
        <v>46087.0</v>
      </c>
      <c r="B1453" s="218" t="s">
        <v>7359</v>
      </c>
      <c r="C1453" s="9"/>
      <c r="D1453" s="228"/>
      <c r="E1453" s="216"/>
      <c r="F1453" s="221" t="s">
        <v>144</v>
      </c>
      <c r="G1453" s="9" t="s">
        <v>7360</v>
      </c>
      <c r="H1453" s="234">
        <v>46087.0</v>
      </c>
      <c r="I1453" s="232">
        <v>0.7916666666666666</v>
      </c>
      <c r="J1453" s="9"/>
      <c r="K1453" s="18"/>
      <c r="L1453" s="18"/>
      <c r="M1453" s="18"/>
      <c r="N1453" s="18"/>
      <c r="O1453" s="18"/>
      <c r="P1453" s="18"/>
      <c r="Q1453" s="18"/>
      <c r="R1453" s="18"/>
      <c r="S1453" s="18"/>
      <c r="T1453" s="18"/>
      <c r="U1453" s="18"/>
      <c r="V1453" s="18"/>
      <c r="W1453" s="18"/>
      <c r="X1453" s="18"/>
      <c r="Y1453" s="18"/>
      <c r="Z1453" s="18"/>
    </row>
    <row r="1454" ht="22.5" customHeight="1">
      <c r="A1454" s="250">
        <v>46087.0</v>
      </c>
      <c r="B1454" s="218" t="s">
        <v>7361</v>
      </c>
      <c r="C1454" s="9"/>
      <c r="D1454" s="228" t="s">
        <v>7362</v>
      </c>
      <c r="E1454" s="216">
        <v>9.390851792E9</v>
      </c>
      <c r="F1454" s="221" t="s">
        <v>73</v>
      </c>
      <c r="G1454" s="9" t="s">
        <v>7363</v>
      </c>
      <c r="H1454" s="234">
        <v>46087.0</v>
      </c>
      <c r="I1454" s="232">
        <v>0.7083333333333334</v>
      </c>
      <c r="J1454" s="9" t="s">
        <v>7364</v>
      </c>
      <c r="K1454" s="18"/>
      <c r="L1454" s="18"/>
      <c r="M1454" s="18"/>
      <c r="N1454" s="18"/>
      <c r="O1454" s="18"/>
      <c r="P1454" s="18"/>
      <c r="Q1454" s="18"/>
      <c r="R1454" s="18"/>
      <c r="S1454" s="18"/>
      <c r="T1454" s="18"/>
      <c r="U1454" s="18"/>
      <c r="V1454" s="18"/>
      <c r="W1454" s="18"/>
      <c r="X1454" s="18"/>
      <c r="Y1454" s="18"/>
      <c r="Z1454" s="18"/>
    </row>
    <row r="1455" ht="22.5" customHeight="1">
      <c r="A1455" s="250">
        <v>46087.0</v>
      </c>
      <c r="B1455" s="218" t="s">
        <v>7365</v>
      </c>
      <c r="C1455" s="9"/>
      <c r="D1455" s="228" t="s">
        <v>4144</v>
      </c>
      <c r="E1455" s="216">
        <v>9.100692616E9</v>
      </c>
      <c r="F1455" s="221" t="s">
        <v>73</v>
      </c>
      <c r="G1455" s="9" t="s">
        <v>7366</v>
      </c>
      <c r="H1455" s="234"/>
      <c r="I1455" s="232"/>
      <c r="J1455" s="9" t="s">
        <v>7367</v>
      </c>
      <c r="K1455" s="18"/>
      <c r="L1455" s="18"/>
      <c r="M1455" s="18"/>
      <c r="N1455" s="18"/>
      <c r="O1455" s="18"/>
      <c r="P1455" s="18"/>
      <c r="Q1455" s="18"/>
      <c r="R1455" s="18"/>
      <c r="S1455" s="18"/>
      <c r="T1455" s="18"/>
      <c r="U1455" s="18"/>
      <c r="V1455" s="18"/>
      <c r="W1455" s="18"/>
      <c r="X1455" s="18"/>
      <c r="Y1455" s="18"/>
      <c r="Z1455" s="18"/>
    </row>
    <row r="1456" ht="22.5" customHeight="1">
      <c r="A1456" s="250">
        <v>46087.0</v>
      </c>
      <c r="B1456" s="218" t="s">
        <v>7368</v>
      </c>
      <c r="C1456" s="9"/>
      <c r="D1456" s="228" t="s">
        <v>4646</v>
      </c>
      <c r="E1456" s="216">
        <v>9.666368516E9</v>
      </c>
      <c r="F1456" s="221" t="s">
        <v>73</v>
      </c>
      <c r="G1456" s="9" t="s">
        <v>7369</v>
      </c>
      <c r="H1456" s="234"/>
      <c r="I1456" s="232"/>
      <c r="J1456" s="9" t="s">
        <v>7370</v>
      </c>
      <c r="K1456" s="18"/>
      <c r="L1456" s="18"/>
      <c r="M1456" s="18"/>
      <c r="N1456" s="18"/>
      <c r="O1456" s="18"/>
      <c r="P1456" s="18"/>
      <c r="Q1456" s="18"/>
      <c r="R1456" s="18"/>
      <c r="S1456" s="18"/>
      <c r="T1456" s="18"/>
      <c r="U1456" s="18"/>
      <c r="V1456" s="18"/>
      <c r="W1456" s="18"/>
      <c r="X1456" s="18"/>
      <c r="Y1456" s="18"/>
      <c r="Z1456" s="18"/>
    </row>
    <row r="1457" ht="22.5" customHeight="1">
      <c r="A1457" s="250">
        <v>46087.0</v>
      </c>
      <c r="B1457" s="218" t="s">
        <v>7371</v>
      </c>
      <c r="C1457" s="9"/>
      <c r="D1457" s="228"/>
      <c r="E1457" s="216"/>
      <c r="F1457" s="221" t="s">
        <v>144</v>
      </c>
      <c r="G1457" s="9" t="s">
        <v>7372</v>
      </c>
      <c r="H1457" s="234"/>
      <c r="I1457" s="232"/>
      <c r="J1457" s="9" t="s">
        <v>7373</v>
      </c>
      <c r="K1457" s="18"/>
      <c r="L1457" s="18"/>
      <c r="M1457" s="18"/>
      <c r="N1457" s="18"/>
      <c r="O1457" s="18"/>
      <c r="P1457" s="18"/>
      <c r="Q1457" s="18"/>
      <c r="R1457" s="18"/>
      <c r="S1457" s="18"/>
      <c r="T1457" s="18"/>
      <c r="U1457" s="18"/>
      <c r="V1457" s="18"/>
      <c r="W1457" s="18"/>
      <c r="X1457" s="18"/>
      <c r="Y1457" s="18"/>
      <c r="Z1457" s="18"/>
    </row>
    <row r="1458" ht="22.5" customHeight="1">
      <c r="A1458" s="250">
        <v>46087.0</v>
      </c>
      <c r="B1458" s="218" t="s">
        <v>7374</v>
      </c>
      <c r="C1458" s="9"/>
      <c r="D1458" s="228"/>
      <c r="E1458" s="216"/>
      <c r="F1458" s="221" t="s">
        <v>45</v>
      </c>
      <c r="G1458" s="9" t="s">
        <v>5723</v>
      </c>
      <c r="H1458" s="234"/>
      <c r="I1458" s="232"/>
      <c r="J1458" s="9" t="s">
        <v>7375</v>
      </c>
      <c r="K1458" s="18"/>
      <c r="L1458" s="18"/>
      <c r="M1458" s="18"/>
      <c r="N1458" s="18"/>
      <c r="O1458" s="18"/>
      <c r="P1458" s="18"/>
      <c r="Q1458" s="18"/>
      <c r="R1458" s="18"/>
      <c r="S1458" s="18"/>
      <c r="T1458" s="18"/>
      <c r="U1458" s="18"/>
      <c r="V1458" s="18"/>
      <c r="W1458" s="18"/>
      <c r="X1458" s="18"/>
      <c r="Y1458" s="18"/>
      <c r="Z1458" s="18"/>
    </row>
    <row r="1459" ht="22.5" customHeight="1">
      <c r="A1459" s="250">
        <v>46087.0</v>
      </c>
      <c r="B1459" s="218" t="s">
        <v>7376</v>
      </c>
      <c r="C1459" s="9"/>
      <c r="D1459" s="228" t="s">
        <v>5257</v>
      </c>
      <c r="E1459" s="216">
        <v>9.848384979E9</v>
      </c>
      <c r="F1459" s="221" t="s">
        <v>248</v>
      </c>
      <c r="G1459" s="9" t="s">
        <v>7377</v>
      </c>
      <c r="H1459" s="234">
        <v>46090.0</v>
      </c>
      <c r="I1459" s="232"/>
      <c r="J1459" s="9" t="s">
        <v>7378</v>
      </c>
      <c r="K1459" s="18"/>
      <c r="L1459" s="18"/>
      <c r="M1459" s="18"/>
      <c r="N1459" s="18"/>
      <c r="O1459" s="18"/>
      <c r="P1459" s="18"/>
      <c r="Q1459" s="18"/>
      <c r="R1459" s="18"/>
      <c r="S1459" s="18"/>
      <c r="T1459" s="18"/>
      <c r="U1459" s="18"/>
      <c r="V1459" s="18"/>
      <c r="W1459" s="18"/>
      <c r="X1459" s="18"/>
      <c r="Y1459" s="18"/>
      <c r="Z1459" s="18"/>
    </row>
    <row r="1460" ht="22.5" customHeight="1">
      <c r="A1460" s="250">
        <v>46087.0</v>
      </c>
      <c r="B1460" s="218" t="s">
        <v>7379</v>
      </c>
      <c r="C1460" s="9"/>
      <c r="D1460" s="228" t="s">
        <v>7380</v>
      </c>
      <c r="E1460" s="216">
        <v>8.106599233E9</v>
      </c>
      <c r="F1460" s="221" t="s">
        <v>144</v>
      </c>
      <c r="G1460" s="9" t="s">
        <v>7381</v>
      </c>
      <c r="H1460" s="234"/>
      <c r="I1460" s="232"/>
      <c r="J1460" s="9" t="s">
        <v>7382</v>
      </c>
      <c r="K1460" s="18"/>
      <c r="L1460" s="18"/>
      <c r="M1460" s="18"/>
      <c r="N1460" s="18"/>
      <c r="O1460" s="18"/>
      <c r="P1460" s="18"/>
      <c r="Q1460" s="18"/>
      <c r="R1460" s="18"/>
      <c r="S1460" s="18"/>
      <c r="T1460" s="18"/>
      <c r="U1460" s="18"/>
      <c r="V1460" s="18"/>
      <c r="W1460" s="18"/>
      <c r="X1460" s="18"/>
      <c r="Y1460" s="18"/>
      <c r="Z1460" s="18"/>
    </row>
    <row r="1461" ht="22.5" customHeight="1">
      <c r="A1461" s="250">
        <v>46087.0</v>
      </c>
      <c r="B1461" s="218" t="s">
        <v>7383</v>
      </c>
      <c r="C1461" s="9"/>
      <c r="D1461" s="228" t="s">
        <v>7384</v>
      </c>
      <c r="E1461" s="216" t="s">
        <v>7385</v>
      </c>
      <c r="F1461" s="221" t="s">
        <v>73</v>
      </c>
      <c r="G1461" s="9" t="s">
        <v>6081</v>
      </c>
      <c r="H1461" s="234">
        <v>46088.0</v>
      </c>
      <c r="I1461" s="232">
        <v>0.5416666666666666</v>
      </c>
      <c r="J1461" s="9" t="s">
        <v>7386</v>
      </c>
      <c r="K1461" s="18"/>
      <c r="L1461" s="18"/>
      <c r="M1461" s="18"/>
      <c r="N1461" s="18"/>
      <c r="O1461" s="18"/>
      <c r="P1461" s="18"/>
      <c r="Q1461" s="18"/>
      <c r="R1461" s="18"/>
      <c r="S1461" s="18"/>
      <c r="T1461" s="18"/>
      <c r="U1461" s="18"/>
      <c r="V1461" s="18"/>
      <c r="W1461" s="18"/>
      <c r="X1461" s="18"/>
      <c r="Y1461" s="18"/>
      <c r="Z1461" s="18"/>
    </row>
    <row r="1462" ht="22.5" customHeight="1">
      <c r="A1462" s="250">
        <v>46087.0</v>
      </c>
      <c r="B1462" s="218" t="s">
        <v>7387</v>
      </c>
      <c r="C1462" s="9"/>
      <c r="D1462" s="228" t="s">
        <v>4698</v>
      </c>
      <c r="E1462" s="216">
        <v>8.12142971E9</v>
      </c>
      <c r="F1462" s="221" t="s">
        <v>1919</v>
      </c>
      <c r="G1462" s="9" t="s">
        <v>5383</v>
      </c>
      <c r="H1462" s="234"/>
      <c r="I1462" s="232"/>
      <c r="J1462" s="9" t="s">
        <v>7388</v>
      </c>
      <c r="K1462" s="18"/>
      <c r="L1462" s="18"/>
      <c r="M1462" s="18"/>
      <c r="N1462" s="18"/>
      <c r="O1462" s="18"/>
      <c r="P1462" s="18"/>
      <c r="Q1462" s="18"/>
      <c r="R1462" s="18"/>
      <c r="S1462" s="18"/>
      <c r="T1462" s="18"/>
      <c r="U1462" s="18"/>
      <c r="V1462" s="18"/>
      <c r="W1462" s="18"/>
      <c r="X1462" s="18"/>
      <c r="Y1462" s="18"/>
      <c r="Z1462" s="18"/>
    </row>
    <row r="1463" ht="22.5" customHeight="1">
      <c r="A1463" s="250">
        <v>46087.0</v>
      </c>
      <c r="B1463" s="218" t="s">
        <v>7389</v>
      </c>
      <c r="C1463" s="9"/>
      <c r="D1463" s="228"/>
      <c r="E1463" s="216"/>
      <c r="F1463" s="221" t="s">
        <v>248</v>
      </c>
      <c r="G1463" s="9" t="s">
        <v>7390</v>
      </c>
      <c r="H1463" s="234">
        <v>46087.0</v>
      </c>
      <c r="I1463" s="232">
        <v>0.6875</v>
      </c>
      <c r="J1463" s="9" t="s">
        <v>7391</v>
      </c>
      <c r="K1463" s="18"/>
      <c r="L1463" s="18"/>
      <c r="M1463" s="18"/>
      <c r="N1463" s="18"/>
      <c r="O1463" s="18"/>
      <c r="P1463" s="18"/>
      <c r="Q1463" s="18"/>
      <c r="R1463" s="18"/>
      <c r="S1463" s="18"/>
      <c r="T1463" s="18"/>
      <c r="U1463" s="18"/>
      <c r="V1463" s="18"/>
      <c r="W1463" s="18"/>
      <c r="X1463" s="18"/>
      <c r="Y1463" s="18"/>
      <c r="Z1463" s="18"/>
    </row>
    <row r="1464" ht="22.5" customHeight="1">
      <c r="A1464" s="250">
        <v>46087.0</v>
      </c>
      <c r="B1464" s="218" t="s">
        <v>7392</v>
      </c>
      <c r="C1464" s="9"/>
      <c r="D1464" s="228" t="s">
        <v>7393</v>
      </c>
      <c r="E1464" s="216">
        <v>7.601018276E9</v>
      </c>
      <c r="F1464" s="221" t="s">
        <v>144</v>
      </c>
      <c r="G1464" s="9" t="s">
        <v>7394</v>
      </c>
      <c r="H1464" s="234"/>
      <c r="I1464" s="232"/>
      <c r="J1464" s="9" t="s">
        <v>7395</v>
      </c>
      <c r="K1464" s="18"/>
      <c r="L1464" s="18"/>
      <c r="M1464" s="18"/>
      <c r="N1464" s="18"/>
      <c r="O1464" s="18"/>
      <c r="P1464" s="18"/>
      <c r="Q1464" s="18"/>
      <c r="R1464" s="18"/>
      <c r="S1464" s="18"/>
      <c r="T1464" s="18"/>
      <c r="U1464" s="18"/>
      <c r="V1464" s="18"/>
      <c r="W1464" s="18"/>
      <c r="X1464" s="18"/>
      <c r="Y1464" s="18"/>
      <c r="Z1464" s="18"/>
    </row>
    <row r="1465" ht="22.5" customHeight="1">
      <c r="A1465" s="250">
        <v>46087.0</v>
      </c>
      <c r="B1465" s="218" t="s">
        <v>7396</v>
      </c>
      <c r="C1465" s="9"/>
      <c r="D1465" s="228" t="s">
        <v>7397</v>
      </c>
      <c r="E1465" s="216">
        <v>9.052685685E9</v>
      </c>
      <c r="F1465" s="221" t="s">
        <v>248</v>
      </c>
      <c r="G1465" s="9" t="s">
        <v>7398</v>
      </c>
      <c r="H1465" s="234">
        <v>46090.0</v>
      </c>
      <c r="I1465" s="232"/>
      <c r="J1465" s="9" t="s">
        <v>7399</v>
      </c>
      <c r="K1465" s="18"/>
      <c r="L1465" s="18"/>
      <c r="M1465" s="18"/>
      <c r="N1465" s="18"/>
      <c r="O1465" s="18"/>
      <c r="P1465" s="18"/>
      <c r="Q1465" s="18"/>
      <c r="R1465" s="18"/>
      <c r="S1465" s="18"/>
      <c r="T1465" s="18"/>
      <c r="U1465" s="18"/>
      <c r="V1465" s="18"/>
      <c r="W1465" s="18"/>
      <c r="X1465" s="18"/>
      <c r="Y1465" s="18"/>
      <c r="Z1465" s="18"/>
    </row>
    <row r="1466" ht="22.5" customHeight="1">
      <c r="A1466" s="250">
        <v>46087.0</v>
      </c>
      <c r="B1466" s="218" t="s">
        <v>7400</v>
      </c>
      <c r="C1466" s="9"/>
      <c r="D1466" s="228"/>
      <c r="E1466" s="216"/>
      <c r="F1466" s="221" t="s">
        <v>45</v>
      </c>
      <c r="G1466" s="9" t="s">
        <v>7401</v>
      </c>
      <c r="H1466" s="234"/>
      <c r="I1466" s="232"/>
      <c r="J1466" s="9" t="s">
        <v>7402</v>
      </c>
      <c r="K1466" s="18"/>
      <c r="L1466" s="18"/>
      <c r="M1466" s="18"/>
      <c r="N1466" s="18"/>
      <c r="O1466" s="18"/>
      <c r="P1466" s="18"/>
      <c r="Q1466" s="18"/>
      <c r="R1466" s="18"/>
      <c r="S1466" s="18"/>
      <c r="T1466" s="18"/>
      <c r="U1466" s="18"/>
      <c r="V1466" s="18"/>
      <c r="W1466" s="18"/>
      <c r="X1466" s="18"/>
      <c r="Y1466" s="18"/>
      <c r="Z1466" s="18"/>
    </row>
    <row r="1467" ht="22.5" customHeight="1">
      <c r="A1467" s="250">
        <v>46087.0</v>
      </c>
      <c r="B1467" s="218" t="s">
        <v>7403</v>
      </c>
      <c r="C1467" s="9"/>
      <c r="D1467" s="228" t="s">
        <v>7404</v>
      </c>
      <c r="E1467" s="216">
        <v>8.71211146E9</v>
      </c>
      <c r="F1467" s="221" t="s">
        <v>1919</v>
      </c>
      <c r="G1467" s="9" t="s">
        <v>7405</v>
      </c>
      <c r="H1467" s="234"/>
      <c r="I1467" s="232"/>
      <c r="J1467" s="9" t="s">
        <v>7406</v>
      </c>
      <c r="K1467" s="18"/>
      <c r="L1467" s="18"/>
      <c r="M1467" s="18"/>
      <c r="N1467" s="18"/>
      <c r="O1467" s="18"/>
      <c r="P1467" s="18"/>
      <c r="Q1467" s="18"/>
      <c r="R1467" s="18"/>
      <c r="S1467" s="18"/>
      <c r="T1467" s="18"/>
      <c r="U1467" s="18"/>
      <c r="V1467" s="18"/>
      <c r="W1467" s="18"/>
      <c r="X1467" s="18"/>
      <c r="Y1467" s="18"/>
      <c r="Z1467" s="18"/>
    </row>
    <row r="1468" ht="22.5" customHeight="1">
      <c r="A1468" s="250">
        <v>46087.0</v>
      </c>
      <c r="B1468" s="218" t="s">
        <v>7407</v>
      </c>
      <c r="C1468" s="9"/>
      <c r="D1468" s="228" t="s">
        <v>7408</v>
      </c>
      <c r="E1468" s="216">
        <v>9.502912619E9</v>
      </c>
      <c r="F1468" s="221" t="s">
        <v>1919</v>
      </c>
      <c r="G1468" s="9" t="s">
        <v>7409</v>
      </c>
      <c r="H1468" s="234"/>
      <c r="I1468" s="232"/>
      <c r="J1468" s="9" t="s">
        <v>7410</v>
      </c>
      <c r="K1468" s="18"/>
      <c r="L1468" s="18"/>
      <c r="M1468" s="18"/>
      <c r="N1468" s="18"/>
      <c r="O1468" s="18"/>
      <c r="P1468" s="18"/>
      <c r="Q1468" s="18"/>
      <c r="R1468" s="18"/>
      <c r="S1468" s="18"/>
      <c r="T1468" s="18"/>
      <c r="U1468" s="18"/>
      <c r="V1468" s="18"/>
      <c r="W1468" s="18"/>
      <c r="X1468" s="18"/>
      <c r="Y1468" s="18"/>
      <c r="Z1468" s="18"/>
    </row>
    <row r="1469" ht="22.5" customHeight="1">
      <c r="A1469" s="250">
        <v>46087.0</v>
      </c>
      <c r="B1469" s="218" t="s">
        <v>7411</v>
      </c>
      <c r="C1469" s="9"/>
      <c r="D1469" s="228"/>
      <c r="E1469" s="216">
        <v>7.799810105E9</v>
      </c>
      <c r="F1469" s="221" t="s">
        <v>144</v>
      </c>
      <c r="G1469" s="9" t="s">
        <v>7412</v>
      </c>
      <c r="H1469" s="234"/>
      <c r="I1469" s="232"/>
      <c r="J1469" s="9" t="s">
        <v>7413</v>
      </c>
      <c r="K1469" s="18"/>
      <c r="L1469" s="18"/>
      <c r="M1469" s="18"/>
      <c r="N1469" s="18"/>
      <c r="O1469" s="18"/>
      <c r="P1469" s="18"/>
      <c r="Q1469" s="18"/>
      <c r="R1469" s="18"/>
      <c r="S1469" s="18"/>
      <c r="T1469" s="18"/>
      <c r="U1469" s="18"/>
      <c r="V1469" s="18"/>
      <c r="W1469" s="18"/>
      <c r="X1469" s="18"/>
      <c r="Y1469" s="18"/>
      <c r="Z1469" s="18"/>
    </row>
    <row r="1470" ht="22.5" customHeight="1">
      <c r="A1470" s="250">
        <v>46087.0</v>
      </c>
      <c r="B1470" s="218" t="s">
        <v>6179</v>
      </c>
      <c r="C1470" s="9"/>
      <c r="D1470" s="228"/>
      <c r="E1470" s="216">
        <v>9.44004922E9</v>
      </c>
      <c r="F1470" s="221" t="s">
        <v>1919</v>
      </c>
      <c r="G1470" s="9" t="s">
        <v>7414</v>
      </c>
      <c r="H1470" s="234"/>
      <c r="I1470" s="232"/>
      <c r="J1470" s="9" t="s">
        <v>7415</v>
      </c>
      <c r="K1470" s="18"/>
      <c r="L1470" s="18"/>
      <c r="M1470" s="18"/>
      <c r="N1470" s="18"/>
      <c r="O1470" s="18"/>
      <c r="P1470" s="18"/>
      <c r="Q1470" s="18"/>
      <c r="R1470" s="18"/>
      <c r="S1470" s="18"/>
      <c r="T1470" s="18"/>
      <c r="U1470" s="18"/>
      <c r="V1470" s="18"/>
      <c r="W1470" s="18"/>
      <c r="X1470" s="18"/>
      <c r="Y1470" s="18"/>
      <c r="Z1470" s="18"/>
    </row>
    <row r="1471" ht="22.5" customHeight="1">
      <c r="A1471" s="250">
        <v>46087.0</v>
      </c>
      <c r="B1471" s="218" t="s">
        <v>7416</v>
      </c>
      <c r="C1471" s="9"/>
      <c r="D1471" s="228" t="s">
        <v>7417</v>
      </c>
      <c r="E1471" s="216" t="s">
        <v>7418</v>
      </c>
      <c r="F1471" s="221" t="s">
        <v>45</v>
      </c>
      <c r="G1471" s="9" t="s">
        <v>7419</v>
      </c>
      <c r="H1471" s="234"/>
      <c r="I1471" s="232"/>
      <c r="J1471" s="9" t="s">
        <v>7420</v>
      </c>
      <c r="K1471" s="18"/>
      <c r="L1471" s="18"/>
      <c r="M1471" s="18"/>
      <c r="N1471" s="18"/>
      <c r="O1471" s="18"/>
      <c r="P1471" s="18"/>
      <c r="Q1471" s="18"/>
      <c r="R1471" s="18"/>
      <c r="S1471" s="18"/>
      <c r="T1471" s="18"/>
      <c r="U1471" s="18"/>
      <c r="V1471" s="18"/>
      <c r="W1471" s="18"/>
      <c r="X1471" s="18"/>
      <c r="Y1471" s="18"/>
      <c r="Z1471" s="18"/>
    </row>
    <row r="1472" ht="22.5" customHeight="1">
      <c r="A1472" s="250">
        <v>46087.0</v>
      </c>
      <c r="B1472" s="218" t="s">
        <v>7421</v>
      </c>
      <c r="C1472" s="9"/>
      <c r="D1472" s="228" t="s">
        <v>7422</v>
      </c>
      <c r="E1472" s="216">
        <v>9.985463235E9</v>
      </c>
      <c r="F1472" s="221" t="s">
        <v>1919</v>
      </c>
      <c r="G1472" s="9" t="s">
        <v>7423</v>
      </c>
      <c r="H1472" s="234"/>
      <c r="I1472" s="232"/>
      <c r="J1472" s="9" t="s">
        <v>7424</v>
      </c>
      <c r="K1472" s="18"/>
      <c r="L1472" s="18"/>
      <c r="M1472" s="18"/>
      <c r="N1472" s="18"/>
      <c r="O1472" s="18"/>
      <c r="P1472" s="18"/>
      <c r="Q1472" s="18"/>
      <c r="R1472" s="18"/>
      <c r="S1472" s="18"/>
      <c r="T1472" s="18"/>
      <c r="U1472" s="18"/>
      <c r="V1472" s="18"/>
      <c r="W1472" s="18"/>
      <c r="X1472" s="18"/>
      <c r="Y1472" s="18"/>
      <c r="Z1472" s="18"/>
    </row>
    <row r="1473" ht="22.5" customHeight="1">
      <c r="A1473" s="250">
        <v>46087.0</v>
      </c>
      <c r="B1473" s="218" t="s">
        <v>7425</v>
      </c>
      <c r="C1473" s="9"/>
      <c r="D1473" s="228" t="s">
        <v>4827</v>
      </c>
      <c r="E1473" s="216">
        <v>8.555889177E9</v>
      </c>
      <c r="F1473" s="221" t="s">
        <v>1919</v>
      </c>
      <c r="G1473" s="9" t="s">
        <v>4714</v>
      </c>
      <c r="H1473" s="234"/>
      <c r="I1473" s="232"/>
      <c r="J1473" s="9" t="s">
        <v>7426</v>
      </c>
      <c r="K1473" s="18"/>
      <c r="L1473" s="18"/>
      <c r="M1473" s="18"/>
      <c r="N1473" s="18"/>
      <c r="O1473" s="18"/>
      <c r="P1473" s="18"/>
      <c r="Q1473" s="18"/>
      <c r="R1473" s="18"/>
      <c r="S1473" s="18"/>
      <c r="T1473" s="18"/>
      <c r="U1473" s="18"/>
      <c r="V1473" s="18"/>
      <c r="W1473" s="18"/>
      <c r="X1473" s="18"/>
      <c r="Y1473" s="18"/>
      <c r="Z1473" s="18"/>
    </row>
    <row r="1474" ht="22.5" customHeight="1">
      <c r="A1474" s="250">
        <v>46087.0</v>
      </c>
      <c r="B1474" s="218" t="s">
        <v>7427</v>
      </c>
      <c r="C1474" s="9"/>
      <c r="D1474" s="228" t="s">
        <v>7428</v>
      </c>
      <c r="E1474" s="216">
        <v>7.780463434E9</v>
      </c>
      <c r="F1474" s="221" t="s">
        <v>1919</v>
      </c>
      <c r="G1474" s="9" t="s">
        <v>7429</v>
      </c>
      <c r="H1474" s="234"/>
      <c r="I1474" s="232"/>
      <c r="J1474" s="9" t="s">
        <v>7426</v>
      </c>
      <c r="K1474" s="18"/>
      <c r="L1474" s="18"/>
      <c r="M1474" s="18"/>
      <c r="N1474" s="18"/>
      <c r="O1474" s="18"/>
      <c r="P1474" s="18"/>
      <c r="Q1474" s="18"/>
      <c r="R1474" s="18"/>
      <c r="S1474" s="18"/>
      <c r="T1474" s="18"/>
      <c r="U1474" s="18"/>
      <c r="V1474" s="18"/>
      <c r="W1474" s="18"/>
      <c r="X1474" s="18"/>
      <c r="Y1474" s="18"/>
      <c r="Z1474" s="18"/>
    </row>
    <row r="1475" ht="22.5" customHeight="1">
      <c r="A1475" s="250">
        <v>46087.0</v>
      </c>
      <c r="B1475" s="218" t="s">
        <v>7430</v>
      </c>
      <c r="C1475" s="9"/>
      <c r="D1475" s="228"/>
      <c r="E1475" s="216"/>
      <c r="F1475" s="221" t="s">
        <v>45</v>
      </c>
      <c r="G1475" s="9" t="s">
        <v>7431</v>
      </c>
      <c r="H1475" s="234"/>
      <c r="I1475" s="232"/>
      <c r="J1475" s="9"/>
      <c r="K1475" s="18"/>
      <c r="L1475" s="18"/>
      <c r="M1475" s="18"/>
      <c r="N1475" s="18"/>
      <c r="O1475" s="18"/>
      <c r="P1475" s="18"/>
      <c r="Q1475" s="18"/>
      <c r="R1475" s="18"/>
      <c r="S1475" s="18"/>
      <c r="T1475" s="18"/>
      <c r="U1475" s="18"/>
      <c r="V1475" s="18"/>
      <c r="W1475" s="18"/>
      <c r="X1475" s="18"/>
      <c r="Y1475" s="18"/>
      <c r="Z1475" s="18"/>
    </row>
    <row r="1476" ht="22.5" customHeight="1">
      <c r="A1476" s="250">
        <v>46087.0</v>
      </c>
      <c r="B1476" s="218" t="s">
        <v>7432</v>
      </c>
      <c r="C1476" s="9"/>
      <c r="D1476" s="228"/>
      <c r="E1476" s="216"/>
      <c r="F1476" s="221" t="s">
        <v>45</v>
      </c>
      <c r="G1476" s="9" t="s">
        <v>7431</v>
      </c>
      <c r="H1476" s="234"/>
      <c r="I1476" s="232"/>
      <c r="J1476" s="9"/>
      <c r="K1476" s="18"/>
      <c r="L1476" s="18"/>
      <c r="M1476" s="18"/>
      <c r="N1476" s="18"/>
      <c r="O1476" s="18"/>
      <c r="P1476" s="18"/>
      <c r="Q1476" s="18"/>
      <c r="R1476" s="18"/>
      <c r="S1476" s="18"/>
      <c r="T1476" s="18"/>
      <c r="U1476" s="18"/>
      <c r="V1476" s="18"/>
      <c r="W1476" s="18"/>
      <c r="X1476" s="18"/>
      <c r="Y1476" s="18"/>
      <c r="Z1476" s="18"/>
    </row>
    <row r="1477" ht="22.5" customHeight="1">
      <c r="A1477" s="250">
        <v>46087.0</v>
      </c>
      <c r="B1477" s="218" t="s">
        <v>3497</v>
      </c>
      <c r="C1477" s="9" t="s">
        <v>1999</v>
      </c>
      <c r="D1477" s="228"/>
      <c r="E1477" s="216"/>
      <c r="F1477" s="221" t="s">
        <v>73</v>
      </c>
      <c r="G1477" s="9" t="s">
        <v>7433</v>
      </c>
      <c r="H1477" s="234"/>
      <c r="I1477" s="232"/>
      <c r="J1477" s="35" t="s">
        <v>7434</v>
      </c>
      <c r="K1477" s="18"/>
      <c r="L1477" s="18"/>
      <c r="M1477" s="18"/>
      <c r="N1477" s="18"/>
      <c r="O1477" s="18"/>
      <c r="P1477" s="18"/>
      <c r="Q1477" s="18"/>
      <c r="R1477" s="18"/>
      <c r="S1477" s="18"/>
      <c r="T1477" s="18"/>
      <c r="U1477" s="18"/>
      <c r="V1477" s="18"/>
      <c r="W1477" s="18"/>
      <c r="X1477" s="18"/>
      <c r="Y1477" s="18"/>
      <c r="Z1477" s="18"/>
    </row>
    <row r="1478" ht="22.5" customHeight="1">
      <c r="A1478" s="250">
        <v>46087.0</v>
      </c>
      <c r="B1478" s="218" t="s">
        <v>3497</v>
      </c>
      <c r="C1478" s="9" t="s">
        <v>1999</v>
      </c>
      <c r="D1478" s="228"/>
      <c r="E1478" s="216"/>
      <c r="F1478" s="221" t="s">
        <v>73</v>
      </c>
      <c r="G1478" s="9" t="s">
        <v>7433</v>
      </c>
      <c r="H1478" s="234"/>
      <c r="I1478" s="232"/>
      <c r="J1478" s="35" t="s">
        <v>7434</v>
      </c>
      <c r="K1478" s="18"/>
      <c r="L1478" s="18"/>
      <c r="M1478" s="18"/>
      <c r="N1478" s="18"/>
      <c r="O1478" s="18"/>
      <c r="P1478" s="18"/>
      <c r="Q1478" s="18"/>
      <c r="R1478" s="18"/>
      <c r="S1478" s="18"/>
      <c r="T1478" s="18"/>
      <c r="U1478" s="18"/>
      <c r="V1478" s="18"/>
      <c r="W1478" s="18"/>
      <c r="X1478" s="18"/>
      <c r="Y1478" s="18"/>
      <c r="Z1478" s="18"/>
    </row>
    <row r="1479" ht="22.5" customHeight="1">
      <c r="A1479" s="250">
        <v>46087.0</v>
      </c>
      <c r="B1479" s="218" t="s">
        <v>3497</v>
      </c>
      <c r="C1479" s="9" t="s">
        <v>1999</v>
      </c>
      <c r="D1479" s="228"/>
      <c r="E1479" s="216"/>
      <c r="F1479" s="221" t="s">
        <v>73</v>
      </c>
      <c r="G1479" s="9" t="s">
        <v>7433</v>
      </c>
      <c r="H1479" s="234"/>
      <c r="I1479" s="232"/>
      <c r="J1479" s="35" t="s">
        <v>7434</v>
      </c>
      <c r="K1479" s="18"/>
      <c r="L1479" s="18"/>
      <c r="M1479" s="18"/>
      <c r="N1479" s="18"/>
      <c r="O1479" s="18"/>
      <c r="P1479" s="18"/>
      <c r="Q1479" s="18"/>
      <c r="R1479" s="18"/>
      <c r="S1479" s="18"/>
      <c r="T1479" s="18"/>
      <c r="U1479" s="18"/>
      <c r="V1479" s="18"/>
      <c r="W1479" s="18"/>
      <c r="X1479" s="18"/>
      <c r="Y1479" s="18"/>
      <c r="Z1479" s="18"/>
    </row>
    <row r="1480" ht="22.5" customHeight="1">
      <c r="A1480" s="250">
        <v>46087.0</v>
      </c>
      <c r="B1480" s="218" t="s">
        <v>3497</v>
      </c>
      <c r="C1480" s="9" t="s">
        <v>1999</v>
      </c>
      <c r="D1480" s="228"/>
      <c r="E1480" s="216"/>
      <c r="F1480" s="221" t="s">
        <v>73</v>
      </c>
      <c r="G1480" s="9" t="s">
        <v>7433</v>
      </c>
      <c r="H1480" s="234"/>
      <c r="I1480" s="232"/>
      <c r="J1480" s="35" t="s">
        <v>7434</v>
      </c>
      <c r="K1480" s="18"/>
      <c r="L1480" s="18"/>
      <c r="M1480" s="18"/>
      <c r="N1480" s="18"/>
      <c r="O1480" s="18"/>
      <c r="P1480" s="18"/>
      <c r="Q1480" s="18"/>
      <c r="R1480" s="18"/>
      <c r="S1480" s="18"/>
      <c r="T1480" s="18"/>
      <c r="U1480" s="18"/>
      <c r="V1480" s="18"/>
      <c r="W1480" s="18"/>
      <c r="X1480" s="18"/>
      <c r="Y1480" s="18"/>
      <c r="Z1480" s="18"/>
    </row>
    <row r="1481" ht="22.5" customHeight="1">
      <c r="A1481" s="250">
        <v>46087.0</v>
      </c>
      <c r="B1481" s="218" t="s">
        <v>7435</v>
      </c>
      <c r="C1481" s="9" t="s">
        <v>2515</v>
      </c>
      <c r="D1481" s="228"/>
      <c r="E1481" s="216"/>
      <c r="F1481" s="221" t="s">
        <v>186</v>
      </c>
      <c r="G1481" s="9" t="s">
        <v>7436</v>
      </c>
      <c r="H1481" s="234"/>
      <c r="I1481" s="232"/>
      <c r="J1481" s="9"/>
      <c r="K1481" s="18"/>
      <c r="L1481" s="18"/>
      <c r="M1481" s="18"/>
      <c r="N1481" s="18"/>
      <c r="O1481" s="18"/>
      <c r="P1481" s="18"/>
      <c r="Q1481" s="18"/>
      <c r="R1481" s="18"/>
      <c r="S1481" s="18"/>
      <c r="T1481" s="18"/>
      <c r="U1481" s="18"/>
      <c r="V1481" s="18"/>
      <c r="W1481" s="18"/>
      <c r="X1481" s="18"/>
      <c r="Y1481" s="18"/>
      <c r="Z1481" s="18"/>
    </row>
    <row r="1482" ht="22.5" customHeight="1">
      <c r="A1482" s="250">
        <v>46087.0</v>
      </c>
      <c r="B1482" s="218" t="s">
        <v>3521</v>
      </c>
      <c r="C1482" s="9" t="s">
        <v>2515</v>
      </c>
      <c r="D1482" s="228"/>
      <c r="E1482" s="216"/>
      <c r="F1482" s="221" t="s">
        <v>186</v>
      </c>
      <c r="G1482" s="9" t="s">
        <v>7437</v>
      </c>
      <c r="H1482" s="234"/>
      <c r="I1482" s="232"/>
      <c r="J1482" s="9"/>
      <c r="K1482" s="18"/>
      <c r="L1482" s="18"/>
      <c r="M1482" s="18"/>
      <c r="N1482" s="18"/>
      <c r="O1482" s="18"/>
      <c r="P1482" s="18"/>
      <c r="Q1482" s="18"/>
      <c r="R1482" s="18"/>
      <c r="S1482" s="18"/>
      <c r="T1482" s="18"/>
      <c r="U1482" s="18"/>
      <c r="V1482" s="18"/>
      <c r="W1482" s="18"/>
      <c r="X1482" s="18"/>
      <c r="Y1482" s="18"/>
      <c r="Z1482" s="18"/>
    </row>
    <row r="1483" ht="22.5" customHeight="1">
      <c r="A1483" s="250">
        <v>46087.0</v>
      </c>
      <c r="B1483" s="218" t="s">
        <v>7438</v>
      </c>
      <c r="C1483" s="9" t="s">
        <v>2515</v>
      </c>
      <c r="D1483" s="228"/>
      <c r="E1483" s="216"/>
      <c r="F1483" s="221" t="s">
        <v>186</v>
      </c>
      <c r="G1483" s="9" t="s">
        <v>7439</v>
      </c>
      <c r="H1483" s="234"/>
      <c r="I1483" s="232"/>
      <c r="J1483" s="9"/>
      <c r="K1483" s="18"/>
      <c r="L1483" s="18"/>
      <c r="M1483" s="18"/>
      <c r="N1483" s="18"/>
      <c r="O1483" s="18"/>
      <c r="P1483" s="18"/>
      <c r="Q1483" s="18"/>
      <c r="R1483" s="18"/>
      <c r="S1483" s="18"/>
      <c r="T1483" s="18"/>
      <c r="U1483" s="18"/>
      <c r="V1483" s="18"/>
      <c r="W1483" s="18"/>
      <c r="X1483" s="18"/>
      <c r="Y1483" s="18"/>
      <c r="Z1483" s="18"/>
    </row>
    <row r="1484" ht="22.5" customHeight="1">
      <c r="A1484" s="250">
        <v>46087.0</v>
      </c>
      <c r="B1484" s="218" t="s">
        <v>7440</v>
      </c>
      <c r="C1484" s="9" t="s">
        <v>2515</v>
      </c>
      <c r="D1484" s="228"/>
      <c r="E1484" s="216"/>
      <c r="F1484" s="221" t="s">
        <v>186</v>
      </c>
      <c r="G1484" s="9" t="s">
        <v>7441</v>
      </c>
      <c r="H1484" s="234"/>
      <c r="I1484" s="232"/>
      <c r="J1484" s="9"/>
      <c r="K1484" s="18"/>
      <c r="L1484" s="18"/>
      <c r="M1484" s="18"/>
      <c r="N1484" s="18"/>
      <c r="O1484" s="18"/>
      <c r="P1484" s="18"/>
      <c r="Q1484" s="18"/>
      <c r="R1484" s="18"/>
      <c r="S1484" s="18"/>
      <c r="T1484" s="18"/>
      <c r="U1484" s="18"/>
      <c r="V1484" s="18"/>
      <c r="W1484" s="18"/>
      <c r="X1484" s="18"/>
      <c r="Y1484" s="18"/>
      <c r="Z1484" s="18"/>
    </row>
    <row r="1485" ht="22.5" customHeight="1">
      <c r="A1485" s="250">
        <v>46087.0</v>
      </c>
      <c r="B1485" s="218" t="s">
        <v>3620</v>
      </c>
      <c r="C1485" s="9" t="s">
        <v>2515</v>
      </c>
      <c r="D1485" s="228"/>
      <c r="E1485" s="216"/>
      <c r="F1485" s="221" t="s">
        <v>186</v>
      </c>
      <c r="G1485" s="9" t="s">
        <v>7442</v>
      </c>
      <c r="H1485" s="234"/>
      <c r="I1485" s="232"/>
      <c r="J1485" s="9"/>
      <c r="K1485" s="18"/>
      <c r="L1485" s="18"/>
      <c r="M1485" s="18"/>
      <c r="N1485" s="18"/>
      <c r="O1485" s="18"/>
      <c r="P1485" s="18"/>
      <c r="Q1485" s="18"/>
      <c r="R1485" s="18"/>
      <c r="S1485" s="18"/>
      <c r="T1485" s="18"/>
      <c r="U1485" s="18"/>
      <c r="V1485" s="18"/>
      <c r="W1485" s="18"/>
      <c r="X1485" s="18"/>
      <c r="Y1485" s="18"/>
      <c r="Z1485" s="18"/>
    </row>
    <row r="1486" ht="22.5" customHeight="1">
      <c r="A1486" s="250">
        <v>46087.0</v>
      </c>
      <c r="B1486" s="218" t="s">
        <v>7443</v>
      </c>
      <c r="C1486" s="9" t="s">
        <v>2515</v>
      </c>
      <c r="D1486" s="228"/>
      <c r="E1486" s="216"/>
      <c r="F1486" s="221" t="s">
        <v>186</v>
      </c>
      <c r="G1486" s="9" t="s">
        <v>7444</v>
      </c>
      <c r="H1486" s="234"/>
      <c r="I1486" s="232"/>
      <c r="J1486" s="9"/>
      <c r="K1486" s="18"/>
      <c r="L1486" s="18"/>
      <c r="M1486" s="18"/>
      <c r="N1486" s="18"/>
      <c r="O1486" s="18"/>
      <c r="P1486" s="18"/>
      <c r="Q1486" s="18"/>
      <c r="R1486" s="18"/>
      <c r="S1486" s="18"/>
      <c r="T1486" s="18"/>
      <c r="U1486" s="18"/>
      <c r="V1486" s="18"/>
      <c r="W1486" s="18"/>
      <c r="X1486" s="18"/>
      <c r="Y1486" s="18"/>
      <c r="Z1486" s="18"/>
    </row>
    <row r="1487" ht="22.5" customHeight="1">
      <c r="A1487" s="250">
        <v>46087.0</v>
      </c>
      <c r="B1487" s="218" t="s">
        <v>7445</v>
      </c>
      <c r="C1487" s="9" t="s">
        <v>2515</v>
      </c>
      <c r="D1487" s="228"/>
      <c r="E1487" s="216"/>
      <c r="F1487" s="221" t="s">
        <v>186</v>
      </c>
      <c r="G1487" s="9" t="s">
        <v>7446</v>
      </c>
      <c r="H1487" s="234"/>
      <c r="I1487" s="232"/>
      <c r="J1487" s="9"/>
      <c r="K1487" s="18"/>
      <c r="L1487" s="18"/>
      <c r="M1487" s="18"/>
      <c r="N1487" s="18"/>
      <c r="O1487" s="18"/>
      <c r="P1487" s="18"/>
      <c r="Q1487" s="18"/>
      <c r="R1487" s="18"/>
      <c r="S1487" s="18"/>
      <c r="T1487" s="18"/>
      <c r="U1487" s="18"/>
      <c r="V1487" s="18"/>
      <c r="W1487" s="18"/>
      <c r="X1487" s="18"/>
      <c r="Y1487" s="18"/>
      <c r="Z1487" s="18"/>
    </row>
    <row r="1488" ht="22.5" customHeight="1">
      <c r="A1488" s="250">
        <v>46087.0</v>
      </c>
      <c r="B1488" s="15" t="s">
        <v>7447</v>
      </c>
      <c r="C1488" s="9"/>
      <c r="D1488" s="228" t="s">
        <v>5184</v>
      </c>
      <c r="E1488" s="216">
        <v>9.700651582E9</v>
      </c>
      <c r="F1488" s="221" t="s">
        <v>73</v>
      </c>
      <c r="G1488" s="9" t="s">
        <v>7448</v>
      </c>
      <c r="H1488" s="234">
        <v>46090.0</v>
      </c>
      <c r="I1488" s="232"/>
      <c r="J1488" s="9" t="s">
        <v>7449</v>
      </c>
      <c r="K1488" s="18"/>
      <c r="L1488" s="18"/>
      <c r="M1488" s="18"/>
      <c r="N1488" s="18"/>
      <c r="O1488" s="18"/>
      <c r="P1488" s="18"/>
      <c r="Q1488" s="18"/>
      <c r="R1488" s="18"/>
      <c r="S1488" s="18"/>
      <c r="T1488" s="18"/>
      <c r="U1488" s="18"/>
      <c r="V1488" s="18"/>
      <c r="W1488" s="18"/>
      <c r="X1488" s="18"/>
      <c r="Y1488" s="18"/>
      <c r="Z1488" s="18"/>
    </row>
    <row r="1489" ht="22.5" customHeight="1">
      <c r="A1489" s="250">
        <v>46087.0</v>
      </c>
      <c r="B1489" s="15" t="s">
        <v>3525</v>
      </c>
      <c r="C1489" s="9" t="s">
        <v>7450</v>
      </c>
      <c r="D1489" s="228"/>
      <c r="E1489" s="216"/>
      <c r="F1489" s="221" t="s">
        <v>241</v>
      </c>
      <c r="G1489" s="9" t="s">
        <v>7451</v>
      </c>
      <c r="H1489" s="234"/>
      <c r="I1489" s="232"/>
      <c r="J1489" s="9"/>
      <c r="K1489" s="18"/>
      <c r="L1489" s="18"/>
      <c r="M1489" s="18"/>
      <c r="N1489" s="18"/>
      <c r="O1489" s="18"/>
      <c r="P1489" s="18"/>
      <c r="Q1489" s="18"/>
      <c r="R1489" s="18"/>
      <c r="S1489" s="18"/>
      <c r="T1489" s="18"/>
      <c r="U1489" s="18"/>
      <c r="V1489" s="18"/>
      <c r="W1489" s="18"/>
      <c r="X1489" s="18"/>
      <c r="Y1489" s="18"/>
      <c r="Z1489" s="18"/>
    </row>
    <row r="1490" ht="22.5" customHeight="1">
      <c r="A1490" s="250">
        <v>46087.0</v>
      </c>
      <c r="B1490" s="218" t="s">
        <v>7452</v>
      </c>
      <c r="C1490" s="9" t="s">
        <v>7450</v>
      </c>
      <c r="D1490" s="228"/>
      <c r="E1490" s="216"/>
      <c r="F1490" s="221" t="s">
        <v>241</v>
      </c>
      <c r="G1490" s="9" t="s">
        <v>7451</v>
      </c>
      <c r="H1490" s="234"/>
      <c r="I1490" s="232"/>
      <c r="J1490" s="9"/>
      <c r="K1490" s="18"/>
      <c r="L1490" s="18"/>
      <c r="M1490" s="18"/>
      <c r="N1490" s="18"/>
      <c r="O1490" s="18"/>
      <c r="P1490" s="18"/>
      <c r="Q1490" s="18"/>
      <c r="R1490" s="18"/>
      <c r="S1490" s="18"/>
      <c r="T1490" s="18"/>
      <c r="U1490" s="18"/>
      <c r="V1490" s="18"/>
      <c r="W1490" s="18"/>
      <c r="X1490" s="18"/>
      <c r="Y1490" s="18"/>
      <c r="Z1490" s="18"/>
    </row>
    <row r="1491" ht="22.5" customHeight="1">
      <c r="A1491" s="250">
        <v>46087.0</v>
      </c>
      <c r="B1491" s="218" t="s">
        <v>7453</v>
      </c>
      <c r="C1491" s="9" t="s">
        <v>7450</v>
      </c>
      <c r="D1491" s="228"/>
      <c r="E1491" s="216"/>
      <c r="F1491" s="221" t="s">
        <v>241</v>
      </c>
      <c r="G1491" s="9" t="s">
        <v>7431</v>
      </c>
      <c r="H1491" s="234"/>
      <c r="I1491" s="232"/>
      <c r="J1491" s="9"/>
      <c r="K1491" s="18"/>
      <c r="L1491" s="18"/>
      <c r="M1491" s="18"/>
      <c r="N1491" s="18"/>
      <c r="O1491" s="18"/>
      <c r="P1491" s="18"/>
      <c r="Q1491" s="18"/>
      <c r="R1491" s="18"/>
      <c r="S1491" s="18"/>
      <c r="T1491" s="18"/>
      <c r="U1491" s="18"/>
      <c r="V1491" s="18"/>
      <c r="W1491" s="18"/>
      <c r="X1491" s="18"/>
      <c r="Y1491" s="18"/>
      <c r="Z1491" s="18"/>
    </row>
    <row r="1492" ht="22.5" customHeight="1">
      <c r="A1492" s="250">
        <v>46087.0</v>
      </c>
      <c r="B1492" s="15" t="s">
        <v>7454</v>
      </c>
      <c r="C1492" s="9" t="s">
        <v>7450</v>
      </c>
      <c r="D1492" s="228"/>
      <c r="E1492" s="216"/>
      <c r="F1492" s="221" t="s">
        <v>241</v>
      </c>
      <c r="G1492" s="9" t="s">
        <v>7455</v>
      </c>
      <c r="H1492" s="234"/>
      <c r="I1492" s="232"/>
      <c r="J1492" s="9"/>
      <c r="K1492" s="18"/>
      <c r="L1492" s="18"/>
      <c r="M1492" s="18"/>
      <c r="N1492" s="18"/>
      <c r="O1492" s="18"/>
      <c r="P1492" s="18"/>
      <c r="Q1492" s="18"/>
      <c r="R1492" s="18"/>
      <c r="S1492" s="18"/>
      <c r="T1492" s="18"/>
      <c r="U1492" s="18"/>
      <c r="V1492" s="18"/>
      <c r="W1492" s="18"/>
      <c r="X1492" s="18"/>
      <c r="Y1492" s="18"/>
      <c r="Z1492" s="18"/>
    </row>
    <row r="1493" ht="22.5" customHeight="1">
      <c r="A1493" s="250">
        <v>46087.0</v>
      </c>
      <c r="B1493" s="218" t="s">
        <v>7456</v>
      </c>
      <c r="C1493" s="9" t="s">
        <v>7457</v>
      </c>
      <c r="D1493" s="228"/>
      <c r="E1493" s="216"/>
      <c r="F1493" s="221" t="s">
        <v>241</v>
      </c>
      <c r="G1493" s="9" t="s">
        <v>7451</v>
      </c>
      <c r="H1493" s="234"/>
      <c r="I1493" s="232"/>
      <c r="J1493" s="9"/>
      <c r="K1493" s="18"/>
      <c r="L1493" s="18"/>
      <c r="M1493" s="18"/>
      <c r="N1493" s="18"/>
      <c r="O1493" s="18"/>
      <c r="P1493" s="18"/>
      <c r="Q1493" s="18"/>
      <c r="R1493" s="18"/>
      <c r="S1493" s="18"/>
      <c r="T1493" s="18"/>
      <c r="U1493" s="18"/>
      <c r="V1493" s="18"/>
      <c r="W1493" s="18"/>
      <c r="X1493" s="18"/>
      <c r="Y1493" s="18"/>
      <c r="Z1493" s="18"/>
    </row>
    <row r="1494" ht="22.5" customHeight="1">
      <c r="A1494" s="250">
        <v>46087.0</v>
      </c>
      <c r="B1494" s="218" t="s">
        <v>7458</v>
      </c>
      <c r="C1494" s="9"/>
      <c r="D1494" s="228"/>
      <c r="E1494" s="216"/>
      <c r="F1494" s="221" t="s">
        <v>241</v>
      </c>
      <c r="G1494" s="9" t="s">
        <v>7431</v>
      </c>
      <c r="H1494" s="234"/>
      <c r="I1494" s="232"/>
      <c r="J1494" s="9"/>
      <c r="K1494" s="18"/>
      <c r="L1494" s="18"/>
      <c r="M1494" s="18"/>
      <c r="N1494" s="18"/>
      <c r="O1494" s="18"/>
      <c r="P1494" s="18"/>
      <c r="Q1494" s="18"/>
      <c r="R1494" s="18"/>
      <c r="S1494" s="18"/>
      <c r="T1494" s="18"/>
      <c r="U1494" s="18"/>
      <c r="V1494" s="18"/>
      <c r="W1494" s="18"/>
      <c r="X1494" s="18"/>
      <c r="Y1494" s="18"/>
      <c r="Z1494" s="18"/>
    </row>
    <row r="1495" ht="22.5" customHeight="1">
      <c r="A1495" s="250">
        <v>46087.0</v>
      </c>
      <c r="B1495" s="218" t="s">
        <v>7349</v>
      </c>
      <c r="C1495" s="9"/>
      <c r="D1495" s="228"/>
      <c r="E1495" s="216"/>
      <c r="F1495" s="221" t="s">
        <v>96</v>
      </c>
      <c r="G1495" s="9" t="s">
        <v>7455</v>
      </c>
      <c r="H1495" s="234"/>
      <c r="I1495" s="232"/>
      <c r="J1495" s="9"/>
      <c r="K1495" s="18"/>
      <c r="L1495" s="18"/>
      <c r="M1495" s="18"/>
      <c r="N1495" s="18"/>
      <c r="O1495" s="18"/>
      <c r="P1495" s="18"/>
      <c r="Q1495" s="18"/>
      <c r="R1495" s="18"/>
      <c r="S1495" s="18"/>
      <c r="T1495" s="18"/>
      <c r="U1495" s="18"/>
      <c r="V1495" s="18"/>
      <c r="W1495" s="18"/>
      <c r="X1495" s="18"/>
      <c r="Y1495" s="18"/>
      <c r="Z1495" s="18"/>
    </row>
    <row r="1496" ht="22.5" customHeight="1">
      <c r="A1496" s="250">
        <v>46087.0</v>
      </c>
      <c r="B1496" s="15" t="s">
        <v>7459</v>
      </c>
      <c r="C1496" s="9" t="s">
        <v>7457</v>
      </c>
      <c r="D1496" s="228"/>
      <c r="E1496" s="216"/>
      <c r="F1496" s="221" t="s">
        <v>96</v>
      </c>
      <c r="G1496" s="9" t="s">
        <v>7451</v>
      </c>
      <c r="H1496" s="234"/>
      <c r="I1496" s="232"/>
      <c r="J1496" s="9"/>
      <c r="K1496" s="18"/>
      <c r="L1496" s="18"/>
      <c r="M1496" s="18"/>
      <c r="N1496" s="18"/>
      <c r="O1496" s="18"/>
      <c r="P1496" s="18"/>
      <c r="Q1496" s="18"/>
      <c r="R1496" s="18"/>
      <c r="S1496" s="18"/>
      <c r="T1496" s="18"/>
      <c r="U1496" s="18"/>
      <c r="V1496" s="18"/>
      <c r="W1496" s="18"/>
      <c r="X1496" s="18"/>
      <c r="Y1496" s="18"/>
      <c r="Z1496" s="18"/>
    </row>
    <row r="1497" ht="22.5" customHeight="1">
      <c r="A1497" s="250">
        <v>46087.0</v>
      </c>
      <c r="B1497" s="218" t="s">
        <v>7460</v>
      </c>
      <c r="C1497" s="9" t="s">
        <v>7450</v>
      </c>
      <c r="D1497" s="228"/>
      <c r="E1497" s="216"/>
      <c r="F1497" s="221" t="s">
        <v>96</v>
      </c>
      <c r="G1497" s="9" t="s">
        <v>7431</v>
      </c>
      <c r="H1497" s="234"/>
      <c r="I1497" s="232"/>
      <c r="J1497" s="9"/>
      <c r="K1497" s="18"/>
      <c r="L1497" s="18"/>
      <c r="M1497" s="18"/>
      <c r="N1497" s="18"/>
      <c r="O1497" s="18"/>
      <c r="P1497" s="18"/>
      <c r="Q1497" s="18"/>
      <c r="R1497" s="18"/>
      <c r="S1497" s="18"/>
      <c r="T1497" s="18"/>
      <c r="U1497" s="18"/>
      <c r="V1497" s="18"/>
      <c r="W1497" s="18"/>
      <c r="X1497" s="18"/>
      <c r="Y1497" s="18"/>
      <c r="Z1497" s="18"/>
    </row>
    <row r="1498" ht="22.5" customHeight="1">
      <c r="A1498" s="250">
        <v>46087.0</v>
      </c>
      <c r="B1498" s="218" t="s">
        <v>7461</v>
      </c>
      <c r="C1498" s="9" t="s">
        <v>7450</v>
      </c>
      <c r="D1498" s="228"/>
      <c r="E1498" s="216"/>
      <c r="F1498" s="221" t="s">
        <v>96</v>
      </c>
      <c r="G1498" s="9" t="s">
        <v>7455</v>
      </c>
      <c r="H1498" s="234"/>
      <c r="I1498" s="232"/>
      <c r="J1498" s="9"/>
      <c r="K1498" s="18"/>
      <c r="L1498" s="18"/>
      <c r="M1498" s="18"/>
      <c r="N1498" s="18"/>
      <c r="O1498" s="18"/>
      <c r="P1498" s="18"/>
      <c r="Q1498" s="18"/>
      <c r="R1498" s="18"/>
      <c r="S1498" s="18"/>
      <c r="T1498" s="18"/>
      <c r="U1498" s="18"/>
      <c r="V1498" s="18"/>
      <c r="W1498" s="18"/>
      <c r="X1498" s="18"/>
      <c r="Y1498" s="18"/>
      <c r="Z1498" s="18"/>
    </row>
    <row r="1499" ht="22.5" customHeight="1">
      <c r="A1499" s="250">
        <v>46087.0</v>
      </c>
      <c r="B1499" s="218" t="s">
        <v>7462</v>
      </c>
      <c r="C1499" s="9" t="s">
        <v>7450</v>
      </c>
      <c r="D1499" s="228"/>
      <c r="E1499" s="216"/>
      <c r="F1499" s="221" t="s">
        <v>96</v>
      </c>
      <c r="G1499" s="9" t="s">
        <v>7451</v>
      </c>
      <c r="H1499" s="234"/>
      <c r="I1499" s="232"/>
      <c r="J1499" s="9"/>
      <c r="K1499" s="18"/>
      <c r="L1499" s="18"/>
      <c r="M1499" s="18"/>
      <c r="N1499" s="18"/>
      <c r="O1499" s="18"/>
      <c r="P1499" s="18"/>
      <c r="Q1499" s="18"/>
      <c r="R1499" s="18"/>
      <c r="S1499" s="18"/>
      <c r="T1499" s="18"/>
      <c r="U1499" s="18"/>
      <c r="V1499" s="18"/>
      <c r="W1499" s="18"/>
      <c r="X1499" s="18"/>
      <c r="Y1499" s="18"/>
      <c r="Z1499" s="18"/>
    </row>
    <row r="1500" ht="22.5" customHeight="1">
      <c r="A1500" s="250">
        <v>46087.0</v>
      </c>
      <c r="B1500" s="15" t="s">
        <v>7463</v>
      </c>
      <c r="C1500" s="9"/>
      <c r="D1500" s="228"/>
      <c r="E1500" s="216"/>
      <c r="F1500" s="221" t="s">
        <v>45</v>
      </c>
      <c r="G1500" s="9" t="s">
        <v>7464</v>
      </c>
      <c r="H1500" s="234"/>
      <c r="I1500" s="232"/>
      <c r="J1500" s="9"/>
      <c r="K1500" s="18"/>
      <c r="L1500" s="18"/>
      <c r="M1500" s="18"/>
      <c r="N1500" s="18"/>
      <c r="O1500" s="18"/>
      <c r="P1500" s="18"/>
      <c r="Q1500" s="18"/>
      <c r="R1500" s="18"/>
      <c r="S1500" s="18"/>
      <c r="T1500" s="18"/>
      <c r="U1500" s="18"/>
      <c r="V1500" s="18"/>
      <c r="W1500" s="18"/>
      <c r="X1500" s="18"/>
      <c r="Y1500" s="18"/>
      <c r="Z1500" s="18"/>
    </row>
    <row r="1501" ht="22.5" customHeight="1">
      <c r="A1501" s="250">
        <v>46087.0</v>
      </c>
      <c r="B1501" s="218" t="s">
        <v>7349</v>
      </c>
      <c r="C1501" s="9"/>
      <c r="D1501" s="228"/>
      <c r="E1501" s="216"/>
      <c r="F1501" s="221" t="s">
        <v>96</v>
      </c>
      <c r="G1501" s="9" t="s">
        <v>7455</v>
      </c>
      <c r="H1501" s="234"/>
      <c r="I1501" s="232"/>
      <c r="J1501" s="9"/>
      <c r="K1501" s="18"/>
      <c r="L1501" s="18"/>
      <c r="M1501" s="18"/>
      <c r="N1501" s="18"/>
      <c r="O1501" s="18"/>
      <c r="P1501" s="18"/>
      <c r="Q1501" s="18"/>
      <c r="R1501" s="18"/>
      <c r="S1501" s="18"/>
      <c r="T1501" s="18"/>
      <c r="U1501" s="18"/>
      <c r="V1501" s="18"/>
      <c r="W1501" s="18"/>
      <c r="X1501" s="18"/>
      <c r="Y1501" s="18"/>
      <c r="Z1501" s="18"/>
    </row>
    <row r="1502" ht="22.5" customHeight="1">
      <c r="A1502" s="250">
        <v>46087.0</v>
      </c>
      <c r="B1502" s="218" t="s">
        <v>7465</v>
      </c>
      <c r="C1502" s="9"/>
      <c r="D1502" s="228"/>
      <c r="E1502" s="216"/>
      <c r="F1502" s="221" t="s">
        <v>144</v>
      </c>
      <c r="G1502" s="9" t="s">
        <v>7466</v>
      </c>
      <c r="H1502" s="234"/>
      <c r="I1502" s="232"/>
      <c r="J1502" s="9"/>
      <c r="K1502" s="18"/>
      <c r="L1502" s="18"/>
      <c r="M1502" s="18"/>
      <c r="N1502" s="18"/>
      <c r="O1502" s="18"/>
      <c r="P1502" s="18"/>
      <c r="Q1502" s="18"/>
      <c r="R1502" s="18"/>
      <c r="S1502" s="18"/>
      <c r="T1502" s="18"/>
      <c r="U1502" s="18"/>
      <c r="V1502" s="18"/>
      <c r="W1502" s="18"/>
      <c r="X1502" s="18"/>
      <c r="Y1502" s="18"/>
      <c r="Z1502" s="18"/>
    </row>
    <row r="1503" ht="22.5" customHeight="1">
      <c r="A1503" s="250">
        <v>46087.0</v>
      </c>
      <c r="B1503" s="218" t="s">
        <v>7467</v>
      </c>
      <c r="C1503" s="9"/>
      <c r="D1503" s="228"/>
      <c r="E1503" s="216"/>
      <c r="F1503" s="221" t="s">
        <v>144</v>
      </c>
      <c r="G1503" s="9" t="s">
        <v>7466</v>
      </c>
      <c r="H1503" s="234"/>
      <c r="I1503" s="232"/>
      <c r="J1503" s="9"/>
      <c r="K1503" s="18"/>
      <c r="L1503" s="18"/>
      <c r="M1503" s="18"/>
      <c r="N1503" s="18"/>
      <c r="O1503" s="18"/>
      <c r="P1503" s="18"/>
      <c r="Q1503" s="18"/>
      <c r="R1503" s="18"/>
      <c r="S1503" s="18"/>
      <c r="T1503" s="18"/>
      <c r="U1503" s="18"/>
      <c r="V1503" s="18"/>
      <c r="W1503" s="18"/>
      <c r="X1503" s="18"/>
      <c r="Y1503" s="18"/>
      <c r="Z1503" s="18"/>
    </row>
    <row r="1504" ht="22.5" customHeight="1">
      <c r="A1504" s="250">
        <v>46087.0</v>
      </c>
      <c r="B1504" s="218" t="s">
        <v>7468</v>
      </c>
      <c r="C1504" s="9"/>
      <c r="D1504" s="228"/>
      <c r="E1504" s="216"/>
      <c r="F1504" s="221" t="s">
        <v>144</v>
      </c>
      <c r="G1504" s="9" t="s">
        <v>7469</v>
      </c>
      <c r="H1504" s="234"/>
      <c r="I1504" s="232"/>
      <c r="J1504" s="9"/>
      <c r="K1504" s="18"/>
      <c r="L1504" s="18"/>
      <c r="M1504" s="18"/>
      <c r="N1504" s="18"/>
      <c r="O1504" s="18"/>
      <c r="P1504" s="18"/>
      <c r="Q1504" s="18"/>
      <c r="R1504" s="18"/>
      <c r="S1504" s="18"/>
      <c r="T1504" s="18"/>
      <c r="U1504" s="18"/>
      <c r="V1504" s="18"/>
      <c r="W1504" s="18"/>
      <c r="X1504" s="18"/>
      <c r="Y1504" s="18"/>
      <c r="Z1504" s="18"/>
    </row>
    <row r="1505" ht="22.5" customHeight="1">
      <c r="A1505" s="250">
        <v>46087.0</v>
      </c>
      <c r="B1505" s="218" t="s">
        <v>7470</v>
      </c>
      <c r="C1505" s="9"/>
      <c r="D1505" s="228"/>
      <c r="E1505" s="216"/>
      <c r="F1505" s="221" t="s">
        <v>144</v>
      </c>
      <c r="G1505" s="9" t="s">
        <v>7471</v>
      </c>
      <c r="H1505" s="234"/>
      <c r="I1505" s="232"/>
      <c r="J1505" s="9"/>
      <c r="K1505" s="18"/>
      <c r="L1505" s="18"/>
      <c r="M1505" s="18"/>
      <c r="N1505" s="18"/>
      <c r="O1505" s="18"/>
      <c r="P1505" s="18"/>
      <c r="Q1505" s="18"/>
      <c r="R1505" s="18"/>
      <c r="S1505" s="18"/>
      <c r="T1505" s="18"/>
      <c r="U1505" s="18"/>
      <c r="V1505" s="18"/>
      <c r="W1505" s="18"/>
      <c r="X1505" s="18"/>
      <c r="Y1505" s="18"/>
      <c r="Z1505" s="18"/>
    </row>
    <row r="1506" ht="22.5" customHeight="1">
      <c r="A1506" s="250">
        <v>46087.0</v>
      </c>
      <c r="B1506" s="218" t="s">
        <v>7472</v>
      </c>
      <c r="C1506" s="9"/>
      <c r="D1506" s="228" t="s">
        <v>7473</v>
      </c>
      <c r="E1506" s="216">
        <v>8.30944483E9</v>
      </c>
      <c r="F1506" s="221" t="s">
        <v>248</v>
      </c>
      <c r="G1506" s="9" t="s">
        <v>7474</v>
      </c>
      <c r="H1506" s="234"/>
      <c r="I1506" s="232"/>
      <c r="J1506" s="9"/>
      <c r="K1506" s="18"/>
      <c r="L1506" s="18"/>
      <c r="M1506" s="18"/>
      <c r="N1506" s="18"/>
      <c r="O1506" s="18"/>
      <c r="P1506" s="18"/>
      <c r="Q1506" s="18"/>
      <c r="R1506" s="18"/>
      <c r="S1506" s="18"/>
      <c r="T1506" s="18"/>
      <c r="U1506" s="18"/>
      <c r="V1506" s="18"/>
      <c r="W1506" s="18"/>
      <c r="X1506" s="18"/>
      <c r="Y1506" s="18"/>
      <c r="Z1506" s="18"/>
    </row>
    <row r="1507" ht="22.5" customHeight="1">
      <c r="A1507" s="250">
        <v>46087.0</v>
      </c>
      <c r="B1507" s="218" t="s">
        <v>7475</v>
      </c>
      <c r="C1507" s="9"/>
      <c r="D1507" s="15" t="s">
        <v>3562</v>
      </c>
      <c r="E1507" s="213">
        <v>9.381245681E9</v>
      </c>
      <c r="F1507" s="221" t="s">
        <v>248</v>
      </c>
      <c r="G1507" s="9" t="s">
        <v>7476</v>
      </c>
      <c r="H1507" s="234"/>
      <c r="I1507" s="232"/>
      <c r="J1507" s="9"/>
      <c r="K1507" s="18"/>
      <c r="L1507" s="18"/>
      <c r="M1507" s="18"/>
      <c r="N1507" s="18"/>
      <c r="O1507" s="18"/>
      <c r="P1507" s="18"/>
      <c r="Q1507" s="18"/>
      <c r="R1507" s="18"/>
      <c r="S1507" s="18"/>
      <c r="T1507" s="18"/>
      <c r="U1507" s="18"/>
      <c r="V1507" s="18"/>
      <c r="W1507" s="18"/>
      <c r="X1507" s="18"/>
      <c r="Y1507" s="18"/>
      <c r="Z1507" s="18"/>
    </row>
    <row r="1508" ht="22.5" customHeight="1">
      <c r="A1508" s="250">
        <v>46087.0</v>
      </c>
      <c r="B1508" s="218" t="s">
        <v>7477</v>
      </c>
      <c r="C1508" s="9"/>
      <c r="D1508" s="228" t="s">
        <v>7478</v>
      </c>
      <c r="E1508" s="216"/>
      <c r="F1508" s="221" t="s">
        <v>248</v>
      </c>
      <c r="G1508" s="9" t="s">
        <v>7479</v>
      </c>
      <c r="H1508" s="234"/>
      <c r="I1508" s="232"/>
      <c r="J1508" s="9"/>
      <c r="K1508" s="18"/>
      <c r="L1508" s="18"/>
      <c r="M1508" s="18"/>
      <c r="N1508" s="18"/>
      <c r="O1508" s="18"/>
      <c r="P1508" s="18"/>
      <c r="Q1508" s="18"/>
      <c r="R1508" s="18"/>
      <c r="S1508" s="18"/>
      <c r="T1508" s="18"/>
      <c r="U1508" s="18"/>
      <c r="V1508" s="18"/>
      <c r="W1508" s="18"/>
      <c r="X1508" s="18"/>
      <c r="Y1508" s="18"/>
      <c r="Z1508" s="18"/>
    </row>
    <row r="1509" ht="22.5" customHeight="1">
      <c r="A1509" s="254">
        <v>46090.0</v>
      </c>
      <c r="B1509" s="218" t="s">
        <v>7480</v>
      </c>
      <c r="C1509" s="9"/>
      <c r="D1509" s="228" t="s">
        <v>6694</v>
      </c>
      <c r="E1509" s="216">
        <v>7.671075758E9</v>
      </c>
      <c r="F1509" s="221" t="s">
        <v>73</v>
      </c>
      <c r="G1509" s="9" t="s">
        <v>7481</v>
      </c>
      <c r="H1509" s="234"/>
      <c r="I1509" s="232"/>
      <c r="J1509" s="9" t="s">
        <v>7482</v>
      </c>
      <c r="K1509" s="18"/>
      <c r="L1509" s="18"/>
      <c r="M1509" s="18"/>
      <c r="N1509" s="18"/>
      <c r="O1509" s="18"/>
      <c r="P1509" s="18"/>
      <c r="Q1509" s="18"/>
      <c r="R1509" s="18"/>
      <c r="S1509" s="18"/>
      <c r="T1509" s="18"/>
      <c r="U1509" s="18"/>
      <c r="V1509" s="18"/>
      <c r="W1509" s="18"/>
      <c r="X1509" s="18"/>
      <c r="Y1509" s="18"/>
      <c r="Z1509" s="18"/>
    </row>
    <row r="1510" ht="22.5" customHeight="1">
      <c r="A1510" s="254">
        <v>46090.0</v>
      </c>
      <c r="B1510" s="218" t="s">
        <v>7483</v>
      </c>
      <c r="C1510" s="9"/>
      <c r="D1510" s="228" t="s">
        <v>7484</v>
      </c>
      <c r="E1510" s="216">
        <v>9.573281025E9</v>
      </c>
      <c r="F1510" s="221" t="s">
        <v>248</v>
      </c>
      <c r="G1510" s="9" t="s">
        <v>7485</v>
      </c>
      <c r="H1510" s="234"/>
      <c r="I1510" s="232"/>
      <c r="J1510" s="9" t="s">
        <v>7132</v>
      </c>
      <c r="K1510" s="18"/>
      <c r="L1510" s="18"/>
      <c r="M1510" s="18"/>
      <c r="N1510" s="18"/>
      <c r="O1510" s="18"/>
      <c r="P1510" s="18"/>
      <c r="Q1510" s="18"/>
      <c r="R1510" s="18"/>
      <c r="S1510" s="18"/>
      <c r="T1510" s="18"/>
      <c r="U1510" s="18"/>
      <c r="V1510" s="18"/>
      <c r="W1510" s="18"/>
      <c r="X1510" s="18"/>
      <c r="Y1510" s="18"/>
      <c r="Z1510" s="18"/>
    </row>
    <row r="1511" ht="22.5" customHeight="1">
      <c r="A1511" s="254">
        <v>46090.0</v>
      </c>
      <c r="B1511" s="15" t="s">
        <v>7486</v>
      </c>
      <c r="C1511" s="9"/>
      <c r="D1511" s="228" t="s">
        <v>7487</v>
      </c>
      <c r="E1511" s="216">
        <v>8.686506624E9</v>
      </c>
      <c r="F1511" s="221" t="s">
        <v>1919</v>
      </c>
      <c r="G1511" s="9" t="s">
        <v>7488</v>
      </c>
      <c r="H1511" s="234"/>
      <c r="I1511" s="232"/>
      <c r="J1511" s="9" t="s">
        <v>7489</v>
      </c>
      <c r="K1511" s="18"/>
      <c r="L1511" s="18"/>
      <c r="M1511" s="18"/>
      <c r="N1511" s="18"/>
      <c r="O1511" s="18"/>
      <c r="P1511" s="18"/>
      <c r="Q1511" s="18"/>
      <c r="R1511" s="18"/>
      <c r="S1511" s="18"/>
      <c r="T1511" s="18"/>
      <c r="U1511" s="18"/>
      <c r="V1511" s="18"/>
      <c r="W1511" s="18"/>
      <c r="X1511" s="18"/>
      <c r="Y1511" s="18"/>
      <c r="Z1511" s="18"/>
    </row>
    <row r="1512" ht="22.5" customHeight="1">
      <c r="A1512" s="254">
        <v>46090.0</v>
      </c>
      <c r="B1512" s="218" t="s">
        <v>7376</v>
      </c>
      <c r="C1512" s="9"/>
      <c r="D1512" s="228" t="s">
        <v>7490</v>
      </c>
      <c r="E1512" s="216">
        <v>9.848384979E9</v>
      </c>
      <c r="F1512" s="221" t="s">
        <v>248</v>
      </c>
      <c r="G1512" s="9" t="s">
        <v>7491</v>
      </c>
      <c r="H1512" s="234"/>
      <c r="I1512" s="232"/>
      <c r="J1512" s="9" t="s">
        <v>7378</v>
      </c>
      <c r="K1512" s="18"/>
      <c r="L1512" s="18"/>
      <c r="M1512" s="18"/>
      <c r="N1512" s="18"/>
      <c r="O1512" s="18"/>
      <c r="P1512" s="18"/>
      <c r="Q1512" s="18"/>
      <c r="R1512" s="18"/>
      <c r="S1512" s="18"/>
      <c r="T1512" s="18"/>
      <c r="U1512" s="18"/>
      <c r="V1512" s="18"/>
      <c r="W1512" s="18"/>
      <c r="X1512" s="18"/>
      <c r="Y1512" s="18"/>
      <c r="Z1512" s="18"/>
    </row>
    <row r="1513" ht="22.5" customHeight="1">
      <c r="A1513" s="254">
        <v>46090.0</v>
      </c>
      <c r="B1513" s="218" t="s">
        <v>7492</v>
      </c>
      <c r="C1513" s="9"/>
      <c r="D1513" s="228" t="s">
        <v>7493</v>
      </c>
      <c r="E1513" s="216">
        <v>9.007733384E9</v>
      </c>
      <c r="F1513" s="221" t="s">
        <v>1919</v>
      </c>
      <c r="G1513" s="9" t="s">
        <v>7494</v>
      </c>
      <c r="H1513" s="234"/>
      <c r="I1513" s="232"/>
      <c r="J1513" s="9" t="s">
        <v>7495</v>
      </c>
      <c r="K1513" s="18"/>
      <c r="L1513" s="18"/>
      <c r="M1513" s="18"/>
      <c r="N1513" s="18"/>
      <c r="O1513" s="18"/>
      <c r="P1513" s="18"/>
      <c r="Q1513" s="18"/>
      <c r="R1513" s="18"/>
      <c r="S1513" s="18"/>
      <c r="T1513" s="18"/>
      <c r="U1513" s="18"/>
      <c r="V1513" s="18"/>
      <c r="W1513" s="18"/>
      <c r="X1513" s="18"/>
      <c r="Y1513" s="18"/>
      <c r="Z1513" s="18"/>
    </row>
    <row r="1514" ht="22.5" customHeight="1">
      <c r="A1514" s="254">
        <v>46090.0</v>
      </c>
      <c r="B1514" s="218" t="s">
        <v>7496</v>
      </c>
      <c r="C1514" s="9" t="s">
        <v>3634</v>
      </c>
      <c r="D1514" s="228" t="s">
        <v>7497</v>
      </c>
      <c r="E1514" s="216"/>
      <c r="F1514" s="221" t="s">
        <v>186</v>
      </c>
      <c r="G1514" s="9" t="s">
        <v>7498</v>
      </c>
      <c r="H1514" s="234"/>
      <c r="I1514" s="232"/>
      <c r="J1514" s="9"/>
      <c r="K1514" s="18"/>
      <c r="L1514" s="18"/>
      <c r="M1514" s="18"/>
      <c r="N1514" s="18"/>
      <c r="O1514" s="18"/>
      <c r="P1514" s="18"/>
      <c r="Q1514" s="18"/>
      <c r="R1514" s="18"/>
      <c r="S1514" s="18"/>
      <c r="T1514" s="18"/>
      <c r="U1514" s="18"/>
      <c r="V1514" s="18"/>
      <c r="W1514" s="18"/>
      <c r="X1514" s="18"/>
      <c r="Y1514" s="18"/>
      <c r="Z1514" s="18"/>
    </row>
    <row r="1515" ht="22.5" customHeight="1">
      <c r="A1515" s="254">
        <v>46090.0</v>
      </c>
      <c r="B1515" s="15" t="s">
        <v>7499</v>
      </c>
      <c r="D1515" s="9" t="s">
        <v>7500</v>
      </c>
      <c r="E1515" s="216">
        <v>7.601018276E9</v>
      </c>
      <c r="F1515" s="221" t="s">
        <v>248</v>
      </c>
      <c r="G1515" s="9" t="s">
        <v>7501</v>
      </c>
      <c r="H1515" s="234"/>
      <c r="I1515" s="232"/>
      <c r="J1515" s="35" t="s">
        <v>7502</v>
      </c>
      <c r="K1515" s="18"/>
      <c r="L1515" s="18"/>
      <c r="M1515" s="18"/>
      <c r="N1515" s="18"/>
      <c r="O1515" s="18"/>
      <c r="P1515" s="18"/>
      <c r="Q1515" s="18"/>
      <c r="R1515" s="18"/>
      <c r="S1515" s="18"/>
      <c r="T1515" s="18"/>
      <c r="U1515" s="18"/>
      <c r="V1515" s="18"/>
      <c r="W1515" s="18"/>
      <c r="X1515" s="18"/>
      <c r="Y1515" s="18"/>
      <c r="Z1515" s="18"/>
    </row>
    <row r="1516" ht="22.5" customHeight="1">
      <c r="A1516" s="254">
        <v>46090.0</v>
      </c>
      <c r="B1516" s="218" t="s">
        <v>7503</v>
      </c>
      <c r="C1516" s="9"/>
      <c r="D1516" s="228" t="s">
        <v>7504</v>
      </c>
      <c r="E1516" s="216">
        <v>9.949336944E9</v>
      </c>
      <c r="F1516" s="221" t="s">
        <v>1919</v>
      </c>
      <c r="G1516" s="9" t="s">
        <v>7505</v>
      </c>
      <c r="H1516" s="234"/>
      <c r="I1516" s="232"/>
      <c r="J1516" s="9" t="s">
        <v>7506</v>
      </c>
      <c r="K1516" s="18"/>
      <c r="L1516" s="18"/>
      <c r="M1516" s="18"/>
      <c r="N1516" s="18"/>
      <c r="O1516" s="18"/>
      <c r="P1516" s="18"/>
      <c r="Q1516" s="18"/>
      <c r="R1516" s="18"/>
      <c r="S1516" s="18"/>
      <c r="T1516" s="18"/>
      <c r="U1516" s="18"/>
      <c r="V1516" s="18"/>
      <c r="W1516" s="18"/>
      <c r="X1516" s="18"/>
      <c r="Y1516" s="18"/>
      <c r="Z1516" s="18"/>
    </row>
    <row r="1517" ht="22.5" customHeight="1">
      <c r="A1517" s="254">
        <v>46090.0</v>
      </c>
      <c r="B1517" s="218" t="s">
        <v>7507</v>
      </c>
      <c r="C1517" s="9" t="s">
        <v>2686</v>
      </c>
      <c r="D1517" s="228" t="s">
        <v>3644</v>
      </c>
      <c r="E1517" s="216">
        <v>8.125638358E9</v>
      </c>
      <c r="F1517" s="221" t="s">
        <v>73</v>
      </c>
      <c r="G1517" s="9" t="s">
        <v>7508</v>
      </c>
      <c r="H1517" s="234"/>
      <c r="I1517" s="232"/>
      <c r="J1517" s="35" t="s">
        <v>7509</v>
      </c>
      <c r="K1517" s="18"/>
      <c r="L1517" s="18"/>
      <c r="M1517" s="18"/>
      <c r="N1517" s="18"/>
      <c r="O1517" s="18"/>
      <c r="P1517" s="18"/>
      <c r="Q1517" s="18"/>
      <c r="R1517" s="18"/>
      <c r="S1517" s="18"/>
      <c r="T1517" s="18"/>
      <c r="U1517" s="18"/>
      <c r="V1517" s="18"/>
      <c r="W1517" s="18"/>
      <c r="X1517" s="18"/>
      <c r="Y1517" s="18"/>
      <c r="Z1517" s="18"/>
    </row>
    <row r="1518" ht="22.5" customHeight="1">
      <c r="A1518" s="254">
        <v>46090.0</v>
      </c>
      <c r="B1518" s="218" t="s">
        <v>7510</v>
      </c>
      <c r="C1518" s="9"/>
      <c r="D1518" s="228"/>
      <c r="E1518" s="216"/>
      <c r="F1518" s="221" t="s">
        <v>73</v>
      </c>
      <c r="G1518" s="9" t="s">
        <v>5937</v>
      </c>
      <c r="H1518" s="234"/>
      <c r="I1518" s="232"/>
      <c r="J1518" s="9" t="s">
        <v>7511</v>
      </c>
      <c r="K1518" s="18"/>
      <c r="L1518" s="18"/>
      <c r="M1518" s="18"/>
      <c r="N1518" s="18"/>
      <c r="O1518" s="18"/>
      <c r="P1518" s="18"/>
      <c r="Q1518" s="18"/>
      <c r="R1518" s="18"/>
      <c r="S1518" s="18"/>
      <c r="T1518" s="18"/>
      <c r="U1518" s="18"/>
      <c r="V1518" s="18"/>
      <c r="W1518" s="18"/>
      <c r="X1518" s="18"/>
      <c r="Y1518" s="18"/>
      <c r="Z1518" s="18"/>
    </row>
    <row r="1519" ht="22.5" customHeight="1">
      <c r="A1519" s="254">
        <v>46090.0</v>
      </c>
      <c r="B1519" s="218" t="s">
        <v>7512</v>
      </c>
      <c r="C1519" s="9" t="s">
        <v>4168</v>
      </c>
      <c r="D1519" s="228"/>
      <c r="E1519" s="216"/>
      <c r="F1519" s="221" t="s">
        <v>186</v>
      </c>
      <c r="G1519" s="9" t="s">
        <v>7513</v>
      </c>
      <c r="H1519" s="234"/>
      <c r="I1519" s="232"/>
      <c r="J1519" s="9"/>
      <c r="K1519" s="18"/>
      <c r="L1519" s="18"/>
      <c r="M1519" s="18"/>
      <c r="N1519" s="18"/>
      <c r="O1519" s="18"/>
      <c r="P1519" s="18"/>
      <c r="Q1519" s="18"/>
      <c r="R1519" s="18"/>
      <c r="S1519" s="18"/>
      <c r="T1519" s="18"/>
      <c r="U1519" s="18"/>
      <c r="V1519" s="18"/>
      <c r="W1519" s="18"/>
      <c r="X1519" s="18"/>
      <c r="Y1519" s="18"/>
      <c r="Z1519" s="18"/>
    </row>
    <row r="1520" ht="22.5" customHeight="1">
      <c r="A1520" s="254">
        <v>46090.0</v>
      </c>
      <c r="B1520" s="218" t="s">
        <v>7503</v>
      </c>
      <c r="C1520" s="9" t="s">
        <v>7514</v>
      </c>
      <c r="D1520" s="228"/>
      <c r="E1520" s="216"/>
      <c r="F1520" s="221" t="s">
        <v>1919</v>
      </c>
      <c r="G1520" s="9" t="s">
        <v>7515</v>
      </c>
      <c r="H1520" s="234"/>
      <c r="I1520" s="232"/>
      <c r="J1520" s="9"/>
      <c r="K1520" s="18"/>
      <c r="L1520" s="18"/>
      <c r="M1520" s="18"/>
      <c r="N1520" s="18"/>
      <c r="O1520" s="18"/>
      <c r="P1520" s="18"/>
      <c r="Q1520" s="18"/>
      <c r="R1520" s="18"/>
      <c r="S1520" s="18"/>
      <c r="T1520" s="18"/>
      <c r="U1520" s="18"/>
      <c r="V1520" s="18"/>
      <c r="W1520" s="18"/>
      <c r="X1520" s="18"/>
      <c r="Y1520" s="18"/>
      <c r="Z1520" s="18"/>
    </row>
    <row r="1521" ht="22.5" customHeight="1">
      <c r="A1521" s="254">
        <v>46090.0</v>
      </c>
      <c r="B1521" s="218" t="s">
        <v>7516</v>
      </c>
      <c r="C1521" s="9"/>
      <c r="D1521" s="228" t="s">
        <v>7517</v>
      </c>
      <c r="E1521" s="216">
        <v>9.848757455E9</v>
      </c>
      <c r="F1521" s="221" t="s">
        <v>248</v>
      </c>
      <c r="G1521" s="9" t="s">
        <v>7518</v>
      </c>
      <c r="H1521" s="234">
        <v>46091.0</v>
      </c>
      <c r="I1521" s="232"/>
      <c r="J1521" s="9" t="s">
        <v>7519</v>
      </c>
      <c r="K1521" s="18"/>
      <c r="L1521" s="18"/>
      <c r="M1521" s="18"/>
      <c r="N1521" s="18"/>
      <c r="O1521" s="18"/>
      <c r="P1521" s="18"/>
      <c r="Q1521" s="18"/>
      <c r="R1521" s="18"/>
      <c r="S1521" s="18"/>
      <c r="T1521" s="18"/>
      <c r="U1521" s="18"/>
      <c r="V1521" s="18"/>
      <c r="W1521" s="18"/>
      <c r="X1521" s="18"/>
      <c r="Y1521" s="18"/>
      <c r="Z1521" s="18"/>
    </row>
    <row r="1522" ht="22.5" customHeight="1">
      <c r="A1522" s="254">
        <v>46090.0</v>
      </c>
      <c r="B1522" s="218" t="s">
        <v>5376</v>
      </c>
      <c r="C1522" s="9"/>
      <c r="D1522" s="228" t="s">
        <v>7520</v>
      </c>
      <c r="E1522" s="216">
        <v>9.948711846E9</v>
      </c>
      <c r="F1522" s="221" t="s">
        <v>73</v>
      </c>
      <c r="G1522" s="9" t="s">
        <v>4714</v>
      </c>
      <c r="H1522" s="234"/>
      <c r="I1522" s="232"/>
      <c r="J1522" s="9" t="s">
        <v>7521</v>
      </c>
      <c r="K1522" s="18"/>
      <c r="L1522" s="18"/>
      <c r="M1522" s="18"/>
      <c r="N1522" s="18"/>
      <c r="O1522" s="18"/>
      <c r="P1522" s="18"/>
      <c r="Q1522" s="18"/>
      <c r="R1522" s="18"/>
      <c r="S1522" s="18"/>
      <c r="T1522" s="18"/>
      <c r="U1522" s="18"/>
      <c r="V1522" s="18"/>
      <c r="W1522" s="18"/>
      <c r="X1522" s="18"/>
      <c r="Y1522" s="18"/>
      <c r="Z1522" s="18"/>
    </row>
    <row r="1523" ht="22.5" customHeight="1">
      <c r="A1523" s="254">
        <v>46090.0</v>
      </c>
      <c r="B1523" s="218" t="s">
        <v>7522</v>
      </c>
      <c r="C1523" s="9"/>
      <c r="D1523" s="228" t="s">
        <v>7523</v>
      </c>
      <c r="E1523" s="216">
        <v>9.502958616E9</v>
      </c>
      <c r="F1523" s="221" t="s">
        <v>248</v>
      </c>
      <c r="G1523" s="9" t="s">
        <v>7524</v>
      </c>
      <c r="H1523" s="234"/>
      <c r="I1523" s="232"/>
      <c r="J1523" s="9" t="s">
        <v>7525</v>
      </c>
      <c r="K1523" s="18"/>
      <c r="L1523" s="18"/>
      <c r="M1523" s="18"/>
      <c r="N1523" s="18"/>
      <c r="O1523" s="18"/>
      <c r="P1523" s="18"/>
      <c r="Q1523" s="18"/>
      <c r="R1523" s="18"/>
      <c r="S1523" s="18"/>
      <c r="T1523" s="18"/>
      <c r="U1523" s="18"/>
      <c r="V1523" s="18"/>
      <c r="W1523" s="18"/>
      <c r="X1523" s="18"/>
      <c r="Y1523" s="18"/>
      <c r="Z1523" s="18"/>
    </row>
    <row r="1524" ht="22.5" customHeight="1">
      <c r="A1524" s="254">
        <v>46090.0</v>
      </c>
      <c r="B1524" s="218" t="s">
        <v>7526</v>
      </c>
      <c r="C1524" s="9"/>
      <c r="D1524" s="228" t="s">
        <v>7527</v>
      </c>
      <c r="E1524" s="216">
        <v>9.121417638E9</v>
      </c>
      <c r="F1524" s="221" t="s">
        <v>73</v>
      </c>
      <c r="G1524" s="9" t="s">
        <v>6950</v>
      </c>
      <c r="H1524" s="234">
        <v>46092.0</v>
      </c>
      <c r="I1524" s="232"/>
      <c r="J1524" s="9" t="s">
        <v>7528</v>
      </c>
      <c r="K1524" s="18"/>
      <c r="L1524" s="18"/>
      <c r="M1524" s="18"/>
      <c r="N1524" s="18"/>
      <c r="O1524" s="18"/>
      <c r="P1524" s="18"/>
      <c r="Q1524" s="18"/>
      <c r="R1524" s="18"/>
      <c r="S1524" s="18"/>
      <c r="T1524" s="18"/>
      <c r="U1524" s="18"/>
      <c r="V1524" s="18"/>
      <c r="W1524" s="18"/>
      <c r="X1524" s="18"/>
      <c r="Y1524" s="18"/>
      <c r="Z1524" s="18"/>
    </row>
    <row r="1525" ht="22.5" customHeight="1">
      <c r="A1525" s="254">
        <v>46090.0</v>
      </c>
      <c r="B1525" s="218" t="s">
        <v>5863</v>
      </c>
      <c r="C1525" s="9"/>
      <c r="D1525" s="228" t="s">
        <v>7176</v>
      </c>
      <c r="E1525" s="216">
        <v>9.642302809E9</v>
      </c>
      <c r="F1525" s="221" t="s">
        <v>248</v>
      </c>
      <c r="G1525" s="9" t="s">
        <v>7529</v>
      </c>
      <c r="H1525" s="234">
        <v>46092.0</v>
      </c>
      <c r="I1525" s="232"/>
      <c r="J1525" s="9" t="s">
        <v>7178</v>
      </c>
      <c r="K1525" s="18"/>
      <c r="L1525" s="18"/>
      <c r="M1525" s="18"/>
      <c r="N1525" s="18"/>
      <c r="O1525" s="18"/>
      <c r="P1525" s="18"/>
      <c r="Q1525" s="18"/>
      <c r="R1525" s="18"/>
      <c r="S1525" s="18"/>
      <c r="T1525" s="18"/>
      <c r="U1525" s="18"/>
      <c r="V1525" s="18"/>
      <c r="W1525" s="18"/>
      <c r="X1525" s="18"/>
      <c r="Y1525" s="18"/>
      <c r="Z1525" s="18"/>
    </row>
    <row r="1526" ht="22.5" customHeight="1">
      <c r="A1526" s="254">
        <v>46090.0</v>
      </c>
      <c r="B1526" s="218" t="s">
        <v>7530</v>
      </c>
      <c r="C1526" s="9"/>
      <c r="D1526" s="228" t="s">
        <v>5101</v>
      </c>
      <c r="E1526" s="216"/>
      <c r="F1526" s="221" t="s">
        <v>1919</v>
      </c>
      <c r="G1526" s="9" t="s">
        <v>7531</v>
      </c>
      <c r="H1526" s="234"/>
      <c r="I1526" s="232"/>
      <c r="J1526" s="9" t="s">
        <v>7532</v>
      </c>
      <c r="K1526" s="18"/>
      <c r="L1526" s="18"/>
      <c r="M1526" s="18"/>
      <c r="N1526" s="18"/>
      <c r="O1526" s="18"/>
      <c r="P1526" s="18"/>
      <c r="Q1526" s="18"/>
      <c r="R1526" s="18"/>
      <c r="S1526" s="18"/>
      <c r="T1526" s="18"/>
      <c r="U1526" s="18"/>
      <c r="V1526" s="18"/>
      <c r="W1526" s="18"/>
      <c r="X1526" s="18"/>
      <c r="Y1526" s="18"/>
      <c r="Z1526" s="18"/>
    </row>
    <row r="1527" ht="22.5" customHeight="1">
      <c r="A1527" s="254">
        <v>46090.0</v>
      </c>
      <c r="B1527" s="218" t="s">
        <v>7533</v>
      </c>
      <c r="C1527" s="9"/>
      <c r="D1527" s="228" t="s">
        <v>7534</v>
      </c>
      <c r="E1527" s="216">
        <v>6.305311698E9</v>
      </c>
      <c r="F1527" s="221" t="s">
        <v>1919</v>
      </c>
      <c r="G1527" s="9" t="s">
        <v>7535</v>
      </c>
      <c r="H1527" s="234"/>
      <c r="I1527" s="232"/>
      <c r="J1527" s="9" t="s">
        <v>7536</v>
      </c>
      <c r="K1527" s="18"/>
      <c r="L1527" s="18"/>
      <c r="M1527" s="18"/>
      <c r="N1527" s="18"/>
      <c r="O1527" s="18"/>
      <c r="P1527" s="18"/>
      <c r="Q1527" s="18"/>
      <c r="R1527" s="18"/>
      <c r="S1527" s="18"/>
      <c r="T1527" s="18"/>
      <c r="U1527" s="18"/>
      <c r="V1527" s="18"/>
      <c r="W1527" s="18"/>
      <c r="X1527" s="18"/>
      <c r="Y1527" s="18"/>
      <c r="Z1527" s="18"/>
    </row>
    <row r="1528" ht="22.5" customHeight="1">
      <c r="A1528" s="254">
        <v>46090.0</v>
      </c>
      <c r="B1528" s="218" t="s">
        <v>7168</v>
      </c>
      <c r="C1528" s="9"/>
      <c r="D1528" s="228" t="s">
        <v>5640</v>
      </c>
      <c r="E1528" s="216">
        <v>9.15489371E9</v>
      </c>
      <c r="F1528" s="221" t="s">
        <v>248</v>
      </c>
      <c r="G1528" s="9" t="s">
        <v>7537</v>
      </c>
      <c r="H1528" s="234">
        <v>46094.0</v>
      </c>
      <c r="I1528" s="232"/>
      <c r="J1528" s="9" t="s">
        <v>7170</v>
      </c>
      <c r="K1528" s="18"/>
      <c r="L1528" s="18"/>
      <c r="M1528" s="18"/>
      <c r="N1528" s="18"/>
      <c r="O1528" s="18"/>
      <c r="P1528" s="18"/>
      <c r="Q1528" s="18"/>
      <c r="R1528" s="18"/>
      <c r="S1528" s="18"/>
      <c r="T1528" s="18"/>
      <c r="U1528" s="18"/>
      <c r="V1528" s="18"/>
      <c r="W1528" s="18"/>
      <c r="X1528" s="18"/>
      <c r="Y1528" s="18"/>
      <c r="Z1528" s="18"/>
    </row>
    <row r="1529" ht="22.5" customHeight="1">
      <c r="A1529" s="236">
        <v>46091.0</v>
      </c>
      <c r="B1529" s="218" t="s">
        <v>7538</v>
      </c>
      <c r="C1529" s="9"/>
      <c r="D1529" s="228" t="s">
        <v>4896</v>
      </c>
      <c r="E1529" s="216">
        <v>9.949391723E9</v>
      </c>
      <c r="F1529" s="221" t="s">
        <v>96</v>
      </c>
      <c r="G1529" s="9" t="s">
        <v>7539</v>
      </c>
      <c r="H1529" s="234"/>
      <c r="I1529" s="232"/>
      <c r="J1529" s="9" t="s">
        <v>7540</v>
      </c>
      <c r="K1529" s="18"/>
      <c r="L1529" s="18"/>
      <c r="M1529" s="18"/>
      <c r="N1529" s="18"/>
      <c r="O1529" s="18"/>
      <c r="P1529" s="18"/>
      <c r="Q1529" s="18"/>
      <c r="R1529" s="18"/>
      <c r="S1529" s="18"/>
      <c r="T1529" s="18"/>
      <c r="U1529" s="18"/>
      <c r="V1529" s="18"/>
      <c r="W1529" s="18"/>
      <c r="X1529" s="18"/>
      <c r="Y1529" s="18"/>
      <c r="Z1529" s="18"/>
    </row>
    <row r="1530" ht="22.5" customHeight="1">
      <c r="A1530" s="236">
        <v>46091.0</v>
      </c>
      <c r="B1530" s="218" t="s">
        <v>7541</v>
      </c>
      <c r="C1530" s="9"/>
      <c r="D1530" s="228" t="s">
        <v>3628</v>
      </c>
      <c r="E1530" s="216">
        <v>9.493862863E9</v>
      </c>
      <c r="F1530" s="221" t="s">
        <v>1919</v>
      </c>
      <c r="G1530" s="9" t="s">
        <v>7542</v>
      </c>
      <c r="H1530" s="234">
        <v>46091.0</v>
      </c>
      <c r="I1530" s="232">
        <v>0.5416666666666666</v>
      </c>
      <c r="J1530" s="9" t="s">
        <v>7543</v>
      </c>
      <c r="K1530" s="18"/>
      <c r="L1530" s="18"/>
      <c r="M1530" s="18"/>
      <c r="N1530" s="18"/>
      <c r="O1530" s="18"/>
      <c r="P1530" s="18"/>
      <c r="Q1530" s="18"/>
      <c r="R1530" s="18"/>
      <c r="S1530" s="18"/>
      <c r="T1530" s="18"/>
      <c r="U1530" s="18"/>
      <c r="V1530" s="18"/>
      <c r="W1530" s="18"/>
      <c r="X1530" s="18"/>
      <c r="Y1530" s="18"/>
      <c r="Z1530" s="18"/>
    </row>
    <row r="1531" ht="22.5" customHeight="1">
      <c r="A1531" s="236">
        <v>46091.0</v>
      </c>
      <c r="B1531" s="218" t="s">
        <v>7544</v>
      </c>
      <c r="C1531" s="9"/>
      <c r="D1531" s="228" t="s">
        <v>7545</v>
      </c>
      <c r="E1531" s="216"/>
      <c r="F1531" s="221" t="s">
        <v>96</v>
      </c>
      <c r="G1531" s="9" t="s">
        <v>7546</v>
      </c>
      <c r="H1531" s="234">
        <v>46093.0</v>
      </c>
      <c r="I1531" s="232"/>
      <c r="J1531" s="9"/>
      <c r="K1531" s="18"/>
      <c r="L1531" s="18"/>
      <c r="M1531" s="18"/>
      <c r="N1531" s="18"/>
      <c r="O1531" s="18"/>
      <c r="P1531" s="18"/>
      <c r="Q1531" s="18"/>
      <c r="R1531" s="18"/>
      <c r="S1531" s="18"/>
      <c r="T1531" s="18"/>
      <c r="U1531" s="18"/>
      <c r="V1531" s="18"/>
      <c r="W1531" s="18"/>
      <c r="X1531" s="18"/>
      <c r="Y1531" s="18"/>
      <c r="Z1531" s="18"/>
    </row>
    <row r="1532" ht="22.5" customHeight="1">
      <c r="A1532" s="236">
        <v>46091.0</v>
      </c>
      <c r="B1532" s="218" t="s">
        <v>7547</v>
      </c>
      <c r="C1532" s="9"/>
      <c r="D1532" s="228" t="s">
        <v>4713</v>
      </c>
      <c r="E1532" s="216">
        <v>7.39660009E9</v>
      </c>
      <c r="F1532" s="221" t="s">
        <v>1919</v>
      </c>
      <c r="G1532" s="9" t="s">
        <v>7548</v>
      </c>
      <c r="H1532" s="234">
        <v>46092.0</v>
      </c>
      <c r="I1532" s="232"/>
      <c r="J1532" s="9" t="s">
        <v>7549</v>
      </c>
      <c r="K1532" s="18"/>
      <c r="L1532" s="18"/>
      <c r="M1532" s="18"/>
      <c r="N1532" s="18"/>
      <c r="O1532" s="18"/>
      <c r="P1532" s="18"/>
      <c r="Q1532" s="18"/>
      <c r="R1532" s="18"/>
      <c r="S1532" s="18"/>
      <c r="T1532" s="18"/>
      <c r="U1532" s="18"/>
      <c r="V1532" s="18"/>
      <c r="W1532" s="18"/>
      <c r="X1532" s="18"/>
      <c r="Y1532" s="18"/>
      <c r="Z1532" s="18"/>
    </row>
    <row r="1533" ht="22.5" customHeight="1">
      <c r="A1533" s="236">
        <v>46091.0</v>
      </c>
      <c r="B1533" s="218" t="s">
        <v>7550</v>
      </c>
      <c r="C1533" s="9"/>
      <c r="D1533" s="228" t="s">
        <v>7551</v>
      </c>
      <c r="E1533" s="216">
        <v>9.550704987E9</v>
      </c>
      <c r="F1533" s="221" t="s">
        <v>1919</v>
      </c>
      <c r="G1533" s="9" t="s">
        <v>7552</v>
      </c>
      <c r="H1533" s="234">
        <v>46091.0</v>
      </c>
      <c r="I1533" s="232">
        <v>0.7916666666666666</v>
      </c>
      <c r="J1533" s="9" t="s">
        <v>7553</v>
      </c>
      <c r="K1533" s="18"/>
      <c r="L1533" s="18"/>
      <c r="M1533" s="18"/>
      <c r="N1533" s="18"/>
      <c r="O1533" s="18"/>
      <c r="P1533" s="18"/>
      <c r="Q1533" s="18"/>
      <c r="R1533" s="18"/>
      <c r="S1533" s="18"/>
      <c r="T1533" s="18"/>
      <c r="U1533" s="18"/>
      <c r="V1533" s="18"/>
      <c r="W1533" s="18"/>
      <c r="X1533" s="18"/>
      <c r="Y1533" s="18"/>
      <c r="Z1533" s="18"/>
    </row>
    <row r="1534" ht="22.5" customHeight="1">
      <c r="A1534" s="236">
        <v>46091.0</v>
      </c>
      <c r="B1534" s="218" t="s">
        <v>3189</v>
      </c>
      <c r="C1534" s="9"/>
      <c r="D1534" s="228" t="s">
        <v>7554</v>
      </c>
      <c r="E1534" s="216">
        <v>6.38397829E9</v>
      </c>
      <c r="F1534" s="221" t="s">
        <v>1919</v>
      </c>
      <c r="G1534" s="9" t="s">
        <v>7555</v>
      </c>
      <c r="H1534" s="234"/>
      <c r="I1534" s="232"/>
      <c r="J1534" s="9" t="s">
        <v>7556</v>
      </c>
      <c r="K1534" s="18"/>
      <c r="L1534" s="18"/>
      <c r="M1534" s="18"/>
      <c r="N1534" s="18"/>
      <c r="O1534" s="18"/>
      <c r="P1534" s="18"/>
      <c r="Q1534" s="18"/>
      <c r="R1534" s="18"/>
      <c r="S1534" s="18"/>
      <c r="T1534" s="18"/>
      <c r="U1534" s="18"/>
      <c r="V1534" s="18"/>
      <c r="W1534" s="18"/>
      <c r="X1534" s="18"/>
      <c r="Y1534" s="18"/>
      <c r="Z1534" s="18"/>
    </row>
    <row r="1535" ht="22.5" customHeight="1">
      <c r="A1535" s="236">
        <v>46091.0</v>
      </c>
      <c r="B1535" s="218" t="s">
        <v>7557</v>
      </c>
      <c r="C1535" s="9"/>
      <c r="D1535" s="228" t="s">
        <v>7558</v>
      </c>
      <c r="E1535" s="216">
        <v>8.121677227E9</v>
      </c>
      <c r="F1535" s="221" t="s">
        <v>1919</v>
      </c>
      <c r="G1535" s="9" t="s">
        <v>7559</v>
      </c>
      <c r="H1535" s="234">
        <v>46093.0</v>
      </c>
      <c r="I1535" s="232">
        <v>0.4166666666666667</v>
      </c>
      <c r="J1535" s="9" t="s">
        <v>7560</v>
      </c>
      <c r="K1535" s="18"/>
      <c r="L1535" s="18"/>
      <c r="M1535" s="18"/>
      <c r="N1535" s="18"/>
      <c r="O1535" s="18"/>
      <c r="P1535" s="18"/>
      <c r="Q1535" s="18"/>
      <c r="R1535" s="18"/>
      <c r="S1535" s="18"/>
      <c r="T1535" s="18"/>
      <c r="U1535" s="18"/>
      <c r="V1535" s="18"/>
      <c r="W1535" s="18"/>
      <c r="X1535" s="18"/>
      <c r="Y1535" s="18"/>
      <c r="Z1535" s="18"/>
    </row>
    <row r="1536" ht="22.5" customHeight="1">
      <c r="A1536" s="236">
        <v>46091.0</v>
      </c>
      <c r="B1536" s="218" t="s">
        <v>7561</v>
      </c>
      <c r="C1536" s="9"/>
      <c r="D1536" s="228" t="s">
        <v>4633</v>
      </c>
      <c r="E1536" s="216">
        <v>9.951343434E9</v>
      </c>
      <c r="F1536" s="221" t="s">
        <v>1919</v>
      </c>
      <c r="G1536" s="9" t="s">
        <v>7562</v>
      </c>
      <c r="H1536" s="234">
        <v>46092.0</v>
      </c>
      <c r="I1536" s="232"/>
      <c r="J1536" s="35" t="s">
        <v>7563</v>
      </c>
      <c r="K1536" s="18"/>
      <c r="L1536" s="18"/>
      <c r="M1536" s="18"/>
      <c r="N1536" s="18"/>
      <c r="O1536" s="18"/>
      <c r="P1536" s="18"/>
      <c r="Q1536" s="18"/>
      <c r="R1536" s="18"/>
      <c r="S1536" s="18"/>
      <c r="T1536" s="18"/>
      <c r="U1536" s="18"/>
      <c r="V1536" s="18"/>
      <c r="W1536" s="18"/>
      <c r="X1536" s="18"/>
      <c r="Y1536" s="18"/>
      <c r="Z1536" s="18"/>
    </row>
    <row r="1537" ht="22.5" customHeight="1">
      <c r="A1537" s="236">
        <v>46091.0</v>
      </c>
      <c r="B1537" s="218" t="s">
        <v>7564</v>
      </c>
      <c r="C1537" s="9" t="s">
        <v>389</v>
      </c>
      <c r="D1537" s="228"/>
      <c r="E1537" s="216"/>
      <c r="F1537" s="221" t="s">
        <v>186</v>
      </c>
      <c r="G1537" s="9" t="s">
        <v>7565</v>
      </c>
      <c r="H1537" s="234"/>
      <c r="I1537" s="232"/>
      <c r="J1537" s="9"/>
      <c r="K1537" s="18"/>
      <c r="L1537" s="18"/>
      <c r="M1537" s="18"/>
      <c r="N1537" s="18"/>
      <c r="O1537" s="18"/>
      <c r="P1537" s="18"/>
      <c r="Q1537" s="18"/>
      <c r="R1537" s="18"/>
      <c r="S1537" s="18"/>
      <c r="T1537" s="18"/>
      <c r="U1537" s="18"/>
      <c r="V1537" s="18"/>
      <c r="W1537" s="18"/>
      <c r="X1537" s="18"/>
      <c r="Y1537" s="18"/>
      <c r="Z1537" s="18"/>
    </row>
    <row r="1538" ht="22.5" customHeight="1">
      <c r="A1538" s="236">
        <v>46091.0</v>
      </c>
      <c r="B1538" s="15" t="s">
        <v>7566</v>
      </c>
      <c r="C1538" s="9" t="s">
        <v>389</v>
      </c>
      <c r="D1538" s="255"/>
      <c r="E1538" s="256"/>
      <c r="F1538" s="221" t="s">
        <v>186</v>
      </c>
      <c r="G1538" s="9" t="s">
        <v>7565</v>
      </c>
      <c r="H1538" s="257"/>
      <c r="I1538" s="258"/>
      <c r="J1538" s="259"/>
      <c r="K1538" s="260"/>
      <c r="L1538" s="260"/>
      <c r="M1538" s="260"/>
      <c r="N1538" s="260"/>
      <c r="O1538" s="260"/>
      <c r="P1538" s="260"/>
      <c r="Q1538" s="260"/>
      <c r="R1538" s="260"/>
      <c r="S1538" s="260"/>
      <c r="T1538" s="260"/>
      <c r="U1538" s="260"/>
      <c r="V1538" s="260"/>
      <c r="W1538" s="260"/>
      <c r="X1538" s="260"/>
      <c r="Y1538" s="260"/>
      <c r="Z1538" s="260"/>
    </row>
    <row r="1539" ht="22.5" customHeight="1">
      <c r="A1539" s="236">
        <v>46091.0</v>
      </c>
      <c r="B1539" s="15" t="s">
        <v>7567</v>
      </c>
      <c r="C1539" s="15" t="s">
        <v>903</v>
      </c>
      <c r="E1539" s="214"/>
      <c r="F1539" s="221" t="s">
        <v>186</v>
      </c>
      <c r="G1539" s="9" t="s">
        <v>7565</v>
      </c>
      <c r="L1539" s="261"/>
      <c r="M1539" s="261"/>
      <c r="N1539" s="261"/>
      <c r="O1539" s="261"/>
      <c r="P1539" s="261"/>
      <c r="Q1539" s="261"/>
      <c r="R1539" s="261"/>
      <c r="S1539" s="261"/>
      <c r="T1539" s="261"/>
      <c r="U1539" s="261"/>
      <c r="V1539" s="261"/>
      <c r="W1539" s="261"/>
      <c r="X1539" s="261"/>
      <c r="Y1539" s="261"/>
      <c r="Z1539" s="261"/>
    </row>
    <row r="1540" ht="22.5" customHeight="1">
      <c r="A1540" s="236">
        <v>46091.0</v>
      </c>
      <c r="B1540" s="262" t="s">
        <v>7568</v>
      </c>
      <c r="C1540" s="15" t="s">
        <v>147</v>
      </c>
      <c r="E1540" s="214"/>
      <c r="F1540" s="221" t="s">
        <v>186</v>
      </c>
      <c r="G1540" s="9" t="s">
        <v>7565</v>
      </c>
      <c r="L1540" s="260"/>
      <c r="M1540" s="260"/>
      <c r="N1540" s="260"/>
      <c r="O1540" s="260"/>
      <c r="P1540" s="260"/>
      <c r="Q1540" s="260"/>
      <c r="R1540" s="260"/>
      <c r="S1540" s="260"/>
      <c r="T1540" s="260"/>
      <c r="U1540" s="260"/>
      <c r="V1540" s="260"/>
      <c r="W1540" s="260"/>
      <c r="X1540" s="260"/>
      <c r="Y1540" s="260"/>
      <c r="Z1540" s="260"/>
    </row>
    <row r="1541" ht="22.5" customHeight="1">
      <c r="A1541" s="236">
        <v>46091.0</v>
      </c>
      <c r="B1541" s="259" t="s">
        <v>7569</v>
      </c>
      <c r="C1541" s="15" t="s">
        <v>147</v>
      </c>
      <c r="D1541" s="263"/>
      <c r="E1541" s="264"/>
      <c r="F1541" s="221" t="s">
        <v>186</v>
      </c>
      <c r="G1541" s="9" t="s">
        <v>7565</v>
      </c>
      <c r="H1541" s="265"/>
      <c r="I1541" s="266"/>
      <c r="J1541" s="262"/>
      <c r="K1541" s="261"/>
      <c r="L1541" s="261"/>
      <c r="M1541" s="261"/>
      <c r="N1541" s="261"/>
      <c r="O1541" s="261"/>
      <c r="P1541" s="261"/>
      <c r="Q1541" s="261"/>
      <c r="R1541" s="261"/>
      <c r="S1541" s="261"/>
      <c r="T1541" s="261"/>
      <c r="U1541" s="261"/>
      <c r="V1541" s="261"/>
      <c r="W1541" s="261"/>
      <c r="X1541" s="261"/>
      <c r="Y1541" s="261"/>
      <c r="Z1541" s="261"/>
    </row>
    <row r="1542" ht="22.5" customHeight="1">
      <c r="A1542" s="236">
        <v>46091.0</v>
      </c>
      <c r="B1542" s="259" t="s">
        <v>7570</v>
      </c>
      <c r="C1542" s="259"/>
      <c r="D1542" s="255" t="s">
        <v>7571</v>
      </c>
      <c r="E1542" s="256">
        <v>6.281752314E9</v>
      </c>
      <c r="F1542" s="267" t="s">
        <v>1919</v>
      </c>
      <c r="G1542" s="259" t="s">
        <v>7572</v>
      </c>
      <c r="H1542" s="257">
        <v>46092.0</v>
      </c>
      <c r="I1542" s="258">
        <v>0.75</v>
      </c>
      <c r="J1542" s="259" t="s">
        <v>7573</v>
      </c>
      <c r="K1542" s="260"/>
      <c r="L1542" s="260"/>
      <c r="M1542" s="260"/>
      <c r="N1542" s="260"/>
      <c r="O1542" s="260"/>
      <c r="P1542" s="260"/>
      <c r="Q1542" s="260"/>
      <c r="R1542" s="260"/>
      <c r="S1542" s="260"/>
      <c r="T1542" s="260"/>
      <c r="U1542" s="260"/>
      <c r="V1542" s="260"/>
      <c r="W1542" s="260"/>
      <c r="X1542" s="260"/>
      <c r="Y1542" s="260"/>
      <c r="Z1542" s="260"/>
    </row>
    <row r="1543" ht="22.5" customHeight="1">
      <c r="A1543" s="236">
        <v>46091.0</v>
      </c>
      <c r="B1543" s="262" t="s">
        <v>7574</v>
      </c>
      <c r="C1543" s="262"/>
      <c r="D1543" s="263" t="s">
        <v>6187</v>
      </c>
      <c r="E1543" s="264">
        <v>8.374917077E9</v>
      </c>
      <c r="F1543" s="268" t="s">
        <v>1919</v>
      </c>
      <c r="G1543" s="262" t="s">
        <v>7575</v>
      </c>
      <c r="H1543" s="265">
        <v>46091.0</v>
      </c>
      <c r="I1543" s="266">
        <v>0.7916666666666666</v>
      </c>
      <c r="J1543" s="262" t="s">
        <v>7576</v>
      </c>
      <c r="K1543" s="261"/>
      <c r="L1543" s="261"/>
      <c r="M1543" s="261"/>
      <c r="N1543" s="261"/>
      <c r="O1543" s="261"/>
      <c r="P1543" s="261"/>
      <c r="Q1543" s="261"/>
      <c r="R1543" s="261"/>
      <c r="S1543" s="261"/>
      <c r="T1543" s="261"/>
      <c r="U1543" s="261"/>
      <c r="V1543" s="261"/>
      <c r="W1543" s="261"/>
      <c r="X1543" s="261"/>
      <c r="Y1543" s="261"/>
      <c r="Z1543" s="261"/>
    </row>
    <row r="1544" ht="22.5" customHeight="1">
      <c r="A1544" s="236">
        <v>46091.0</v>
      </c>
      <c r="B1544" s="259" t="s">
        <v>7577</v>
      </c>
      <c r="C1544" s="259"/>
      <c r="D1544" s="255" t="s">
        <v>7578</v>
      </c>
      <c r="E1544" s="256">
        <v>7.20771366E9</v>
      </c>
      <c r="F1544" s="267" t="s">
        <v>1919</v>
      </c>
      <c r="G1544" s="259" t="s">
        <v>7579</v>
      </c>
      <c r="H1544" s="257"/>
      <c r="I1544" s="258"/>
      <c r="J1544" s="259" t="s">
        <v>7580</v>
      </c>
      <c r="K1544" s="260"/>
      <c r="L1544" s="260"/>
      <c r="M1544" s="260"/>
      <c r="N1544" s="260"/>
      <c r="O1544" s="260"/>
      <c r="P1544" s="260"/>
      <c r="Q1544" s="260"/>
      <c r="R1544" s="260"/>
      <c r="S1544" s="260"/>
      <c r="T1544" s="260"/>
      <c r="U1544" s="260"/>
      <c r="V1544" s="260"/>
      <c r="W1544" s="260"/>
      <c r="X1544" s="260"/>
      <c r="Y1544" s="260"/>
      <c r="Z1544" s="260"/>
    </row>
    <row r="1545" ht="22.5" customHeight="1">
      <c r="A1545" s="236">
        <v>46091.0</v>
      </c>
      <c r="B1545" s="218" t="s">
        <v>7581</v>
      </c>
      <c r="C1545" s="9"/>
      <c r="D1545" s="228" t="s">
        <v>7582</v>
      </c>
      <c r="E1545" s="216">
        <v>8.46686234E9</v>
      </c>
      <c r="F1545" s="221" t="s">
        <v>1919</v>
      </c>
      <c r="G1545" s="9" t="s">
        <v>7583</v>
      </c>
      <c r="H1545" s="234">
        <v>46094.0</v>
      </c>
      <c r="I1545" s="232"/>
      <c r="J1545" s="9" t="s">
        <v>7584</v>
      </c>
      <c r="K1545" s="18"/>
      <c r="L1545" s="18"/>
      <c r="M1545" s="18"/>
      <c r="N1545" s="18"/>
      <c r="O1545" s="18"/>
      <c r="P1545" s="18"/>
      <c r="Q1545" s="18"/>
      <c r="R1545" s="18"/>
      <c r="S1545" s="18"/>
      <c r="T1545" s="18"/>
      <c r="U1545" s="18"/>
      <c r="V1545" s="18"/>
      <c r="W1545" s="18"/>
      <c r="X1545" s="18"/>
      <c r="Y1545" s="18"/>
      <c r="Z1545" s="18"/>
    </row>
    <row r="1546" ht="22.5" customHeight="1">
      <c r="A1546" s="269">
        <v>46091.0</v>
      </c>
      <c r="B1546" s="15" t="s">
        <v>7585</v>
      </c>
      <c r="C1546" s="15" t="s">
        <v>309</v>
      </c>
      <c r="E1546" s="214"/>
      <c r="F1546" s="221" t="s">
        <v>45</v>
      </c>
      <c r="G1546" s="15" t="s">
        <v>7586</v>
      </c>
      <c r="K1546" s="260"/>
      <c r="L1546" s="260"/>
      <c r="M1546" s="260"/>
      <c r="N1546" s="260"/>
      <c r="O1546" s="260"/>
      <c r="P1546" s="260"/>
      <c r="Q1546" s="260"/>
      <c r="R1546" s="260"/>
      <c r="S1546" s="260"/>
      <c r="T1546" s="260"/>
      <c r="U1546" s="260"/>
      <c r="V1546" s="260"/>
      <c r="W1546" s="260"/>
      <c r="X1546" s="260"/>
      <c r="Y1546" s="260"/>
      <c r="Z1546" s="260"/>
    </row>
    <row r="1547" ht="22.5" customHeight="1">
      <c r="A1547" s="270">
        <v>46091.0</v>
      </c>
      <c r="B1547" s="15" t="s">
        <v>7587</v>
      </c>
      <c r="D1547" s="15" t="s">
        <v>7588</v>
      </c>
      <c r="E1547" s="213">
        <v>8.143334411E9</v>
      </c>
      <c r="F1547" s="55" t="s">
        <v>1919</v>
      </c>
      <c r="G1547" s="15" t="s">
        <v>7589</v>
      </c>
      <c r="J1547" s="15" t="s">
        <v>7590</v>
      </c>
      <c r="K1547" s="261"/>
      <c r="L1547" s="261"/>
      <c r="M1547" s="261"/>
      <c r="N1547" s="261"/>
      <c r="O1547" s="261"/>
      <c r="P1547" s="261"/>
      <c r="Q1547" s="261"/>
      <c r="R1547" s="261"/>
      <c r="S1547" s="261"/>
      <c r="T1547" s="261"/>
      <c r="U1547" s="261"/>
      <c r="V1547" s="261"/>
      <c r="W1547" s="261"/>
      <c r="X1547" s="261"/>
      <c r="Y1547" s="261"/>
      <c r="Z1547" s="261"/>
    </row>
    <row r="1548" ht="22.5" customHeight="1">
      <c r="A1548" s="236">
        <v>46091.0</v>
      </c>
      <c r="B1548" s="218" t="s">
        <v>7591</v>
      </c>
      <c r="C1548" s="9"/>
      <c r="D1548" s="228" t="s">
        <v>4450</v>
      </c>
      <c r="E1548" s="216">
        <v>7.032536269E9</v>
      </c>
      <c r="F1548" s="221" t="s">
        <v>1919</v>
      </c>
      <c r="G1548" s="9" t="s">
        <v>7592</v>
      </c>
      <c r="H1548" s="234"/>
      <c r="I1548" s="232"/>
      <c r="J1548" s="9" t="s">
        <v>7593</v>
      </c>
      <c r="K1548" s="18"/>
      <c r="L1548" s="18"/>
      <c r="M1548" s="18"/>
      <c r="N1548" s="18"/>
      <c r="O1548" s="18"/>
      <c r="P1548" s="18"/>
      <c r="Q1548" s="18"/>
      <c r="R1548" s="18"/>
      <c r="S1548" s="18"/>
      <c r="T1548" s="18"/>
      <c r="U1548" s="18"/>
      <c r="V1548" s="18"/>
      <c r="W1548" s="18"/>
      <c r="X1548" s="18"/>
      <c r="Y1548" s="18"/>
      <c r="Z1548" s="18"/>
    </row>
    <row r="1549" ht="22.5" customHeight="1">
      <c r="A1549" s="236">
        <v>46091.0</v>
      </c>
      <c r="B1549" s="218" t="s">
        <v>7594</v>
      </c>
      <c r="C1549" s="9"/>
      <c r="D1549" s="228" t="s">
        <v>7595</v>
      </c>
      <c r="E1549" s="216">
        <v>7.794963658E9</v>
      </c>
      <c r="F1549" s="221" t="s">
        <v>1919</v>
      </c>
      <c r="G1549" s="9" t="s">
        <v>7596</v>
      </c>
      <c r="H1549" s="234">
        <v>46093.0</v>
      </c>
      <c r="I1549" s="232"/>
      <c r="J1549" s="9" t="s">
        <v>7597</v>
      </c>
      <c r="K1549" s="18"/>
      <c r="L1549" s="18"/>
      <c r="M1549" s="18"/>
      <c r="N1549" s="18"/>
      <c r="O1549" s="18"/>
      <c r="P1549" s="18"/>
      <c r="Q1549" s="18"/>
      <c r="R1549" s="18"/>
      <c r="S1549" s="18"/>
      <c r="T1549" s="18"/>
      <c r="U1549" s="18"/>
      <c r="V1549" s="18"/>
      <c r="W1549" s="18"/>
      <c r="X1549" s="18"/>
      <c r="Y1549" s="18"/>
      <c r="Z1549" s="18"/>
    </row>
    <row r="1550" ht="22.5" customHeight="1">
      <c r="A1550" s="236">
        <v>46091.0</v>
      </c>
      <c r="B1550" s="218" t="s">
        <v>7598</v>
      </c>
      <c r="C1550" s="9" t="s">
        <v>1691</v>
      </c>
      <c r="D1550" s="228"/>
      <c r="E1550" s="216"/>
      <c r="F1550" s="221" t="s">
        <v>1919</v>
      </c>
      <c r="G1550" s="9" t="s">
        <v>7599</v>
      </c>
      <c r="H1550" s="234"/>
      <c r="I1550" s="232"/>
      <c r="J1550" s="9"/>
      <c r="K1550" s="18"/>
      <c r="L1550" s="18"/>
      <c r="M1550" s="18"/>
      <c r="N1550" s="18"/>
      <c r="O1550" s="18"/>
      <c r="P1550" s="18"/>
      <c r="Q1550" s="18"/>
      <c r="R1550" s="18"/>
      <c r="S1550" s="18"/>
      <c r="T1550" s="18"/>
      <c r="U1550" s="18"/>
      <c r="V1550" s="18"/>
      <c r="W1550" s="18"/>
      <c r="X1550" s="18"/>
      <c r="Y1550" s="18"/>
      <c r="Z1550" s="18"/>
    </row>
    <row r="1551" ht="22.5" customHeight="1">
      <c r="A1551" s="236">
        <v>46091.0</v>
      </c>
      <c r="B1551" s="218" t="s">
        <v>7600</v>
      </c>
      <c r="C1551" s="9" t="s">
        <v>1691</v>
      </c>
      <c r="D1551" s="228"/>
      <c r="E1551" s="216"/>
      <c r="F1551" s="221" t="s">
        <v>1919</v>
      </c>
      <c r="G1551" s="9" t="s">
        <v>7601</v>
      </c>
      <c r="H1551" s="234"/>
      <c r="I1551" s="232"/>
      <c r="J1551" s="9"/>
      <c r="K1551" s="18"/>
      <c r="L1551" s="18"/>
      <c r="M1551" s="18"/>
      <c r="N1551" s="18"/>
      <c r="O1551" s="18"/>
      <c r="P1551" s="18"/>
      <c r="Q1551" s="18"/>
      <c r="R1551" s="18"/>
      <c r="S1551" s="18"/>
      <c r="T1551" s="18"/>
      <c r="U1551" s="18"/>
      <c r="V1551" s="18"/>
      <c r="W1551" s="18"/>
      <c r="X1551" s="18"/>
      <c r="Y1551" s="18"/>
      <c r="Z1551" s="18"/>
    </row>
    <row r="1552" ht="22.5" customHeight="1">
      <c r="A1552" s="271">
        <v>46092.0</v>
      </c>
      <c r="B1552" s="218" t="s">
        <v>7602</v>
      </c>
      <c r="C1552" s="9"/>
      <c r="D1552" s="228"/>
      <c r="E1552" s="216"/>
      <c r="F1552" s="221" t="s">
        <v>1919</v>
      </c>
      <c r="G1552" s="9" t="s">
        <v>7603</v>
      </c>
      <c r="H1552" s="234">
        <v>46093.0</v>
      </c>
      <c r="I1552" s="232">
        <v>0.5</v>
      </c>
      <c r="J1552" s="9" t="s">
        <v>7604</v>
      </c>
      <c r="K1552" s="18"/>
      <c r="L1552" s="18"/>
      <c r="M1552" s="18"/>
      <c r="N1552" s="18"/>
      <c r="O1552" s="18"/>
      <c r="P1552" s="18"/>
      <c r="Q1552" s="18"/>
      <c r="R1552" s="18"/>
      <c r="S1552" s="18"/>
      <c r="T1552" s="18"/>
      <c r="U1552" s="18"/>
      <c r="V1552" s="18"/>
      <c r="W1552" s="18"/>
      <c r="X1552" s="18"/>
      <c r="Y1552" s="18"/>
      <c r="Z1552" s="18"/>
    </row>
    <row r="1553" ht="22.5" customHeight="1">
      <c r="A1553" s="271">
        <v>46092.0</v>
      </c>
      <c r="B1553" s="218" t="s">
        <v>7605</v>
      </c>
      <c r="C1553" s="9"/>
      <c r="D1553" s="228" t="s">
        <v>7554</v>
      </c>
      <c r="E1553" s="216">
        <v>9.908889944E9</v>
      </c>
      <c r="F1553" s="221" t="s">
        <v>73</v>
      </c>
      <c r="G1553" s="9" t="s">
        <v>7606</v>
      </c>
      <c r="H1553" s="234"/>
      <c r="I1553" s="232"/>
      <c r="J1553" s="9" t="s">
        <v>7607</v>
      </c>
      <c r="K1553" s="18"/>
      <c r="L1553" s="18"/>
      <c r="M1553" s="18"/>
      <c r="N1553" s="18"/>
      <c r="O1553" s="18"/>
      <c r="P1553" s="18"/>
      <c r="Q1553" s="18"/>
      <c r="R1553" s="18"/>
      <c r="S1553" s="18"/>
      <c r="T1553" s="18"/>
      <c r="U1553" s="18"/>
      <c r="V1553" s="18"/>
      <c r="W1553" s="18"/>
      <c r="X1553" s="18"/>
      <c r="Y1553" s="18"/>
      <c r="Z1553" s="18"/>
    </row>
    <row r="1554" ht="22.5" customHeight="1">
      <c r="A1554" s="271">
        <v>46092.0</v>
      </c>
      <c r="B1554" s="218" t="s">
        <v>7608</v>
      </c>
      <c r="C1554" s="9"/>
      <c r="D1554" s="228" t="s">
        <v>7609</v>
      </c>
      <c r="E1554" s="216">
        <v>9.948476572E9</v>
      </c>
      <c r="F1554" s="221" t="s">
        <v>1919</v>
      </c>
      <c r="G1554" s="9" t="s">
        <v>7610</v>
      </c>
      <c r="H1554" s="234">
        <v>46093.0</v>
      </c>
      <c r="I1554" s="232">
        <v>0.5416666666666666</v>
      </c>
      <c r="J1554" s="9" t="s">
        <v>7611</v>
      </c>
      <c r="K1554" s="18"/>
      <c r="L1554" s="18"/>
      <c r="M1554" s="18"/>
      <c r="N1554" s="18"/>
      <c r="O1554" s="18"/>
      <c r="P1554" s="18"/>
      <c r="Q1554" s="18"/>
      <c r="R1554" s="18"/>
      <c r="S1554" s="18"/>
      <c r="T1554" s="18"/>
      <c r="U1554" s="18"/>
      <c r="V1554" s="18"/>
      <c r="W1554" s="18"/>
      <c r="X1554" s="18"/>
      <c r="Y1554" s="18"/>
      <c r="Z1554" s="18"/>
    </row>
    <row r="1555" ht="22.5" customHeight="1">
      <c r="A1555" s="271">
        <v>46092.0</v>
      </c>
      <c r="B1555" s="218" t="s">
        <v>7612</v>
      </c>
      <c r="C1555" s="9"/>
      <c r="D1555" s="228"/>
      <c r="E1555" s="216"/>
      <c r="F1555" s="221" t="s">
        <v>96</v>
      </c>
      <c r="G1555" s="9" t="s">
        <v>7613</v>
      </c>
      <c r="H1555" s="234"/>
      <c r="I1555" s="232"/>
      <c r="J1555" s="9" t="s">
        <v>7614</v>
      </c>
      <c r="K1555" s="18"/>
      <c r="L1555" s="18"/>
      <c r="M1555" s="18"/>
      <c r="N1555" s="18"/>
      <c r="O1555" s="18"/>
      <c r="P1555" s="18"/>
      <c r="Q1555" s="18"/>
      <c r="R1555" s="18"/>
      <c r="S1555" s="18"/>
      <c r="T1555" s="18"/>
      <c r="U1555" s="18"/>
      <c r="V1555" s="18"/>
      <c r="W1555" s="18"/>
      <c r="X1555" s="18"/>
      <c r="Y1555" s="18"/>
      <c r="Z1555" s="18"/>
    </row>
    <row r="1556" ht="22.5" customHeight="1">
      <c r="A1556" s="271">
        <v>46092.0</v>
      </c>
      <c r="B1556" s="218" t="s">
        <v>7615</v>
      </c>
      <c r="C1556" s="9"/>
      <c r="D1556" s="228"/>
      <c r="E1556" s="216"/>
      <c r="F1556" s="221" t="s">
        <v>1919</v>
      </c>
      <c r="G1556" s="9" t="s">
        <v>7616</v>
      </c>
      <c r="H1556" s="234"/>
      <c r="I1556" s="232"/>
      <c r="J1556" s="140" t="s">
        <v>7617</v>
      </c>
      <c r="K1556" s="18"/>
      <c r="L1556" s="18"/>
      <c r="M1556" s="18"/>
      <c r="N1556" s="18"/>
      <c r="O1556" s="18"/>
      <c r="P1556" s="18"/>
      <c r="Q1556" s="18"/>
      <c r="R1556" s="18"/>
      <c r="S1556" s="18"/>
      <c r="T1556" s="18"/>
      <c r="U1556" s="18"/>
      <c r="V1556" s="18"/>
      <c r="W1556" s="18"/>
      <c r="X1556" s="18"/>
      <c r="Y1556" s="18"/>
      <c r="Z1556" s="18"/>
    </row>
    <row r="1557" ht="22.5" customHeight="1">
      <c r="A1557" s="271">
        <v>46092.0</v>
      </c>
      <c r="B1557" s="218" t="s">
        <v>7618</v>
      </c>
      <c r="C1557" s="9"/>
      <c r="D1557" s="228"/>
      <c r="E1557" s="216"/>
      <c r="F1557" s="221" t="s">
        <v>1919</v>
      </c>
      <c r="G1557" s="9" t="s">
        <v>7619</v>
      </c>
      <c r="H1557" s="234">
        <v>46092.0</v>
      </c>
      <c r="I1557" s="232">
        <v>0.75</v>
      </c>
      <c r="J1557" s="9" t="s">
        <v>7620</v>
      </c>
      <c r="K1557" s="18"/>
      <c r="L1557" s="18"/>
      <c r="M1557" s="18"/>
      <c r="N1557" s="18"/>
      <c r="O1557" s="18"/>
      <c r="P1557" s="18"/>
      <c r="Q1557" s="18"/>
      <c r="R1557" s="18"/>
      <c r="S1557" s="18"/>
      <c r="T1557" s="18"/>
      <c r="U1557" s="18"/>
      <c r="V1557" s="18"/>
      <c r="W1557" s="18"/>
      <c r="X1557" s="18"/>
      <c r="Y1557" s="18"/>
      <c r="Z1557" s="18"/>
    </row>
    <row r="1558" ht="22.5" customHeight="1">
      <c r="A1558" s="271">
        <v>46092.0</v>
      </c>
      <c r="B1558" s="218" t="s">
        <v>7621</v>
      </c>
      <c r="C1558" s="9" t="s">
        <v>6477</v>
      </c>
      <c r="D1558" s="228"/>
      <c r="E1558" s="216"/>
      <c r="F1558" s="221" t="s">
        <v>241</v>
      </c>
      <c r="G1558" s="9" t="s">
        <v>7622</v>
      </c>
      <c r="H1558" s="234"/>
      <c r="I1558" s="232"/>
      <c r="J1558" s="9" t="s">
        <v>7623</v>
      </c>
      <c r="K1558" s="18"/>
      <c r="L1558" s="18"/>
      <c r="M1558" s="18"/>
      <c r="N1558" s="18"/>
      <c r="O1558" s="18"/>
      <c r="P1558" s="18"/>
      <c r="Q1558" s="18"/>
      <c r="R1558" s="18"/>
      <c r="S1558" s="18"/>
      <c r="T1558" s="18"/>
      <c r="U1558" s="18"/>
      <c r="V1558" s="18"/>
      <c r="W1558" s="18"/>
      <c r="X1558" s="18"/>
      <c r="Y1558" s="18"/>
      <c r="Z1558" s="18"/>
    </row>
    <row r="1559" ht="22.5" customHeight="1">
      <c r="A1559" s="271">
        <v>46092.0</v>
      </c>
      <c r="B1559" s="218" t="s">
        <v>7624</v>
      </c>
      <c r="C1559" s="9"/>
      <c r="D1559" s="228" t="s">
        <v>7625</v>
      </c>
      <c r="E1559" s="216">
        <v>9.059693328E9</v>
      </c>
      <c r="F1559" s="221" t="s">
        <v>73</v>
      </c>
      <c r="G1559" s="9" t="s">
        <v>7626</v>
      </c>
      <c r="H1559" s="234"/>
      <c r="I1559" s="232"/>
      <c r="J1559" s="9" t="s">
        <v>7627</v>
      </c>
      <c r="K1559" s="18"/>
      <c r="L1559" s="18"/>
      <c r="M1559" s="18"/>
      <c r="N1559" s="18"/>
      <c r="O1559" s="18"/>
      <c r="P1559" s="18"/>
      <c r="Q1559" s="18"/>
      <c r="R1559" s="18"/>
      <c r="S1559" s="18"/>
      <c r="T1559" s="18"/>
      <c r="U1559" s="18"/>
      <c r="V1559" s="18"/>
      <c r="W1559" s="18"/>
      <c r="X1559" s="18"/>
      <c r="Y1559" s="18"/>
      <c r="Z1559" s="18"/>
    </row>
    <row r="1560" ht="22.5" customHeight="1">
      <c r="A1560" s="271">
        <v>46092.0</v>
      </c>
      <c r="B1560" s="218" t="s">
        <v>7628</v>
      </c>
      <c r="C1560" s="9"/>
      <c r="D1560" s="228" t="s">
        <v>7625</v>
      </c>
      <c r="E1560" s="216">
        <v>9.059693328E9</v>
      </c>
      <c r="F1560" s="221" t="s">
        <v>73</v>
      </c>
      <c r="G1560" s="9" t="s">
        <v>7626</v>
      </c>
      <c r="H1560" s="9"/>
      <c r="I1560" s="232"/>
      <c r="J1560" s="9" t="s">
        <v>7627</v>
      </c>
      <c r="K1560" s="18"/>
      <c r="L1560" s="18"/>
      <c r="M1560" s="18"/>
      <c r="N1560" s="18"/>
      <c r="O1560" s="18"/>
      <c r="P1560" s="18"/>
      <c r="Q1560" s="18"/>
      <c r="R1560" s="18"/>
      <c r="S1560" s="18"/>
      <c r="T1560" s="18"/>
      <c r="U1560" s="18"/>
      <c r="V1560" s="18"/>
      <c r="W1560" s="18"/>
      <c r="X1560" s="18"/>
      <c r="Y1560" s="18"/>
      <c r="Z1560" s="18"/>
    </row>
    <row r="1561" ht="22.5" customHeight="1">
      <c r="A1561" s="271">
        <v>46092.0</v>
      </c>
      <c r="B1561" s="218" t="s">
        <v>5539</v>
      </c>
      <c r="C1561" s="9"/>
      <c r="D1561" s="228" t="s">
        <v>7629</v>
      </c>
      <c r="E1561" s="216">
        <v>8.501088773E9</v>
      </c>
      <c r="F1561" s="221" t="s">
        <v>1919</v>
      </c>
      <c r="G1561" s="9" t="s">
        <v>7630</v>
      </c>
      <c r="H1561" s="234"/>
      <c r="I1561" s="232"/>
      <c r="J1561" s="9" t="s">
        <v>7631</v>
      </c>
      <c r="K1561" s="18"/>
      <c r="L1561" s="18"/>
      <c r="M1561" s="18"/>
      <c r="N1561" s="18"/>
      <c r="O1561" s="18"/>
      <c r="P1561" s="18"/>
      <c r="Q1561" s="18"/>
      <c r="R1561" s="18"/>
      <c r="S1561" s="18"/>
      <c r="T1561" s="18"/>
      <c r="U1561" s="18"/>
      <c r="V1561" s="18"/>
      <c r="W1561" s="18"/>
      <c r="X1561" s="18"/>
      <c r="Y1561" s="18"/>
      <c r="Z1561" s="18"/>
    </row>
    <row r="1562" ht="22.5" customHeight="1">
      <c r="A1562" s="271">
        <v>46092.0</v>
      </c>
      <c r="B1562" s="218" t="s">
        <v>7632</v>
      </c>
      <c r="C1562" s="9" t="s">
        <v>309</v>
      </c>
      <c r="D1562" s="228" t="s">
        <v>7633</v>
      </c>
      <c r="E1562" s="216">
        <v>9.985876885E9</v>
      </c>
      <c r="F1562" s="221" t="s">
        <v>73</v>
      </c>
      <c r="G1562" s="9" t="s">
        <v>4714</v>
      </c>
      <c r="H1562" s="234"/>
      <c r="I1562" s="232"/>
      <c r="J1562" s="9" t="s">
        <v>7634</v>
      </c>
      <c r="K1562" s="18"/>
      <c r="L1562" s="18"/>
      <c r="M1562" s="18"/>
      <c r="N1562" s="18"/>
      <c r="O1562" s="18"/>
      <c r="P1562" s="18"/>
      <c r="Q1562" s="18"/>
      <c r="R1562" s="18"/>
      <c r="S1562" s="18"/>
      <c r="T1562" s="18"/>
      <c r="U1562" s="18"/>
      <c r="V1562" s="18"/>
      <c r="W1562" s="18"/>
      <c r="X1562" s="18"/>
      <c r="Y1562" s="18"/>
      <c r="Z1562" s="18"/>
    </row>
    <row r="1563" ht="22.5" customHeight="1">
      <c r="A1563" s="271">
        <v>46092.0</v>
      </c>
      <c r="B1563" s="218" t="s">
        <v>7635</v>
      </c>
      <c r="C1563" s="9"/>
      <c r="D1563" s="228" t="s">
        <v>7636</v>
      </c>
      <c r="E1563" s="216">
        <v>9.632710669E9</v>
      </c>
      <c r="F1563" s="221" t="s">
        <v>73</v>
      </c>
      <c r="G1563" s="9" t="s">
        <v>7637</v>
      </c>
      <c r="H1563" s="234"/>
      <c r="I1563" s="232"/>
      <c r="J1563" s="9" t="s">
        <v>7638</v>
      </c>
      <c r="K1563" s="18"/>
      <c r="L1563" s="18"/>
      <c r="M1563" s="18"/>
      <c r="N1563" s="18"/>
      <c r="O1563" s="18"/>
      <c r="P1563" s="18"/>
      <c r="Q1563" s="18"/>
      <c r="R1563" s="18"/>
      <c r="S1563" s="18"/>
      <c r="T1563" s="18"/>
      <c r="U1563" s="18"/>
      <c r="V1563" s="18"/>
      <c r="W1563" s="18"/>
      <c r="X1563" s="18"/>
      <c r="Y1563" s="18"/>
      <c r="Z1563" s="18"/>
    </row>
    <row r="1564" ht="22.5" customHeight="1">
      <c r="A1564" s="271">
        <v>46092.0</v>
      </c>
      <c r="B1564" s="218" t="s">
        <v>7639</v>
      </c>
      <c r="C1564" s="9"/>
      <c r="D1564" s="228" t="s">
        <v>7640</v>
      </c>
      <c r="E1564" s="216">
        <v>7.386840498E9</v>
      </c>
      <c r="F1564" s="221" t="s">
        <v>1919</v>
      </c>
      <c r="G1564" s="9" t="s">
        <v>7641</v>
      </c>
      <c r="H1564" s="234">
        <v>46094.0</v>
      </c>
      <c r="I1564" s="232"/>
      <c r="J1564" s="9" t="s">
        <v>7642</v>
      </c>
      <c r="K1564" s="18"/>
      <c r="L1564" s="18"/>
      <c r="M1564" s="18"/>
      <c r="N1564" s="18"/>
      <c r="O1564" s="18"/>
      <c r="P1564" s="18"/>
      <c r="Q1564" s="18"/>
      <c r="R1564" s="18"/>
      <c r="S1564" s="18"/>
      <c r="T1564" s="18"/>
      <c r="U1564" s="18"/>
      <c r="V1564" s="18"/>
      <c r="W1564" s="18"/>
      <c r="X1564" s="18"/>
      <c r="Y1564" s="18"/>
      <c r="Z1564" s="18"/>
    </row>
    <row r="1565" ht="22.5" customHeight="1">
      <c r="A1565" s="271">
        <v>46092.0</v>
      </c>
      <c r="B1565" s="218" t="s">
        <v>7643</v>
      </c>
      <c r="C1565" s="9"/>
      <c r="D1565" s="228" t="s">
        <v>7644</v>
      </c>
      <c r="E1565" s="216">
        <v>9.911990304E9</v>
      </c>
      <c r="F1565" s="221" t="s">
        <v>73</v>
      </c>
      <c r="G1565" s="9" t="s">
        <v>7645</v>
      </c>
      <c r="H1565" s="234">
        <v>46092.0</v>
      </c>
      <c r="I1565" s="232">
        <v>0.8125</v>
      </c>
      <c r="J1565" s="9" t="s">
        <v>7646</v>
      </c>
      <c r="K1565" s="18"/>
      <c r="L1565" s="18"/>
      <c r="M1565" s="18"/>
      <c r="N1565" s="18"/>
      <c r="O1565" s="18"/>
      <c r="P1565" s="18"/>
      <c r="Q1565" s="18"/>
      <c r="R1565" s="18"/>
      <c r="S1565" s="18"/>
      <c r="T1565" s="18"/>
      <c r="U1565" s="18"/>
      <c r="V1565" s="18"/>
      <c r="W1565" s="18"/>
      <c r="X1565" s="18"/>
      <c r="Y1565" s="18"/>
      <c r="Z1565" s="18"/>
    </row>
    <row r="1566" ht="22.5" customHeight="1">
      <c r="A1566" s="271">
        <v>46092.0</v>
      </c>
      <c r="B1566" s="218" t="s">
        <v>7647</v>
      </c>
      <c r="C1566" s="9"/>
      <c r="D1566" s="228" t="s">
        <v>7644</v>
      </c>
      <c r="E1566" s="216">
        <v>9.911990304E9</v>
      </c>
      <c r="F1566" s="221" t="s">
        <v>73</v>
      </c>
      <c r="G1566" s="9" t="s">
        <v>7645</v>
      </c>
      <c r="H1566" s="234">
        <v>46092.0</v>
      </c>
      <c r="I1566" s="232">
        <v>0.8125</v>
      </c>
      <c r="J1566" s="9" t="s">
        <v>7646</v>
      </c>
      <c r="K1566" s="18"/>
      <c r="L1566" s="18"/>
      <c r="M1566" s="18"/>
      <c r="N1566" s="18"/>
      <c r="O1566" s="18"/>
      <c r="P1566" s="18"/>
      <c r="Q1566" s="18"/>
      <c r="R1566" s="18"/>
      <c r="S1566" s="18"/>
      <c r="T1566" s="18"/>
      <c r="U1566" s="18"/>
      <c r="V1566" s="18"/>
      <c r="W1566" s="18"/>
      <c r="X1566" s="18"/>
      <c r="Y1566" s="18"/>
      <c r="Z1566" s="18"/>
    </row>
    <row r="1567" ht="22.5" customHeight="1">
      <c r="A1567" s="271">
        <v>46092.0</v>
      </c>
      <c r="B1567" s="218" t="s">
        <v>7648</v>
      </c>
      <c r="C1567" s="9"/>
      <c r="D1567" s="228"/>
      <c r="E1567" s="216">
        <v>9.908013301E9</v>
      </c>
      <c r="F1567" s="221" t="s">
        <v>73</v>
      </c>
      <c r="G1567" s="9" t="s">
        <v>7649</v>
      </c>
      <c r="H1567" s="234"/>
      <c r="I1567" s="232"/>
      <c r="J1567" s="9" t="s">
        <v>7646</v>
      </c>
      <c r="K1567" s="18"/>
      <c r="L1567" s="18"/>
      <c r="M1567" s="18"/>
      <c r="N1567" s="18"/>
      <c r="O1567" s="18"/>
      <c r="P1567" s="18"/>
      <c r="Q1567" s="18"/>
      <c r="R1567" s="18"/>
      <c r="S1567" s="18"/>
      <c r="T1567" s="18"/>
      <c r="U1567" s="18"/>
      <c r="V1567" s="18"/>
      <c r="W1567" s="18"/>
      <c r="X1567" s="18"/>
      <c r="Y1567" s="18"/>
      <c r="Z1567" s="18"/>
    </row>
    <row r="1568" ht="22.5" customHeight="1">
      <c r="A1568" s="271">
        <v>46092.0</v>
      </c>
      <c r="B1568" s="218" t="s">
        <v>7650</v>
      </c>
      <c r="C1568" s="9" t="s">
        <v>309</v>
      </c>
      <c r="D1568" s="228" t="s">
        <v>3118</v>
      </c>
      <c r="E1568" s="216">
        <v>9.030090088E9</v>
      </c>
      <c r="F1568" s="221" t="s">
        <v>73</v>
      </c>
      <c r="G1568" s="9" t="s">
        <v>7651</v>
      </c>
      <c r="H1568" s="234">
        <v>46097.0</v>
      </c>
      <c r="I1568" s="232">
        <v>0.4583333333333333</v>
      </c>
      <c r="J1568" s="9" t="s">
        <v>7652</v>
      </c>
      <c r="K1568" s="18"/>
      <c r="L1568" s="18"/>
      <c r="M1568" s="18"/>
      <c r="N1568" s="18"/>
      <c r="O1568" s="18"/>
      <c r="P1568" s="18"/>
      <c r="Q1568" s="18"/>
      <c r="R1568" s="18"/>
      <c r="S1568" s="18"/>
      <c r="T1568" s="18"/>
      <c r="U1568" s="18"/>
      <c r="V1568" s="18"/>
      <c r="W1568" s="18"/>
      <c r="X1568" s="18"/>
      <c r="Y1568" s="18"/>
      <c r="Z1568" s="18"/>
    </row>
    <row r="1569" ht="22.5" customHeight="1">
      <c r="A1569" s="271">
        <v>46092.0</v>
      </c>
      <c r="B1569" s="218" t="s">
        <v>7653</v>
      </c>
      <c r="C1569" s="9" t="s">
        <v>610</v>
      </c>
      <c r="D1569" s="228"/>
      <c r="E1569" s="216"/>
      <c r="F1569" s="221" t="s">
        <v>1919</v>
      </c>
      <c r="G1569" s="9" t="s">
        <v>7654</v>
      </c>
      <c r="H1569" s="234"/>
      <c r="I1569" s="232"/>
      <c r="J1569" s="9" t="s">
        <v>7655</v>
      </c>
      <c r="K1569" s="18"/>
      <c r="L1569" s="18"/>
      <c r="M1569" s="18"/>
      <c r="N1569" s="18"/>
      <c r="O1569" s="18"/>
      <c r="P1569" s="18"/>
      <c r="Q1569" s="18"/>
      <c r="R1569" s="18"/>
      <c r="S1569" s="18"/>
      <c r="T1569" s="18"/>
      <c r="U1569" s="18"/>
      <c r="V1569" s="18"/>
      <c r="W1569" s="18"/>
      <c r="X1569" s="18"/>
      <c r="Y1569" s="18"/>
      <c r="Z1569" s="18"/>
    </row>
    <row r="1570" ht="22.5" customHeight="1">
      <c r="A1570" s="250">
        <v>46094.0</v>
      </c>
      <c r="B1570" s="218" t="s">
        <v>7656</v>
      </c>
      <c r="C1570" s="9"/>
      <c r="D1570" s="228" t="s">
        <v>7657</v>
      </c>
      <c r="E1570" s="216">
        <v>9.608159787E9</v>
      </c>
      <c r="F1570" s="221" t="s">
        <v>248</v>
      </c>
      <c r="G1570" s="9" t="s">
        <v>7658</v>
      </c>
      <c r="H1570" s="234"/>
      <c r="I1570" s="232"/>
      <c r="J1570" s="35" t="s">
        <v>7659</v>
      </c>
      <c r="K1570" s="18"/>
      <c r="L1570" s="18"/>
      <c r="M1570" s="18"/>
      <c r="N1570" s="18"/>
      <c r="O1570" s="18"/>
      <c r="P1570" s="18"/>
      <c r="Q1570" s="18"/>
      <c r="R1570" s="18"/>
      <c r="S1570" s="18"/>
      <c r="T1570" s="18"/>
      <c r="U1570" s="18"/>
      <c r="V1570" s="18"/>
      <c r="W1570" s="18"/>
      <c r="X1570" s="18"/>
      <c r="Y1570" s="18"/>
      <c r="Z1570" s="18"/>
    </row>
    <row r="1571" ht="22.5" customHeight="1">
      <c r="A1571" s="250">
        <v>46094.0</v>
      </c>
      <c r="B1571" s="218" t="s">
        <v>7660</v>
      </c>
      <c r="C1571" s="9"/>
      <c r="D1571" s="228" t="s">
        <v>7661</v>
      </c>
      <c r="E1571" s="216">
        <v>6.303246535E9</v>
      </c>
      <c r="F1571" s="221" t="s">
        <v>248</v>
      </c>
      <c r="G1571" s="9" t="s">
        <v>7662</v>
      </c>
      <c r="H1571" s="234"/>
      <c r="I1571" s="232"/>
      <c r="J1571" s="9"/>
      <c r="K1571" s="18"/>
      <c r="L1571" s="18"/>
      <c r="M1571" s="18"/>
      <c r="N1571" s="18"/>
      <c r="O1571" s="18"/>
      <c r="P1571" s="18"/>
      <c r="Q1571" s="18"/>
      <c r="R1571" s="18"/>
      <c r="S1571" s="18"/>
      <c r="T1571" s="18"/>
      <c r="U1571" s="18"/>
      <c r="V1571" s="18"/>
      <c r="W1571" s="18"/>
      <c r="X1571" s="18"/>
      <c r="Y1571" s="18"/>
      <c r="Z1571" s="18"/>
    </row>
    <row r="1572" ht="22.5" customHeight="1">
      <c r="A1572" s="272">
        <v>46097.0</v>
      </c>
      <c r="B1572" s="218" t="s">
        <v>7663</v>
      </c>
      <c r="C1572" s="9"/>
      <c r="D1572" s="228" t="s">
        <v>7664</v>
      </c>
      <c r="E1572" s="216">
        <v>9.030023124E9</v>
      </c>
      <c r="F1572" s="221" t="s">
        <v>1919</v>
      </c>
      <c r="G1572" s="9" t="s">
        <v>7665</v>
      </c>
      <c r="H1572" s="234">
        <v>46101.0</v>
      </c>
      <c r="I1572" s="232"/>
      <c r="J1572" s="9" t="s">
        <v>7666</v>
      </c>
      <c r="K1572" s="18"/>
      <c r="L1572" s="18"/>
      <c r="M1572" s="18"/>
      <c r="N1572" s="18"/>
      <c r="O1572" s="18"/>
      <c r="P1572" s="18"/>
      <c r="Q1572" s="18"/>
      <c r="R1572" s="18"/>
      <c r="S1572" s="18"/>
      <c r="T1572" s="18"/>
      <c r="U1572" s="18"/>
      <c r="V1572" s="18"/>
      <c r="W1572" s="18"/>
      <c r="X1572" s="18"/>
      <c r="Y1572" s="18"/>
      <c r="Z1572" s="18"/>
    </row>
    <row r="1573" ht="22.5" customHeight="1">
      <c r="A1573" s="272">
        <v>46097.0</v>
      </c>
      <c r="B1573" s="218" t="s">
        <v>7667</v>
      </c>
      <c r="C1573" s="9"/>
      <c r="D1573" s="228"/>
      <c r="E1573" s="216">
        <v>8.790664378E9</v>
      </c>
      <c r="F1573" s="221" t="s">
        <v>96</v>
      </c>
      <c r="G1573" s="9" t="s">
        <v>7668</v>
      </c>
      <c r="H1573" s="234">
        <v>46097.0</v>
      </c>
      <c r="I1573" s="232">
        <v>0.7083333333333334</v>
      </c>
      <c r="J1573" s="9" t="s">
        <v>7669</v>
      </c>
      <c r="K1573" s="18"/>
      <c r="L1573" s="18"/>
      <c r="M1573" s="18"/>
      <c r="N1573" s="18"/>
      <c r="O1573" s="18"/>
      <c r="P1573" s="18"/>
      <c r="Q1573" s="18"/>
      <c r="R1573" s="18"/>
      <c r="S1573" s="18"/>
      <c r="T1573" s="18"/>
      <c r="U1573" s="18"/>
      <c r="V1573" s="18"/>
      <c r="W1573" s="18"/>
      <c r="X1573" s="18"/>
      <c r="Y1573" s="18"/>
      <c r="Z1573" s="18"/>
    </row>
    <row r="1574" ht="22.5" customHeight="1">
      <c r="A1574" s="272">
        <v>46097.0</v>
      </c>
      <c r="B1574" s="218" t="s">
        <v>7670</v>
      </c>
      <c r="C1574" s="9"/>
      <c r="D1574" s="228"/>
      <c r="E1574" s="216">
        <v>7.702428848E9</v>
      </c>
      <c r="F1574" s="221" t="s">
        <v>96</v>
      </c>
      <c r="G1574" s="9" t="s">
        <v>7671</v>
      </c>
      <c r="H1574" s="234">
        <v>46097.0</v>
      </c>
      <c r="I1574" s="232">
        <v>0.7916666666666666</v>
      </c>
      <c r="J1574" s="9" t="s">
        <v>7669</v>
      </c>
      <c r="K1574" s="18"/>
      <c r="L1574" s="18"/>
      <c r="M1574" s="18"/>
      <c r="N1574" s="18"/>
      <c r="O1574" s="18"/>
      <c r="P1574" s="18"/>
      <c r="Q1574" s="18"/>
      <c r="R1574" s="18"/>
      <c r="S1574" s="18"/>
      <c r="T1574" s="18"/>
      <c r="U1574" s="18"/>
      <c r="V1574" s="18"/>
      <c r="W1574" s="18"/>
      <c r="X1574" s="18"/>
      <c r="Y1574" s="18"/>
      <c r="Z1574" s="18"/>
    </row>
    <row r="1575" ht="22.5" customHeight="1">
      <c r="A1575" s="272">
        <v>46097.0</v>
      </c>
      <c r="B1575" s="218" t="s">
        <v>7672</v>
      </c>
      <c r="C1575" s="9"/>
      <c r="D1575" s="228"/>
      <c r="E1575" s="216">
        <v>9.866536396E9</v>
      </c>
      <c r="F1575" s="221" t="s">
        <v>96</v>
      </c>
      <c r="G1575" s="9" t="s">
        <v>5383</v>
      </c>
      <c r="H1575" s="234"/>
      <c r="I1575" s="232"/>
      <c r="J1575" s="9" t="s">
        <v>7669</v>
      </c>
      <c r="K1575" s="18"/>
      <c r="L1575" s="18"/>
      <c r="M1575" s="18"/>
      <c r="N1575" s="18"/>
      <c r="O1575" s="18"/>
      <c r="P1575" s="18"/>
      <c r="Q1575" s="18"/>
      <c r="R1575" s="18"/>
      <c r="S1575" s="18"/>
      <c r="T1575" s="18"/>
      <c r="U1575" s="18"/>
      <c r="V1575" s="18"/>
      <c r="W1575" s="18"/>
      <c r="X1575" s="18"/>
      <c r="Y1575" s="18"/>
      <c r="Z1575" s="18"/>
    </row>
    <row r="1576" ht="22.5" customHeight="1">
      <c r="A1576" s="272">
        <v>46097.0</v>
      </c>
      <c r="B1576" s="218" t="s">
        <v>7673</v>
      </c>
      <c r="C1576" s="9"/>
      <c r="D1576" s="228"/>
      <c r="E1576" s="216"/>
      <c r="F1576" s="221" t="s">
        <v>96</v>
      </c>
      <c r="G1576" s="9" t="s">
        <v>7674</v>
      </c>
      <c r="H1576" s="234"/>
      <c r="I1576" s="232"/>
      <c r="J1576" s="9" t="s">
        <v>7669</v>
      </c>
      <c r="K1576" s="18"/>
      <c r="L1576" s="18"/>
      <c r="M1576" s="18"/>
      <c r="N1576" s="18"/>
      <c r="O1576" s="18"/>
      <c r="P1576" s="18"/>
      <c r="Q1576" s="18"/>
      <c r="R1576" s="18"/>
      <c r="S1576" s="18"/>
      <c r="T1576" s="18"/>
      <c r="U1576" s="18"/>
      <c r="V1576" s="18"/>
      <c r="W1576" s="18"/>
      <c r="X1576" s="18"/>
      <c r="Y1576" s="18"/>
      <c r="Z1576" s="18"/>
    </row>
    <row r="1577" ht="22.5" customHeight="1">
      <c r="A1577" s="272">
        <v>46097.0</v>
      </c>
      <c r="B1577" s="218" t="s">
        <v>7675</v>
      </c>
      <c r="C1577" s="9"/>
      <c r="D1577" s="228" t="s">
        <v>7676</v>
      </c>
      <c r="E1577" s="216">
        <v>9.866572585E9</v>
      </c>
      <c r="F1577" s="221" t="s">
        <v>96</v>
      </c>
      <c r="G1577" s="9" t="s">
        <v>5383</v>
      </c>
      <c r="H1577" s="234"/>
      <c r="I1577" s="232"/>
      <c r="J1577" s="9" t="s">
        <v>7677</v>
      </c>
      <c r="K1577" s="18"/>
      <c r="L1577" s="18"/>
      <c r="M1577" s="18"/>
      <c r="N1577" s="18"/>
      <c r="O1577" s="18"/>
      <c r="P1577" s="18"/>
      <c r="Q1577" s="18"/>
      <c r="R1577" s="18"/>
      <c r="S1577" s="18"/>
      <c r="T1577" s="18"/>
      <c r="U1577" s="18"/>
      <c r="V1577" s="18"/>
      <c r="W1577" s="18"/>
      <c r="X1577" s="18"/>
      <c r="Y1577" s="18"/>
      <c r="Z1577" s="18"/>
    </row>
    <row r="1578" ht="22.5" customHeight="1">
      <c r="A1578" s="272">
        <v>46097.0</v>
      </c>
      <c r="B1578" s="218" t="s">
        <v>7678</v>
      </c>
      <c r="C1578" s="9"/>
      <c r="D1578" s="228" t="s">
        <v>7679</v>
      </c>
      <c r="E1578" s="216">
        <v>8.008607777E9</v>
      </c>
      <c r="F1578" s="221" t="s">
        <v>96</v>
      </c>
      <c r="G1578" s="9" t="s">
        <v>5383</v>
      </c>
      <c r="H1578" s="234"/>
      <c r="I1578" s="232"/>
      <c r="J1578" s="9" t="s">
        <v>7680</v>
      </c>
      <c r="K1578" s="18"/>
      <c r="L1578" s="18"/>
      <c r="M1578" s="18"/>
      <c r="N1578" s="18"/>
      <c r="O1578" s="18"/>
      <c r="P1578" s="18"/>
      <c r="Q1578" s="18"/>
      <c r="R1578" s="18"/>
      <c r="S1578" s="18"/>
      <c r="T1578" s="18"/>
      <c r="U1578" s="18"/>
      <c r="V1578" s="18"/>
      <c r="W1578" s="18"/>
      <c r="X1578" s="18"/>
      <c r="Y1578" s="18"/>
      <c r="Z1578" s="18"/>
    </row>
    <row r="1579" ht="22.5" customHeight="1">
      <c r="A1579" s="272">
        <v>46097.0</v>
      </c>
      <c r="B1579" s="218" t="s">
        <v>7681</v>
      </c>
      <c r="C1579" s="9"/>
      <c r="D1579" s="228" t="s">
        <v>7682</v>
      </c>
      <c r="E1579" s="216">
        <v>7.977765789E9</v>
      </c>
      <c r="F1579" s="221" t="s">
        <v>1919</v>
      </c>
      <c r="G1579" s="9" t="s">
        <v>7683</v>
      </c>
      <c r="H1579" s="234"/>
      <c r="I1579" s="232"/>
      <c r="J1579" s="9" t="s">
        <v>7684</v>
      </c>
      <c r="K1579" s="18"/>
      <c r="L1579" s="18"/>
      <c r="M1579" s="18"/>
      <c r="N1579" s="18"/>
      <c r="O1579" s="18"/>
      <c r="P1579" s="18"/>
      <c r="Q1579" s="18"/>
      <c r="R1579" s="18"/>
      <c r="S1579" s="18"/>
      <c r="T1579" s="18"/>
      <c r="U1579" s="18"/>
      <c r="V1579" s="18"/>
      <c r="W1579" s="18"/>
      <c r="X1579" s="18"/>
      <c r="Y1579" s="18"/>
      <c r="Z1579" s="18"/>
    </row>
    <row r="1580" ht="22.5" customHeight="1">
      <c r="A1580" s="272">
        <v>46097.0</v>
      </c>
      <c r="B1580" s="218" t="s">
        <v>7685</v>
      </c>
      <c r="C1580" s="9" t="s">
        <v>3356</v>
      </c>
      <c r="D1580" s="228"/>
      <c r="E1580" s="216"/>
      <c r="F1580" s="221" t="s">
        <v>1919</v>
      </c>
      <c r="G1580" s="9" t="s">
        <v>7686</v>
      </c>
      <c r="H1580" s="234">
        <v>46098.0</v>
      </c>
      <c r="I1580" s="232">
        <v>0.5625</v>
      </c>
      <c r="J1580" s="35" t="s">
        <v>7687</v>
      </c>
      <c r="K1580" s="18"/>
      <c r="L1580" s="18"/>
      <c r="M1580" s="18"/>
      <c r="N1580" s="18"/>
      <c r="O1580" s="18"/>
      <c r="P1580" s="18"/>
      <c r="Q1580" s="18"/>
      <c r="R1580" s="18"/>
      <c r="S1580" s="18"/>
      <c r="T1580" s="18"/>
      <c r="U1580" s="18"/>
      <c r="V1580" s="18"/>
      <c r="W1580" s="18"/>
      <c r="X1580" s="18"/>
      <c r="Y1580" s="18"/>
      <c r="Z1580" s="18"/>
    </row>
    <row r="1581" ht="22.5" customHeight="1">
      <c r="A1581" s="272">
        <v>46097.0</v>
      </c>
      <c r="B1581" s="218" t="s">
        <v>7688</v>
      </c>
      <c r="C1581" s="9"/>
      <c r="D1581" s="228"/>
      <c r="E1581" s="216"/>
      <c r="F1581" s="221" t="s">
        <v>96</v>
      </c>
      <c r="G1581" s="9" t="s">
        <v>7689</v>
      </c>
      <c r="H1581" s="234"/>
      <c r="I1581" s="232"/>
      <c r="J1581" s="9" t="s">
        <v>7690</v>
      </c>
      <c r="K1581" s="18"/>
      <c r="L1581" s="18"/>
      <c r="M1581" s="18"/>
      <c r="N1581" s="18"/>
      <c r="O1581" s="18"/>
      <c r="P1581" s="18"/>
      <c r="Q1581" s="18"/>
      <c r="R1581" s="18"/>
      <c r="S1581" s="18"/>
      <c r="T1581" s="18"/>
      <c r="U1581" s="18"/>
      <c r="V1581" s="18"/>
      <c r="W1581" s="18"/>
      <c r="X1581" s="18"/>
      <c r="Y1581" s="18"/>
      <c r="Z1581" s="18"/>
    </row>
    <row r="1582" ht="22.5" customHeight="1">
      <c r="A1582" s="272">
        <v>46097.0</v>
      </c>
      <c r="B1582" s="218" t="s">
        <v>7691</v>
      </c>
      <c r="C1582" s="9"/>
      <c r="D1582" s="228"/>
      <c r="E1582" s="216"/>
      <c r="F1582" s="221" t="s">
        <v>96</v>
      </c>
      <c r="G1582" s="9" t="s">
        <v>7689</v>
      </c>
      <c r="H1582" s="234"/>
      <c r="I1582" s="232"/>
      <c r="J1582" s="9" t="s">
        <v>7690</v>
      </c>
      <c r="K1582" s="18"/>
      <c r="L1582" s="18"/>
      <c r="M1582" s="18"/>
      <c r="N1582" s="18"/>
      <c r="O1582" s="18"/>
      <c r="P1582" s="18"/>
      <c r="Q1582" s="18"/>
      <c r="R1582" s="18"/>
      <c r="S1582" s="18"/>
      <c r="T1582" s="18"/>
      <c r="U1582" s="18"/>
      <c r="V1582" s="18"/>
      <c r="W1582" s="18"/>
      <c r="X1582" s="18"/>
      <c r="Y1582" s="18"/>
      <c r="Z1582" s="18"/>
    </row>
    <row r="1583" ht="22.5" customHeight="1">
      <c r="A1583" s="272">
        <v>46097.0</v>
      </c>
      <c r="B1583" s="218" t="s">
        <v>7692</v>
      </c>
      <c r="C1583" s="9"/>
      <c r="D1583" s="228" t="s">
        <v>7693</v>
      </c>
      <c r="E1583" s="216">
        <v>9.985515133E9</v>
      </c>
      <c r="F1583" s="221" t="s">
        <v>1919</v>
      </c>
      <c r="G1583" s="9" t="s">
        <v>7694</v>
      </c>
      <c r="H1583" s="234"/>
      <c r="I1583" s="232"/>
      <c r="J1583" s="35" t="s">
        <v>7695</v>
      </c>
      <c r="K1583" s="18"/>
      <c r="L1583" s="18"/>
      <c r="M1583" s="18"/>
      <c r="N1583" s="18"/>
      <c r="O1583" s="18"/>
      <c r="P1583" s="18"/>
      <c r="Q1583" s="18"/>
      <c r="R1583" s="18"/>
      <c r="S1583" s="18"/>
      <c r="T1583" s="18"/>
      <c r="U1583" s="18"/>
      <c r="V1583" s="18"/>
      <c r="W1583" s="18"/>
      <c r="X1583" s="18"/>
      <c r="Y1583" s="18"/>
      <c r="Z1583" s="18"/>
    </row>
    <row r="1584" ht="22.5" customHeight="1">
      <c r="A1584" s="272">
        <v>46097.0</v>
      </c>
      <c r="B1584" s="218" t="s">
        <v>7696</v>
      </c>
      <c r="C1584" s="9"/>
      <c r="D1584" s="228" t="s">
        <v>5829</v>
      </c>
      <c r="E1584" s="216">
        <v>9.346198983E9</v>
      </c>
      <c r="F1584" s="221" t="s">
        <v>1919</v>
      </c>
      <c r="G1584" s="9" t="s">
        <v>7697</v>
      </c>
      <c r="H1584" s="234">
        <v>46097.0</v>
      </c>
      <c r="I1584" s="232">
        <v>0.7083333333333334</v>
      </c>
      <c r="J1584" s="9" t="s">
        <v>7698</v>
      </c>
      <c r="K1584" s="18"/>
      <c r="L1584" s="18"/>
      <c r="M1584" s="18"/>
      <c r="N1584" s="18"/>
      <c r="O1584" s="18"/>
      <c r="P1584" s="18"/>
      <c r="Q1584" s="18"/>
      <c r="R1584" s="18"/>
      <c r="S1584" s="18"/>
      <c r="T1584" s="18"/>
      <c r="U1584" s="18"/>
      <c r="V1584" s="18"/>
      <c r="W1584" s="18"/>
      <c r="X1584" s="18"/>
      <c r="Y1584" s="18"/>
      <c r="Z1584" s="18"/>
    </row>
    <row r="1585" ht="22.5" customHeight="1">
      <c r="A1585" s="272">
        <v>46097.0</v>
      </c>
      <c r="B1585" s="218" t="s">
        <v>7699</v>
      </c>
      <c r="C1585" s="9"/>
      <c r="D1585" s="228" t="s">
        <v>7629</v>
      </c>
      <c r="E1585" s="216">
        <v>7.842474608E9</v>
      </c>
      <c r="F1585" s="221" t="s">
        <v>1919</v>
      </c>
      <c r="G1585" s="9" t="s">
        <v>7700</v>
      </c>
      <c r="H1585" s="234">
        <v>46104.0</v>
      </c>
      <c r="I1585" s="232"/>
      <c r="J1585" s="9" t="s">
        <v>7701</v>
      </c>
      <c r="K1585" s="18"/>
      <c r="L1585" s="18"/>
      <c r="M1585" s="18"/>
      <c r="N1585" s="18"/>
      <c r="O1585" s="18"/>
      <c r="P1585" s="18"/>
      <c r="Q1585" s="18"/>
      <c r="R1585" s="18"/>
      <c r="S1585" s="18"/>
      <c r="T1585" s="18"/>
      <c r="U1585" s="18"/>
      <c r="V1585" s="18"/>
      <c r="W1585" s="18"/>
      <c r="X1585" s="18"/>
      <c r="Y1585" s="18"/>
      <c r="Z1585" s="18"/>
    </row>
    <row r="1586" ht="22.5" customHeight="1">
      <c r="A1586" s="272">
        <v>46097.0</v>
      </c>
      <c r="B1586" s="218" t="s">
        <v>7702</v>
      </c>
      <c r="C1586" s="9"/>
      <c r="D1586" s="228" t="s">
        <v>7703</v>
      </c>
      <c r="E1586" s="216">
        <v>8.686972783E9</v>
      </c>
      <c r="F1586" s="221" t="s">
        <v>1919</v>
      </c>
      <c r="G1586" s="9" t="s">
        <v>5383</v>
      </c>
      <c r="H1586" s="234"/>
      <c r="I1586" s="232"/>
      <c r="J1586" s="9" t="s">
        <v>7704</v>
      </c>
      <c r="K1586" s="18"/>
      <c r="L1586" s="18"/>
      <c r="M1586" s="18"/>
      <c r="N1586" s="18"/>
      <c r="O1586" s="18"/>
      <c r="P1586" s="18"/>
      <c r="Q1586" s="18"/>
      <c r="R1586" s="18"/>
      <c r="S1586" s="18"/>
      <c r="T1586" s="18"/>
      <c r="U1586" s="18"/>
      <c r="V1586" s="18"/>
      <c r="W1586" s="18"/>
      <c r="X1586" s="18"/>
      <c r="Y1586" s="18"/>
      <c r="Z1586" s="18"/>
    </row>
    <row r="1587" ht="22.5" customHeight="1">
      <c r="A1587" s="272">
        <v>46097.0</v>
      </c>
      <c r="B1587" s="218" t="s">
        <v>6179</v>
      </c>
      <c r="C1587" s="9"/>
      <c r="D1587" s="228" t="s">
        <v>7705</v>
      </c>
      <c r="E1587" s="216">
        <v>9.246178788E9</v>
      </c>
      <c r="F1587" s="221" t="s">
        <v>1919</v>
      </c>
      <c r="G1587" s="9" t="s">
        <v>7706</v>
      </c>
      <c r="H1587" s="234">
        <v>46097.0</v>
      </c>
      <c r="I1587" s="232">
        <v>0.8333333333333334</v>
      </c>
      <c r="J1587" s="9" t="s">
        <v>7707</v>
      </c>
      <c r="K1587" s="18"/>
      <c r="L1587" s="18"/>
      <c r="M1587" s="18"/>
      <c r="N1587" s="18"/>
      <c r="O1587" s="18"/>
      <c r="P1587" s="18"/>
      <c r="Q1587" s="18"/>
      <c r="R1587" s="18"/>
      <c r="S1587" s="18"/>
      <c r="T1587" s="18"/>
      <c r="U1587" s="18"/>
      <c r="V1587" s="18"/>
      <c r="W1587" s="18"/>
      <c r="X1587" s="18"/>
      <c r="Y1587" s="18"/>
      <c r="Z1587" s="18"/>
    </row>
    <row r="1588" ht="22.5" customHeight="1">
      <c r="A1588" s="272">
        <v>46097.0</v>
      </c>
      <c r="B1588" s="15" t="s">
        <v>7708</v>
      </c>
      <c r="C1588" s="9"/>
      <c r="D1588" s="228"/>
      <c r="E1588" s="216"/>
      <c r="F1588" s="221" t="s">
        <v>96</v>
      </c>
      <c r="G1588" s="9" t="s">
        <v>7709</v>
      </c>
      <c r="H1588" s="234"/>
      <c r="I1588" s="232"/>
      <c r="J1588" s="9"/>
      <c r="K1588" s="18"/>
      <c r="L1588" s="18"/>
      <c r="M1588" s="18"/>
      <c r="N1588" s="18"/>
      <c r="O1588" s="18"/>
      <c r="P1588" s="18"/>
      <c r="Q1588" s="18"/>
      <c r="R1588" s="18"/>
      <c r="S1588" s="18"/>
      <c r="T1588" s="18"/>
      <c r="U1588" s="18"/>
      <c r="V1588" s="18"/>
      <c r="W1588" s="18"/>
      <c r="X1588" s="18"/>
      <c r="Y1588" s="18"/>
      <c r="Z1588" s="18"/>
    </row>
    <row r="1589" ht="22.5" customHeight="1">
      <c r="A1589" s="272">
        <v>46097.0</v>
      </c>
      <c r="B1589" s="15" t="s">
        <v>7710</v>
      </c>
      <c r="C1589" s="9"/>
      <c r="D1589" s="228"/>
      <c r="E1589" s="216"/>
      <c r="F1589" s="221" t="s">
        <v>96</v>
      </c>
      <c r="G1589" s="9" t="s">
        <v>7709</v>
      </c>
      <c r="H1589" s="234"/>
      <c r="I1589" s="232"/>
      <c r="J1589" s="9"/>
      <c r="K1589" s="18"/>
      <c r="L1589" s="18"/>
      <c r="M1589" s="18"/>
      <c r="N1589" s="18"/>
      <c r="O1589" s="18"/>
      <c r="P1589" s="18"/>
      <c r="Q1589" s="18"/>
      <c r="R1589" s="18"/>
      <c r="S1589" s="18"/>
      <c r="T1589" s="18"/>
      <c r="U1589" s="18"/>
      <c r="V1589" s="18"/>
      <c r="W1589" s="18"/>
      <c r="X1589" s="18"/>
      <c r="Y1589" s="18"/>
      <c r="Z1589" s="18"/>
    </row>
    <row r="1590" ht="22.5" customHeight="1">
      <c r="A1590" s="272">
        <v>46097.0</v>
      </c>
      <c r="B1590" s="218" t="s">
        <v>7711</v>
      </c>
      <c r="C1590" s="9" t="s">
        <v>7712</v>
      </c>
      <c r="D1590" s="228"/>
      <c r="E1590" s="216"/>
      <c r="F1590" s="221" t="s">
        <v>1919</v>
      </c>
      <c r="G1590" s="9" t="s">
        <v>7709</v>
      </c>
      <c r="H1590" s="234"/>
      <c r="I1590" s="232"/>
      <c r="J1590" s="9"/>
      <c r="K1590" s="18"/>
      <c r="L1590" s="18"/>
      <c r="M1590" s="18"/>
      <c r="N1590" s="18"/>
      <c r="O1590" s="18"/>
      <c r="P1590" s="18"/>
      <c r="Q1590" s="18"/>
      <c r="R1590" s="18"/>
      <c r="S1590" s="18"/>
      <c r="T1590" s="18"/>
      <c r="U1590" s="18"/>
      <c r="V1590" s="18"/>
      <c r="W1590" s="18"/>
      <c r="X1590" s="18"/>
      <c r="Y1590" s="18"/>
      <c r="Z1590" s="18"/>
    </row>
    <row r="1591" ht="22.5" customHeight="1">
      <c r="A1591" s="236">
        <v>46098.0</v>
      </c>
      <c r="B1591" s="218" t="s">
        <v>7713</v>
      </c>
      <c r="C1591" s="9"/>
      <c r="D1591" s="228" t="s">
        <v>4294</v>
      </c>
      <c r="E1591" s="216">
        <v>7.799550044E9</v>
      </c>
      <c r="F1591" s="221" t="s">
        <v>1919</v>
      </c>
      <c r="G1591" s="9" t="s">
        <v>7714</v>
      </c>
      <c r="H1591" s="234"/>
      <c r="I1591" s="232"/>
      <c r="J1591" s="79" t="s">
        <v>7715</v>
      </c>
      <c r="K1591" s="18"/>
      <c r="L1591" s="18"/>
      <c r="M1591" s="18"/>
      <c r="N1591" s="18"/>
      <c r="O1591" s="18"/>
      <c r="P1591" s="18"/>
      <c r="Q1591" s="18"/>
      <c r="R1591" s="18"/>
      <c r="S1591" s="18"/>
      <c r="T1591" s="18"/>
      <c r="U1591" s="18"/>
      <c r="V1591" s="18"/>
      <c r="W1591" s="18"/>
      <c r="X1591" s="18"/>
      <c r="Y1591" s="18"/>
      <c r="Z1591" s="18"/>
    </row>
    <row r="1592" ht="22.5" customHeight="1">
      <c r="A1592" s="236">
        <v>46098.0</v>
      </c>
      <c r="B1592" s="218" t="s">
        <v>7716</v>
      </c>
      <c r="C1592" s="9"/>
      <c r="D1592" s="228"/>
      <c r="E1592" s="216"/>
      <c r="F1592" s="221" t="s">
        <v>241</v>
      </c>
      <c r="G1592" s="9" t="s">
        <v>7717</v>
      </c>
      <c r="H1592" s="234"/>
      <c r="I1592" s="232"/>
      <c r="J1592" s="79" t="s">
        <v>7718</v>
      </c>
      <c r="K1592" s="18"/>
      <c r="L1592" s="18"/>
      <c r="M1592" s="18"/>
      <c r="N1592" s="18"/>
      <c r="O1592" s="18"/>
      <c r="P1592" s="18"/>
      <c r="Q1592" s="18"/>
      <c r="R1592" s="18"/>
      <c r="S1592" s="18"/>
      <c r="T1592" s="18"/>
      <c r="U1592" s="18"/>
      <c r="V1592" s="18"/>
      <c r="W1592" s="18"/>
      <c r="X1592" s="18"/>
      <c r="Y1592" s="18"/>
      <c r="Z1592" s="18"/>
    </row>
    <row r="1593" ht="22.5" customHeight="1">
      <c r="A1593" s="236">
        <v>46098.0</v>
      </c>
      <c r="B1593" s="218" t="s">
        <v>7719</v>
      </c>
      <c r="C1593" s="9"/>
      <c r="D1593" s="228" t="s">
        <v>6173</v>
      </c>
      <c r="E1593" s="216"/>
      <c r="F1593" s="221" t="s">
        <v>241</v>
      </c>
      <c r="G1593" s="9" t="s">
        <v>7720</v>
      </c>
      <c r="H1593" s="234">
        <v>46101.0</v>
      </c>
      <c r="I1593" s="232"/>
      <c r="J1593" s="9" t="s">
        <v>7721</v>
      </c>
      <c r="K1593" s="18"/>
      <c r="L1593" s="18"/>
      <c r="M1593" s="18"/>
      <c r="N1593" s="18"/>
      <c r="O1593" s="18"/>
      <c r="P1593" s="18"/>
      <c r="Q1593" s="18"/>
      <c r="R1593" s="18"/>
      <c r="S1593" s="18"/>
      <c r="T1593" s="18"/>
      <c r="U1593" s="18"/>
      <c r="V1593" s="18"/>
      <c r="W1593" s="18"/>
      <c r="X1593" s="18"/>
      <c r="Y1593" s="18"/>
      <c r="Z1593" s="18"/>
    </row>
    <row r="1594" ht="22.5" customHeight="1">
      <c r="A1594" s="236">
        <v>46098.0</v>
      </c>
      <c r="B1594" s="218" t="s">
        <v>6222</v>
      </c>
      <c r="C1594" s="9"/>
      <c r="D1594" s="228" t="s">
        <v>7722</v>
      </c>
      <c r="E1594" s="216"/>
      <c r="F1594" s="221" t="s">
        <v>241</v>
      </c>
      <c r="G1594" s="9" t="s">
        <v>7723</v>
      </c>
      <c r="H1594" s="234">
        <v>46104.0</v>
      </c>
      <c r="I1594" s="232"/>
      <c r="J1594" s="9" t="s">
        <v>7724</v>
      </c>
      <c r="K1594" s="18"/>
      <c r="L1594" s="18"/>
      <c r="M1594" s="18"/>
      <c r="N1594" s="18"/>
      <c r="O1594" s="18"/>
      <c r="P1594" s="18"/>
      <c r="Q1594" s="18"/>
      <c r="R1594" s="18"/>
      <c r="S1594" s="18"/>
      <c r="T1594" s="18"/>
      <c r="U1594" s="18"/>
      <c r="V1594" s="18"/>
      <c r="W1594" s="18"/>
      <c r="X1594" s="18"/>
      <c r="Y1594" s="18"/>
      <c r="Z1594" s="18"/>
    </row>
    <row r="1595" ht="22.5" customHeight="1">
      <c r="A1595" s="236">
        <v>46098.0</v>
      </c>
      <c r="B1595" s="218" t="s">
        <v>7725</v>
      </c>
      <c r="C1595" s="9"/>
      <c r="D1595" s="228" t="s">
        <v>7726</v>
      </c>
      <c r="E1595" s="216">
        <v>9.885484224E9</v>
      </c>
      <c r="F1595" s="221" t="s">
        <v>241</v>
      </c>
      <c r="G1595" s="9" t="s">
        <v>7727</v>
      </c>
      <c r="H1595" s="234">
        <v>46098.0</v>
      </c>
      <c r="I1595" s="232">
        <v>0.6666666666666666</v>
      </c>
      <c r="J1595" s="9" t="s">
        <v>7728</v>
      </c>
      <c r="K1595" s="18"/>
      <c r="L1595" s="18"/>
      <c r="M1595" s="18"/>
      <c r="N1595" s="18"/>
      <c r="O1595" s="18"/>
      <c r="P1595" s="18"/>
      <c r="Q1595" s="18"/>
      <c r="R1595" s="18"/>
      <c r="S1595" s="18"/>
      <c r="T1595" s="18"/>
      <c r="U1595" s="18"/>
      <c r="V1595" s="18"/>
      <c r="W1595" s="18"/>
      <c r="X1595" s="18"/>
      <c r="Y1595" s="18"/>
      <c r="Z1595" s="18"/>
    </row>
    <row r="1596" ht="22.5" customHeight="1">
      <c r="A1596" s="236">
        <v>46098.0</v>
      </c>
      <c r="B1596" s="218" t="s">
        <v>7729</v>
      </c>
      <c r="C1596" s="9"/>
      <c r="D1596" s="228"/>
      <c r="E1596" s="216"/>
      <c r="F1596" s="221" t="s">
        <v>96</v>
      </c>
      <c r="G1596" s="9" t="s">
        <v>7730</v>
      </c>
      <c r="H1596" s="234">
        <v>46098.0</v>
      </c>
      <c r="I1596" s="232">
        <v>0.5</v>
      </c>
      <c r="J1596" s="9" t="s">
        <v>7731</v>
      </c>
      <c r="K1596" s="18"/>
      <c r="L1596" s="18"/>
      <c r="M1596" s="18"/>
      <c r="N1596" s="18"/>
      <c r="O1596" s="18"/>
      <c r="P1596" s="18"/>
      <c r="Q1596" s="18"/>
      <c r="R1596" s="18"/>
      <c r="S1596" s="18"/>
      <c r="T1596" s="18"/>
      <c r="U1596" s="18"/>
      <c r="V1596" s="18"/>
      <c r="W1596" s="18"/>
      <c r="X1596" s="18"/>
      <c r="Y1596" s="18"/>
      <c r="Z1596" s="18"/>
    </row>
    <row r="1597" ht="22.5" customHeight="1">
      <c r="A1597" s="236">
        <v>46098.0</v>
      </c>
      <c r="B1597" s="218" t="s">
        <v>7732</v>
      </c>
      <c r="C1597" s="9"/>
      <c r="D1597" s="228"/>
      <c r="E1597" s="216"/>
      <c r="F1597" s="221" t="s">
        <v>186</v>
      </c>
      <c r="G1597" s="9" t="s">
        <v>7733</v>
      </c>
      <c r="H1597" s="234"/>
      <c r="I1597" s="232"/>
      <c r="J1597" s="9"/>
      <c r="K1597" s="18"/>
      <c r="L1597" s="18"/>
      <c r="M1597" s="18"/>
      <c r="N1597" s="18"/>
      <c r="O1597" s="18"/>
      <c r="P1597" s="18"/>
      <c r="Q1597" s="18"/>
      <c r="R1597" s="18"/>
      <c r="S1597" s="18"/>
      <c r="T1597" s="18"/>
      <c r="U1597" s="18"/>
      <c r="V1597" s="18"/>
      <c r="W1597" s="18"/>
      <c r="X1597" s="18"/>
      <c r="Y1597" s="18"/>
      <c r="Z1597" s="18"/>
    </row>
    <row r="1598" ht="22.5" customHeight="1">
      <c r="A1598" s="236">
        <v>46098.0</v>
      </c>
      <c r="B1598" s="218" t="s">
        <v>7734</v>
      </c>
      <c r="C1598" s="9"/>
      <c r="D1598" s="228" t="s">
        <v>7735</v>
      </c>
      <c r="E1598" s="216">
        <v>7.680825252E9</v>
      </c>
      <c r="F1598" s="221" t="s">
        <v>248</v>
      </c>
      <c r="G1598" s="9" t="s">
        <v>7736</v>
      </c>
      <c r="H1598" s="234">
        <v>46101.0</v>
      </c>
      <c r="I1598" s="232"/>
      <c r="J1598" s="9" t="s">
        <v>7737</v>
      </c>
      <c r="K1598" s="18"/>
      <c r="L1598" s="18"/>
      <c r="M1598" s="18"/>
      <c r="N1598" s="18"/>
      <c r="O1598" s="18"/>
      <c r="P1598" s="18"/>
      <c r="Q1598" s="18"/>
      <c r="R1598" s="18"/>
      <c r="S1598" s="18"/>
      <c r="T1598" s="18"/>
      <c r="U1598" s="18"/>
      <c r="V1598" s="18"/>
      <c r="W1598" s="18"/>
      <c r="X1598" s="18"/>
      <c r="Y1598" s="18"/>
      <c r="Z1598" s="18"/>
    </row>
    <row r="1599" ht="22.5" customHeight="1">
      <c r="A1599" s="236">
        <v>46098.0</v>
      </c>
      <c r="B1599" s="218" t="s">
        <v>7738</v>
      </c>
      <c r="C1599" s="9"/>
      <c r="D1599" s="228" t="s">
        <v>7739</v>
      </c>
      <c r="E1599" s="216">
        <v>7.347413137E9</v>
      </c>
      <c r="F1599" s="221" t="s">
        <v>248</v>
      </c>
      <c r="G1599" s="9" t="s">
        <v>7740</v>
      </c>
      <c r="H1599" s="234">
        <v>46101.0</v>
      </c>
      <c r="I1599" s="232"/>
      <c r="J1599" s="9" t="s">
        <v>7741</v>
      </c>
      <c r="K1599" s="18"/>
      <c r="L1599" s="18"/>
      <c r="M1599" s="18"/>
      <c r="N1599" s="18"/>
      <c r="O1599" s="18"/>
      <c r="P1599" s="18"/>
      <c r="Q1599" s="18"/>
      <c r="R1599" s="18"/>
      <c r="S1599" s="18"/>
      <c r="T1599" s="18"/>
      <c r="U1599" s="18"/>
      <c r="V1599" s="18"/>
      <c r="W1599" s="18"/>
      <c r="X1599" s="18"/>
      <c r="Y1599" s="18"/>
      <c r="Z1599" s="18"/>
    </row>
    <row r="1600" ht="22.5" customHeight="1">
      <c r="A1600" s="236">
        <v>46098.0</v>
      </c>
      <c r="B1600" s="218" t="s">
        <v>7742</v>
      </c>
      <c r="C1600" s="9"/>
      <c r="D1600" s="228" t="s">
        <v>7743</v>
      </c>
      <c r="E1600" s="216">
        <v>9.390353857E9</v>
      </c>
      <c r="F1600" s="221" t="s">
        <v>248</v>
      </c>
      <c r="G1600" s="9" t="s">
        <v>7744</v>
      </c>
      <c r="H1600" s="234"/>
      <c r="I1600" s="232"/>
      <c r="J1600" s="9" t="s">
        <v>7745</v>
      </c>
      <c r="K1600" s="18"/>
      <c r="L1600" s="18"/>
      <c r="M1600" s="18"/>
      <c r="N1600" s="18"/>
      <c r="O1600" s="18"/>
      <c r="P1600" s="18"/>
      <c r="Q1600" s="18"/>
      <c r="R1600" s="18"/>
      <c r="S1600" s="18"/>
      <c r="T1600" s="18"/>
      <c r="U1600" s="18"/>
      <c r="V1600" s="18"/>
      <c r="W1600" s="18"/>
      <c r="X1600" s="18"/>
      <c r="Y1600" s="18"/>
      <c r="Z1600" s="18"/>
    </row>
    <row r="1601" ht="22.5" customHeight="1">
      <c r="A1601" s="236">
        <v>46098.0</v>
      </c>
      <c r="B1601" s="218" t="s">
        <v>7746</v>
      </c>
      <c r="C1601" s="9"/>
      <c r="D1601" s="228" t="s">
        <v>7747</v>
      </c>
      <c r="E1601" s="216">
        <v>8.121575663E9</v>
      </c>
      <c r="F1601" s="221" t="s">
        <v>1919</v>
      </c>
      <c r="G1601" s="9" t="s">
        <v>7748</v>
      </c>
      <c r="H1601" s="234"/>
      <c r="I1601" s="232"/>
      <c r="J1601" s="9" t="s">
        <v>7749</v>
      </c>
      <c r="K1601" s="18"/>
      <c r="L1601" s="18"/>
      <c r="M1601" s="18"/>
      <c r="N1601" s="18"/>
      <c r="O1601" s="18"/>
      <c r="P1601" s="18"/>
      <c r="Q1601" s="18"/>
      <c r="R1601" s="18"/>
      <c r="S1601" s="18"/>
      <c r="T1601" s="18"/>
      <c r="U1601" s="18"/>
      <c r="V1601" s="18"/>
      <c r="W1601" s="18"/>
      <c r="X1601" s="18"/>
      <c r="Y1601" s="18"/>
      <c r="Z1601" s="18"/>
    </row>
    <row r="1602" ht="22.5" customHeight="1">
      <c r="A1602" s="236">
        <v>46098.0</v>
      </c>
      <c r="B1602" s="218" t="s">
        <v>7750</v>
      </c>
      <c r="C1602" s="9" t="s">
        <v>147</v>
      </c>
      <c r="D1602" s="228"/>
      <c r="E1602" s="216"/>
      <c r="F1602" s="221" t="s">
        <v>1919</v>
      </c>
      <c r="G1602" s="9" t="s">
        <v>7751</v>
      </c>
      <c r="H1602" s="234"/>
      <c r="I1602" s="232"/>
      <c r="J1602" s="9"/>
      <c r="K1602" s="18"/>
      <c r="L1602" s="18"/>
      <c r="M1602" s="18"/>
      <c r="N1602" s="18"/>
      <c r="O1602" s="18"/>
      <c r="P1602" s="18"/>
      <c r="Q1602" s="18"/>
      <c r="R1602" s="18"/>
      <c r="S1602" s="18"/>
      <c r="T1602" s="18"/>
      <c r="U1602" s="18"/>
      <c r="V1602" s="18"/>
      <c r="W1602" s="18"/>
      <c r="X1602" s="18"/>
      <c r="Y1602" s="18"/>
      <c r="Z1602" s="18"/>
    </row>
    <row r="1603" ht="22.5" customHeight="1">
      <c r="A1603" s="236">
        <v>46098.0</v>
      </c>
      <c r="B1603" s="218" t="s">
        <v>7750</v>
      </c>
      <c r="C1603" s="9" t="s">
        <v>1961</v>
      </c>
      <c r="D1603" s="228"/>
      <c r="E1603" s="216"/>
      <c r="F1603" s="221" t="s">
        <v>1919</v>
      </c>
      <c r="G1603" s="218" t="s">
        <v>7752</v>
      </c>
      <c r="H1603" s="234"/>
      <c r="I1603" s="232"/>
      <c r="J1603" s="9"/>
      <c r="K1603" s="18"/>
      <c r="L1603" s="18"/>
      <c r="M1603" s="18"/>
      <c r="N1603" s="18"/>
      <c r="O1603" s="18"/>
      <c r="P1603" s="18"/>
      <c r="Q1603" s="18"/>
      <c r="R1603" s="18"/>
      <c r="S1603" s="18"/>
      <c r="T1603" s="18"/>
      <c r="U1603" s="18"/>
      <c r="V1603" s="18"/>
      <c r="W1603" s="18"/>
      <c r="X1603" s="18"/>
      <c r="Y1603" s="18"/>
      <c r="Z1603" s="18"/>
    </row>
    <row r="1604" ht="22.5" customHeight="1">
      <c r="A1604" s="236">
        <v>46098.0</v>
      </c>
      <c r="B1604" s="218" t="s">
        <v>7753</v>
      </c>
      <c r="C1604" s="9"/>
      <c r="D1604" s="228"/>
      <c r="E1604" s="216"/>
      <c r="F1604" s="221" t="s">
        <v>96</v>
      </c>
      <c r="G1604" s="9" t="s">
        <v>7754</v>
      </c>
      <c r="H1604" s="234"/>
      <c r="I1604" s="232"/>
      <c r="J1604" s="9"/>
      <c r="K1604" s="18"/>
      <c r="L1604" s="18"/>
      <c r="M1604" s="18"/>
      <c r="N1604" s="18"/>
      <c r="O1604" s="18"/>
      <c r="P1604" s="18"/>
      <c r="Q1604" s="18"/>
      <c r="R1604" s="18"/>
      <c r="S1604" s="18"/>
      <c r="T1604" s="18"/>
      <c r="U1604" s="18"/>
      <c r="V1604" s="18"/>
      <c r="W1604" s="18"/>
      <c r="X1604" s="18"/>
      <c r="Y1604" s="18"/>
      <c r="Z1604" s="18"/>
    </row>
    <row r="1605" ht="22.5" customHeight="1">
      <c r="A1605" s="236">
        <v>46098.0</v>
      </c>
      <c r="B1605" s="218" t="s">
        <v>7755</v>
      </c>
      <c r="C1605" s="9"/>
      <c r="D1605" s="228"/>
      <c r="E1605" s="216"/>
      <c r="F1605" s="221" t="s">
        <v>96</v>
      </c>
      <c r="G1605" s="9" t="s">
        <v>7756</v>
      </c>
      <c r="H1605" s="234"/>
      <c r="I1605" s="232"/>
      <c r="J1605" s="9"/>
      <c r="K1605" s="18"/>
      <c r="L1605" s="18"/>
      <c r="M1605" s="18"/>
      <c r="N1605" s="18"/>
      <c r="O1605" s="18"/>
      <c r="P1605" s="18"/>
      <c r="Q1605" s="18"/>
      <c r="R1605" s="18"/>
      <c r="S1605" s="18"/>
      <c r="T1605" s="18"/>
      <c r="U1605" s="18"/>
      <c r="V1605" s="18"/>
      <c r="W1605" s="18"/>
      <c r="X1605" s="18"/>
      <c r="Y1605" s="18"/>
      <c r="Z1605" s="18"/>
    </row>
    <row r="1606" ht="22.5" customHeight="1">
      <c r="A1606" s="236">
        <v>46098.0</v>
      </c>
      <c r="B1606" s="218" t="s">
        <v>7757</v>
      </c>
      <c r="C1606" s="9"/>
      <c r="D1606" s="228" t="s">
        <v>7758</v>
      </c>
      <c r="E1606" s="216">
        <v>9.160002E9</v>
      </c>
      <c r="F1606" s="221" t="s">
        <v>248</v>
      </c>
      <c r="G1606" s="9" t="s">
        <v>7759</v>
      </c>
      <c r="H1606" s="234">
        <v>46099.0</v>
      </c>
      <c r="I1606" s="232"/>
      <c r="J1606" s="9" t="s">
        <v>7760</v>
      </c>
      <c r="K1606" s="18"/>
      <c r="L1606" s="18"/>
      <c r="M1606" s="18"/>
      <c r="N1606" s="18"/>
      <c r="O1606" s="18"/>
      <c r="P1606" s="18"/>
      <c r="Q1606" s="18"/>
      <c r="R1606" s="18"/>
      <c r="S1606" s="18"/>
      <c r="T1606" s="18"/>
      <c r="U1606" s="18"/>
      <c r="V1606" s="18"/>
      <c r="W1606" s="18"/>
      <c r="X1606" s="18"/>
      <c r="Y1606" s="18"/>
      <c r="Z1606" s="18"/>
    </row>
    <row r="1607" ht="22.5" customHeight="1">
      <c r="A1607" s="236">
        <v>46098.0</v>
      </c>
      <c r="B1607" s="218" t="s">
        <v>7761</v>
      </c>
      <c r="C1607" s="9"/>
      <c r="D1607" s="228" t="s">
        <v>7762</v>
      </c>
      <c r="E1607" s="216">
        <v>9.885166652E9</v>
      </c>
      <c r="F1607" s="221" t="s">
        <v>248</v>
      </c>
      <c r="G1607" s="9" t="s">
        <v>7763</v>
      </c>
      <c r="H1607" s="234">
        <v>46099.0</v>
      </c>
      <c r="I1607" s="232">
        <v>0.625</v>
      </c>
      <c r="J1607" s="9" t="s">
        <v>7764</v>
      </c>
      <c r="K1607" s="18"/>
      <c r="L1607" s="18"/>
      <c r="M1607" s="18"/>
      <c r="N1607" s="18"/>
      <c r="O1607" s="18"/>
      <c r="P1607" s="18"/>
      <c r="Q1607" s="18"/>
      <c r="R1607" s="18"/>
      <c r="S1607" s="18"/>
      <c r="T1607" s="18"/>
      <c r="U1607" s="18"/>
      <c r="V1607" s="18"/>
      <c r="W1607" s="18"/>
      <c r="X1607" s="18"/>
      <c r="Y1607" s="18"/>
      <c r="Z1607" s="18"/>
    </row>
    <row r="1608" ht="22.5" customHeight="1">
      <c r="A1608" s="236">
        <v>46098.0</v>
      </c>
      <c r="B1608" s="218" t="s">
        <v>7765</v>
      </c>
      <c r="C1608" s="9"/>
      <c r="D1608" s="228" t="s">
        <v>6330</v>
      </c>
      <c r="E1608" s="216">
        <v>8.977033476E9</v>
      </c>
      <c r="F1608" s="221" t="s">
        <v>1919</v>
      </c>
      <c r="G1608" s="9" t="s">
        <v>7766</v>
      </c>
      <c r="H1608" s="234">
        <v>46099.0</v>
      </c>
      <c r="I1608" s="232">
        <v>0.6041666666666666</v>
      </c>
      <c r="J1608" s="9" t="s">
        <v>7767</v>
      </c>
      <c r="K1608" s="18"/>
      <c r="L1608" s="18"/>
      <c r="M1608" s="18"/>
      <c r="N1608" s="18"/>
      <c r="O1608" s="18"/>
      <c r="P1608" s="18"/>
      <c r="Q1608" s="18"/>
      <c r="R1608" s="18"/>
      <c r="S1608" s="18"/>
      <c r="T1608" s="18"/>
      <c r="U1608" s="18"/>
      <c r="V1608" s="18"/>
      <c r="W1608" s="18"/>
      <c r="X1608" s="18"/>
      <c r="Y1608" s="18"/>
      <c r="Z1608" s="18"/>
    </row>
    <row r="1609" ht="22.5" customHeight="1">
      <c r="A1609" s="250">
        <v>46098.0</v>
      </c>
      <c r="B1609" s="218" t="s">
        <v>7768</v>
      </c>
      <c r="C1609" s="9"/>
      <c r="D1609" s="228" t="s">
        <v>7397</v>
      </c>
      <c r="E1609" s="216">
        <v>9.052685685E9</v>
      </c>
      <c r="F1609" s="221" t="s">
        <v>248</v>
      </c>
      <c r="G1609" s="9" t="s">
        <v>7769</v>
      </c>
      <c r="H1609" s="234"/>
      <c r="I1609" s="232"/>
      <c r="J1609" s="9" t="s">
        <v>7399</v>
      </c>
      <c r="K1609" s="18"/>
      <c r="L1609" s="18"/>
      <c r="M1609" s="18"/>
      <c r="N1609" s="18"/>
      <c r="O1609" s="18"/>
      <c r="P1609" s="18"/>
      <c r="Q1609" s="18"/>
      <c r="R1609" s="18"/>
      <c r="S1609" s="18"/>
      <c r="T1609" s="18"/>
      <c r="U1609" s="18"/>
      <c r="V1609" s="18"/>
      <c r="W1609" s="18"/>
      <c r="X1609" s="18"/>
      <c r="Y1609" s="18"/>
      <c r="Z1609" s="18"/>
    </row>
    <row r="1610" ht="22.5" customHeight="1">
      <c r="A1610" s="250">
        <v>46098.0</v>
      </c>
      <c r="B1610" s="218" t="s">
        <v>7770</v>
      </c>
      <c r="C1610" s="9" t="s">
        <v>2722</v>
      </c>
      <c r="D1610" s="228" t="s">
        <v>4304</v>
      </c>
      <c r="E1610" s="216">
        <v>9.642888994E9</v>
      </c>
      <c r="F1610" s="221" t="s">
        <v>248</v>
      </c>
      <c r="G1610" s="9" t="s">
        <v>7771</v>
      </c>
      <c r="H1610" s="234"/>
      <c r="I1610" s="232"/>
      <c r="J1610" s="9" t="s">
        <v>7772</v>
      </c>
      <c r="K1610" s="18"/>
      <c r="L1610" s="18"/>
      <c r="M1610" s="18"/>
      <c r="N1610" s="18"/>
      <c r="O1610" s="18"/>
      <c r="P1610" s="18"/>
      <c r="Q1610" s="18"/>
      <c r="R1610" s="18"/>
      <c r="S1610" s="18"/>
      <c r="T1610" s="18"/>
      <c r="U1610" s="18"/>
      <c r="V1610" s="18"/>
      <c r="W1610" s="18"/>
      <c r="X1610" s="18"/>
      <c r="Y1610" s="18"/>
      <c r="Z1610" s="18"/>
    </row>
    <row r="1611" ht="22.5" customHeight="1">
      <c r="A1611" s="250">
        <v>46098.0</v>
      </c>
      <c r="B1611" s="218" t="s">
        <v>7773</v>
      </c>
      <c r="C1611" s="9"/>
      <c r="D1611" s="228"/>
      <c r="E1611" s="216"/>
      <c r="F1611" s="221" t="s">
        <v>96</v>
      </c>
      <c r="G1611" s="9" t="s">
        <v>6795</v>
      </c>
      <c r="H1611" s="234"/>
      <c r="I1611" s="232"/>
      <c r="J1611" s="9"/>
      <c r="K1611" s="18"/>
      <c r="L1611" s="18"/>
      <c r="M1611" s="18"/>
      <c r="N1611" s="18"/>
      <c r="O1611" s="18"/>
      <c r="P1611" s="18"/>
      <c r="Q1611" s="18"/>
      <c r="R1611" s="18"/>
      <c r="S1611" s="18"/>
      <c r="T1611" s="18"/>
      <c r="U1611" s="18"/>
      <c r="V1611" s="18"/>
      <c r="W1611" s="18"/>
      <c r="X1611" s="18"/>
      <c r="Y1611" s="18"/>
      <c r="Z1611" s="18"/>
    </row>
    <row r="1612" ht="22.5" customHeight="1">
      <c r="A1612" s="250">
        <v>46098.0</v>
      </c>
      <c r="B1612" s="218" t="s">
        <v>7774</v>
      </c>
      <c r="C1612" s="9"/>
      <c r="D1612" s="228"/>
      <c r="E1612" s="216"/>
      <c r="F1612" s="221" t="s">
        <v>96</v>
      </c>
      <c r="G1612" s="9" t="s">
        <v>7775</v>
      </c>
      <c r="H1612" s="234"/>
      <c r="I1612" s="232"/>
      <c r="J1612" s="9"/>
      <c r="K1612" s="18"/>
      <c r="L1612" s="18"/>
      <c r="M1612" s="18"/>
      <c r="N1612" s="18"/>
      <c r="O1612" s="18"/>
      <c r="P1612" s="18"/>
      <c r="Q1612" s="18"/>
      <c r="R1612" s="18"/>
      <c r="S1612" s="18"/>
      <c r="T1612" s="18"/>
      <c r="U1612" s="18"/>
      <c r="V1612" s="18"/>
      <c r="W1612" s="18"/>
      <c r="X1612" s="18"/>
      <c r="Y1612" s="18"/>
      <c r="Z1612" s="18"/>
    </row>
    <row r="1613" ht="22.5" customHeight="1">
      <c r="A1613" s="238">
        <v>46099.0</v>
      </c>
      <c r="B1613" s="218" t="s">
        <v>6308</v>
      </c>
      <c r="C1613" s="9"/>
      <c r="D1613" s="228"/>
      <c r="E1613" s="216"/>
      <c r="F1613" s="221" t="s">
        <v>1919</v>
      </c>
      <c r="G1613" s="9" t="s">
        <v>7776</v>
      </c>
      <c r="H1613" s="234"/>
      <c r="I1613" s="232"/>
      <c r="J1613" s="9" t="s">
        <v>7777</v>
      </c>
      <c r="K1613" s="18"/>
      <c r="L1613" s="18"/>
      <c r="M1613" s="18"/>
      <c r="N1613" s="18"/>
      <c r="O1613" s="18"/>
      <c r="P1613" s="18"/>
      <c r="Q1613" s="18"/>
      <c r="R1613" s="18"/>
      <c r="S1613" s="18"/>
      <c r="T1613" s="18"/>
      <c r="U1613" s="18"/>
      <c r="V1613" s="18"/>
      <c r="W1613" s="18"/>
      <c r="X1613" s="18"/>
      <c r="Y1613" s="18"/>
      <c r="Z1613" s="18"/>
    </row>
    <row r="1614" ht="22.5" customHeight="1">
      <c r="A1614" s="238">
        <v>46099.0</v>
      </c>
      <c r="B1614" s="218" t="s">
        <v>7778</v>
      </c>
      <c r="C1614" s="9"/>
      <c r="D1614" s="228" t="s">
        <v>4713</v>
      </c>
      <c r="E1614" s="216">
        <v>9.663893398E9</v>
      </c>
      <c r="F1614" s="221" t="s">
        <v>1919</v>
      </c>
      <c r="G1614" s="9" t="s">
        <v>7341</v>
      </c>
      <c r="H1614" s="234">
        <v>46099.0</v>
      </c>
      <c r="I1614" s="232">
        <v>0.6666666666666666</v>
      </c>
      <c r="J1614" s="9" t="s">
        <v>7779</v>
      </c>
      <c r="K1614" s="18"/>
      <c r="L1614" s="18"/>
      <c r="M1614" s="18"/>
      <c r="N1614" s="18"/>
      <c r="O1614" s="18"/>
      <c r="P1614" s="18"/>
      <c r="Q1614" s="18"/>
      <c r="R1614" s="18"/>
      <c r="S1614" s="18"/>
      <c r="T1614" s="18"/>
      <c r="U1614" s="18"/>
      <c r="V1614" s="18"/>
      <c r="W1614" s="18"/>
      <c r="X1614" s="18"/>
      <c r="Y1614" s="18"/>
      <c r="Z1614" s="18"/>
    </row>
    <row r="1615" ht="22.5" customHeight="1">
      <c r="A1615" s="238">
        <v>46099.0</v>
      </c>
      <c r="B1615" s="218" t="s">
        <v>7780</v>
      </c>
      <c r="C1615" s="9"/>
      <c r="D1615" s="228"/>
      <c r="E1615" s="216"/>
      <c r="F1615" s="221" t="s">
        <v>96</v>
      </c>
      <c r="G1615" s="9" t="s">
        <v>7781</v>
      </c>
      <c r="H1615" s="234">
        <v>46102.0</v>
      </c>
      <c r="I1615" s="232"/>
      <c r="J1615" s="9" t="s">
        <v>7782</v>
      </c>
      <c r="K1615" s="18"/>
      <c r="L1615" s="18"/>
      <c r="M1615" s="18"/>
      <c r="N1615" s="18"/>
      <c r="O1615" s="18"/>
      <c r="P1615" s="18"/>
      <c r="Q1615" s="18"/>
      <c r="R1615" s="18"/>
      <c r="S1615" s="18"/>
      <c r="T1615" s="18"/>
      <c r="U1615" s="18"/>
      <c r="V1615" s="18"/>
      <c r="W1615" s="18"/>
      <c r="X1615" s="18"/>
      <c r="Y1615" s="18"/>
      <c r="Z1615" s="18"/>
    </row>
    <row r="1616" ht="22.5" customHeight="1">
      <c r="A1616" s="238">
        <v>46099.0</v>
      </c>
      <c r="B1616" s="218" t="s">
        <v>7783</v>
      </c>
      <c r="C1616" s="9"/>
      <c r="D1616" s="228" t="s">
        <v>7784</v>
      </c>
      <c r="E1616" s="216">
        <v>9.000000623E9</v>
      </c>
      <c r="F1616" s="221" t="s">
        <v>248</v>
      </c>
      <c r="G1616" s="9" t="s">
        <v>7785</v>
      </c>
      <c r="H1616" s="234"/>
      <c r="I1616" s="232"/>
      <c r="J1616" s="9" t="s">
        <v>7786</v>
      </c>
      <c r="K1616" s="18"/>
      <c r="L1616" s="18"/>
      <c r="M1616" s="18"/>
      <c r="N1616" s="18"/>
      <c r="O1616" s="18"/>
      <c r="P1616" s="18"/>
      <c r="Q1616" s="18"/>
      <c r="R1616" s="18"/>
      <c r="S1616" s="18"/>
      <c r="T1616" s="18"/>
      <c r="U1616" s="18"/>
      <c r="V1616" s="18"/>
      <c r="W1616" s="18"/>
      <c r="X1616" s="18"/>
      <c r="Y1616" s="18"/>
      <c r="Z1616" s="18"/>
    </row>
    <row r="1617" ht="22.5" customHeight="1">
      <c r="A1617" s="238">
        <v>46099.0</v>
      </c>
      <c r="B1617" s="218" t="s">
        <v>7787</v>
      </c>
      <c r="C1617" s="9" t="s">
        <v>1999</v>
      </c>
      <c r="D1617" s="228"/>
      <c r="E1617" s="216"/>
      <c r="F1617" s="221" t="s">
        <v>1919</v>
      </c>
      <c r="G1617" s="9" t="s">
        <v>7788</v>
      </c>
      <c r="H1617" s="234"/>
      <c r="I1617" s="232"/>
      <c r="J1617" s="9"/>
      <c r="K1617" s="18"/>
      <c r="L1617" s="18"/>
      <c r="M1617" s="18"/>
      <c r="N1617" s="18"/>
      <c r="O1617" s="18"/>
      <c r="P1617" s="18"/>
      <c r="Q1617" s="18"/>
      <c r="R1617" s="18"/>
      <c r="S1617" s="18"/>
      <c r="T1617" s="18"/>
      <c r="U1617" s="18"/>
      <c r="V1617" s="18"/>
      <c r="W1617" s="18"/>
      <c r="X1617" s="18"/>
      <c r="Y1617" s="18"/>
      <c r="Z1617" s="18"/>
    </row>
    <row r="1618" ht="22.5" customHeight="1">
      <c r="A1618" s="238">
        <v>46099.0</v>
      </c>
      <c r="B1618" s="218" t="s">
        <v>7789</v>
      </c>
      <c r="C1618" s="9"/>
      <c r="D1618" s="228"/>
      <c r="E1618" s="216"/>
      <c r="F1618" s="221" t="s">
        <v>241</v>
      </c>
      <c r="G1618" s="9" t="s">
        <v>7790</v>
      </c>
      <c r="H1618" s="234">
        <v>46099.0</v>
      </c>
      <c r="I1618" s="232"/>
      <c r="J1618" s="9"/>
      <c r="K1618" s="18"/>
      <c r="L1618" s="18"/>
      <c r="M1618" s="18"/>
      <c r="N1618" s="18"/>
      <c r="O1618" s="18"/>
      <c r="P1618" s="18"/>
      <c r="Q1618" s="18"/>
      <c r="R1618" s="18"/>
      <c r="S1618" s="18"/>
      <c r="T1618" s="18"/>
      <c r="U1618" s="18"/>
      <c r="V1618" s="18"/>
      <c r="W1618" s="18"/>
      <c r="X1618" s="18"/>
      <c r="Y1618" s="18"/>
      <c r="Z1618" s="18"/>
    </row>
    <row r="1619" ht="22.5" customHeight="1">
      <c r="A1619" s="238">
        <v>46099.0</v>
      </c>
      <c r="B1619" s="218" t="s">
        <v>7791</v>
      </c>
      <c r="C1619" s="9"/>
      <c r="D1619" s="228"/>
      <c r="E1619" s="216"/>
      <c r="F1619" s="221" t="s">
        <v>241</v>
      </c>
      <c r="G1619" s="9" t="s">
        <v>7792</v>
      </c>
      <c r="H1619" s="234">
        <v>46104.0</v>
      </c>
      <c r="I1619" s="232"/>
      <c r="J1619" s="9"/>
      <c r="K1619" s="18"/>
      <c r="L1619" s="18"/>
      <c r="M1619" s="18"/>
      <c r="N1619" s="18"/>
      <c r="O1619" s="18"/>
      <c r="P1619" s="18"/>
      <c r="Q1619" s="18"/>
      <c r="R1619" s="18"/>
      <c r="S1619" s="18"/>
      <c r="T1619" s="18"/>
      <c r="U1619" s="18"/>
      <c r="V1619" s="18"/>
      <c r="W1619" s="18"/>
      <c r="X1619" s="18"/>
      <c r="Y1619" s="18"/>
      <c r="Z1619" s="18"/>
    </row>
    <row r="1620" ht="22.5" customHeight="1">
      <c r="A1620" s="238">
        <v>46099.0</v>
      </c>
      <c r="B1620" s="218" t="s">
        <v>7793</v>
      </c>
      <c r="C1620" s="9"/>
      <c r="D1620" s="228"/>
      <c r="E1620" s="216"/>
      <c r="F1620" s="221" t="s">
        <v>241</v>
      </c>
      <c r="G1620" s="9" t="s">
        <v>7794</v>
      </c>
      <c r="H1620" s="234"/>
      <c r="I1620" s="232"/>
      <c r="J1620" s="9"/>
      <c r="K1620" s="18"/>
      <c r="L1620" s="18"/>
      <c r="M1620" s="18"/>
      <c r="N1620" s="18"/>
      <c r="O1620" s="18"/>
      <c r="P1620" s="18"/>
      <c r="Q1620" s="18"/>
      <c r="R1620" s="18"/>
      <c r="S1620" s="18"/>
      <c r="T1620" s="18"/>
      <c r="U1620" s="18"/>
      <c r="V1620" s="18"/>
      <c r="W1620" s="18"/>
      <c r="X1620" s="18"/>
      <c r="Y1620" s="18"/>
      <c r="Z1620" s="18"/>
    </row>
    <row r="1621" ht="22.5" customHeight="1">
      <c r="A1621" s="238">
        <v>46099.0</v>
      </c>
      <c r="B1621" s="218" t="s">
        <v>7795</v>
      </c>
      <c r="C1621" s="9"/>
      <c r="D1621" s="228" t="s">
        <v>7796</v>
      </c>
      <c r="E1621" s="216"/>
      <c r="F1621" s="221" t="s">
        <v>96</v>
      </c>
      <c r="G1621" s="9" t="s">
        <v>7797</v>
      </c>
      <c r="H1621" s="234"/>
      <c r="I1621" s="232"/>
      <c r="J1621" s="9"/>
      <c r="K1621" s="18"/>
      <c r="L1621" s="18"/>
      <c r="M1621" s="18"/>
      <c r="N1621" s="18"/>
      <c r="O1621" s="18"/>
      <c r="P1621" s="18"/>
      <c r="Q1621" s="18"/>
      <c r="R1621" s="18"/>
      <c r="S1621" s="18"/>
      <c r="T1621" s="18"/>
      <c r="U1621" s="18"/>
      <c r="V1621" s="18"/>
      <c r="W1621" s="18"/>
      <c r="X1621" s="18"/>
      <c r="Y1621" s="18"/>
      <c r="Z1621" s="18"/>
    </row>
    <row r="1622" ht="22.5" customHeight="1">
      <c r="A1622" s="238">
        <v>46099.0</v>
      </c>
      <c r="B1622" s="218" t="s">
        <v>7798</v>
      </c>
      <c r="C1622" s="9"/>
      <c r="D1622" s="228"/>
      <c r="E1622" s="216"/>
      <c r="F1622" s="221" t="s">
        <v>96</v>
      </c>
      <c r="G1622" s="9" t="s">
        <v>7799</v>
      </c>
      <c r="H1622" s="234"/>
      <c r="I1622" s="232"/>
      <c r="J1622" s="35" t="s">
        <v>7800</v>
      </c>
      <c r="K1622" s="18"/>
      <c r="L1622" s="18"/>
      <c r="M1622" s="18"/>
      <c r="N1622" s="18"/>
      <c r="O1622" s="18"/>
      <c r="P1622" s="18"/>
      <c r="Q1622" s="18"/>
      <c r="R1622" s="18"/>
      <c r="S1622" s="18"/>
      <c r="T1622" s="18"/>
      <c r="U1622" s="18"/>
      <c r="V1622" s="18"/>
      <c r="W1622" s="18"/>
      <c r="X1622" s="18"/>
      <c r="Y1622" s="18"/>
      <c r="Z1622" s="18"/>
    </row>
    <row r="1623" ht="22.5" customHeight="1">
      <c r="A1623" s="238">
        <v>46099.0</v>
      </c>
      <c r="B1623" s="218" t="s">
        <v>7801</v>
      </c>
      <c r="C1623" s="9"/>
      <c r="D1623" s="228" t="s">
        <v>7802</v>
      </c>
      <c r="E1623" s="216">
        <v>9.490334499E9</v>
      </c>
      <c r="F1623" s="221" t="s">
        <v>241</v>
      </c>
      <c r="G1623" s="9" t="s">
        <v>7803</v>
      </c>
      <c r="H1623" s="234">
        <v>46104.0</v>
      </c>
      <c r="I1623" s="232"/>
      <c r="J1623" s="9" t="s">
        <v>7804</v>
      </c>
      <c r="K1623" s="18"/>
      <c r="L1623" s="18"/>
      <c r="M1623" s="18"/>
      <c r="N1623" s="18"/>
      <c r="O1623" s="18"/>
      <c r="P1623" s="18"/>
      <c r="Q1623" s="18"/>
      <c r="R1623" s="18"/>
      <c r="S1623" s="18"/>
      <c r="T1623" s="18"/>
      <c r="U1623" s="18"/>
      <c r="V1623" s="18"/>
      <c r="W1623" s="18"/>
      <c r="X1623" s="18"/>
      <c r="Y1623" s="18"/>
      <c r="Z1623" s="18"/>
    </row>
    <row r="1624" ht="22.5" customHeight="1">
      <c r="A1624" s="238">
        <v>46099.0</v>
      </c>
      <c r="B1624" s="218" t="s">
        <v>7805</v>
      </c>
      <c r="C1624" s="9"/>
      <c r="D1624" s="228"/>
      <c r="E1624" s="216">
        <v>9.550014444E9</v>
      </c>
      <c r="F1624" s="221" t="s">
        <v>96</v>
      </c>
      <c r="G1624" s="9" t="s">
        <v>7806</v>
      </c>
      <c r="H1624" s="234">
        <v>46104.0</v>
      </c>
      <c r="I1624" s="232"/>
      <c r="J1624" s="9" t="s">
        <v>7807</v>
      </c>
      <c r="K1624" s="18"/>
      <c r="L1624" s="18"/>
      <c r="M1624" s="18"/>
      <c r="N1624" s="18"/>
      <c r="O1624" s="18"/>
      <c r="P1624" s="18"/>
      <c r="Q1624" s="18"/>
      <c r="R1624" s="18"/>
      <c r="S1624" s="18"/>
      <c r="T1624" s="18"/>
      <c r="U1624" s="18"/>
      <c r="V1624" s="18"/>
      <c r="W1624" s="18"/>
      <c r="X1624" s="18"/>
      <c r="Y1624" s="18"/>
      <c r="Z1624" s="18"/>
    </row>
    <row r="1625" ht="22.5" customHeight="1">
      <c r="A1625" s="238">
        <v>46099.0</v>
      </c>
      <c r="B1625" s="218" t="s">
        <v>7808</v>
      </c>
      <c r="C1625" s="9"/>
      <c r="D1625" s="228" t="s">
        <v>7809</v>
      </c>
      <c r="E1625" s="216">
        <v>8.885552082E9</v>
      </c>
      <c r="F1625" s="221" t="s">
        <v>241</v>
      </c>
      <c r="G1625" s="9" t="s">
        <v>7810</v>
      </c>
      <c r="H1625" s="234">
        <v>46104.0</v>
      </c>
      <c r="I1625" s="232"/>
      <c r="J1625" s="9" t="s">
        <v>7811</v>
      </c>
      <c r="K1625" s="18"/>
      <c r="L1625" s="18"/>
      <c r="M1625" s="18"/>
      <c r="N1625" s="18"/>
      <c r="O1625" s="18"/>
      <c r="P1625" s="18"/>
      <c r="Q1625" s="18"/>
      <c r="R1625" s="18"/>
      <c r="S1625" s="18"/>
      <c r="T1625" s="18"/>
      <c r="U1625" s="18"/>
      <c r="V1625" s="18"/>
      <c r="W1625" s="18"/>
      <c r="X1625" s="18"/>
      <c r="Y1625" s="18"/>
      <c r="Z1625" s="18"/>
    </row>
    <row r="1626" ht="22.5" customHeight="1">
      <c r="A1626" s="238">
        <v>46099.0</v>
      </c>
      <c r="B1626" s="218" t="s">
        <v>7812</v>
      </c>
      <c r="C1626" s="9"/>
      <c r="D1626" s="228" t="s">
        <v>7813</v>
      </c>
      <c r="E1626" s="216">
        <v>9.346143606E9</v>
      </c>
      <c r="F1626" s="221" t="s">
        <v>248</v>
      </c>
      <c r="G1626" s="9" t="s">
        <v>7814</v>
      </c>
      <c r="H1626" s="234"/>
      <c r="I1626" s="232"/>
      <c r="J1626" s="9" t="s">
        <v>7815</v>
      </c>
      <c r="K1626" s="18"/>
      <c r="L1626" s="18"/>
      <c r="M1626" s="18"/>
      <c r="N1626" s="18"/>
      <c r="O1626" s="18"/>
      <c r="P1626" s="18"/>
      <c r="Q1626" s="18"/>
      <c r="R1626" s="18"/>
      <c r="S1626" s="18"/>
      <c r="T1626" s="18"/>
      <c r="U1626" s="18"/>
      <c r="V1626" s="18"/>
      <c r="W1626" s="18"/>
      <c r="X1626" s="18"/>
      <c r="Y1626" s="18"/>
      <c r="Z1626" s="18"/>
    </row>
    <row r="1627" ht="22.5" customHeight="1">
      <c r="A1627" s="238">
        <v>46099.0</v>
      </c>
      <c r="B1627" s="218" t="s">
        <v>7816</v>
      </c>
      <c r="C1627" s="9"/>
      <c r="D1627" s="228"/>
      <c r="E1627" s="216"/>
      <c r="F1627" s="221" t="s">
        <v>241</v>
      </c>
      <c r="G1627" s="9" t="s">
        <v>7817</v>
      </c>
      <c r="H1627" s="234">
        <v>46104.0</v>
      </c>
      <c r="I1627" s="232"/>
      <c r="J1627" s="9" t="s">
        <v>7818</v>
      </c>
      <c r="K1627" s="18"/>
      <c r="L1627" s="18"/>
      <c r="M1627" s="18"/>
      <c r="N1627" s="18"/>
      <c r="O1627" s="18"/>
      <c r="P1627" s="18"/>
      <c r="Q1627" s="18"/>
      <c r="R1627" s="18"/>
      <c r="S1627" s="18"/>
      <c r="T1627" s="18"/>
      <c r="U1627" s="18"/>
      <c r="V1627" s="18"/>
      <c r="W1627" s="18"/>
      <c r="X1627" s="18"/>
      <c r="Y1627" s="18"/>
      <c r="Z1627" s="18"/>
    </row>
    <row r="1628" ht="22.5" customHeight="1">
      <c r="A1628" s="238">
        <v>46099.0</v>
      </c>
      <c r="B1628" s="218" t="s">
        <v>7819</v>
      </c>
      <c r="C1628" s="9"/>
      <c r="D1628" s="228"/>
      <c r="E1628" s="216">
        <v>7.075376903E9</v>
      </c>
      <c r="F1628" s="221" t="s">
        <v>96</v>
      </c>
      <c r="G1628" s="9" t="s">
        <v>7820</v>
      </c>
      <c r="H1628" s="234">
        <v>46104.0</v>
      </c>
      <c r="I1628" s="232"/>
      <c r="J1628" s="9" t="s">
        <v>7821</v>
      </c>
      <c r="K1628" s="18"/>
      <c r="L1628" s="18"/>
      <c r="M1628" s="18"/>
      <c r="N1628" s="18"/>
      <c r="O1628" s="18"/>
      <c r="P1628" s="18"/>
      <c r="Q1628" s="18"/>
      <c r="R1628" s="18"/>
      <c r="S1628" s="18"/>
      <c r="T1628" s="18"/>
      <c r="U1628" s="18"/>
      <c r="V1628" s="18"/>
      <c r="W1628" s="18"/>
      <c r="X1628" s="18"/>
      <c r="Y1628" s="18"/>
      <c r="Z1628" s="18"/>
    </row>
    <row r="1629" ht="22.5" customHeight="1">
      <c r="A1629" s="238">
        <v>46099.0</v>
      </c>
      <c r="B1629" s="218" t="s">
        <v>7822</v>
      </c>
      <c r="C1629" s="9"/>
      <c r="D1629" s="228"/>
      <c r="E1629" s="216"/>
      <c r="F1629" s="221" t="s">
        <v>241</v>
      </c>
      <c r="G1629" s="9" t="s">
        <v>7823</v>
      </c>
      <c r="H1629" s="234"/>
      <c r="I1629" s="232"/>
      <c r="J1629" s="9" t="s">
        <v>7824</v>
      </c>
      <c r="K1629" s="18"/>
      <c r="L1629" s="18"/>
      <c r="M1629" s="18"/>
      <c r="N1629" s="18"/>
      <c r="O1629" s="18"/>
      <c r="P1629" s="18"/>
      <c r="Q1629" s="18"/>
      <c r="R1629" s="18"/>
      <c r="S1629" s="18"/>
      <c r="T1629" s="18"/>
      <c r="U1629" s="18"/>
      <c r="V1629" s="18"/>
      <c r="W1629" s="18"/>
      <c r="X1629" s="18"/>
      <c r="Y1629" s="18"/>
      <c r="Z1629" s="18"/>
    </row>
    <row r="1630" ht="22.5" customHeight="1">
      <c r="A1630" s="238">
        <v>46099.0</v>
      </c>
      <c r="B1630" s="218" t="s">
        <v>7825</v>
      </c>
      <c r="C1630" s="9"/>
      <c r="D1630" s="228"/>
      <c r="E1630" s="216"/>
      <c r="F1630" s="221" t="s">
        <v>96</v>
      </c>
      <c r="G1630" s="9" t="s">
        <v>7826</v>
      </c>
      <c r="H1630" s="234">
        <v>46105.0</v>
      </c>
      <c r="I1630" s="232"/>
      <c r="J1630" s="9" t="s">
        <v>7827</v>
      </c>
      <c r="K1630" s="18"/>
      <c r="L1630" s="18"/>
      <c r="M1630" s="18"/>
      <c r="N1630" s="18"/>
      <c r="O1630" s="18"/>
      <c r="P1630" s="18"/>
      <c r="Q1630" s="18"/>
      <c r="R1630" s="18"/>
      <c r="S1630" s="18"/>
      <c r="T1630" s="18"/>
      <c r="U1630" s="18"/>
      <c r="V1630" s="18"/>
      <c r="W1630" s="18"/>
      <c r="X1630" s="18"/>
      <c r="Y1630" s="18"/>
      <c r="Z1630" s="18"/>
    </row>
    <row r="1631" ht="22.5" customHeight="1">
      <c r="A1631" s="238">
        <v>46099.0</v>
      </c>
      <c r="B1631" s="218" t="s">
        <v>7828</v>
      </c>
      <c r="C1631" s="9"/>
      <c r="D1631" s="228" t="s">
        <v>7829</v>
      </c>
      <c r="E1631" s="216">
        <v>9.966655997E9</v>
      </c>
      <c r="F1631" s="221" t="s">
        <v>248</v>
      </c>
      <c r="G1631" s="9" t="s">
        <v>7830</v>
      </c>
      <c r="H1631" s="234"/>
      <c r="I1631" s="232"/>
      <c r="J1631" s="9"/>
      <c r="K1631" s="18"/>
      <c r="L1631" s="18"/>
      <c r="M1631" s="18"/>
      <c r="N1631" s="18"/>
      <c r="O1631" s="18"/>
      <c r="P1631" s="18"/>
      <c r="Q1631" s="18"/>
      <c r="R1631" s="18"/>
      <c r="S1631" s="18"/>
      <c r="T1631" s="18"/>
      <c r="U1631" s="18"/>
      <c r="V1631" s="18"/>
      <c r="W1631" s="18"/>
      <c r="X1631" s="18"/>
      <c r="Y1631" s="18"/>
      <c r="Z1631" s="18"/>
    </row>
    <row r="1632" ht="22.5" customHeight="1">
      <c r="A1632" s="238">
        <v>46099.0</v>
      </c>
      <c r="B1632" s="218" t="s">
        <v>7831</v>
      </c>
      <c r="C1632" s="9"/>
      <c r="D1632" s="228" t="s">
        <v>4147</v>
      </c>
      <c r="E1632" s="216">
        <v>9.397970397E9</v>
      </c>
      <c r="F1632" s="221" t="s">
        <v>248</v>
      </c>
      <c r="G1632" s="9" t="s">
        <v>7832</v>
      </c>
      <c r="H1632" s="234">
        <v>46104.0</v>
      </c>
      <c r="I1632" s="232"/>
      <c r="J1632" s="9" t="s">
        <v>7833</v>
      </c>
      <c r="K1632" s="18"/>
      <c r="L1632" s="18"/>
      <c r="M1632" s="18"/>
      <c r="N1632" s="18"/>
      <c r="O1632" s="18"/>
      <c r="P1632" s="18"/>
      <c r="Q1632" s="18"/>
      <c r="R1632" s="18"/>
      <c r="S1632" s="18"/>
      <c r="T1632" s="18"/>
      <c r="U1632" s="18"/>
      <c r="V1632" s="18"/>
      <c r="W1632" s="18"/>
      <c r="X1632" s="18"/>
      <c r="Y1632" s="18"/>
      <c r="Z1632" s="18"/>
    </row>
    <row r="1633" ht="22.5" customHeight="1">
      <c r="A1633" s="238">
        <v>46099.0</v>
      </c>
      <c r="B1633" s="218" t="s">
        <v>7834</v>
      </c>
      <c r="C1633" s="9"/>
      <c r="D1633" s="228" t="s">
        <v>7835</v>
      </c>
      <c r="E1633" s="216">
        <v>9.849363955E9</v>
      </c>
      <c r="F1633" s="221" t="s">
        <v>248</v>
      </c>
      <c r="G1633" s="9"/>
      <c r="H1633" s="234"/>
      <c r="I1633" s="232"/>
      <c r="J1633" s="9" t="s">
        <v>7836</v>
      </c>
      <c r="K1633" s="18"/>
      <c r="L1633" s="18"/>
      <c r="M1633" s="18"/>
      <c r="N1633" s="18"/>
      <c r="O1633" s="18"/>
      <c r="P1633" s="18"/>
      <c r="Q1633" s="18"/>
      <c r="R1633" s="18"/>
      <c r="S1633" s="18"/>
      <c r="T1633" s="18"/>
      <c r="U1633" s="18"/>
      <c r="V1633" s="18"/>
      <c r="W1633" s="18"/>
      <c r="X1633" s="18"/>
      <c r="Y1633" s="18"/>
      <c r="Z1633" s="18"/>
    </row>
    <row r="1634" ht="22.5" customHeight="1">
      <c r="A1634" s="238">
        <v>46099.0</v>
      </c>
      <c r="B1634" s="218"/>
      <c r="C1634" s="9"/>
      <c r="D1634" s="228"/>
      <c r="E1634" s="216"/>
      <c r="F1634" s="273"/>
      <c r="G1634" s="9"/>
      <c r="H1634" s="234"/>
      <c r="I1634" s="232"/>
      <c r="J1634" s="9"/>
      <c r="K1634" s="18"/>
      <c r="L1634" s="18"/>
      <c r="M1634" s="18"/>
      <c r="N1634" s="18"/>
      <c r="O1634" s="18"/>
      <c r="P1634" s="18"/>
      <c r="Q1634" s="18"/>
      <c r="R1634" s="18"/>
      <c r="S1634" s="18"/>
      <c r="T1634" s="18"/>
      <c r="U1634" s="18"/>
      <c r="V1634" s="18"/>
      <c r="W1634" s="18"/>
      <c r="X1634" s="18"/>
      <c r="Y1634" s="18"/>
      <c r="Z1634" s="18"/>
    </row>
    <row r="1635" ht="22.5" customHeight="1">
      <c r="A1635" s="238">
        <v>46099.0</v>
      </c>
      <c r="B1635" s="218"/>
      <c r="C1635" s="9"/>
      <c r="D1635" s="228"/>
      <c r="E1635" s="216"/>
      <c r="F1635" s="273"/>
      <c r="G1635" s="9"/>
      <c r="H1635" s="234"/>
      <c r="I1635" s="232"/>
      <c r="J1635" s="9"/>
      <c r="K1635" s="18"/>
      <c r="L1635" s="18"/>
      <c r="M1635" s="18"/>
      <c r="N1635" s="18"/>
      <c r="O1635" s="18"/>
      <c r="P1635" s="18"/>
      <c r="Q1635" s="18"/>
      <c r="R1635" s="18"/>
      <c r="S1635" s="18"/>
      <c r="T1635" s="18"/>
      <c r="U1635" s="18"/>
      <c r="V1635" s="18"/>
      <c r="W1635" s="18"/>
      <c r="X1635" s="18"/>
      <c r="Y1635" s="18"/>
      <c r="Z1635" s="18"/>
    </row>
    <row r="1636" ht="22.5" customHeight="1">
      <c r="A1636" s="238">
        <v>46099.0</v>
      </c>
      <c r="B1636" s="218"/>
      <c r="C1636" s="9"/>
      <c r="D1636" s="228"/>
      <c r="E1636" s="216"/>
      <c r="F1636" s="273"/>
      <c r="G1636" s="9"/>
      <c r="H1636" s="234"/>
      <c r="I1636" s="232"/>
      <c r="J1636" s="9"/>
      <c r="K1636" s="18"/>
      <c r="L1636" s="18"/>
      <c r="M1636" s="18"/>
      <c r="N1636" s="18"/>
      <c r="O1636" s="18"/>
      <c r="P1636" s="18"/>
      <c r="Q1636" s="18"/>
      <c r="R1636" s="18"/>
      <c r="S1636" s="18"/>
      <c r="T1636" s="18"/>
      <c r="U1636" s="18"/>
      <c r="V1636" s="18"/>
      <c r="W1636" s="18"/>
      <c r="X1636" s="18"/>
      <c r="Y1636" s="18"/>
      <c r="Z1636" s="18"/>
    </row>
    <row r="1637" ht="22.5" customHeight="1">
      <c r="A1637" s="238">
        <v>46099.0</v>
      </c>
      <c r="B1637" s="218"/>
      <c r="C1637" s="9"/>
      <c r="D1637" s="228"/>
      <c r="E1637" s="216"/>
      <c r="F1637" s="273"/>
      <c r="G1637" s="9"/>
      <c r="H1637" s="234"/>
      <c r="I1637" s="232"/>
      <c r="J1637" s="9"/>
      <c r="K1637" s="18"/>
      <c r="L1637" s="18"/>
      <c r="M1637" s="18"/>
      <c r="N1637" s="18"/>
      <c r="O1637" s="18"/>
      <c r="P1637" s="18"/>
      <c r="Q1637" s="18"/>
      <c r="R1637" s="18"/>
      <c r="S1637" s="18"/>
      <c r="T1637" s="18"/>
      <c r="U1637" s="18"/>
      <c r="V1637" s="18"/>
      <c r="W1637" s="18"/>
      <c r="X1637" s="18"/>
      <c r="Y1637" s="18"/>
      <c r="Z1637" s="18"/>
    </row>
    <row r="1638" ht="22.5" customHeight="1">
      <c r="A1638" s="238">
        <v>46099.0</v>
      </c>
      <c r="B1638" s="218"/>
      <c r="C1638" s="9"/>
      <c r="D1638" s="228"/>
      <c r="E1638" s="216"/>
      <c r="F1638" s="273"/>
      <c r="G1638" s="9"/>
      <c r="H1638" s="234"/>
      <c r="I1638" s="232"/>
      <c r="J1638" s="9"/>
      <c r="K1638" s="18"/>
      <c r="L1638" s="18"/>
      <c r="M1638" s="18"/>
      <c r="N1638" s="18"/>
      <c r="O1638" s="18"/>
      <c r="P1638" s="18"/>
      <c r="Q1638" s="18"/>
      <c r="R1638" s="18"/>
      <c r="S1638" s="18"/>
      <c r="T1638" s="18"/>
      <c r="U1638" s="18"/>
      <c r="V1638" s="18"/>
      <c r="W1638" s="18"/>
      <c r="X1638" s="18"/>
      <c r="Y1638" s="18"/>
      <c r="Z1638" s="18"/>
    </row>
    <row r="1639" ht="22.5" customHeight="1">
      <c r="A1639" s="238">
        <v>46099.0</v>
      </c>
      <c r="B1639" s="218"/>
      <c r="C1639" s="9"/>
      <c r="D1639" s="228"/>
      <c r="E1639" s="216"/>
      <c r="F1639" s="273"/>
      <c r="G1639" s="9"/>
      <c r="H1639" s="234"/>
      <c r="I1639" s="232"/>
      <c r="J1639" s="9"/>
      <c r="K1639" s="18"/>
      <c r="L1639" s="18"/>
      <c r="M1639" s="18"/>
      <c r="N1639" s="18"/>
      <c r="O1639" s="18"/>
      <c r="P1639" s="18"/>
      <c r="Q1639" s="18"/>
      <c r="R1639" s="18"/>
      <c r="S1639" s="18"/>
      <c r="T1639" s="18"/>
      <c r="U1639" s="18"/>
      <c r="V1639" s="18"/>
      <c r="W1639" s="18"/>
      <c r="X1639" s="18"/>
      <c r="Y1639" s="18"/>
      <c r="Z1639" s="18"/>
    </row>
    <row r="1640" ht="22.5" customHeight="1">
      <c r="A1640" s="238">
        <v>46099.0</v>
      </c>
      <c r="B1640" s="218"/>
      <c r="C1640" s="9"/>
      <c r="D1640" s="228"/>
      <c r="E1640" s="216"/>
      <c r="F1640" s="273"/>
      <c r="G1640" s="9"/>
      <c r="H1640" s="234"/>
      <c r="I1640" s="232"/>
      <c r="J1640" s="9"/>
      <c r="K1640" s="18"/>
      <c r="L1640" s="18"/>
      <c r="M1640" s="18"/>
      <c r="N1640" s="18"/>
      <c r="O1640" s="18"/>
      <c r="P1640" s="18"/>
      <c r="Q1640" s="18"/>
      <c r="R1640" s="18"/>
      <c r="S1640" s="18"/>
      <c r="T1640" s="18"/>
      <c r="U1640" s="18"/>
      <c r="V1640" s="18"/>
      <c r="W1640" s="18"/>
      <c r="X1640" s="18"/>
      <c r="Y1640" s="18"/>
      <c r="Z1640" s="18"/>
    </row>
    <row r="1641" ht="22.5" customHeight="1">
      <c r="A1641" s="250"/>
      <c r="B1641" s="218"/>
      <c r="C1641" s="9"/>
      <c r="D1641" s="228"/>
      <c r="E1641" s="216"/>
      <c r="F1641" s="273"/>
      <c r="G1641" s="9"/>
      <c r="H1641" s="234"/>
      <c r="I1641" s="232"/>
      <c r="J1641" s="9"/>
      <c r="K1641" s="18"/>
      <c r="L1641" s="18"/>
      <c r="M1641" s="18"/>
      <c r="N1641" s="18"/>
      <c r="O1641" s="18"/>
      <c r="P1641" s="18"/>
      <c r="Q1641" s="18"/>
      <c r="R1641" s="18"/>
      <c r="S1641" s="18"/>
      <c r="T1641" s="18"/>
      <c r="U1641" s="18"/>
      <c r="V1641" s="18"/>
      <c r="W1641" s="18"/>
      <c r="X1641" s="18"/>
      <c r="Y1641" s="18"/>
      <c r="Z1641" s="18"/>
    </row>
    <row r="1642" ht="22.5" customHeight="1">
      <c r="A1642" s="250"/>
      <c r="B1642" s="218"/>
      <c r="C1642" s="9"/>
      <c r="D1642" s="228"/>
      <c r="E1642" s="216"/>
      <c r="F1642" s="273"/>
      <c r="G1642" s="9"/>
      <c r="H1642" s="234"/>
      <c r="I1642" s="232"/>
      <c r="J1642" s="9"/>
      <c r="K1642" s="18"/>
      <c r="L1642" s="18"/>
      <c r="M1642" s="18"/>
      <c r="N1642" s="18"/>
      <c r="O1642" s="18"/>
      <c r="P1642" s="18"/>
      <c r="Q1642" s="18"/>
      <c r="R1642" s="18"/>
      <c r="S1642" s="18"/>
      <c r="T1642" s="18"/>
      <c r="U1642" s="18"/>
      <c r="V1642" s="18"/>
      <c r="W1642" s="18"/>
      <c r="X1642" s="18"/>
      <c r="Y1642" s="18"/>
      <c r="Z1642" s="18"/>
    </row>
    <row r="1643" ht="22.5" customHeight="1">
      <c r="A1643" s="250"/>
      <c r="B1643" s="218"/>
      <c r="C1643" s="9"/>
      <c r="D1643" s="228"/>
      <c r="E1643" s="216"/>
      <c r="F1643" s="273"/>
      <c r="G1643" s="9"/>
      <c r="H1643" s="234"/>
      <c r="I1643" s="232"/>
      <c r="J1643" s="9"/>
      <c r="K1643" s="18"/>
      <c r="L1643" s="18"/>
      <c r="M1643" s="18"/>
      <c r="N1643" s="18"/>
      <c r="O1643" s="18"/>
      <c r="P1643" s="18"/>
      <c r="Q1643" s="18"/>
      <c r="R1643" s="18"/>
      <c r="S1643" s="18"/>
      <c r="T1643" s="18"/>
      <c r="U1643" s="18"/>
      <c r="V1643" s="18"/>
      <c r="W1643" s="18"/>
      <c r="X1643" s="18"/>
      <c r="Y1643" s="18"/>
      <c r="Z1643" s="18"/>
    </row>
    <row r="1644" ht="22.5" customHeight="1">
      <c r="A1644" s="250"/>
      <c r="B1644" s="218"/>
      <c r="C1644" s="9"/>
      <c r="D1644" s="228"/>
      <c r="E1644" s="216"/>
      <c r="F1644" s="273"/>
      <c r="G1644" s="9"/>
      <c r="H1644" s="234"/>
      <c r="I1644" s="232"/>
      <c r="J1644" s="9"/>
      <c r="K1644" s="18"/>
      <c r="L1644" s="18"/>
      <c r="M1644" s="18"/>
      <c r="N1644" s="18"/>
      <c r="O1644" s="18"/>
      <c r="P1644" s="18"/>
      <c r="Q1644" s="18"/>
      <c r="R1644" s="18"/>
      <c r="S1644" s="18"/>
      <c r="T1644" s="18"/>
      <c r="U1644" s="18"/>
      <c r="V1644" s="18"/>
      <c r="W1644" s="18"/>
      <c r="X1644" s="18"/>
      <c r="Y1644" s="18"/>
      <c r="Z1644" s="18"/>
    </row>
    <row r="1645" ht="22.5" customHeight="1">
      <c r="A1645" s="250"/>
      <c r="B1645" s="218"/>
      <c r="C1645" s="9"/>
      <c r="D1645" s="228"/>
      <c r="E1645" s="216"/>
      <c r="F1645" s="273"/>
      <c r="G1645" s="9"/>
      <c r="H1645" s="234"/>
      <c r="I1645" s="232"/>
      <c r="J1645" s="9"/>
      <c r="K1645" s="18"/>
      <c r="L1645" s="18"/>
      <c r="M1645" s="18"/>
      <c r="N1645" s="18"/>
      <c r="O1645" s="18"/>
      <c r="P1645" s="18"/>
      <c r="Q1645" s="18"/>
      <c r="R1645" s="18"/>
      <c r="S1645" s="18"/>
      <c r="T1645" s="18"/>
      <c r="U1645" s="18"/>
      <c r="V1645" s="18"/>
      <c r="W1645" s="18"/>
      <c r="X1645" s="18"/>
      <c r="Y1645" s="18"/>
      <c r="Z1645" s="18"/>
    </row>
    <row r="1646" ht="22.5" customHeight="1">
      <c r="A1646" s="250"/>
      <c r="B1646" s="218"/>
      <c r="C1646" s="9"/>
      <c r="D1646" s="228"/>
      <c r="E1646" s="216"/>
      <c r="F1646" s="273"/>
      <c r="G1646" s="9"/>
      <c r="H1646" s="234"/>
      <c r="I1646" s="232"/>
      <c r="J1646" s="9"/>
      <c r="K1646" s="18"/>
      <c r="L1646" s="18"/>
      <c r="M1646" s="18"/>
      <c r="N1646" s="18"/>
      <c r="O1646" s="18"/>
      <c r="P1646" s="18"/>
      <c r="Q1646" s="18"/>
      <c r="R1646" s="18"/>
      <c r="S1646" s="18"/>
      <c r="T1646" s="18"/>
      <c r="U1646" s="18"/>
      <c r="V1646" s="18"/>
      <c r="W1646" s="18"/>
      <c r="X1646" s="18"/>
      <c r="Y1646" s="18"/>
      <c r="Z1646" s="18"/>
    </row>
    <row r="1647" ht="22.5" customHeight="1">
      <c r="A1647" s="250"/>
      <c r="B1647" s="218"/>
      <c r="C1647" s="9"/>
      <c r="D1647" s="228"/>
      <c r="E1647" s="216"/>
      <c r="F1647" s="273"/>
      <c r="G1647" s="9"/>
      <c r="H1647" s="234"/>
      <c r="I1647" s="232"/>
      <c r="J1647" s="9"/>
      <c r="K1647" s="18"/>
      <c r="L1647" s="18"/>
      <c r="M1647" s="18"/>
      <c r="N1647" s="18"/>
      <c r="O1647" s="18"/>
      <c r="P1647" s="18"/>
      <c r="Q1647" s="18"/>
      <c r="R1647" s="18"/>
      <c r="S1647" s="18"/>
      <c r="T1647" s="18"/>
      <c r="U1647" s="18"/>
      <c r="V1647" s="18"/>
      <c r="W1647" s="18"/>
      <c r="X1647" s="18"/>
      <c r="Y1647" s="18"/>
      <c r="Z1647" s="18"/>
    </row>
    <row r="1648" ht="22.5" customHeight="1">
      <c r="A1648" s="250"/>
      <c r="B1648" s="218"/>
      <c r="C1648" s="9"/>
      <c r="D1648" s="228"/>
      <c r="E1648" s="216"/>
      <c r="F1648" s="273"/>
      <c r="G1648" s="9"/>
      <c r="H1648" s="234"/>
      <c r="I1648" s="232"/>
      <c r="J1648" s="9"/>
      <c r="K1648" s="18"/>
      <c r="L1648" s="18"/>
      <c r="M1648" s="18"/>
      <c r="N1648" s="18"/>
      <c r="O1648" s="18"/>
      <c r="P1648" s="18"/>
      <c r="Q1648" s="18"/>
      <c r="R1648" s="18"/>
      <c r="S1648" s="18"/>
      <c r="T1648" s="18"/>
      <c r="U1648" s="18"/>
      <c r="V1648" s="18"/>
      <c r="W1648" s="18"/>
      <c r="X1648" s="18"/>
      <c r="Y1648" s="18"/>
      <c r="Z1648" s="18"/>
    </row>
    <row r="1649" ht="22.5" customHeight="1">
      <c r="A1649" s="250"/>
      <c r="B1649" s="218"/>
      <c r="C1649" s="9"/>
      <c r="D1649" s="228"/>
      <c r="E1649" s="216"/>
      <c r="F1649" s="273"/>
      <c r="G1649" s="9"/>
      <c r="H1649" s="234"/>
      <c r="I1649" s="232"/>
      <c r="J1649" s="9"/>
      <c r="K1649" s="18"/>
      <c r="L1649" s="18"/>
      <c r="M1649" s="18"/>
      <c r="N1649" s="18"/>
      <c r="O1649" s="18"/>
      <c r="P1649" s="18"/>
      <c r="Q1649" s="18"/>
      <c r="R1649" s="18"/>
      <c r="S1649" s="18"/>
      <c r="T1649" s="18"/>
      <c r="U1649" s="18"/>
      <c r="V1649" s="18"/>
      <c r="W1649" s="18"/>
      <c r="X1649" s="18"/>
      <c r="Y1649" s="18"/>
      <c r="Z1649" s="18"/>
    </row>
    <row r="1650" ht="22.5" customHeight="1">
      <c r="A1650" s="250"/>
      <c r="B1650" s="218"/>
      <c r="C1650" s="9"/>
      <c r="D1650" s="228"/>
      <c r="E1650" s="216"/>
      <c r="F1650" s="273"/>
      <c r="G1650" s="9"/>
      <c r="H1650" s="234"/>
      <c r="I1650" s="232"/>
      <c r="J1650" s="9"/>
      <c r="K1650" s="18"/>
      <c r="L1650" s="18"/>
      <c r="M1650" s="18"/>
      <c r="N1650" s="18"/>
      <c r="O1650" s="18"/>
      <c r="P1650" s="18"/>
      <c r="Q1650" s="18"/>
      <c r="R1650" s="18"/>
      <c r="S1650" s="18"/>
      <c r="T1650" s="18"/>
      <c r="U1650" s="18"/>
      <c r="V1650" s="18"/>
      <c r="W1650" s="18"/>
      <c r="X1650" s="18"/>
      <c r="Y1650" s="18"/>
      <c r="Z1650" s="18"/>
    </row>
    <row r="1651" ht="22.5" customHeight="1">
      <c r="A1651" s="250"/>
      <c r="B1651" s="218"/>
      <c r="C1651" s="9"/>
      <c r="D1651" s="228"/>
      <c r="E1651" s="216"/>
      <c r="F1651" s="273"/>
      <c r="G1651" s="9"/>
      <c r="H1651" s="234"/>
      <c r="I1651" s="232"/>
      <c r="J1651" s="9"/>
      <c r="K1651" s="18"/>
      <c r="L1651" s="18"/>
      <c r="M1651" s="18"/>
      <c r="N1651" s="18"/>
      <c r="O1651" s="18"/>
      <c r="P1651" s="18"/>
      <c r="Q1651" s="18"/>
      <c r="R1651" s="18"/>
      <c r="S1651" s="18"/>
      <c r="T1651" s="18"/>
      <c r="U1651" s="18"/>
      <c r="V1651" s="18"/>
      <c r="W1651" s="18"/>
      <c r="X1651" s="18"/>
      <c r="Y1651" s="18"/>
      <c r="Z1651" s="18"/>
    </row>
    <row r="1652" ht="22.5" customHeight="1">
      <c r="A1652" s="250"/>
      <c r="B1652" s="218"/>
      <c r="C1652" s="9"/>
      <c r="D1652" s="228"/>
      <c r="E1652" s="216"/>
      <c r="F1652" s="273"/>
      <c r="G1652" s="9"/>
      <c r="H1652" s="234"/>
      <c r="I1652" s="232"/>
      <c r="J1652" s="9"/>
      <c r="K1652" s="18"/>
      <c r="L1652" s="18"/>
      <c r="M1652" s="18"/>
      <c r="N1652" s="18"/>
      <c r="O1652" s="18"/>
      <c r="P1652" s="18"/>
      <c r="Q1652" s="18"/>
      <c r="R1652" s="18"/>
      <c r="S1652" s="18"/>
      <c r="T1652" s="18"/>
      <c r="U1652" s="18"/>
      <c r="V1652" s="18"/>
      <c r="W1652" s="18"/>
      <c r="X1652" s="18"/>
      <c r="Y1652" s="18"/>
      <c r="Z1652" s="18"/>
    </row>
    <row r="1653" ht="22.5" customHeight="1">
      <c r="A1653" s="250"/>
      <c r="B1653" s="218"/>
      <c r="C1653" s="9"/>
      <c r="D1653" s="228"/>
      <c r="E1653" s="216"/>
      <c r="F1653" s="273"/>
      <c r="G1653" s="9"/>
      <c r="H1653" s="234"/>
      <c r="I1653" s="232"/>
      <c r="J1653" s="9"/>
      <c r="K1653" s="18"/>
      <c r="L1653" s="18"/>
      <c r="M1653" s="18"/>
      <c r="N1653" s="18"/>
      <c r="O1653" s="18"/>
      <c r="P1653" s="18"/>
      <c r="Q1653" s="18"/>
      <c r="R1653" s="18"/>
      <c r="S1653" s="18"/>
      <c r="T1653" s="18"/>
      <c r="U1653" s="18"/>
      <c r="V1653" s="18"/>
      <c r="W1653" s="18"/>
      <c r="X1653" s="18"/>
      <c r="Y1653" s="18"/>
      <c r="Z1653" s="18"/>
    </row>
    <row r="1654" ht="22.5" customHeight="1">
      <c r="A1654" s="250"/>
      <c r="B1654" s="218"/>
      <c r="C1654" s="9"/>
      <c r="D1654" s="228"/>
      <c r="E1654" s="216"/>
      <c r="F1654" s="273"/>
      <c r="G1654" s="9"/>
      <c r="H1654" s="234"/>
      <c r="I1654" s="232"/>
      <c r="J1654" s="9"/>
      <c r="K1654" s="18"/>
      <c r="L1654" s="18"/>
      <c r="M1654" s="18"/>
      <c r="N1654" s="18"/>
      <c r="O1654" s="18"/>
      <c r="P1654" s="18"/>
      <c r="Q1654" s="18"/>
      <c r="R1654" s="18"/>
      <c r="S1654" s="18"/>
      <c r="T1654" s="18"/>
      <c r="U1654" s="18"/>
      <c r="V1654" s="18"/>
      <c r="W1654" s="18"/>
      <c r="X1654" s="18"/>
      <c r="Y1654" s="18"/>
      <c r="Z1654" s="18"/>
    </row>
    <row r="1655" ht="22.5" customHeight="1">
      <c r="A1655" s="250"/>
      <c r="B1655" s="218"/>
      <c r="C1655" s="9"/>
      <c r="D1655" s="228"/>
      <c r="E1655" s="216"/>
      <c r="F1655" s="273"/>
      <c r="G1655" s="9"/>
      <c r="H1655" s="234"/>
      <c r="I1655" s="232"/>
      <c r="J1655" s="9"/>
      <c r="K1655" s="18"/>
      <c r="L1655" s="18"/>
      <c r="M1655" s="18"/>
      <c r="N1655" s="18"/>
      <c r="O1655" s="18"/>
      <c r="P1655" s="18"/>
      <c r="Q1655" s="18"/>
      <c r="R1655" s="18"/>
      <c r="S1655" s="18"/>
      <c r="T1655" s="18"/>
      <c r="U1655" s="18"/>
      <c r="V1655" s="18"/>
      <c r="W1655" s="18"/>
      <c r="X1655" s="18"/>
      <c r="Y1655" s="18"/>
      <c r="Z1655" s="18"/>
    </row>
    <row r="1656" ht="22.5" customHeight="1">
      <c r="A1656" s="250"/>
      <c r="B1656" s="218"/>
      <c r="C1656" s="9"/>
      <c r="D1656" s="228"/>
      <c r="E1656" s="216"/>
      <c r="F1656" s="273"/>
      <c r="G1656" s="9"/>
      <c r="H1656" s="234"/>
      <c r="I1656" s="232"/>
      <c r="J1656" s="9"/>
      <c r="K1656" s="18"/>
      <c r="L1656" s="18"/>
      <c r="M1656" s="18"/>
      <c r="N1656" s="18"/>
      <c r="O1656" s="18"/>
      <c r="P1656" s="18"/>
      <c r="Q1656" s="18"/>
      <c r="R1656" s="18"/>
      <c r="S1656" s="18"/>
      <c r="T1656" s="18"/>
      <c r="U1656" s="18"/>
      <c r="V1656" s="18"/>
      <c r="W1656" s="18"/>
      <c r="X1656" s="18"/>
      <c r="Y1656" s="18"/>
      <c r="Z1656" s="18"/>
    </row>
    <row r="1657" ht="22.5" customHeight="1">
      <c r="A1657" s="250"/>
      <c r="B1657" s="218"/>
      <c r="C1657" s="9"/>
      <c r="D1657" s="228"/>
      <c r="E1657" s="216"/>
      <c r="F1657" s="273"/>
      <c r="G1657" s="9"/>
      <c r="H1657" s="234"/>
      <c r="I1657" s="232"/>
      <c r="J1657" s="9"/>
      <c r="K1657" s="18"/>
      <c r="L1657" s="18"/>
      <c r="M1657" s="18"/>
      <c r="N1657" s="18"/>
      <c r="O1657" s="18"/>
      <c r="P1657" s="18"/>
      <c r="Q1657" s="18"/>
      <c r="R1657" s="18"/>
      <c r="S1657" s="18"/>
      <c r="T1657" s="18"/>
      <c r="U1657" s="18"/>
      <c r="V1657" s="18"/>
      <c r="W1657" s="18"/>
      <c r="X1657" s="18"/>
      <c r="Y1657" s="18"/>
      <c r="Z1657" s="18"/>
    </row>
    <row r="1658" ht="22.5" customHeight="1">
      <c r="A1658" s="250"/>
      <c r="B1658" s="218"/>
      <c r="C1658" s="9"/>
      <c r="D1658" s="228"/>
      <c r="E1658" s="216"/>
      <c r="F1658" s="273"/>
      <c r="G1658" s="9"/>
      <c r="H1658" s="234"/>
      <c r="I1658" s="232"/>
      <c r="J1658" s="9"/>
      <c r="K1658" s="18"/>
      <c r="L1658" s="18"/>
      <c r="M1658" s="18"/>
      <c r="N1658" s="18"/>
      <c r="O1658" s="18"/>
      <c r="P1658" s="18"/>
      <c r="Q1658" s="18"/>
      <c r="R1658" s="18"/>
      <c r="S1658" s="18"/>
      <c r="T1658" s="18"/>
      <c r="U1658" s="18"/>
      <c r="V1658" s="18"/>
      <c r="W1658" s="18"/>
      <c r="X1658" s="18"/>
      <c r="Y1658" s="18"/>
      <c r="Z1658" s="18"/>
    </row>
    <row r="1659" ht="22.5" customHeight="1">
      <c r="A1659" s="250"/>
      <c r="B1659" s="218"/>
      <c r="C1659" s="9"/>
      <c r="D1659" s="228"/>
      <c r="E1659" s="216"/>
      <c r="F1659" s="273"/>
      <c r="G1659" s="9"/>
      <c r="H1659" s="234"/>
      <c r="I1659" s="232"/>
      <c r="J1659" s="9"/>
      <c r="K1659" s="18"/>
      <c r="L1659" s="18"/>
      <c r="M1659" s="18"/>
      <c r="N1659" s="18"/>
      <c r="O1659" s="18"/>
      <c r="P1659" s="18"/>
      <c r="Q1659" s="18"/>
      <c r="R1659" s="18"/>
      <c r="S1659" s="18"/>
      <c r="T1659" s="18"/>
      <c r="U1659" s="18"/>
      <c r="V1659" s="18"/>
      <c r="W1659" s="18"/>
      <c r="X1659" s="18"/>
      <c r="Y1659" s="18"/>
      <c r="Z1659" s="18"/>
    </row>
    <row r="1660" ht="22.5" customHeight="1">
      <c r="A1660" s="250"/>
      <c r="B1660" s="218"/>
      <c r="C1660" s="9"/>
      <c r="D1660" s="228"/>
      <c r="E1660" s="216"/>
      <c r="F1660" s="273"/>
      <c r="G1660" s="9"/>
      <c r="H1660" s="234"/>
      <c r="I1660" s="232"/>
      <c r="J1660" s="9"/>
      <c r="K1660" s="18"/>
      <c r="L1660" s="18"/>
      <c r="M1660" s="18"/>
      <c r="N1660" s="18"/>
      <c r="O1660" s="18"/>
      <c r="P1660" s="18"/>
      <c r="Q1660" s="18"/>
      <c r="R1660" s="18"/>
      <c r="S1660" s="18"/>
      <c r="T1660" s="18"/>
      <c r="U1660" s="18"/>
      <c r="V1660" s="18"/>
      <c r="W1660" s="18"/>
      <c r="X1660" s="18"/>
      <c r="Y1660" s="18"/>
      <c r="Z1660" s="18"/>
    </row>
    <row r="1661" ht="22.5" customHeight="1">
      <c r="A1661" s="250"/>
      <c r="B1661" s="218"/>
      <c r="C1661" s="9"/>
      <c r="D1661" s="228"/>
      <c r="E1661" s="216"/>
      <c r="F1661" s="273"/>
      <c r="G1661" s="9"/>
      <c r="H1661" s="234"/>
      <c r="I1661" s="232"/>
      <c r="J1661" s="9"/>
      <c r="K1661" s="18"/>
      <c r="L1661" s="18"/>
      <c r="M1661" s="18"/>
      <c r="N1661" s="18"/>
      <c r="O1661" s="18"/>
      <c r="P1661" s="18"/>
      <c r="Q1661" s="18"/>
      <c r="R1661" s="18"/>
      <c r="S1661" s="18"/>
      <c r="T1661" s="18"/>
      <c r="U1661" s="18"/>
      <c r="V1661" s="18"/>
      <c r="W1661" s="18"/>
      <c r="X1661" s="18"/>
      <c r="Y1661" s="18"/>
      <c r="Z1661" s="18"/>
    </row>
    <row r="1662" ht="22.5" customHeight="1">
      <c r="A1662" s="250"/>
      <c r="B1662" s="218"/>
      <c r="C1662" s="9"/>
      <c r="D1662" s="228"/>
      <c r="E1662" s="216"/>
      <c r="F1662" s="273"/>
      <c r="G1662" s="9"/>
      <c r="H1662" s="234"/>
      <c r="I1662" s="232"/>
      <c r="J1662" s="9"/>
      <c r="K1662" s="18"/>
      <c r="L1662" s="18"/>
      <c r="M1662" s="18"/>
      <c r="N1662" s="18"/>
      <c r="O1662" s="18"/>
      <c r="P1662" s="18"/>
      <c r="Q1662" s="18"/>
      <c r="R1662" s="18"/>
      <c r="S1662" s="18"/>
      <c r="T1662" s="18"/>
      <c r="U1662" s="18"/>
      <c r="V1662" s="18"/>
      <c r="W1662" s="18"/>
      <c r="X1662" s="18"/>
      <c r="Y1662" s="18"/>
      <c r="Z1662" s="18"/>
    </row>
    <row r="1663" ht="22.5" customHeight="1">
      <c r="A1663" s="250"/>
      <c r="B1663" s="218"/>
      <c r="C1663" s="9"/>
      <c r="D1663" s="228"/>
      <c r="E1663" s="216"/>
      <c r="F1663" s="273"/>
      <c r="G1663" s="9"/>
      <c r="H1663" s="234"/>
      <c r="I1663" s="232"/>
      <c r="J1663" s="9"/>
      <c r="K1663" s="18"/>
      <c r="L1663" s="18"/>
      <c r="M1663" s="18"/>
      <c r="N1663" s="18"/>
      <c r="O1663" s="18"/>
      <c r="P1663" s="18"/>
      <c r="Q1663" s="18"/>
      <c r="R1663" s="18"/>
      <c r="S1663" s="18"/>
      <c r="T1663" s="18"/>
      <c r="U1663" s="18"/>
      <c r="V1663" s="18"/>
      <c r="W1663" s="18"/>
      <c r="X1663" s="18"/>
      <c r="Y1663" s="18"/>
      <c r="Z1663" s="18"/>
    </row>
    <row r="1664" ht="22.5" customHeight="1">
      <c r="A1664" s="250"/>
      <c r="B1664" s="218"/>
      <c r="C1664" s="9"/>
      <c r="D1664" s="228"/>
      <c r="E1664" s="216"/>
      <c r="F1664" s="273"/>
      <c r="G1664" s="9"/>
      <c r="H1664" s="234"/>
      <c r="I1664" s="232"/>
      <c r="J1664" s="9"/>
      <c r="K1664" s="18"/>
      <c r="L1664" s="18"/>
      <c r="M1664" s="18"/>
      <c r="N1664" s="18"/>
      <c r="O1664" s="18"/>
      <c r="P1664" s="18"/>
      <c r="Q1664" s="18"/>
      <c r="R1664" s="18"/>
      <c r="S1664" s="18"/>
      <c r="T1664" s="18"/>
      <c r="U1664" s="18"/>
      <c r="V1664" s="18"/>
      <c r="W1664" s="18"/>
      <c r="X1664" s="18"/>
      <c r="Y1664" s="18"/>
      <c r="Z1664" s="18"/>
    </row>
    <row r="1665" ht="22.5" customHeight="1">
      <c r="A1665" s="250"/>
      <c r="B1665" s="218"/>
      <c r="C1665" s="9"/>
      <c r="D1665" s="228"/>
      <c r="E1665" s="216"/>
      <c r="F1665" s="273"/>
      <c r="G1665" s="9"/>
      <c r="H1665" s="234"/>
      <c r="I1665" s="232"/>
      <c r="J1665" s="9"/>
      <c r="K1665" s="18"/>
      <c r="L1665" s="18"/>
      <c r="M1665" s="18"/>
      <c r="N1665" s="18"/>
      <c r="O1665" s="18"/>
      <c r="P1665" s="18"/>
      <c r="Q1665" s="18"/>
      <c r="R1665" s="18"/>
      <c r="S1665" s="18"/>
      <c r="T1665" s="18"/>
      <c r="U1665" s="18"/>
      <c r="V1665" s="18"/>
      <c r="W1665" s="18"/>
      <c r="X1665" s="18"/>
      <c r="Y1665" s="18"/>
      <c r="Z1665" s="18"/>
    </row>
    <row r="1666" ht="22.5" customHeight="1">
      <c r="A1666" s="250"/>
      <c r="B1666" s="218"/>
      <c r="C1666" s="9"/>
      <c r="D1666" s="228"/>
      <c r="E1666" s="216"/>
      <c r="F1666" s="273"/>
      <c r="G1666" s="9"/>
      <c r="H1666" s="234"/>
      <c r="I1666" s="232"/>
      <c r="J1666" s="9"/>
      <c r="K1666" s="18"/>
      <c r="L1666" s="18"/>
      <c r="M1666" s="18"/>
      <c r="N1666" s="18"/>
      <c r="O1666" s="18"/>
      <c r="P1666" s="18"/>
      <c r="Q1666" s="18"/>
      <c r="R1666" s="18"/>
      <c r="S1666" s="18"/>
      <c r="T1666" s="18"/>
      <c r="U1666" s="18"/>
      <c r="V1666" s="18"/>
      <c r="W1666" s="18"/>
      <c r="X1666" s="18"/>
      <c r="Y1666" s="18"/>
      <c r="Z1666" s="18"/>
    </row>
    <row r="1667" ht="22.5" customHeight="1">
      <c r="A1667" s="250"/>
      <c r="B1667" s="218"/>
      <c r="C1667" s="9"/>
      <c r="D1667" s="228"/>
      <c r="E1667" s="216"/>
      <c r="F1667" s="273"/>
      <c r="G1667" s="9"/>
      <c r="H1667" s="234"/>
      <c r="I1667" s="232"/>
      <c r="J1667" s="9"/>
      <c r="K1667" s="18"/>
      <c r="L1667" s="18"/>
      <c r="M1667" s="18"/>
      <c r="N1667" s="18"/>
      <c r="O1667" s="18"/>
      <c r="P1667" s="18"/>
      <c r="Q1667" s="18"/>
      <c r="R1667" s="18"/>
      <c r="S1667" s="18"/>
      <c r="T1667" s="18"/>
      <c r="U1667" s="18"/>
      <c r="V1667" s="18"/>
      <c r="W1667" s="18"/>
      <c r="X1667" s="18"/>
      <c r="Y1667" s="18"/>
      <c r="Z1667" s="18"/>
    </row>
    <row r="1668" ht="22.5" customHeight="1">
      <c r="A1668" s="250"/>
      <c r="B1668" s="218"/>
      <c r="C1668" s="9"/>
      <c r="D1668" s="228"/>
      <c r="E1668" s="216"/>
      <c r="F1668" s="273"/>
      <c r="G1668" s="9"/>
      <c r="H1668" s="234"/>
      <c r="I1668" s="232"/>
      <c r="J1668" s="9"/>
      <c r="K1668" s="18"/>
      <c r="L1668" s="18"/>
      <c r="M1668" s="18"/>
      <c r="N1668" s="18"/>
      <c r="O1668" s="18"/>
      <c r="P1668" s="18"/>
      <c r="Q1668" s="18"/>
      <c r="R1668" s="18"/>
      <c r="S1668" s="18"/>
      <c r="T1668" s="18"/>
      <c r="U1668" s="18"/>
      <c r="V1668" s="18"/>
      <c r="W1668" s="18"/>
      <c r="X1668" s="18"/>
      <c r="Y1668" s="18"/>
      <c r="Z1668" s="18"/>
    </row>
    <row r="1669" ht="22.5" customHeight="1">
      <c r="A1669" s="250"/>
      <c r="B1669" s="218"/>
      <c r="C1669" s="9"/>
      <c r="D1669" s="228"/>
      <c r="E1669" s="216"/>
      <c r="F1669" s="273"/>
      <c r="G1669" s="9"/>
      <c r="H1669" s="234"/>
      <c r="I1669" s="232"/>
      <c r="J1669" s="9"/>
      <c r="K1669" s="18"/>
      <c r="L1669" s="18"/>
      <c r="M1669" s="18"/>
      <c r="N1669" s="18"/>
      <c r="O1669" s="18"/>
      <c r="P1669" s="18"/>
      <c r="Q1669" s="18"/>
      <c r="R1669" s="18"/>
      <c r="S1669" s="18"/>
      <c r="T1669" s="18"/>
      <c r="U1669" s="18"/>
      <c r="V1669" s="18"/>
      <c r="W1669" s="18"/>
      <c r="X1669" s="18"/>
      <c r="Y1669" s="18"/>
      <c r="Z1669" s="18"/>
    </row>
    <row r="1670" ht="22.5" customHeight="1">
      <c r="A1670" s="250"/>
      <c r="B1670" s="218"/>
      <c r="C1670" s="9"/>
      <c r="D1670" s="228"/>
      <c r="E1670" s="216"/>
      <c r="F1670" s="273"/>
      <c r="G1670" s="9"/>
      <c r="H1670" s="234"/>
      <c r="I1670" s="232"/>
      <c r="J1670" s="9"/>
      <c r="K1670" s="18"/>
      <c r="L1670" s="18"/>
      <c r="M1670" s="18"/>
      <c r="N1670" s="18"/>
      <c r="O1670" s="18"/>
      <c r="P1670" s="18"/>
      <c r="Q1670" s="18"/>
      <c r="R1670" s="18"/>
      <c r="S1670" s="18"/>
      <c r="T1670" s="18"/>
      <c r="U1670" s="18"/>
      <c r="V1670" s="18"/>
      <c r="W1670" s="18"/>
      <c r="X1670" s="18"/>
      <c r="Y1670" s="18"/>
      <c r="Z1670" s="18"/>
    </row>
    <row r="1671" ht="22.5" customHeight="1">
      <c r="A1671" s="250"/>
      <c r="B1671" s="218"/>
      <c r="C1671" s="9"/>
      <c r="D1671" s="228"/>
      <c r="E1671" s="216"/>
      <c r="F1671" s="273"/>
      <c r="G1671" s="9"/>
      <c r="H1671" s="234"/>
      <c r="I1671" s="232"/>
      <c r="J1671" s="9"/>
      <c r="K1671" s="18"/>
      <c r="L1671" s="18"/>
      <c r="M1671" s="18"/>
      <c r="N1671" s="18"/>
      <c r="O1671" s="18"/>
      <c r="P1671" s="18"/>
      <c r="Q1671" s="18"/>
      <c r="R1671" s="18"/>
      <c r="S1671" s="18"/>
      <c r="T1671" s="18"/>
      <c r="U1671" s="18"/>
      <c r="V1671" s="18"/>
      <c r="W1671" s="18"/>
      <c r="X1671" s="18"/>
      <c r="Y1671" s="18"/>
      <c r="Z1671" s="18"/>
    </row>
    <row r="1672" ht="22.5" customHeight="1">
      <c r="A1672" s="250"/>
      <c r="B1672" s="218"/>
      <c r="C1672" s="9"/>
      <c r="D1672" s="228"/>
      <c r="E1672" s="216"/>
      <c r="F1672" s="273"/>
      <c r="G1672" s="9"/>
      <c r="H1672" s="234"/>
      <c r="I1672" s="232"/>
      <c r="J1672" s="9"/>
      <c r="K1672" s="18"/>
      <c r="L1672" s="18"/>
      <c r="M1672" s="18"/>
      <c r="N1672" s="18"/>
      <c r="O1672" s="18"/>
      <c r="P1672" s="18"/>
      <c r="Q1672" s="18"/>
      <c r="R1672" s="18"/>
      <c r="S1672" s="18"/>
      <c r="T1672" s="18"/>
      <c r="U1672" s="18"/>
      <c r="V1672" s="18"/>
      <c r="W1672" s="18"/>
      <c r="X1672" s="18"/>
      <c r="Y1672" s="18"/>
      <c r="Z1672" s="18"/>
    </row>
    <row r="1673" ht="22.5" customHeight="1">
      <c r="A1673" s="250"/>
      <c r="B1673" s="218"/>
      <c r="C1673" s="9"/>
      <c r="D1673" s="228"/>
      <c r="E1673" s="216"/>
      <c r="F1673" s="273"/>
      <c r="G1673" s="9"/>
      <c r="H1673" s="234"/>
      <c r="I1673" s="232"/>
      <c r="J1673" s="9"/>
      <c r="K1673" s="18"/>
      <c r="L1673" s="18"/>
      <c r="M1673" s="18"/>
      <c r="N1673" s="18"/>
      <c r="O1673" s="18"/>
      <c r="P1673" s="18"/>
      <c r="Q1673" s="18"/>
      <c r="R1673" s="18"/>
      <c r="S1673" s="18"/>
      <c r="T1673" s="18"/>
      <c r="U1673" s="18"/>
      <c r="V1673" s="18"/>
      <c r="W1673" s="18"/>
      <c r="X1673" s="18"/>
      <c r="Y1673" s="18"/>
      <c r="Z1673" s="18"/>
    </row>
    <row r="1674" ht="22.5" customHeight="1">
      <c r="A1674" s="250"/>
      <c r="B1674" s="218"/>
      <c r="C1674" s="9"/>
      <c r="D1674" s="228"/>
      <c r="E1674" s="216"/>
      <c r="F1674" s="273"/>
      <c r="G1674" s="9"/>
      <c r="H1674" s="234"/>
      <c r="I1674" s="232"/>
      <c r="J1674" s="9"/>
      <c r="K1674" s="18"/>
      <c r="L1674" s="18"/>
      <c r="M1674" s="18"/>
      <c r="N1674" s="18"/>
      <c r="O1674" s="18"/>
      <c r="P1674" s="18"/>
      <c r="Q1674" s="18"/>
      <c r="R1674" s="18"/>
      <c r="S1674" s="18"/>
      <c r="T1674" s="18"/>
      <c r="U1674" s="18"/>
      <c r="V1674" s="18"/>
      <c r="W1674" s="18"/>
      <c r="X1674" s="18"/>
      <c r="Y1674" s="18"/>
      <c r="Z1674" s="18"/>
    </row>
    <row r="1675" ht="22.5" customHeight="1">
      <c r="A1675" s="250"/>
      <c r="B1675" s="218"/>
      <c r="C1675" s="9"/>
      <c r="D1675" s="228"/>
      <c r="E1675" s="216"/>
      <c r="F1675" s="273"/>
      <c r="G1675" s="9"/>
      <c r="H1675" s="234"/>
      <c r="I1675" s="232"/>
      <c r="J1675" s="9"/>
      <c r="K1675" s="18"/>
      <c r="L1675" s="18"/>
      <c r="M1675" s="18"/>
      <c r="N1675" s="18"/>
      <c r="O1675" s="18"/>
      <c r="P1675" s="18"/>
      <c r="Q1675" s="18"/>
      <c r="R1675" s="18"/>
      <c r="S1675" s="18"/>
      <c r="T1675" s="18"/>
      <c r="U1675" s="18"/>
      <c r="V1675" s="18"/>
      <c r="W1675" s="18"/>
      <c r="X1675" s="18"/>
      <c r="Y1675" s="18"/>
      <c r="Z1675" s="18"/>
    </row>
    <row r="1676" ht="22.5" customHeight="1">
      <c r="A1676" s="250"/>
      <c r="B1676" s="218"/>
      <c r="C1676" s="9"/>
      <c r="D1676" s="228"/>
      <c r="E1676" s="216"/>
      <c r="F1676" s="273"/>
      <c r="G1676" s="9"/>
      <c r="H1676" s="234"/>
      <c r="I1676" s="232"/>
      <c r="J1676" s="9"/>
      <c r="K1676" s="18"/>
      <c r="L1676" s="18"/>
      <c r="M1676" s="18"/>
      <c r="N1676" s="18"/>
      <c r="O1676" s="18"/>
      <c r="P1676" s="18"/>
      <c r="Q1676" s="18"/>
      <c r="R1676" s="18"/>
      <c r="S1676" s="18"/>
      <c r="T1676" s="18"/>
      <c r="U1676" s="18"/>
      <c r="V1676" s="18"/>
      <c r="W1676" s="18"/>
      <c r="X1676" s="18"/>
      <c r="Y1676" s="18"/>
      <c r="Z1676" s="18"/>
    </row>
    <row r="1677" ht="22.5" customHeight="1">
      <c r="A1677" s="250"/>
      <c r="B1677" s="218"/>
      <c r="C1677" s="9"/>
      <c r="D1677" s="228"/>
      <c r="E1677" s="216"/>
      <c r="F1677" s="273"/>
      <c r="G1677" s="9"/>
      <c r="H1677" s="234"/>
      <c r="I1677" s="232"/>
      <c r="J1677" s="9"/>
      <c r="K1677" s="18"/>
      <c r="L1677" s="18"/>
      <c r="M1677" s="18"/>
      <c r="N1677" s="18"/>
      <c r="O1677" s="18"/>
      <c r="P1677" s="18"/>
      <c r="Q1677" s="18"/>
      <c r="R1677" s="18"/>
      <c r="S1677" s="18"/>
      <c r="T1677" s="18"/>
      <c r="U1677" s="18"/>
      <c r="V1677" s="18"/>
      <c r="W1677" s="18"/>
      <c r="X1677" s="18"/>
      <c r="Y1677" s="18"/>
      <c r="Z1677" s="18"/>
    </row>
    <row r="1678" ht="22.5" customHeight="1">
      <c r="A1678" s="250"/>
      <c r="B1678" s="218"/>
      <c r="C1678" s="9"/>
      <c r="D1678" s="228"/>
      <c r="E1678" s="216"/>
      <c r="F1678" s="273"/>
      <c r="G1678" s="9"/>
      <c r="H1678" s="234"/>
      <c r="I1678" s="232"/>
      <c r="J1678" s="9"/>
      <c r="K1678" s="18"/>
      <c r="L1678" s="18"/>
      <c r="M1678" s="18"/>
      <c r="N1678" s="18"/>
      <c r="O1678" s="18"/>
      <c r="P1678" s="18"/>
      <c r="Q1678" s="18"/>
      <c r="R1678" s="18"/>
      <c r="S1678" s="18"/>
      <c r="T1678" s="18"/>
      <c r="U1678" s="18"/>
      <c r="V1678" s="18"/>
      <c r="W1678" s="18"/>
      <c r="X1678" s="18"/>
      <c r="Y1678" s="18"/>
      <c r="Z1678" s="18"/>
    </row>
    <row r="1679" ht="22.5" customHeight="1">
      <c r="A1679" s="250"/>
      <c r="B1679" s="218"/>
      <c r="C1679" s="9"/>
      <c r="D1679" s="228"/>
      <c r="E1679" s="216"/>
      <c r="F1679" s="273"/>
      <c r="G1679" s="9"/>
      <c r="H1679" s="234"/>
      <c r="I1679" s="232"/>
      <c r="J1679" s="9"/>
      <c r="K1679" s="18"/>
      <c r="L1679" s="18"/>
      <c r="M1679" s="18"/>
      <c r="N1679" s="18"/>
      <c r="O1679" s="18"/>
      <c r="P1679" s="18"/>
      <c r="Q1679" s="18"/>
      <c r="R1679" s="18"/>
      <c r="S1679" s="18"/>
      <c r="T1679" s="18"/>
      <c r="U1679" s="18"/>
      <c r="V1679" s="18"/>
      <c r="W1679" s="18"/>
      <c r="X1679" s="18"/>
      <c r="Y1679" s="18"/>
      <c r="Z1679" s="18"/>
    </row>
    <row r="1680" ht="22.5" customHeight="1">
      <c r="A1680" s="250"/>
      <c r="B1680" s="218"/>
      <c r="C1680" s="9"/>
      <c r="D1680" s="228"/>
      <c r="E1680" s="216"/>
      <c r="F1680" s="273"/>
      <c r="G1680" s="9"/>
      <c r="H1680" s="234"/>
      <c r="I1680" s="232"/>
      <c r="J1680" s="9"/>
      <c r="K1680" s="18"/>
      <c r="L1680" s="18"/>
      <c r="M1680" s="18"/>
      <c r="N1680" s="18"/>
      <c r="O1680" s="18"/>
      <c r="P1680" s="18"/>
      <c r="Q1680" s="18"/>
      <c r="R1680" s="18"/>
      <c r="S1680" s="18"/>
      <c r="T1680" s="18"/>
      <c r="U1680" s="18"/>
      <c r="V1680" s="18"/>
      <c r="W1680" s="18"/>
      <c r="X1680" s="18"/>
      <c r="Y1680" s="18"/>
      <c r="Z1680" s="18"/>
    </row>
    <row r="1681" ht="22.5" customHeight="1">
      <c r="A1681" s="250"/>
      <c r="B1681" s="218"/>
      <c r="C1681" s="9"/>
      <c r="D1681" s="228"/>
      <c r="E1681" s="216"/>
      <c r="F1681" s="273"/>
      <c r="G1681" s="9"/>
      <c r="H1681" s="234"/>
      <c r="I1681" s="232"/>
      <c r="J1681" s="9"/>
      <c r="K1681" s="18"/>
      <c r="L1681" s="18"/>
      <c r="M1681" s="18"/>
      <c r="N1681" s="18"/>
      <c r="O1681" s="18"/>
      <c r="P1681" s="18"/>
      <c r="Q1681" s="18"/>
      <c r="R1681" s="18"/>
      <c r="S1681" s="18"/>
      <c r="T1681" s="18"/>
      <c r="U1681" s="18"/>
      <c r="V1681" s="18"/>
      <c r="W1681" s="18"/>
      <c r="X1681" s="18"/>
      <c r="Y1681" s="18"/>
      <c r="Z1681" s="18"/>
    </row>
    <row r="1682" ht="22.5" customHeight="1">
      <c r="A1682" s="250"/>
      <c r="B1682" s="218"/>
      <c r="C1682" s="9"/>
      <c r="D1682" s="228"/>
      <c r="E1682" s="216"/>
      <c r="F1682" s="273"/>
      <c r="G1682" s="9"/>
      <c r="H1682" s="234"/>
      <c r="I1682" s="232"/>
      <c r="J1682" s="9"/>
      <c r="K1682" s="18"/>
      <c r="L1682" s="18"/>
      <c r="M1682" s="18"/>
      <c r="N1682" s="18"/>
      <c r="O1682" s="18"/>
      <c r="P1682" s="18"/>
      <c r="Q1682" s="18"/>
      <c r="R1682" s="18"/>
      <c r="S1682" s="18"/>
      <c r="T1682" s="18"/>
      <c r="U1682" s="18"/>
      <c r="V1682" s="18"/>
      <c r="W1682" s="18"/>
      <c r="X1682" s="18"/>
      <c r="Y1682" s="18"/>
      <c r="Z1682" s="18"/>
    </row>
    <row r="1683" ht="22.5" customHeight="1">
      <c r="A1683" s="250"/>
      <c r="B1683" s="218"/>
      <c r="C1683" s="9"/>
      <c r="D1683" s="228"/>
      <c r="E1683" s="216"/>
      <c r="F1683" s="273"/>
      <c r="G1683" s="9"/>
      <c r="H1683" s="234"/>
      <c r="I1683" s="232"/>
      <c r="J1683" s="9"/>
      <c r="K1683" s="18"/>
      <c r="L1683" s="18"/>
      <c r="M1683" s="18"/>
      <c r="N1683" s="18"/>
      <c r="O1683" s="18"/>
      <c r="P1683" s="18"/>
      <c r="Q1683" s="18"/>
      <c r="R1683" s="18"/>
      <c r="S1683" s="18"/>
      <c r="T1683" s="18"/>
      <c r="U1683" s="18"/>
      <c r="V1683" s="18"/>
      <c r="W1683" s="18"/>
      <c r="X1683" s="18"/>
      <c r="Y1683" s="18"/>
      <c r="Z1683" s="18"/>
    </row>
    <row r="1684" ht="22.5" customHeight="1">
      <c r="A1684" s="250"/>
      <c r="B1684" s="218"/>
      <c r="C1684" s="9"/>
      <c r="D1684" s="228"/>
      <c r="E1684" s="216"/>
      <c r="F1684" s="273"/>
      <c r="G1684" s="9"/>
      <c r="H1684" s="234"/>
      <c r="I1684" s="232"/>
      <c r="J1684" s="9"/>
      <c r="K1684" s="18"/>
      <c r="L1684" s="18"/>
      <c r="M1684" s="18"/>
      <c r="N1684" s="18"/>
      <c r="O1684" s="18"/>
      <c r="P1684" s="18"/>
      <c r="Q1684" s="18"/>
      <c r="R1684" s="18"/>
      <c r="S1684" s="18"/>
      <c r="T1684" s="18"/>
      <c r="U1684" s="18"/>
      <c r="V1684" s="18"/>
      <c r="W1684" s="18"/>
      <c r="X1684" s="18"/>
      <c r="Y1684" s="18"/>
      <c r="Z1684" s="18"/>
    </row>
    <row r="1685" ht="22.5" customHeight="1">
      <c r="A1685" s="250"/>
      <c r="B1685" s="218"/>
      <c r="C1685" s="9"/>
      <c r="D1685" s="228"/>
      <c r="E1685" s="216"/>
      <c r="F1685" s="273"/>
      <c r="G1685" s="9"/>
      <c r="H1685" s="234"/>
      <c r="I1685" s="232"/>
      <c r="J1685" s="9"/>
      <c r="K1685" s="18"/>
      <c r="L1685" s="18"/>
      <c r="M1685" s="18"/>
      <c r="N1685" s="18"/>
      <c r="O1685" s="18"/>
      <c r="P1685" s="18"/>
      <c r="Q1685" s="18"/>
      <c r="R1685" s="18"/>
      <c r="S1685" s="18"/>
      <c r="T1685" s="18"/>
      <c r="U1685" s="18"/>
      <c r="V1685" s="18"/>
      <c r="W1685" s="18"/>
      <c r="X1685" s="18"/>
      <c r="Y1685" s="18"/>
      <c r="Z1685" s="18"/>
    </row>
    <row r="1686" ht="22.5" customHeight="1">
      <c r="A1686" s="250"/>
      <c r="B1686" s="218"/>
      <c r="C1686" s="9"/>
      <c r="D1686" s="228"/>
      <c r="E1686" s="216"/>
      <c r="F1686" s="273"/>
      <c r="G1686" s="9"/>
      <c r="H1686" s="234"/>
      <c r="I1686" s="232"/>
      <c r="J1686" s="9"/>
      <c r="K1686" s="18"/>
      <c r="L1686" s="18"/>
      <c r="M1686" s="18"/>
      <c r="N1686" s="18"/>
      <c r="O1686" s="18"/>
      <c r="P1686" s="18"/>
      <c r="Q1686" s="18"/>
      <c r="R1686" s="18"/>
      <c r="S1686" s="18"/>
      <c r="T1686" s="18"/>
      <c r="U1686" s="18"/>
      <c r="V1686" s="18"/>
      <c r="W1686" s="18"/>
      <c r="X1686" s="18"/>
      <c r="Y1686" s="18"/>
      <c r="Z1686" s="18"/>
    </row>
    <row r="1687" ht="22.5" customHeight="1">
      <c r="A1687" s="250"/>
      <c r="B1687" s="218"/>
      <c r="C1687" s="9"/>
      <c r="D1687" s="228"/>
      <c r="E1687" s="216"/>
      <c r="F1687" s="273"/>
      <c r="G1687" s="9"/>
      <c r="H1687" s="234"/>
      <c r="I1687" s="232"/>
      <c r="J1687" s="9"/>
      <c r="K1687" s="18"/>
      <c r="L1687" s="18"/>
      <c r="M1687" s="18"/>
      <c r="N1687" s="18"/>
      <c r="O1687" s="18"/>
      <c r="P1687" s="18"/>
      <c r="Q1687" s="18"/>
      <c r="R1687" s="18"/>
      <c r="S1687" s="18"/>
      <c r="T1687" s="18"/>
      <c r="U1687" s="18"/>
      <c r="V1687" s="18"/>
      <c r="W1687" s="18"/>
      <c r="X1687" s="18"/>
      <c r="Y1687" s="18"/>
      <c r="Z1687" s="18"/>
    </row>
    <row r="1688" ht="22.5" customHeight="1">
      <c r="A1688" s="250"/>
      <c r="B1688" s="218"/>
      <c r="C1688" s="9"/>
      <c r="D1688" s="228"/>
      <c r="E1688" s="216"/>
      <c r="F1688" s="273"/>
      <c r="G1688" s="9"/>
      <c r="H1688" s="234"/>
      <c r="I1688" s="232"/>
      <c r="J1688" s="9"/>
      <c r="K1688" s="18"/>
      <c r="L1688" s="18"/>
      <c r="M1688" s="18"/>
      <c r="N1688" s="18"/>
      <c r="O1688" s="18"/>
      <c r="P1688" s="18"/>
      <c r="Q1688" s="18"/>
      <c r="R1688" s="18"/>
      <c r="S1688" s="18"/>
      <c r="T1688" s="18"/>
      <c r="U1688" s="18"/>
      <c r="V1688" s="18"/>
      <c r="W1688" s="18"/>
      <c r="X1688" s="18"/>
      <c r="Y1688" s="18"/>
      <c r="Z1688" s="18"/>
    </row>
    <row r="1689" ht="22.5" customHeight="1">
      <c r="A1689" s="250"/>
      <c r="B1689" s="218"/>
      <c r="C1689" s="9"/>
      <c r="D1689" s="228"/>
      <c r="E1689" s="216"/>
      <c r="F1689" s="273"/>
      <c r="G1689" s="9"/>
      <c r="H1689" s="234"/>
      <c r="I1689" s="232"/>
      <c r="J1689" s="9"/>
      <c r="K1689" s="18"/>
      <c r="L1689" s="18"/>
      <c r="M1689" s="18"/>
      <c r="N1689" s="18"/>
      <c r="O1689" s="18"/>
      <c r="P1689" s="18"/>
      <c r="Q1689" s="18"/>
      <c r="R1689" s="18"/>
      <c r="S1689" s="18"/>
      <c r="T1689" s="18"/>
      <c r="U1689" s="18"/>
      <c r="V1689" s="18"/>
      <c r="W1689" s="18"/>
      <c r="X1689" s="18"/>
      <c r="Y1689" s="18"/>
      <c r="Z1689" s="18"/>
    </row>
    <row r="1690" ht="22.5" customHeight="1">
      <c r="A1690" s="250"/>
      <c r="B1690" s="218"/>
      <c r="C1690" s="9"/>
      <c r="D1690" s="228"/>
      <c r="E1690" s="216"/>
      <c r="F1690" s="273"/>
      <c r="G1690" s="9"/>
      <c r="H1690" s="234"/>
      <c r="I1690" s="232"/>
      <c r="J1690" s="9"/>
      <c r="K1690" s="18"/>
      <c r="L1690" s="18"/>
      <c r="M1690" s="18"/>
      <c r="N1690" s="18"/>
      <c r="O1690" s="18"/>
      <c r="P1690" s="18"/>
      <c r="Q1690" s="18"/>
      <c r="R1690" s="18"/>
      <c r="S1690" s="18"/>
      <c r="T1690" s="18"/>
      <c r="U1690" s="18"/>
      <c r="V1690" s="18"/>
      <c r="W1690" s="18"/>
      <c r="X1690" s="18"/>
      <c r="Y1690" s="18"/>
      <c r="Z1690" s="18"/>
    </row>
    <row r="1691" ht="22.5" customHeight="1">
      <c r="A1691" s="250"/>
      <c r="B1691" s="218"/>
      <c r="C1691" s="9"/>
      <c r="D1691" s="228"/>
      <c r="E1691" s="216"/>
      <c r="F1691" s="273"/>
      <c r="G1691" s="9"/>
      <c r="H1691" s="234"/>
      <c r="I1691" s="232"/>
      <c r="J1691" s="9"/>
      <c r="K1691" s="18"/>
      <c r="L1691" s="18"/>
      <c r="M1691" s="18"/>
      <c r="N1691" s="18"/>
      <c r="O1691" s="18"/>
      <c r="P1691" s="18"/>
      <c r="Q1691" s="18"/>
      <c r="R1691" s="18"/>
      <c r="S1691" s="18"/>
      <c r="T1691" s="18"/>
      <c r="U1691" s="18"/>
      <c r="V1691" s="18"/>
      <c r="W1691" s="18"/>
      <c r="X1691" s="18"/>
      <c r="Y1691" s="18"/>
      <c r="Z1691" s="18"/>
    </row>
    <row r="1692" ht="22.5" customHeight="1">
      <c r="A1692" s="250"/>
      <c r="B1692" s="218"/>
      <c r="C1692" s="9"/>
      <c r="D1692" s="228"/>
      <c r="E1692" s="216"/>
      <c r="F1692" s="273"/>
      <c r="G1692" s="9"/>
      <c r="H1692" s="234"/>
      <c r="I1692" s="232"/>
      <c r="J1692" s="9"/>
      <c r="K1692" s="18"/>
      <c r="L1692" s="18"/>
      <c r="M1692" s="18"/>
      <c r="N1692" s="18"/>
      <c r="O1692" s="18"/>
      <c r="P1692" s="18"/>
      <c r="Q1692" s="18"/>
      <c r="R1692" s="18"/>
      <c r="S1692" s="18"/>
      <c r="T1692" s="18"/>
      <c r="U1692" s="18"/>
      <c r="V1692" s="18"/>
      <c r="W1692" s="18"/>
      <c r="X1692" s="18"/>
      <c r="Y1692" s="18"/>
      <c r="Z1692" s="18"/>
    </row>
    <row r="1693" ht="22.5" customHeight="1">
      <c r="A1693" s="250"/>
      <c r="B1693" s="218"/>
      <c r="C1693" s="9"/>
      <c r="D1693" s="228"/>
      <c r="E1693" s="216"/>
      <c r="F1693" s="273"/>
      <c r="G1693" s="9"/>
      <c r="H1693" s="234"/>
      <c r="I1693" s="232"/>
      <c r="J1693" s="9"/>
      <c r="K1693" s="18"/>
      <c r="L1693" s="18"/>
      <c r="M1693" s="18"/>
      <c r="N1693" s="18"/>
      <c r="O1693" s="18"/>
      <c r="P1693" s="18"/>
      <c r="Q1693" s="18"/>
      <c r="R1693" s="18"/>
      <c r="S1693" s="18"/>
      <c r="T1693" s="18"/>
      <c r="U1693" s="18"/>
      <c r="V1693" s="18"/>
      <c r="W1693" s="18"/>
      <c r="X1693" s="18"/>
      <c r="Y1693" s="18"/>
      <c r="Z1693" s="18"/>
    </row>
    <row r="1694" ht="22.5" customHeight="1">
      <c r="A1694" s="250"/>
      <c r="B1694" s="218"/>
      <c r="C1694" s="9"/>
      <c r="D1694" s="228"/>
      <c r="E1694" s="216"/>
      <c r="F1694" s="273"/>
      <c r="G1694" s="9"/>
      <c r="H1694" s="234"/>
      <c r="I1694" s="232"/>
      <c r="J1694" s="9"/>
      <c r="K1694" s="18"/>
      <c r="L1694" s="18"/>
      <c r="M1694" s="18"/>
      <c r="N1694" s="18"/>
      <c r="O1694" s="18"/>
      <c r="P1694" s="18"/>
      <c r="Q1694" s="18"/>
      <c r="R1694" s="18"/>
      <c r="S1694" s="18"/>
      <c r="T1694" s="18"/>
      <c r="U1694" s="18"/>
      <c r="V1694" s="18"/>
      <c r="W1694" s="18"/>
      <c r="X1694" s="18"/>
      <c r="Y1694" s="18"/>
      <c r="Z1694" s="18"/>
    </row>
    <row r="1695" ht="22.5" customHeight="1">
      <c r="A1695" s="250"/>
      <c r="B1695" s="218"/>
      <c r="C1695" s="9"/>
      <c r="D1695" s="228"/>
      <c r="E1695" s="216"/>
      <c r="F1695" s="273"/>
      <c r="G1695" s="9"/>
      <c r="H1695" s="234"/>
      <c r="I1695" s="232"/>
      <c r="J1695" s="9"/>
      <c r="K1695" s="18"/>
      <c r="L1695" s="18"/>
      <c r="M1695" s="18"/>
      <c r="N1695" s="18"/>
      <c r="O1695" s="18"/>
      <c r="P1695" s="18"/>
      <c r="Q1695" s="18"/>
      <c r="R1695" s="18"/>
      <c r="S1695" s="18"/>
      <c r="T1695" s="18"/>
      <c r="U1695" s="18"/>
      <c r="V1695" s="18"/>
      <c r="W1695" s="18"/>
      <c r="X1695" s="18"/>
      <c r="Y1695" s="18"/>
      <c r="Z1695" s="18"/>
    </row>
    <row r="1696" ht="22.5" customHeight="1">
      <c r="A1696" s="250"/>
      <c r="B1696" s="218"/>
      <c r="C1696" s="9"/>
      <c r="D1696" s="228"/>
      <c r="E1696" s="216"/>
      <c r="F1696" s="273"/>
      <c r="G1696" s="9"/>
      <c r="H1696" s="234"/>
      <c r="I1696" s="232"/>
      <c r="J1696" s="9"/>
      <c r="K1696" s="18"/>
      <c r="L1696" s="18"/>
      <c r="M1696" s="18"/>
      <c r="N1696" s="18"/>
      <c r="O1696" s="18"/>
      <c r="P1696" s="18"/>
      <c r="Q1696" s="18"/>
      <c r="R1696" s="18"/>
      <c r="S1696" s="18"/>
      <c r="T1696" s="18"/>
      <c r="U1696" s="18"/>
      <c r="V1696" s="18"/>
      <c r="W1696" s="18"/>
      <c r="X1696" s="18"/>
      <c r="Y1696" s="18"/>
      <c r="Z1696" s="18"/>
    </row>
    <row r="1697" ht="22.5" customHeight="1">
      <c r="A1697" s="250"/>
      <c r="B1697" s="218"/>
      <c r="C1697" s="9"/>
      <c r="D1697" s="228"/>
      <c r="E1697" s="216"/>
      <c r="F1697" s="273"/>
      <c r="G1697" s="9"/>
      <c r="H1697" s="234"/>
      <c r="I1697" s="232"/>
      <c r="J1697" s="9"/>
      <c r="K1697" s="18"/>
      <c r="L1697" s="18"/>
      <c r="M1697" s="18"/>
      <c r="N1697" s="18"/>
      <c r="O1697" s="18"/>
      <c r="P1697" s="18"/>
      <c r="Q1697" s="18"/>
      <c r="R1697" s="18"/>
      <c r="S1697" s="18"/>
      <c r="T1697" s="18"/>
      <c r="U1697" s="18"/>
      <c r="V1697" s="18"/>
      <c r="W1697" s="18"/>
      <c r="X1697" s="18"/>
      <c r="Y1697" s="18"/>
      <c r="Z1697" s="18"/>
    </row>
    <row r="1698" ht="22.5" customHeight="1">
      <c r="A1698" s="250"/>
      <c r="B1698" s="218"/>
      <c r="C1698" s="9"/>
      <c r="D1698" s="228"/>
      <c r="E1698" s="216"/>
      <c r="F1698" s="273"/>
      <c r="G1698" s="9"/>
      <c r="H1698" s="234"/>
      <c r="I1698" s="232"/>
      <c r="J1698" s="9"/>
      <c r="K1698" s="18"/>
      <c r="L1698" s="18"/>
      <c r="M1698" s="18"/>
      <c r="N1698" s="18"/>
      <c r="O1698" s="18"/>
      <c r="P1698" s="18"/>
      <c r="Q1698" s="18"/>
      <c r="R1698" s="18"/>
      <c r="S1698" s="18"/>
      <c r="T1698" s="18"/>
      <c r="U1698" s="18"/>
      <c r="V1698" s="18"/>
      <c r="W1698" s="18"/>
      <c r="X1698" s="18"/>
      <c r="Y1698" s="18"/>
      <c r="Z1698" s="18"/>
    </row>
    <row r="1699" ht="22.5" customHeight="1">
      <c r="A1699" s="250"/>
      <c r="B1699" s="218"/>
      <c r="C1699" s="9"/>
      <c r="D1699" s="228"/>
      <c r="E1699" s="216"/>
      <c r="F1699" s="273"/>
      <c r="G1699" s="9"/>
      <c r="H1699" s="234"/>
      <c r="I1699" s="232"/>
      <c r="J1699" s="9"/>
      <c r="K1699" s="18"/>
      <c r="L1699" s="18"/>
      <c r="M1699" s="18"/>
      <c r="N1699" s="18"/>
      <c r="O1699" s="18"/>
      <c r="P1699" s="18"/>
      <c r="Q1699" s="18"/>
      <c r="R1699" s="18"/>
      <c r="S1699" s="18"/>
      <c r="T1699" s="18"/>
      <c r="U1699" s="18"/>
      <c r="V1699" s="18"/>
      <c r="W1699" s="18"/>
      <c r="X1699" s="18"/>
      <c r="Y1699" s="18"/>
      <c r="Z1699" s="18"/>
    </row>
    <row r="1700" ht="22.5" customHeight="1">
      <c r="A1700" s="250"/>
      <c r="B1700" s="218"/>
      <c r="C1700" s="9"/>
      <c r="D1700" s="228"/>
      <c r="E1700" s="216"/>
      <c r="F1700" s="273"/>
      <c r="G1700" s="9"/>
      <c r="H1700" s="234"/>
      <c r="I1700" s="232"/>
      <c r="J1700" s="9"/>
      <c r="K1700" s="18"/>
      <c r="L1700" s="18"/>
      <c r="M1700" s="18"/>
      <c r="N1700" s="18"/>
      <c r="O1700" s="18"/>
      <c r="P1700" s="18"/>
      <c r="Q1700" s="18"/>
      <c r="R1700" s="18"/>
      <c r="S1700" s="18"/>
      <c r="T1700" s="18"/>
      <c r="U1700" s="18"/>
      <c r="V1700" s="18"/>
      <c r="W1700" s="18"/>
      <c r="X1700" s="18"/>
      <c r="Y1700" s="18"/>
      <c r="Z1700" s="18"/>
    </row>
    <row r="1701" ht="22.5" customHeight="1">
      <c r="A1701" s="250"/>
      <c r="B1701" s="218"/>
      <c r="C1701" s="9"/>
      <c r="D1701" s="228"/>
      <c r="E1701" s="216"/>
      <c r="F1701" s="273"/>
      <c r="G1701" s="9"/>
      <c r="H1701" s="234"/>
      <c r="I1701" s="232"/>
      <c r="J1701" s="9"/>
      <c r="K1701" s="18"/>
      <c r="L1701" s="18"/>
      <c r="M1701" s="18"/>
      <c r="N1701" s="18"/>
      <c r="O1701" s="18"/>
      <c r="P1701" s="18"/>
      <c r="Q1701" s="18"/>
      <c r="R1701" s="18"/>
      <c r="S1701" s="18"/>
      <c r="T1701" s="18"/>
      <c r="U1701" s="18"/>
      <c r="V1701" s="18"/>
      <c r="W1701" s="18"/>
      <c r="X1701" s="18"/>
      <c r="Y1701" s="18"/>
      <c r="Z1701" s="18"/>
    </row>
    <row r="1702" ht="22.5" customHeight="1">
      <c r="A1702" s="250"/>
      <c r="B1702" s="218"/>
      <c r="C1702" s="9"/>
      <c r="D1702" s="228"/>
      <c r="E1702" s="216"/>
      <c r="F1702" s="273"/>
      <c r="G1702" s="9"/>
      <c r="H1702" s="234"/>
      <c r="I1702" s="232"/>
      <c r="J1702" s="9"/>
      <c r="K1702" s="18"/>
      <c r="L1702" s="18"/>
      <c r="M1702" s="18"/>
      <c r="N1702" s="18"/>
      <c r="O1702" s="18"/>
      <c r="P1702" s="18"/>
      <c r="Q1702" s="18"/>
      <c r="R1702" s="18"/>
      <c r="S1702" s="18"/>
      <c r="T1702" s="18"/>
      <c r="U1702" s="18"/>
      <c r="V1702" s="18"/>
      <c r="W1702" s="18"/>
      <c r="X1702" s="18"/>
      <c r="Y1702" s="18"/>
      <c r="Z1702" s="18"/>
    </row>
    <row r="1703" ht="22.5" customHeight="1">
      <c r="A1703" s="250"/>
      <c r="B1703" s="218"/>
      <c r="C1703" s="9"/>
      <c r="D1703" s="228"/>
      <c r="E1703" s="216"/>
      <c r="F1703" s="273"/>
      <c r="G1703" s="9"/>
      <c r="H1703" s="234"/>
      <c r="I1703" s="232"/>
      <c r="J1703" s="9"/>
      <c r="K1703" s="18"/>
      <c r="L1703" s="18"/>
      <c r="M1703" s="18"/>
      <c r="N1703" s="18"/>
      <c r="O1703" s="18"/>
      <c r="P1703" s="18"/>
      <c r="Q1703" s="18"/>
      <c r="R1703" s="18"/>
      <c r="S1703" s="18"/>
      <c r="T1703" s="18"/>
      <c r="U1703" s="18"/>
      <c r="V1703" s="18"/>
      <c r="W1703" s="18"/>
      <c r="X1703" s="18"/>
      <c r="Y1703" s="18"/>
      <c r="Z1703" s="18"/>
    </row>
    <row r="1704" ht="22.5" customHeight="1">
      <c r="A1704" s="250"/>
      <c r="B1704" s="218"/>
      <c r="C1704" s="9"/>
      <c r="D1704" s="228"/>
      <c r="E1704" s="216"/>
      <c r="F1704" s="273"/>
      <c r="G1704" s="9"/>
      <c r="H1704" s="234"/>
      <c r="I1704" s="232"/>
      <c r="J1704" s="9"/>
      <c r="K1704" s="18"/>
      <c r="L1704" s="18"/>
      <c r="M1704" s="18"/>
      <c r="N1704" s="18"/>
      <c r="O1704" s="18"/>
      <c r="P1704" s="18"/>
      <c r="Q1704" s="18"/>
      <c r="R1704" s="18"/>
      <c r="S1704" s="18"/>
      <c r="T1704" s="18"/>
      <c r="U1704" s="18"/>
      <c r="V1704" s="18"/>
      <c r="W1704" s="18"/>
      <c r="X1704" s="18"/>
      <c r="Y1704" s="18"/>
      <c r="Z1704" s="18"/>
    </row>
    <row r="1705" ht="22.5" customHeight="1">
      <c r="A1705" s="250"/>
      <c r="B1705" s="218"/>
      <c r="C1705" s="9"/>
      <c r="D1705" s="228"/>
      <c r="E1705" s="216"/>
      <c r="F1705" s="273"/>
      <c r="G1705" s="9"/>
      <c r="H1705" s="234"/>
      <c r="I1705" s="232"/>
      <c r="J1705" s="9"/>
      <c r="K1705" s="18"/>
      <c r="L1705" s="18"/>
      <c r="M1705" s="18"/>
      <c r="N1705" s="18"/>
      <c r="O1705" s="18"/>
      <c r="P1705" s="18"/>
      <c r="Q1705" s="18"/>
      <c r="R1705" s="18"/>
      <c r="S1705" s="18"/>
      <c r="T1705" s="18"/>
      <c r="U1705" s="18"/>
      <c r="V1705" s="18"/>
      <c r="W1705" s="18"/>
      <c r="X1705" s="18"/>
      <c r="Y1705" s="18"/>
      <c r="Z1705" s="18"/>
    </row>
    <row r="1706" ht="22.5" customHeight="1">
      <c r="A1706" s="250"/>
      <c r="B1706" s="218"/>
      <c r="C1706" s="9"/>
      <c r="D1706" s="228"/>
      <c r="E1706" s="216"/>
      <c r="F1706" s="273"/>
      <c r="G1706" s="9"/>
      <c r="H1706" s="234"/>
      <c r="I1706" s="232"/>
      <c r="J1706" s="9"/>
      <c r="K1706" s="18"/>
      <c r="L1706" s="18"/>
      <c r="M1706" s="18"/>
      <c r="N1706" s="18"/>
      <c r="O1706" s="18"/>
      <c r="P1706" s="18"/>
      <c r="Q1706" s="18"/>
      <c r="R1706" s="18"/>
      <c r="S1706" s="18"/>
      <c r="T1706" s="18"/>
      <c r="U1706" s="18"/>
      <c r="V1706" s="18"/>
      <c r="W1706" s="18"/>
      <c r="X1706" s="18"/>
      <c r="Y1706" s="18"/>
      <c r="Z1706" s="18"/>
    </row>
    <row r="1707" ht="22.5" customHeight="1">
      <c r="A1707" s="250"/>
      <c r="B1707" s="218"/>
      <c r="C1707" s="9"/>
      <c r="D1707" s="228"/>
      <c r="E1707" s="216"/>
      <c r="F1707" s="273"/>
      <c r="G1707" s="9"/>
      <c r="H1707" s="234"/>
      <c r="I1707" s="232"/>
      <c r="J1707" s="9"/>
      <c r="K1707" s="18"/>
      <c r="L1707" s="18"/>
      <c r="M1707" s="18"/>
      <c r="N1707" s="18"/>
      <c r="O1707" s="18"/>
      <c r="P1707" s="18"/>
      <c r="Q1707" s="18"/>
      <c r="R1707" s="18"/>
      <c r="S1707" s="18"/>
      <c r="T1707" s="18"/>
      <c r="U1707" s="18"/>
      <c r="V1707" s="18"/>
      <c r="W1707" s="18"/>
      <c r="X1707" s="18"/>
      <c r="Y1707" s="18"/>
      <c r="Z1707" s="18"/>
    </row>
    <row r="1708" ht="22.5" customHeight="1">
      <c r="A1708" s="250"/>
      <c r="B1708" s="218"/>
      <c r="C1708" s="9"/>
      <c r="D1708" s="228"/>
      <c r="E1708" s="216"/>
      <c r="F1708" s="273"/>
      <c r="G1708" s="9"/>
      <c r="H1708" s="234"/>
      <c r="I1708" s="232"/>
      <c r="J1708" s="9"/>
      <c r="K1708" s="18"/>
      <c r="L1708" s="18"/>
      <c r="M1708" s="18"/>
      <c r="N1708" s="18"/>
      <c r="O1708" s="18"/>
      <c r="P1708" s="18"/>
      <c r="Q1708" s="18"/>
      <c r="R1708" s="18"/>
      <c r="S1708" s="18"/>
      <c r="T1708" s="18"/>
      <c r="U1708" s="18"/>
      <c r="V1708" s="18"/>
      <c r="W1708" s="18"/>
      <c r="X1708" s="18"/>
      <c r="Y1708" s="18"/>
      <c r="Z1708" s="18"/>
    </row>
    <row r="1709" ht="22.5" customHeight="1">
      <c r="A1709" s="250"/>
      <c r="B1709" s="218"/>
      <c r="C1709" s="9"/>
      <c r="D1709" s="228"/>
      <c r="E1709" s="216"/>
      <c r="F1709" s="273"/>
      <c r="G1709" s="9"/>
      <c r="H1709" s="234"/>
      <c r="I1709" s="232"/>
      <c r="J1709" s="9"/>
      <c r="K1709" s="18"/>
      <c r="L1709" s="18"/>
      <c r="M1709" s="18"/>
      <c r="N1709" s="18"/>
      <c r="O1709" s="18"/>
      <c r="P1709" s="18"/>
      <c r="Q1709" s="18"/>
      <c r="R1709" s="18"/>
      <c r="S1709" s="18"/>
      <c r="T1709" s="18"/>
      <c r="U1709" s="18"/>
      <c r="V1709" s="18"/>
      <c r="W1709" s="18"/>
      <c r="X1709" s="18"/>
      <c r="Y1709" s="18"/>
      <c r="Z1709" s="18"/>
    </row>
    <row r="1710" ht="22.5" customHeight="1">
      <c r="A1710" s="250"/>
      <c r="B1710" s="218"/>
      <c r="C1710" s="9"/>
      <c r="D1710" s="228"/>
      <c r="E1710" s="216"/>
      <c r="F1710" s="273"/>
      <c r="G1710" s="9"/>
      <c r="H1710" s="234"/>
      <c r="I1710" s="232"/>
      <c r="J1710" s="9"/>
      <c r="K1710" s="18"/>
      <c r="L1710" s="18"/>
      <c r="M1710" s="18"/>
      <c r="N1710" s="18"/>
      <c r="O1710" s="18"/>
      <c r="P1710" s="18"/>
      <c r="Q1710" s="18"/>
      <c r="R1710" s="18"/>
      <c r="S1710" s="18"/>
      <c r="T1710" s="18"/>
      <c r="U1710" s="18"/>
      <c r="V1710" s="18"/>
      <c r="W1710" s="18"/>
      <c r="X1710" s="18"/>
      <c r="Y1710" s="18"/>
      <c r="Z1710" s="18"/>
    </row>
    <row r="1711" ht="22.5" customHeight="1">
      <c r="A1711" s="250"/>
      <c r="B1711" s="218"/>
      <c r="C1711" s="9"/>
      <c r="D1711" s="228"/>
      <c r="E1711" s="216"/>
      <c r="F1711" s="273"/>
      <c r="G1711" s="9"/>
      <c r="H1711" s="234"/>
      <c r="I1711" s="232"/>
      <c r="J1711" s="9"/>
      <c r="K1711" s="18"/>
      <c r="L1711" s="18"/>
      <c r="M1711" s="18"/>
      <c r="N1711" s="18"/>
      <c r="O1711" s="18"/>
      <c r="P1711" s="18"/>
      <c r="Q1711" s="18"/>
      <c r="R1711" s="18"/>
      <c r="S1711" s="18"/>
      <c r="T1711" s="18"/>
      <c r="U1711" s="18"/>
      <c r="V1711" s="18"/>
      <c r="W1711" s="18"/>
      <c r="X1711" s="18"/>
      <c r="Y1711" s="18"/>
      <c r="Z1711" s="18"/>
    </row>
    <row r="1712" ht="22.5" customHeight="1">
      <c r="A1712" s="250"/>
      <c r="B1712" s="218"/>
      <c r="C1712" s="9"/>
      <c r="D1712" s="228"/>
      <c r="E1712" s="216"/>
      <c r="F1712" s="273"/>
      <c r="G1712" s="9"/>
      <c r="H1712" s="234"/>
      <c r="I1712" s="232"/>
      <c r="J1712" s="9"/>
      <c r="K1712" s="18"/>
      <c r="L1712" s="18"/>
      <c r="M1712" s="18"/>
      <c r="N1712" s="18"/>
      <c r="O1712" s="18"/>
      <c r="P1712" s="18"/>
      <c r="Q1712" s="18"/>
      <c r="R1712" s="18"/>
      <c r="S1712" s="18"/>
      <c r="T1712" s="18"/>
      <c r="U1712" s="18"/>
      <c r="V1712" s="18"/>
      <c r="W1712" s="18"/>
      <c r="X1712" s="18"/>
      <c r="Y1712" s="18"/>
      <c r="Z1712" s="18"/>
    </row>
    <row r="1713" ht="22.5" customHeight="1">
      <c r="A1713" s="250"/>
      <c r="B1713" s="218"/>
      <c r="C1713" s="9"/>
      <c r="D1713" s="228"/>
      <c r="E1713" s="216"/>
      <c r="F1713" s="273"/>
      <c r="G1713" s="9"/>
      <c r="H1713" s="234"/>
      <c r="I1713" s="232"/>
      <c r="J1713" s="9"/>
      <c r="K1713" s="18"/>
      <c r="L1713" s="18"/>
      <c r="M1713" s="18"/>
      <c r="N1713" s="18"/>
      <c r="O1713" s="18"/>
      <c r="P1713" s="18"/>
      <c r="Q1713" s="18"/>
      <c r="R1713" s="18"/>
      <c r="S1713" s="18"/>
      <c r="T1713" s="18"/>
      <c r="U1713" s="18"/>
      <c r="V1713" s="18"/>
      <c r="W1713" s="18"/>
      <c r="X1713" s="18"/>
      <c r="Y1713" s="18"/>
      <c r="Z1713" s="18"/>
    </row>
    <row r="1714" ht="22.5" customHeight="1">
      <c r="A1714" s="250"/>
      <c r="B1714" s="218"/>
      <c r="C1714" s="9"/>
      <c r="D1714" s="228"/>
      <c r="E1714" s="216"/>
      <c r="F1714" s="273"/>
      <c r="G1714" s="9"/>
      <c r="H1714" s="234"/>
      <c r="I1714" s="232"/>
      <c r="J1714" s="9"/>
      <c r="K1714" s="18"/>
      <c r="L1714" s="18"/>
      <c r="M1714" s="18"/>
      <c r="N1714" s="18"/>
      <c r="O1714" s="18"/>
      <c r="P1714" s="18"/>
      <c r="Q1714" s="18"/>
      <c r="R1714" s="18"/>
      <c r="S1714" s="18"/>
      <c r="T1714" s="18"/>
      <c r="U1714" s="18"/>
      <c r="V1714" s="18"/>
      <c r="W1714" s="18"/>
      <c r="X1714" s="18"/>
      <c r="Y1714" s="18"/>
      <c r="Z1714" s="18"/>
    </row>
    <row r="1715" ht="22.5" customHeight="1">
      <c r="A1715" s="250"/>
      <c r="B1715" s="218"/>
      <c r="C1715" s="9"/>
      <c r="D1715" s="228"/>
      <c r="E1715" s="216"/>
      <c r="F1715" s="273"/>
      <c r="G1715" s="9"/>
      <c r="H1715" s="234"/>
      <c r="I1715" s="232"/>
      <c r="J1715" s="9"/>
      <c r="K1715" s="18"/>
      <c r="L1715" s="18"/>
      <c r="M1715" s="18"/>
      <c r="N1715" s="18"/>
      <c r="O1715" s="18"/>
      <c r="P1715" s="18"/>
      <c r="Q1715" s="18"/>
      <c r="R1715" s="18"/>
      <c r="S1715" s="18"/>
      <c r="T1715" s="18"/>
      <c r="U1715" s="18"/>
      <c r="V1715" s="18"/>
      <c r="W1715" s="18"/>
      <c r="X1715" s="18"/>
      <c r="Y1715" s="18"/>
      <c r="Z1715" s="18"/>
    </row>
    <row r="1716" ht="22.5" customHeight="1">
      <c r="A1716" s="250"/>
      <c r="B1716" s="218"/>
      <c r="C1716" s="9"/>
      <c r="D1716" s="228"/>
      <c r="E1716" s="216"/>
      <c r="F1716" s="273"/>
      <c r="G1716" s="9"/>
      <c r="H1716" s="234"/>
      <c r="I1716" s="232"/>
      <c r="J1716" s="9"/>
      <c r="K1716" s="18"/>
      <c r="L1716" s="18"/>
      <c r="M1716" s="18"/>
      <c r="N1716" s="18"/>
      <c r="O1716" s="18"/>
      <c r="P1716" s="18"/>
      <c r="Q1716" s="18"/>
      <c r="R1716" s="18"/>
      <c r="S1716" s="18"/>
      <c r="T1716" s="18"/>
      <c r="U1716" s="18"/>
      <c r="V1716" s="18"/>
      <c r="W1716" s="18"/>
      <c r="X1716" s="18"/>
      <c r="Y1716" s="18"/>
      <c r="Z1716" s="18"/>
    </row>
    <row r="1717" ht="22.5" customHeight="1">
      <c r="A1717" s="250"/>
      <c r="B1717" s="218"/>
      <c r="C1717" s="9"/>
      <c r="D1717" s="228"/>
      <c r="E1717" s="216"/>
      <c r="F1717" s="273"/>
      <c r="G1717" s="9"/>
      <c r="H1717" s="234"/>
      <c r="I1717" s="232"/>
      <c r="J1717" s="9"/>
      <c r="K1717" s="18"/>
      <c r="L1717" s="18"/>
      <c r="M1717" s="18"/>
      <c r="N1717" s="18"/>
      <c r="O1717" s="18"/>
      <c r="P1717" s="18"/>
      <c r="Q1717" s="18"/>
      <c r="R1717" s="18"/>
      <c r="S1717" s="18"/>
      <c r="T1717" s="18"/>
      <c r="U1717" s="18"/>
      <c r="V1717" s="18"/>
      <c r="W1717" s="18"/>
      <c r="X1717" s="18"/>
      <c r="Y1717" s="18"/>
      <c r="Z1717" s="18"/>
    </row>
    <row r="1718" ht="22.5" customHeight="1">
      <c r="A1718" s="250"/>
      <c r="B1718" s="218"/>
      <c r="C1718" s="9"/>
      <c r="D1718" s="228"/>
      <c r="E1718" s="216"/>
      <c r="F1718" s="273"/>
      <c r="G1718" s="9"/>
      <c r="H1718" s="234"/>
      <c r="I1718" s="232"/>
      <c r="J1718" s="9"/>
      <c r="K1718" s="18"/>
      <c r="L1718" s="18"/>
      <c r="M1718" s="18"/>
      <c r="N1718" s="18"/>
      <c r="O1718" s="18"/>
      <c r="P1718" s="18"/>
      <c r="Q1718" s="18"/>
      <c r="R1718" s="18"/>
      <c r="S1718" s="18"/>
      <c r="T1718" s="18"/>
      <c r="U1718" s="18"/>
      <c r="V1718" s="18"/>
      <c r="W1718" s="18"/>
      <c r="X1718" s="18"/>
      <c r="Y1718" s="18"/>
      <c r="Z1718" s="18"/>
    </row>
    <row r="1719" ht="22.5" customHeight="1">
      <c r="A1719" s="250"/>
      <c r="B1719" s="218"/>
      <c r="C1719" s="9"/>
      <c r="D1719" s="228"/>
      <c r="E1719" s="216"/>
      <c r="F1719" s="273"/>
      <c r="G1719" s="9"/>
      <c r="H1719" s="234"/>
      <c r="I1719" s="232"/>
      <c r="J1719" s="9"/>
      <c r="K1719" s="18"/>
      <c r="L1719" s="18"/>
      <c r="M1719" s="18"/>
      <c r="N1719" s="18"/>
      <c r="O1719" s="18"/>
      <c r="P1719" s="18"/>
      <c r="Q1719" s="18"/>
      <c r="R1719" s="18"/>
      <c r="S1719" s="18"/>
      <c r="T1719" s="18"/>
      <c r="U1719" s="18"/>
      <c r="V1719" s="18"/>
      <c r="W1719" s="18"/>
      <c r="X1719" s="18"/>
      <c r="Y1719" s="18"/>
      <c r="Z1719" s="18"/>
    </row>
    <row r="1720" ht="22.5" customHeight="1">
      <c r="A1720" s="250"/>
      <c r="B1720" s="218"/>
      <c r="C1720" s="9"/>
      <c r="D1720" s="228"/>
      <c r="E1720" s="216"/>
      <c r="F1720" s="273"/>
      <c r="G1720" s="9"/>
      <c r="H1720" s="234"/>
      <c r="I1720" s="232"/>
      <c r="J1720" s="9"/>
      <c r="K1720" s="18"/>
      <c r="L1720" s="18"/>
      <c r="M1720" s="18"/>
      <c r="N1720" s="18"/>
      <c r="O1720" s="18"/>
      <c r="P1720" s="18"/>
      <c r="Q1720" s="18"/>
      <c r="R1720" s="18"/>
      <c r="S1720" s="18"/>
      <c r="T1720" s="18"/>
      <c r="U1720" s="18"/>
      <c r="V1720" s="18"/>
      <c r="W1720" s="18"/>
      <c r="X1720" s="18"/>
      <c r="Y1720" s="18"/>
      <c r="Z1720" s="18"/>
    </row>
    <row r="1721" ht="22.5" customHeight="1">
      <c r="A1721" s="250"/>
      <c r="B1721" s="218"/>
      <c r="C1721" s="9"/>
      <c r="D1721" s="228"/>
      <c r="E1721" s="216"/>
      <c r="F1721" s="273"/>
      <c r="G1721" s="9"/>
      <c r="H1721" s="234"/>
      <c r="I1721" s="232"/>
      <c r="J1721" s="9"/>
      <c r="K1721" s="18"/>
      <c r="L1721" s="18"/>
      <c r="M1721" s="18"/>
      <c r="N1721" s="18"/>
      <c r="O1721" s="18"/>
      <c r="P1721" s="18"/>
      <c r="Q1721" s="18"/>
      <c r="R1721" s="18"/>
      <c r="S1721" s="18"/>
      <c r="T1721" s="18"/>
      <c r="U1721" s="18"/>
      <c r="V1721" s="18"/>
      <c r="W1721" s="18"/>
      <c r="X1721" s="18"/>
      <c r="Y1721" s="18"/>
      <c r="Z1721" s="18"/>
    </row>
    <row r="1722" ht="22.5" customHeight="1">
      <c r="A1722" s="250"/>
      <c r="B1722" s="218"/>
      <c r="C1722" s="9"/>
      <c r="D1722" s="228"/>
      <c r="E1722" s="216"/>
      <c r="F1722" s="273"/>
      <c r="G1722" s="9"/>
      <c r="H1722" s="234"/>
      <c r="I1722" s="232"/>
      <c r="J1722" s="9"/>
      <c r="K1722" s="18"/>
      <c r="L1722" s="18"/>
      <c r="M1722" s="18"/>
      <c r="N1722" s="18"/>
      <c r="O1722" s="18"/>
      <c r="P1722" s="18"/>
      <c r="Q1722" s="18"/>
      <c r="R1722" s="18"/>
      <c r="S1722" s="18"/>
      <c r="T1722" s="18"/>
      <c r="U1722" s="18"/>
      <c r="V1722" s="18"/>
      <c r="W1722" s="18"/>
      <c r="X1722" s="18"/>
      <c r="Y1722" s="18"/>
      <c r="Z1722" s="18"/>
    </row>
    <row r="1723" ht="22.5" customHeight="1">
      <c r="A1723" s="250"/>
      <c r="B1723" s="218"/>
      <c r="C1723" s="9"/>
      <c r="D1723" s="228"/>
      <c r="E1723" s="216"/>
      <c r="F1723" s="273"/>
      <c r="G1723" s="9"/>
      <c r="H1723" s="234"/>
      <c r="I1723" s="232"/>
      <c r="J1723" s="9"/>
      <c r="K1723" s="18"/>
      <c r="L1723" s="18"/>
      <c r="M1723" s="18"/>
      <c r="N1723" s="18"/>
      <c r="O1723" s="18"/>
      <c r="P1723" s="18"/>
      <c r="Q1723" s="18"/>
      <c r="R1723" s="18"/>
      <c r="S1723" s="18"/>
      <c r="T1723" s="18"/>
      <c r="U1723" s="18"/>
      <c r="V1723" s="18"/>
      <c r="W1723" s="18"/>
      <c r="X1723" s="18"/>
      <c r="Y1723" s="18"/>
      <c r="Z1723" s="18"/>
    </row>
    <row r="1724" ht="22.5" customHeight="1">
      <c r="A1724" s="250"/>
      <c r="B1724" s="218"/>
      <c r="C1724" s="9"/>
      <c r="D1724" s="228"/>
      <c r="E1724" s="216"/>
      <c r="F1724" s="273"/>
      <c r="G1724" s="9"/>
      <c r="H1724" s="234"/>
      <c r="I1724" s="232"/>
      <c r="J1724" s="9"/>
      <c r="K1724" s="18"/>
      <c r="L1724" s="18"/>
      <c r="M1724" s="18"/>
      <c r="N1724" s="18"/>
      <c r="O1724" s="18"/>
      <c r="P1724" s="18"/>
      <c r="Q1724" s="18"/>
      <c r="R1724" s="18"/>
      <c r="S1724" s="18"/>
      <c r="T1724" s="18"/>
      <c r="U1724" s="18"/>
      <c r="V1724" s="18"/>
      <c r="W1724" s="18"/>
      <c r="X1724" s="18"/>
      <c r="Y1724" s="18"/>
      <c r="Z1724" s="18"/>
    </row>
    <row r="1725" ht="22.5" customHeight="1">
      <c r="A1725" s="250"/>
      <c r="B1725" s="218"/>
      <c r="C1725" s="9"/>
      <c r="D1725" s="228"/>
      <c r="E1725" s="216"/>
      <c r="F1725" s="273"/>
      <c r="G1725" s="9"/>
      <c r="H1725" s="234"/>
      <c r="I1725" s="232"/>
      <c r="J1725" s="9"/>
      <c r="K1725" s="18"/>
      <c r="L1725" s="18"/>
      <c r="M1725" s="18"/>
      <c r="N1725" s="18"/>
      <c r="O1725" s="18"/>
      <c r="P1725" s="18"/>
      <c r="Q1725" s="18"/>
      <c r="R1725" s="18"/>
      <c r="S1725" s="18"/>
      <c r="T1725" s="18"/>
      <c r="U1725" s="18"/>
      <c r="V1725" s="18"/>
      <c r="W1725" s="18"/>
      <c r="X1725" s="18"/>
      <c r="Y1725" s="18"/>
      <c r="Z1725" s="18"/>
    </row>
    <row r="1726" ht="22.5" customHeight="1">
      <c r="A1726" s="250"/>
      <c r="B1726" s="218"/>
      <c r="C1726" s="9"/>
      <c r="D1726" s="228"/>
      <c r="E1726" s="216"/>
      <c r="F1726" s="273"/>
      <c r="G1726" s="9"/>
      <c r="H1726" s="234"/>
      <c r="I1726" s="232"/>
      <c r="J1726" s="9"/>
      <c r="K1726" s="18"/>
      <c r="L1726" s="18"/>
      <c r="M1726" s="18"/>
      <c r="N1726" s="18"/>
      <c r="O1726" s="18"/>
      <c r="P1726" s="18"/>
      <c r="Q1726" s="18"/>
      <c r="R1726" s="18"/>
      <c r="S1726" s="18"/>
      <c r="T1726" s="18"/>
      <c r="U1726" s="18"/>
      <c r="V1726" s="18"/>
      <c r="W1726" s="18"/>
      <c r="X1726" s="18"/>
      <c r="Y1726" s="18"/>
      <c r="Z1726" s="18"/>
    </row>
    <row r="1727" ht="22.5" customHeight="1">
      <c r="A1727" s="250"/>
      <c r="B1727" s="218"/>
      <c r="C1727" s="9"/>
      <c r="D1727" s="228"/>
      <c r="E1727" s="216"/>
      <c r="F1727" s="273"/>
      <c r="G1727" s="9"/>
      <c r="H1727" s="234"/>
      <c r="I1727" s="232"/>
      <c r="J1727" s="9"/>
      <c r="K1727" s="18"/>
      <c r="L1727" s="18"/>
      <c r="M1727" s="18"/>
      <c r="N1727" s="18"/>
      <c r="O1727" s="18"/>
      <c r="P1727" s="18"/>
      <c r="Q1727" s="18"/>
      <c r="R1727" s="18"/>
      <c r="S1727" s="18"/>
      <c r="T1727" s="18"/>
      <c r="U1727" s="18"/>
      <c r="V1727" s="18"/>
      <c r="W1727" s="18"/>
      <c r="X1727" s="18"/>
      <c r="Y1727" s="18"/>
      <c r="Z1727" s="18"/>
    </row>
    <row r="1728" ht="22.5" customHeight="1">
      <c r="A1728" s="250"/>
      <c r="B1728" s="218"/>
      <c r="C1728" s="9"/>
      <c r="D1728" s="228"/>
      <c r="E1728" s="216"/>
      <c r="F1728" s="273"/>
      <c r="G1728" s="9"/>
      <c r="H1728" s="234"/>
      <c r="I1728" s="232"/>
      <c r="J1728" s="9"/>
      <c r="K1728" s="18"/>
      <c r="L1728" s="18"/>
      <c r="M1728" s="18"/>
      <c r="N1728" s="18"/>
      <c r="O1728" s="18"/>
      <c r="P1728" s="18"/>
      <c r="Q1728" s="18"/>
      <c r="R1728" s="18"/>
      <c r="S1728" s="18"/>
      <c r="T1728" s="18"/>
      <c r="U1728" s="18"/>
      <c r="V1728" s="18"/>
      <c r="W1728" s="18"/>
      <c r="X1728" s="18"/>
      <c r="Y1728" s="18"/>
      <c r="Z1728" s="18"/>
    </row>
    <row r="1729" ht="22.5" customHeight="1">
      <c r="A1729" s="250"/>
      <c r="B1729" s="218"/>
      <c r="C1729" s="9"/>
      <c r="D1729" s="228"/>
      <c r="E1729" s="216"/>
      <c r="F1729" s="273"/>
      <c r="G1729" s="9"/>
      <c r="H1729" s="234"/>
      <c r="I1729" s="232"/>
      <c r="J1729" s="9"/>
      <c r="K1729" s="18"/>
      <c r="L1729" s="18"/>
      <c r="M1729" s="18"/>
      <c r="N1729" s="18"/>
      <c r="O1729" s="18"/>
      <c r="P1729" s="18"/>
      <c r="Q1729" s="18"/>
      <c r="R1729" s="18"/>
      <c r="S1729" s="18"/>
      <c r="T1729" s="18"/>
      <c r="U1729" s="18"/>
      <c r="V1729" s="18"/>
      <c r="W1729" s="18"/>
      <c r="X1729" s="18"/>
      <c r="Y1729" s="18"/>
      <c r="Z1729" s="18"/>
    </row>
    <row r="1730" ht="22.5" customHeight="1">
      <c r="A1730" s="250"/>
      <c r="B1730" s="218"/>
      <c r="C1730" s="9"/>
      <c r="D1730" s="228"/>
      <c r="E1730" s="216"/>
      <c r="F1730" s="273"/>
      <c r="G1730" s="9"/>
      <c r="H1730" s="234"/>
      <c r="I1730" s="232"/>
      <c r="J1730" s="9"/>
      <c r="K1730" s="18"/>
      <c r="L1730" s="18"/>
      <c r="M1730" s="18"/>
      <c r="N1730" s="18"/>
      <c r="O1730" s="18"/>
      <c r="P1730" s="18"/>
      <c r="Q1730" s="18"/>
      <c r="R1730" s="18"/>
      <c r="S1730" s="18"/>
      <c r="T1730" s="18"/>
      <c r="U1730" s="18"/>
      <c r="V1730" s="18"/>
      <c r="W1730" s="18"/>
      <c r="X1730" s="18"/>
      <c r="Y1730" s="18"/>
      <c r="Z1730" s="18"/>
    </row>
    <row r="1731" ht="22.5" customHeight="1">
      <c r="A1731" s="250"/>
      <c r="B1731" s="218"/>
      <c r="C1731" s="9"/>
      <c r="D1731" s="228"/>
      <c r="E1731" s="216"/>
      <c r="F1731" s="273"/>
      <c r="G1731" s="9"/>
      <c r="H1731" s="234"/>
      <c r="I1731" s="232"/>
      <c r="J1731" s="9"/>
      <c r="K1731" s="18"/>
      <c r="L1731" s="18"/>
      <c r="M1731" s="18"/>
      <c r="N1731" s="18"/>
      <c r="O1731" s="18"/>
      <c r="P1731" s="18"/>
      <c r="Q1731" s="18"/>
      <c r="R1731" s="18"/>
      <c r="S1731" s="18"/>
      <c r="T1731" s="18"/>
      <c r="U1731" s="18"/>
      <c r="V1731" s="18"/>
      <c r="W1731" s="18"/>
      <c r="X1731" s="18"/>
      <c r="Y1731" s="18"/>
      <c r="Z1731" s="18"/>
    </row>
    <row r="1732" ht="22.5" customHeight="1">
      <c r="A1732" s="250"/>
      <c r="B1732" s="218"/>
      <c r="C1732" s="9"/>
      <c r="D1732" s="228"/>
      <c r="E1732" s="216"/>
      <c r="F1732" s="273"/>
      <c r="G1732" s="9"/>
      <c r="H1732" s="234"/>
      <c r="I1732" s="232"/>
      <c r="J1732" s="9"/>
      <c r="K1732" s="18"/>
      <c r="L1732" s="18"/>
      <c r="M1732" s="18"/>
      <c r="N1732" s="18"/>
      <c r="O1732" s="18"/>
      <c r="P1732" s="18"/>
      <c r="Q1732" s="18"/>
      <c r="R1732" s="18"/>
      <c r="S1732" s="18"/>
      <c r="T1732" s="18"/>
      <c r="U1732" s="18"/>
      <c r="V1732" s="18"/>
      <c r="W1732" s="18"/>
      <c r="X1732" s="18"/>
      <c r="Y1732" s="18"/>
      <c r="Z1732" s="18"/>
    </row>
    <row r="1733" ht="22.5" customHeight="1">
      <c r="A1733" s="250"/>
      <c r="B1733" s="218"/>
      <c r="C1733" s="9"/>
      <c r="D1733" s="228"/>
      <c r="E1733" s="216"/>
      <c r="F1733" s="273"/>
      <c r="G1733" s="9"/>
      <c r="H1733" s="234"/>
      <c r="I1733" s="232"/>
      <c r="J1733" s="9"/>
      <c r="K1733" s="18"/>
      <c r="L1733" s="18"/>
      <c r="M1733" s="18"/>
      <c r="N1733" s="18"/>
      <c r="O1733" s="18"/>
      <c r="P1733" s="18"/>
      <c r="Q1733" s="18"/>
      <c r="R1733" s="18"/>
      <c r="S1733" s="18"/>
      <c r="T1733" s="18"/>
      <c r="U1733" s="18"/>
      <c r="V1733" s="18"/>
      <c r="W1733" s="18"/>
      <c r="X1733" s="18"/>
      <c r="Y1733" s="18"/>
      <c r="Z1733" s="18"/>
    </row>
    <row r="1734" ht="22.5" customHeight="1">
      <c r="A1734" s="250"/>
      <c r="B1734" s="218"/>
      <c r="C1734" s="9"/>
      <c r="D1734" s="228"/>
      <c r="E1734" s="216"/>
      <c r="F1734" s="273"/>
      <c r="G1734" s="9"/>
      <c r="H1734" s="234"/>
      <c r="I1734" s="232"/>
      <c r="J1734" s="9"/>
      <c r="K1734" s="18"/>
      <c r="L1734" s="18"/>
      <c r="M1734" s="18"/>
      <c r="N1734" s="18"/>
      <c r="O1734" s="18"/>
      <c r="P1734" s="18"/>
      <c r="Q1734" s="18"/>
      <c r="R1734" s="18"/>
      <c r="S1734" s="18"/>
      <c r="T1734" s="18"/>
      <c r="U1734" s="18"/>
      <c r="V1734" s="18"/>
      <c r="W1734" s="18"/>
      <c r="X1734" s="18"/>
      <c r="Y1734" s="18"/>
      <c r="Z1734" s="18"/>
    </row>
    <row r="1735" ht="22.5" customHeight="1">
      <c r="A1735" s="250"/>
      <c r="B1735" s="218"/>
      <c r="C1735" s="9"/>
      <c r="D1735" s="228"/>
      <c r="E1735" s="216"/>
      <c r="F1735" s="273"/>
      <c r="G1735" s="9"/>
      <c r="H1735" s="234"/>
      <c r="I1735" s="232"/>
      <c r="J1735" s="9"/>
      <c r="K1735" s="18"/>
      <c r="L1735" s="18"/>
      <c r="M1735" s="18"/>
      <c r="N1735" s="18"/>
      <c r="O1735" s="18"/>
      <c r="P1735" s="18"/>
      <c r="Q1735" s="18"/>
      <c r="R1735" s="18"/>
      <c r="S1735" s="18"/>
      <c r="T1735" s="18"/>
      <c r="U1735" s="18"/>
      <c r="V1735" s="18"/>
      <c r="W1735" s="18"/>
      <c r="X1735" s="18"/>
      <c r="Y1735" s="18"/>
      <c r="Z1735" s="18"/>
    </row>
    <row r="1736" ht="22.5" customHeight="1">
      <c r="A1736" s="250"/>
      <c r="B1736" s="218"/>
      <c r="C1736" s="9"/>
      <c r="D1736" s="228"/>
      <c r="E1736" s="216"/>
      <c r="F1736" s="273"/>
      <c r="G1736" s="9"/>
      <c r="H1736" s="234"/>
      <c r="I1736" s="232"/>
      <c r="J1736" s="9"/>
      <c r="K1736" s="18"/>
      <c r="L1736" s="18"/>
      <c r="M1736" s="18"/>
      <c r="N1736" s="18"/>
      <c r="O1736" s="18"/>
      <c r="P1736" s="18"/>
      <c r="Q1736" s="18"/>
      <c r="R1736" s="18"/>
      <c r="S1736" s="18"/>
      <c r="T1736" s="18"/>
      <c r="U1736" s="18"/>
      <c r="V1736" s="18"/>
      <c r="W1736" s="18"/>
      <c r="X1736" s="18"/>
      <c r="Y1736" s="18"/>
      <c r="Z1736" s="18"/>
    </row>
    <row r="1737" ht="22.5" customHeight="1">
      <c r="A1737" s="250"/>
      <c r="B1737" s="218"/>
      <c r="C1737" s="9"/>
      <c r="D1737" s="228"/>
      <c r="E1737" s="216"/>
      <c r="F1737" s="273"/>
      <c r="G1737" s="9"/>
      <c r="H1737" s="234"/>
      <c r="I1737" s="232"/>
      <c r="J1737" s="9"/>
      <c r="K1737" s="18"/>
      <c r="L1737" s="18"/>
      <c r="M1737" s="18"/>
      <c r="N1737" s="18"/>
      <c r="O1737" s="18"/>
      <c r="P1737" s="18"/>
      <c r="Q1737" s="18"/>
      <c r="R1737" s="18"/>
      <c r="S1737" s="18"/>
      <c r="T1737" s="18"/>
      <c r="U1737" s="18"/>
      <c r="V1737" s="18"/>
      <c r="W1737" s="18"/>
      <c r="X1737" s="18"/>
      <c r="Y1737" s="18"/>
      <c r="Z1737" s="18"/>
    </row>
    <row r="1738" ht="22.5" customHeight="1">
      <c r="A1738" s="250"/>
      <c r="B1738" s="218"/>
      <c r="C1738" s="9"/>
      <c r="D1738" s="228"/>
      <c r="E1738" s="216"/>
      <c r="F1738" s="273"/>
      <c r="G1738" s="9"/>
      <c r="H1738" s="234"/>
      <c r="I1738" s="232"/>
      <c r="J1738" s="9"/>
      <c r="K1738" s="18"/>
      <c r="L1738" s="18"/>
      <c r="M1738" s="18"/>
      <c r="N1738" s="18"/>
      <c r="O1738" s="18"/>
      <c r="P1738" s="18"/>
      <c r="Q1738" s="18"/>
      <c r="R1738" s="18"/>
      <c r="S1738" s="18"/>
      <c r="T1738" s="18"/>
      <c r="U1738" s="18"/>
      <c r="V1738" s="18"/>
      <c r="W1738" s="18"/>
      <c r="X1738" s="18"/>
      <c r="Y1738" s="18"/>
      <c r="Z1738" s="18"/>
    </row>
    <row r="1739" ht="22.5" customHeight="1">
      <c r="A1739" s="250"/>
      <c r="B1739" s="218"/>
      <c r="C1739" s="9"/>
      <c r="D1739" s="228"/>
      <c r="E1739" s="216"/>
      <c r="F1739" s="273"/>
      <c r="G1739" s="9"/>
      <c r="H1739" s="234"/>
      <c r="I1739" s="232"/>
      <c r="J1739" s="9"/>
      <c r="K1739" s="18"/>
      <c r="L1739" s="18"/>
      <c r="M1739" s="18"/>
      <c r="N1739" s="18"/>
      <c r="O1739" s="18"/>
      <c r="P1739" s="18"/>
      <c r="Q1739" s="18"/>
      <c r="R1739" s="18"/>
      <c r="S1739" s="18"/>
      <c r="T1739" s="18"/>
      <c r="U1739" s="18"/>
      <c r="V1739" s="18"/>
      <c r="W1739" s="18"/>
      <c r="X1739" s="18"/>
      <c r="Y1739" s="18"/>
      <c r="Z1739" s="18"/>
    </row>
    <row r="1740" ht="22.5" customHeight="1">
      <c r="A1740" s="250"/>
      <c r="B1740" s="218"/>
      <c r="C1740" s="9"/>
      <c r="D1740" s="228"/>
      <c r="E1740" s="216"/>
      <c r="F1740" s="273"/>
      <c r="G1740" s="9"/>
      <c r="H1740" s="234"/>
      <c r="I1740" s="232"/>
      <c r="J1740" s="9"/>
      <c r="K1740" s="18"/>
      <c r="L1740" s="18"/>
      <c r="M1740" s="18"/>
      <c r="N1740" s="18"/>
      <c r="O1740" s="18"/>
      <c r="P1740" s="18"/>
      <c r="Q1740" s="18"/>
      <c r="R1740" s="18"/>
      <c r="S1740" s="18"/>
      <c r="T1740" s="18"/>
      <c r="U1740" s="18"/>
      <c r="V1740" s="18"/>
      <c r="W1740" s="18"/>
      <c r="X1740" s="18"/>
      <c r="Y1740" s="18"/>
      <c r="Z1740" s="18"/>
    </row>
    <row r="1741" ht="22.5" customHeight="1">
      <c r="A1741" s="250"/>
      <c r="B1741" s="218"/>
      <c r="C1741" s="9"/>
      <c r="D1741" s="228"/>
      <c r="E1741" s="216"/>
      <c r="F1741" s="273"/>
      <c r="G1741" s="9"/>
      <c r="H1741" s="234"/>
      <c r="I1741" s="232"/>
      <c r="J1741" s="9"/>
      <c r="K1741" s="18"/>
      <c r="L1741" s="18"/>
      <c r="M1741" s="18"/>
      <c r="N1741" s="18"/>
      <c r="O1741" s="18"/>
      <c r="P1741" s="18"/>
      <c r="Q1741" s="18"/>
      <c r="R1741" s="18"/>
      <c r="S1741" s="18"/>
      <c r="T1741" s="18"/>
      <c r="U1741" s="18"/>
      <c r="V1741" s="18"/>
      <c r="W1741" s="18"/>
      <c r="X1741" s="18"/>
      <c r="Y1741" s="18"/>
      <c r="Z1741" s="18"/>
    </row>
    <row r="1742" ht="22.5" customHeight="1">
      <c r="A1742" s="250"/>
      <c r="B1742" s="218"/>
      <c r="C1742" s="9"/>
      <c r="D1742" s="228"/>
      <c r="E1742" s="216"/>
      <c r="F1742" s="273"/>
      <c r="G1742" s="9"/>
      <c r="H1742" s="234"/>
      <c r="I1742" s="232"/>
      <c r="J1742" s="9"/>
      <c r="K1742" s="18"/>
      <c r="L1742" s="18"/>
      <c r="M1742" s="18"/>
      <c r="N1742" s="18"/>
      <c r="O1742" s="18"/>
      <c r="P1742" s="18"/>
      <c r="Q1742" s="18"/>
      <c r="R1742" s="18"/>
      <c r="S1742" s="18"/>
      <c r="T1742" s="18"/>
      <c r="U1742" s="18"/>
      <c r="V1742" s="18"/>
      <c r="W1742" s="18"/>
      <c r="X1742" s="18"/>
      <c r="Y1742" s="18"/>
      <c r="Z1742" s="18"/>
    </row>
    <row r="1743" ht="22.5" customHeight="1">
      <c r="A1743" s="250"/>
      <c r="B1743" s="218"/>
      <c r="C1743" s="9"/>
      <c r="D1743" s="228"/>
      <c r="E1743" s="216"/>
      <c r="F1743" s="273"/>
      <c r="G1743" s="9"/>
      <c r="H1743" s="234"/>
      <c r="I1743" s="232"/>
      <c r="J1743" s="9"/>
      <c r="K1743" s="18"/>
      <c r="L1743" s="18"/>
      <c r="M1743" s="18"/>
      <c r="N1743" s="18"/>
      <c r="O1743" s="18"/>
      <c r="P1743" s="18"/>
      <c r="Q1743" s="18"/>
      <c r="R1743" s="18"/>
      <c r="S1743" s="18"/>
      <c r="T1743" s="18"/>
      <c r="U1743" s="18"/>
      <c r="V1743" s="18"/>
      <c r="W1743" s="18"/>
      <c r="X1743" s="18"/>
      <c r="Y1743" s="18"/>
      <c r="Z1743" s="18"/>
    </row>
    <row r="1744" ht="22.5" customHeight="1">
      <c r="A1744" s="250"/>
      <c r="B1744" s="218"/>
      <c r="C1744" s="9"/>
      <c r="D1744" s="228"/>
      <c r="E1744" s="216"/>
      <c r="F1744" s="273"/>
      <c r="G1744" s="9"/>
      <c r="H1744" s="234"/>
      <c r="I1744" s="232"/>
      <c r="J1744" s="9"/>
      <c r="K1744" s="18"/>
      <c r="L1744" s="18"/>
      <c r="M1744" s="18"/>
      <c r="N1744" s="18"/>
      <c r="O1744" s="18"/>
      <c r="P1744" s="18"/>
      <c r="Q1744" s="18"/>
      <c r="R1744" s="18"/>
      <c r="S1744" s="18"/>
      <c r="T1744" s="18"/>
      <c r="U1744" s="18"/>
      <c r="V1744" s="18"/>
      <c r="W1744" s="18"/>
      <c r="X1744" s="18"/>
      <c r="Y1744" s="18"/>
      <c r="Z1744" s="18"/>
    </row>
    <row r="1745" ht="22.5" customHeight="1">
      <c r="A1745" s="250"/>
      <c r="B1745" s="218"/>
      <c r="C1745" s="9"/>
      <c r="D1745" s="228"/>
      <c r="E1745" s="216"/>
      <c r="F1745" s="273"/>
      <c r="G1745" s="9"/>
      <c r="H1745" s="234"/>
      <c r="I1745" s="232"/>
      <c r="J1745" s="9"/>
      <c r="K1745" s="18"/>
      <c r="L1745" s="18"/>
      <c r="M1745" s="18"/>
      <c r="N1745" s="18"/>
      <c r="O1745" s="18"/>
      <c r="P1745" s="18"/>
      <c r="Q1745" s="18"/>
      <c r="R1745" s="18"/>
      <c r="S1745" s="18"/>
      <c r="T1745" s="18"/>
      <c r="U1745" s="18"/>
      <c r="V1745" s="18"/>
      <c r="W1745" s="18"/>
      <c r="X1745" s="18"/>
      <c r="Y1745" s="18"/>
      <c r="Z1745" s="18"/>
    </row>
    <row r="1746" ht="22.5" customHeight="1">
      <c r="A1746" s="250"/>
      <c r="B1746" s="218"/>
      <c r="C1746" s="9"/>
      <c r="D1746" s="228"/>
      <c r="E1746" s="216"/>
      <c r="F1746" s="273"/>
      <c r="G1746" s="9"/>
      <c r="H1746" s="234"/>
      <c r="I1746" s="232"/>
      <c r="J1746" s="9"/>
      <c r="K1746" s="18"/>
      <c r="L1746" s="18"/>
      <c r="M1746" s="18"/>
      <c r="N1746" s="18"/>
      <c r="O1746" s="18"/>
      <c r="P1746" s="18"/>
      <c r="Q1746" s="18"/>
      <c r="R1746" s="18"/>
      <c r="S1746" s="18"/>
      <c r="T1746" s="18"/>
      <c r="U1746" s="18"/>
      <c r="V1746" s="18"/>
      <c r="W1746" s="18"/>
      <c r="X1746" s="18"/>
      <c r="Y1746" s="18"/>
      <c r="Z1746" s="18"/>
    </row>
    <row r="1747" ht="22.5" customHeight="1">
      <c r="A1747" s="250"/>
      <c r="B1747" s="218"/>
      <c r="C1747" s="9"/>
      <c r="D1747" s="228"/>
      <c r="E1747" s="216"/>
      <c r="F1747" s="273"/>
      <c r="G1747" s="9"/>
      <c r="H1747" s="234"/>
      <c r="I1747" s="232"/>
      <c r="J1747" s="9"/>
      <c r="K1747" s="18"/>
      <c r="L1747" s="18"/>
      <c r="M1747" s="18"/>
      <c r="N1747" s="18"/>
      <c r="O1747" s="18"/>
      <c r="P1747" s="18"/>
      <c r="Q1747" s="18"/>
      <c r="R1747" s="18"/>
      <c r="S1747" s="18"/>
      <c r="T1747" s="18"/>
      <c r="U1747" s="18"/>
      <c r="V1747" s="18"/>
      <c r="W1747" s="18"/>
      <c r="X1747" s="18"/>
      <c r="Y1747" s="18"/>
      <c r="Z1747" s="18"/>
    </row>
    <row r="1748" ht="22.5" customHeight="1">
      <c r="A1748" s="250"/>
      <c r="B1748" s="218"/>
      <c r="C1748" s="9"/>
      <c r="D1748" s="228"/>
      <c r="E1748" s="216"/>
      <c r="F1748" s="273"/>
      <c r="G1748" s="9"/>
      <c r="H1748" s="234"/>
      <c r="I1748" s="232"/>
      <c r="J1748" s="9"/>
      <c r="K1748" s="18"/>
      <c r="L1748" s="18"/>
      <c r="M1748" s="18"/>
      <c r="N1748" s="18"/>
      <c r="O1748" s="18"/>
      <c r="P1748" s="18"/>
      <c r="Q1748" s="18"/>
      <c r="R1748" s="18"/>
      <c r="S1748" s="18"/>
      <c r="T1748" s="18"/>
      <c r="U1748" s="18"/>
      <c r="V1748" s="18"/>
      <c r="W1748" s="18"/>
      <c r="X1748" s="18"/>
      <c r="Y1748" s="18"/>
      <c r="Z1748" s="18"/>
    </row>
    <row r="1749" ht="22.5" customHeight="1">
      <c r="A1749" s="250"/>
      <c r="B1749" s="218"/>
      <c r="C1749" s="9"/>
      <c r="D1749" s="228"/>
      <c r="E1749" s="216"/>
      <c r="F1749" s="273"/>
      <c r="G1749" s="9"/>
      <c r="H1749" s="234"/>
      <c r="I1749" s="232"/>
      <c r="J1749" s="9"/>
      <c r="K1749" s="18"/>
      <c r="L1749" s="18"/>
      <c r="M1749" s="18"/>
      <c r="N1749" s="18"/>
      <c r="O1749" s="18"/>
      <c r="P1749" s="18"/>
      <c r="Q1749" s="18"/>
      <c r="R1749" s="18"/>
      <c r="S1749" s="18"/>
      <c r="T1749" s="18"/>
      <c r="U1749" s="18"/>
      <c r="V1749" s="18"/>
      <c r="W1749" s="18"/>
      <c r="X1749" s="18"/>
      <c r="Y1749" s="18"/>
      <c r="Z1749" s="18"/>
    </row>
    <row r="1750" ht="22.5" customHeight="1">
      <c r="A1750" s="250"/>
      <c r="B1750" s="218"/>
      <c r="C1750" s="9"/>
      <c r="D1750" s="228"/>
      <c r="E1750" s="216"/>
      <c r="F1750" s="273"/>
      <c r="G1750" s="9"/>
      <c r="H1750" s="234"/>
      <c r="I1750" s="232"/>
      <c r="J1750" s="9"/>
      <c r="K1750" s="18"/>
      <c r="L1750" s="18"/>
      <c r="M1750" s="18"/>
      <c r="N1750" s="18"/>
      <c r="O1750" s="18"/>
      <c r="P1750" s="18"/>
      <c r="Q1750" s="18"/>
      <c r="R1750" s="18"/>
      <c r="S1750" s="18"/>
      <c r="T1750" s="18"/>
      <c r="U1750" s="18"/>
      <c r="V1750" s="18"/>
      <c r="W1750" s="18"/>
      <c r="X1750" s="18"/>
      <c r="Y1750" s="18"/>
      <c r="Z1750" s="18"/>
    </row>
    <row r="1751" ht="22.5" customHeight="1">
      <c r="A1751" s="250"/>
      <c r="B1751" s="218"/>
      <c r="C1751" s="9"/>
      <c r="D1751" s="228"/>
      <c r="E1751" s="216"/>
      <c r="F1751" s="273"/>
      <c r="G1751" s="9"/>
      <c r="H1751" s="234"/>
      <c r="I1751" s="232"/>
      <c r="J1751" s="9"/>
      <c r="K1751" s="18"/>
      <c r="L1751" s="18"/>
      <c r="M1751" s="18"/>
      <c r="N1751" s="18"/>
      <c r="O1751" s="18"/>
      <c r="P1751" s="18"/>
      <c r="Q1751" s="18"/>
      <c r="R1751" s="18"/>
      <c r="S1751" s="18"/>
      <c r="T1751" s="18"/>
      <c r="U1751" s="18"/>
      <c r="V1751" s="18"/>
      <c r="W1751" s="18"/>
      <c r="X1751" s="18"/>
      <c r="Y1751" s="18"/>
      <c r="Z1751" s="18"/>
    </row>
    <row r="1752" ht="22.5" customHeight="1">
      <c r="A1752" s="250"/>
      <c r="B1752" s="218"/>
      <c r="C1752" s="9"/>
      <c r="D1752" s="228"/>
      <c r="E1752" s="216"/>
      <c r="F1752" s="273"/>
      <c r="G1752" s="9"/>
      <c r="H1752" s="234"/>
      <c r="I1752" s="232"/>
      <c r="J1752" s="9"/>
      <c r="K1752" s="18"/>
      <c r="L1752" s="18"/>
      <c r="M1752" s="18"/>
      <c r="N1752" s="18"/>
      <c r="O1752" s="18"/>
      <c r="P1752" s="18"/>
      <c r="Q1752" s="18"/>
      <c r="R1752" s="18"/>
      <c r="S1752" s="18"/>
      <c r="T1752" s="18"/>
      <c r="U1752" s="18"/>
      <c r="V1752" s="18"/>
      <c r="W1752" s="18"/>
      <c r="X1752" s="18"/>
      <c r="Y1752" s="18"/>
      <c r="Z1752" s="18"/>
    </row>
    <row r="1753" ht="22.5" customHeight="1">
      <c r="A1753" s="250"/>
      <c r="B1753" s="218"/>
      <c r="C1753" s="9"/>
      <c r="D1753" s="228"/>
      <c r="E1753" s="216"/>
      <c r="F1753" s="273"/>
      <c r="G1753" s="9"/>
      <c r="H1753" s="234"/>
      <c r="I1753" s="232"/>
      <c r="J1753" s="9"/>
      <c r="K1753" s="18"/>
      <c r="L1753" s="18"/>
      <c r="M1753" s="18"/>
      <c r="N1753" s="18"/>
      <c r="O1753" s="18"/>
      <c r="P1753" s="18"/>
      <c r="Q1753" s="18"/>
      <c r="R1753" s="18"/>
      <c r="S1753" s="18"/>
      <c r="T1753" s="18"/>
      <c r="U1753" s="18"/>
      <c r="V1753" s="18"/>
      <c r="W1753" s="18"/>
      <c r="X1753" s="18"/>
      <c r="Y1753" s="18"/>
      <c r="Z1753" s="18"/>
    </row>
    <row r="1754" ht="22.5" customHeight="1">
      <c r="A1754" s="250"/>
      <c r="B1754" s="218"/>
      <c r="C1754" s="9"/>
      <c r="D1754" s="228"/>
      <c r="E1754" s="216"/>
      <c r="F1754" s="273"/>
      <c r="G1754" s="9"/>
      <c r="H1754" s="234"/>
      <c r="I1754" s="232"/>
      <c r="J1754" s="9"/>
      <c r="K1754" s="18"/>
      <c r="L1754" s="18"/>
      <c r="M1754" s="18"/>
      <c r="N1754" s="18"/>
      <c r="O1754" s="18"/>
      <c r="P1754" s="18"/>
      <c r="Q1754" s="18"/>
      <c r="R1754" s="18"/>
      <c r="S1754" s="18"/>
      <c r="T1754" s="18"/>
      <c r="U1754" s="18"/>
      <c r="V1754" s="18"/>
      <c r="W1754" s="18"/>
      <c r="X1754" s="18"/>
      <c r="Y1754" s="18"/>
      <c r="Z1754" s="18"/>
    </row>
    <row r="1755" ht="22.5" customHeight="1">
      <c r="A1755" s="250"/>
      <c r="B1755" s="218"/>
      <c r="C1755" s="9"/>
      <c r="D1755" s="228"/>
      <c r="E1755" s="216"/>
      <c r="F1755" s="273"/>
      <c r="G1755" s="9"/>
      <c r="H1755" s="234"/>
      <c r="I1755" s="232"/>
      <c r="J1755" s="9"/>
      <c r="K1755" s="18"/>
      <c r="L1755" s="18"/>
      <c r="M1755" s="18"/>
      <c r="N1755" s="18"/>
      <c r="O1755" s="18"/>
      <c r="P1755" s="18"/>
      <c r="Q1755" s="18"/>
      <c r="R1755" s="18"/>
      <c r="S1755" s="18"/>
      <c r="T1755" s="18"/>
      <c r="U1755" s="18"/>
      <c r="V1755" s="18"/>
      <c r="W1755" s="18"/>
      <c r="X1755" s="18"/>
      <c r="Y1755" s="18"/>
      <c r="Z1755" s="18"/>
    </row>
    <row r="1756" ht="22.5" customHeight="1">
      <c r="A1756" s="250"/>
      <c r="B1756" s="218"/>
      <c r="C1756" s="9"/>
      <c r="D1756" s="228"/>
      <c r="E1756" s="216"/>
      <c r="F1756" s="273"/>
      <c r="G1756" s="9"/>
      <c r="H1756" s="234"/>
      <c r="I1756" s="232"/>
      <c r="J1756" s="9"/>
      <c r="K1756" s="18"/>
      <c r="L1756" s="18"/>
      <c r="M1756" s="18"/>
      <c r="N1756" s="18"/>
      <c r="O1756" s="18"/>
      <c r="P1756" s="18"/>
      <c r="Q1756" s="18"/>
      <c r="R1756" s="18"/>
      <c r="S1756" s="18"/>
      <c r="T1756" s="18"/>
      <c r="U1756" s="18"/>
      <c r="V1756" s="18"/>
      <c r="W1756" s="18"/>
      <c r="X1756" s="18"/>
      <c r="Y1756" s="18"/>
      <c r="Z1756" s="18"/>
    </row>
    <row r="1757" ht="22.5" customHeight="1">
      <c r="A1757" s="250"/>
      <c r="B1757" s="218"/>
      <c r="C1757" s="9"/>
      <c r="D1757" s="228"/>
      <c r="E1757" s="216"/>
      <c r="F1757" s="273"/>
      <c r="G1757" s="9"/>
      <c r="H1757" s="234"/>
      <c r="I1757" s="232"/>
      <c r="J1757" s="9"/>
      <c r="K1757" s="18"/>
      <c r="L1757" s="18"/>
      <c r="M1757" s="18"/>
      <c r="N1757" s="18"/>
      <c r="O1757" s="18"/>
      <c r="P1757" s="18"/>
      <c r="Q1757" s="18"/>
      <c r="R1757" s="18"/>
      <c r="S1757" s="18"/>
      <c r="T1757" s="18"/>
      <c r="U1757" s="18"/>
      <c r="V1757" s="18"/>
      <c r="W1757" s="18"/>
      <c r="X1757" s="18"/>
      <c r="Y1757" s="18"/>
      <c r="Z1757" s="18"/>
    </row>
    <row r="1758" ht="22.5" customHeight="1">
      <c r="A1758" s="250"/>
      <c r="B1758" s="218"/>
      <c r="C1758" s="9"/>
      <c r="D1758" s="228"/>
      <c r="E1758" s="216"/>
      <c r="F1758" s="273"/>
      <c r="G1758" s="9"/>
      <c r="H1758" s="234"/>
      <c r="I1758" s="232"/>
      <c r="J1758" s="9"/>
      <c r="K1758" s="18"/>
      <c r="L1758" s="18"/>
      <c r="M1758" s="18"/>
      <c r="N1758" s="18"/>
      <c r="O1758" s="18"/>
      <c r="P1758" s="18"/>
      <c r="Q1758" s="18"/>
      <c r="R1758" s="18"/>
      <c r="S1758" s="18"/>
      <c r="T1758" s="18"/>
      <c r="U1758" s="18"/>
      <c r="V1758" s="18"/>
      <c r="W1758" s="18"/>
      <c r="X1758" s="18"/>
      <c r="Y1758" s="18"/>
      <c r="Z1758" s="18"/>
    </row>
    <row r="1759" ht="22.5" customHeight="1">
      <c r="A1759" s="250"/>
      <c r="B1759" s="218"/>
      <c r="C1759" s="9"/>
      <c r="D1759" s="228"/>
      <c r="E1759" s="216"/>
      <c r="F1759" s="273"/>
      <c r="G1759" s="9"/>
      <c r="H1759" s="234"/>
      <c r="I1759" s="232"/>
      <c r="J1759" s="9"/>
      <c r="K1759" s="18"/>
      <c r="L1759" s="18"/>
      <c r="M1759" s="18"/>
      <c r="N1759" s="18"/>
      <c r="O1759" s="18"/>
      <c r="P1759" s="18"/>
      <c r="Q1759" s="18"/>
      <c r="R1759" s="18"/>
      <c r="S1759" s="18"/>
      <c r="T1759" s="18"/>
      <c r="U1759" s="18"/>
      <c r="V1759" s="18"/>
      <c r="W1759" s="18"/>
      <c r="X1759" s="18"/>
      <c r="Y1759" s="18"/>
      <c r="Z1759" s="18"/>
    </row>
    <row r="1760" ht="22.5" customHeight="1">
      <c r="A1760" s="250"/>
      <c r="B1760" s="218"/>
      <c r="C1760" s="9"/>
      <c r="D1760" s="228"/>
      <c r="E1760" s="216"/>
      <c r="F1760" s="273"/>
      <c r="G1760" s="9"/>
      <c r="H1760" s="234"/>
      <c r="I1760" s="232"/>
      <c r="J1760" s="9"/>
      <c r="K1760" s="18"/>
      <c r="L1760" s="18"/>
      <c r="M1760" s="18"/>
      <c r="N1760" s="18"/>
      <c r="O1760" s="18"/>
      <c r="P1760" s="18"/>
      <c r="Q1760" s="18"/>
      <c r="R1760" s="18"/>
      <c r="S1760" s="18"/>
      <c r="T1760" s="18"/>
      <c r="U1760" s="18"/>
      <c r="V1760" s="18"/>
      <c r="W1760" s="18"/>
      <c r="X1760" s="18"/>
      <c r="Y1760" s="18"/>
      <c r="Z1760" s="18"/>
    </row>
    <row r="1761" ht="22.5" customHeight="1">
      <c r="A1761" s="250"/>
      <c r="B1761" s="218"/>
      <c r="C1761" s="9"/>
      <c r="D1761" s="228"/>
      <c r="E1761" s="216"/>
      <c r="F1761" s="273"/>
      <c r="G1761" s="9"/>
      <c r="H1761" s="234"/>
      <c r="I1761" s="232"/>
      <c r="J1761" s="9"/>
      <c r="K1761" s="18"/>
      <c r="L1761" s="18"/>
      <c r="M1761" s="18"/>
      <c r="N1761" s="18"/>
      <c r="O1761" s="18"/>
      <c r="P1761" s="18"/>
      <c r="Q1761" s="18"/>
      <c r="R1761" s="18"/>
      <c r="S1761" s="18"/>
      <c r="T1761" s="18"/>
      <c r="U1761" s="18"/>
      <c r="V1761" s="18"/>
      <c r="W1761" s="18"/>
      <c r="X1761" s="18"/>
      <c r="Y1761" s="18"/>
      <c r="Z1761" s="18"/>
    </row>
    <row r="1762" ht="22.5" customHeight="1">
      <c r="A1762" s="250"/>
      <c r="B1762" s="218"/>
      <c r="C1762" s="9"/>
      <c r="D1762" s="228"/>
      <c r="E1762" s="216"/>
      <c r="F1762" s="273"/>
      <c r="G1762" s="9"/>
      <c r="H1762" s="234"/>
      <c r="I1762" s="232"/>
      <c r="J1762" s="9"/>
      <c r="K1762" s="18"/>
      <c r="L1762" s="18"/>
      <c r="M1762" s="18"/>
      <c r="N1762" s="18"/>
      <c r="O1762" s="18"/>
      <c r="P1762" s="18"/>
      <c r="Q1762" s="18"/>
      <c r="R1762" s="18"/>
      <c r="S1762" s="18"/>
      <c r="T1762" s="18"/>
      <c r="U1762" s="18"/>
      <c r="V1762" s="18"/>
      <c r="W1762" s="18"/>
      <c r="X1762" s="18"/>
      <c r="Y1762" s="18"/>
      <c r="Z1762" s="18"/>
    </row>
    <row r="1763" ht="22.5" customHeight="1">
      <c r="A1763" s="250"/>
      <c r="B1763" s="218"/>
      <c r="C1763" s="9"/>
      <c r="D1763" s="228"/>
      <c r="E1763" s="216"/>
      <c r="F1763" s="273"/>
      <c r="G1763" s="9"/>
      <c r="H1763" s="234"/>
      <c r="I1763" s="232"/>
      <c r="J1763" s="9"/>
      <c r="K1763" s="18"/>
      <c r="L1763" s="18"/>
      <c r="M1763" s="18"/>
      <c r="N1763" s="18"/>
      <c r="O1763" s="18"/>
      <c r="P1763" s="18"/>
      <c r="Q1763" s="18"/>
      <c r="R1763" s="18"/>
      <c r="S1763" s="18"/>
      <c r="T1763" s="18"/>
      <c r="U1763" s="18"/>
      <c r="V1763" s="18"/>
      <c r="W1763" s="18"/>
      <c r="X1763" s="18"/>
      <c r="Y1763" s="18"/>
      <c r="Z1763" s="18"/>
    </row>
    <row r="1764" ht="22.5" customHeight="1">
      <c r="A1764" s="250"/>
      <c r="B1764" s="218"/>
      <c r="C1764" s="9"/>
      <c r="D1764" s="228"/>
      <c r="E1764" s="216"/>
      <c r="F1764" s="273"/>
      <c r="G1764" s="9"/>
      <c r="H1764" s="234"/>
      <c r="I1764" s="232"/>
      <c r="J1764" s="9"/>
      <c r="K1764" s="18"/>
      <c r="L1764" s="18"/>
      <c r="M1764" s="18"/>
      <c r="N1764" s="18"/>
      <c r="O1764" s="18"/>
      <c r="P1764" s="18"/>
      <c r="Q1764" s="18"/>
      <c r="R1764" s="18"/>
      <c r="S1764" s="18"/>
      <c r="T1764" s="18"/>
      <c r="U1764" s="18"/>
      <c r="V1764" s="18"/>
      <c r="W1764" s="18"/>
      <c r="X1764" s="18"/>
      <c r="Y1764" s="18"/>
      <c r="Z1764" s="18"/>
    </row>
    <row r="1765" ht="22.5" customHeight="1">
      <c r="A1765" s="250"/>
      <c r="B1765" s="218"/>
      <c r="C1765" s="9"/>
      <c r="D1765" s="228"/>
      <c r="E1765" s="216"/>
      <c r="F1765" s="273"/>
      <c r="G1765" s="9"/>
      <c r="H1765" s="234"/>
      <c r="I1765" s="232"/>
      <c r="J1765" s="9"/>
      <c r="K1765" s="18"/>
      <c r="L1765" s="18"/>
      <c r="M1765" s="18"/>
      <c r="N1765" s="18"/>
      <c r="O1765" s="18"/>
      <c r="P1765" s="18"/>
      <c r="Q1765" s="18"/>
      <c r="R1765" s="18"/>
      <c r="S1765" s="18"/>
      <c r="T1765" s="18"/>
      <c r="U1765" s="18"/>
      <c r="V1765" s="18"/>
      <c r="W1765" s="18"/>
      <c r="X1765" s="18"/>
      <c r="Y1765" s="18"/>
      <c r="Z1765" s="18"/>
    </row>
    <row r="1766" ht="22.5" customHeight="1">
      <c r="A1766" s="250"/>
      <c r="B1766" s="218"/>
      <c r="C1766" s="9"/>
      <c r="D1766" s="228"/>
      <c r="E1766" s="216"/>
      <c r="F1766" s="273"/>
      <c r="G1766" s="9"/>
      <c r="H1766" s="234"/>
      <c r="I1766" s="232"/>
      <c r="J1766" s="9"/>
      <c r="K1766" s="18"/>
      <c r="L1766" s="18"/>
      <c r="M1766" s="18"/>
      <c r="N1766" s="18"/>
      <c r="O1766" s="18"/>
      <c r="P1766" s="18"/>
      <c r="Q1766" s="18"/>
      <c r="R1766" s="18"/>
      <c r="S1766" s="18"/>
      <c r="T1766" s="18"/>
      <c r="U1766" s="18"/>
      <c r="V1766" s="18"/>
      <c r="W1766" s="18"/>
      <c r="X1766" s="18"/>
      <c r="Y1766" s="18"/>
      <c r="Z1766" s="18"/>
    </row>
    <row r="1767" ht="22.5" customHeight="1">
      <c r="A1767" s="250"/>
      <c r="B1767" s="218"/>
      <c r="C1767" s="9"/>
      <c r="D1767" s="228"/>
      <c r="E1767" s="216"/>
      <c r="F1767" s="273"/>
      <c r="G1767" s="9"/>
      <c r="H1767" s="234"/>
      <c r="I1767" s="232"/>
      <c r="J1767" s="9"/>
      <c r="K1767" s="18"/>
      <c r="L1767" s="18"/>
      <c r="M1767" s="18"/>
      <c r="N1767" s="18"/>
      <c r="O1767" s="18"/>
      <c r="P1767" s="18"/>
      <c r="Q1767" s="18"/>
      <c r="R1767" s="18"/>
      <c r="S1767" s="18"/>
      <c r="T1767" s="18"/>
      <c r="U1767" s="18"/>
      <c r="V1767" s="18"/>
      <c r="W1767" s="18"/>
      <c r="X1767" s="18"/>
      <c r="Y1767" s="18"/>
      <c r="Z1767" s="18"/>
    </row>
    <row r="1768" ht="22.5" customHeight="1">
      <c r="A1768" s="250"/>
      <c r="B1768" s="218"/>
      <c r="C1768" s="9"/>
      <c r="D1768" s="228"/>
      <c r="E1768" s="216"/>
      <c r="F1768" s="273"/>
      <c r="G1768" s="9"/>
      <c r="H1768" s="234"/>
      <c r="I1768" s="232"/>
      <c r="J1768" s="9"/>
      <c r="K1768" s="18"/>
      <c r="L1768" s="18"/>
      <c r="M1768" s="18"/>
      <c r="N1768" s="18"/>
      <c r="O1768" s="18"/>
      <c r="P1768" s="18"/>
      <c r="Q1768" s="18"/>
      <c r="R1768" s="18"/>
      <c r="S1768" s="18"/>
      <c r="T1768" s="18"/>
      <c r="U1768" s="18"/>
      <c r="V1768" s="18"/>
      <c r="W1768" s="18"/>
      <c r="X1768" s="18"/>
      <c r="Y1768" s="18"/>
      <c r="Z1768" s="18"/>
    </row>
    <row r="1769" ht="22.5" customHeight="1">
      <c r="A1769" s="250"/>
      <c r="B1769" s="218"/>
      <c r="C1769" s="9"/>
      <c r="D1769" s="228"/>
      <c r="E1769" s="216"/>
      <c r="F1769" s="273"/>
      <c r="G1769" s="9"/>
      <c r="H1769" s="234"/>
      <c r="I1769" s="232"/>
      <c r="J1769" s="9"/>
      <c r="K1769" s="18"/>
      <c r="L1769" s="18"/>
      <c r="M1769" s="18"/>
      <c r="N1769" s="18"/>
      <c r="O1769" s="18"/>
      <c r="P1769" s="18"/>
      <c r="Q1769" s="18"/>
      <c r="R1769" s="18"/>
      <c r="S1769" s="18"/>
      <c r="T1769" s="18"/>
      <c r="U1769" s="18"/>
      <c r="V1769" s="18"/>
      <c r="W1769" s="18"/>
      <c r="X1769" s="18"/>
      <c r="Y1769" s="18"/>
      <c r="Z1769" s="18"/>
    </row>
    <row r="1770" ht="22.5" customHeight="1">
      <c r="A1770" s="250"/>
      <c r="B1770" s="218"/>
      <c r="C1770" s="9"/>
      <c r="D1770" s="228"/>
      <c r="E1770" s="216"/>
      <c r="F1770" s="273"/>
      <c r="G1770" s="9"/>
      <c r="H1770" s="234"/>
      <c r="I1770" s="232"/>
      <c r="J1770" s="9"/>
      <c r="K1770" s="18"/>
      <c r="L1770" s="18"/>
      <c r="M1770" s="18"/>
      <c r="N1770" s="18"/>
      <c r="O1770" s="18"/>
      <c r="P1770" s="18"/>
      <c r="Q1770" s="18"/>
      <c r="R1770" s="18"/>
      <c r="S1770" s="18"/>
      <c r="T1770" s="18"/>
      <c r="U1770" s="18"/>
      <c r="V1770" s="18"/>
      <c r="W1770" s="18"/>
      <c r="X1770" s="18"/>
      <c r="Y1770" s="18"/>
      <c r="Z1770" s="18"/>
    </row>
    <row r="1771" ht="22.5" customHeight="1">
      <c r="A1771" s="250"/>
      <c r="B1771" s="218"/>
      <c r="C1771" s="9"/>
      <c r="D1771" s="228"/>
      <c r="E1771" s="216"/>
      <c r="F1771" s="273"/>
      <c r="G1771" s="9"/>
      <c r="H1771" s="234"/>
      <c r="I1771" s="232"/>
      <c r="J1771" s="9"/>
      <c r="K1771" s="18"/>
      <c r="L1771" s="18"/>
      <c r="M1771" s="18"/>
      <c r="N1771" s="18"/>
      <c r="O1771" s="18"/>
      <c r="P1771" s="18"/>
      <c r="Q1771" s="18"/>
      <c r="R1771" s="18"/>
      <c r="S1771" s="18"/>
      <c r="T1771" s="18"/>
      <c r="U1771" s="18"/>
      <c r="V1771" s="18"/>
      <c r="W1771" s="18"/>
      <c r="X1771" s="18"/>
      <c r="Y1771" s="18"/>
      <c r="Z1771" s="18"/>
    </row>
    <row r="1772" ht="22.5" customHeight="1">
      <c r="A1772" s="250"/>
      <c r="B1772" s="218"/>
      <c r="C1772" s="9"/>
      <c r="D1772" s="228"/>
      <c r="E1772" s="216"/>
      <c r="F1772" s="273"/>
      <c r="G1772" s="9"/>
      <c r="H1772" s="234"/>
      <c r="I1772" s="232"/>
      <c r="J1772" s="9"/>
      <c r="K1772" s="18"/>
      <c r="L1772" s="18"/>
      <c r="M1772" s="18"/>
      <c r="N1772" s="18"/>
      <c r="O1772" s="18"/>
      <c r="P1772" s="18"/>
      <c r="Q1772" s="18"/>
      <c r="R1772" s="18"/>
      <c r="S1772" s="18"/>
      <c r="T1772" s="18"/>
      <c r="U1772" s="18"/>
      <c r="V1772" s="18"/>
      <c r="W1772" s="18"/>
      <c r="X1772" s="18"/>
      <c r="Y1772" s="18"/>
      <c r="Z1772" s="18"/>
    </row>
    <row r="1773" ht="22.5" customHeight="1">
      <c r="A1773" s="250"/>
      <c r="B1773" s="218"/>
      <c r="C1773" s="9"/>
      <c r="D1773" s="228"/>
      <c r="E1773" s="216"/>
      <c r="F1773" s="273"/>
      <c r="G1773" s="9"/>
      <c r="H1773" s="234"/>
      <c r="I1773" s="232"/>
      <c r="J1773" s="9"/>
      <c r="K1773" s="18"/>
      <c r="L1773" s="18"/>
      <c r="M1773" s="18"/>
      <c r="N1773" s="18"/>
      <c r="O1773" s="18"/>
      <c r="P1773" s="18"/>
      <c r="Q1773" s="18"/>
      <c r="R1773" s="18"/>
      <c r="S1773" s="18"/>
      <c r="T1773" s="18"/>
      <c r="U1773" s="18"/>
      <c r="V1773" s="18"/>
      <c r="W1773" s="18"/>
      <c r="X1773" s="18"/>
      <c r="Y1773" s="18"/>
      <c r="Z1773" s="18"/>
    </row>
    <row r="1774" ht="22.5" customHeight="1">
      <c r="A1774" s="250"/>
      <c r="B1774" s="218"/>
      <c r="C1774" s="9"/>
      <c r="D1774" s="228"/>
      <c r="E1774" s="216"/>
      <c r="F1774" s="273"/>
      <c r="G1774" s="9"/>
      <c r="H1774" s="234"/>
      <c r="I1774" s="232"/>
      <c r="J1774" s="9"/>
      <c r="K1774" s="18"/>
      <c r="L1774" s="18"/>
      <c r="M1774" s="18"/>
      <c r="N1774" s="18"/>
      <c r="O1774" s="18"/>
      <c r="P1774" s="18"/>
      <c r="Q1774" s="18"/>
      <c r="R1774" s="18"/>
      <c r="S1774" s="18"/>
      <c r="T1774" s="18"/>
      <c r="U1774" s="18"/>
      <c r="V1774" s="18"/>
      <c r="W1774" s="18"/>
      <c r="X1774" s="18"/>
      <c r="Y1774" s="18"/>
      <c r="Z1774" s="18"/>
    </row>
    <row r="1775" ht="22.5" customHeight="1">
      <c r="A1775" s="250"/>
      <c r="B1775" s="218"/>
      <c r="C1775" s="9"/>
      <c r="D1775" s="228"/>
      <c r="E1775" s="216"/>
      <c r="F1775" s="273"/>
      <c r="G1775" s="9"/>
      <c r="H1775" s="234"/>
      <c r="I1775" s="232"/>
      <c r="J1775" s="9"/>
      <c r="K1775" s="18"/>
      <c r="L1775" s="18"/>
      <c r="M1775" s="18"/>
      <c r="N1775" s="18"/>
      <c r="O1775" s="18"/>
      <c r="P1775" s="18"/>
      <c r="Q1775" s="18"/>
      <c r="R1775" s="18"/>
      <c r="S1775" s="18"/>
      <c r="T1775" s="18"/>
      <c r="U1775" s="18"/>
      <c r="V1775" s="18"/>
      <c r="W1775" s="18"/>
      <c r="X1775" s="18"/>
      <c r="Y1775" s="18"/>
      <c r="Z1775" s="18"/>
    </row>
    <row r="1776" ht="22.5" customHeight="1">
      <c r="A1776" s="250"/>
      <c r="B1776" s="218"/>
      <c r="C1776" s="9"/>
      <c r="D1776" s="228"/>
      <c r="E1776" s="216"/>
      <c r="F1776" s="273"/>
      <c r="G1776" s="9"/>
      <c r="H1776" s="234"/>
      <c r="I1776" s="232"/>
      <c r="J1776" s="9"/>
      <c r="K1776" s="18"/>
      <c r="L1776" s="18"/>
      <c r="M1776" s="18"/>
      <c r="N1776" s="18"/>
      <c r="O1776" s="18"/>
      <c r="P1776" s="18"/>
      <c r="Q1776" s="18"/>
      <c r="R1776" s="18"/>
      <c r="S1776" s="18"/>
      <c r="T1776" s="18"/>
      <c r="U1776" s="18"/>
      <c r="V1776" s="18"/>
      <c r="W1776" s="18"/>
      <c r="X1776" s="18"/>
      <c r="Y1776" s="18"/>
      <c r="Z1776" s="18"/>
    </row>
    <row r="1777" ht="22.5" customHeight="1">
      <c r="A1777" s="250"/>
      <c r="B1777" s="218"/>
      <c r="C1777" s="9"/>
      <c r="D1777" s="228"/>
      <c r="E1777" s="216"/>
      <c r="F1777" s="273"/>
      <c r="G1777" s="9"/>
      <c r="H1777" s="234"/>
      <c r="I1777" s="232"/>
      <c r="J1777" s="9"/>
      <c r="K1777" s="18"/>
      <c r="L1777" s="18"/>
      <c r="M1777" s="18"/>
      <c r="N1777" s="18"/>
      <c r="O1777" s="18"/>
      <c r="P1777" s="18"/>
      <c r="Q1777" s="18"/>
      <c r="R1777" s="18"/>
      <c r="S1777" s="18"/>
      <c r="T1777" s="18"/>
      <c r="U1777" s="18"/>
      <c r="V1777" s="18"/>
      <c r="W1777" s="18"/>
      <c r="X1777" s="18"/>
      <c r="Y1777" s="18"/>
      <c r="Z1777" s="18"/>
    </row>
    <row r="1778" ht="22.5" customHeight="1">
      <c r="A1778" s="250"/>
      <c r="B1778" s="218"/>
      <c r="C1778" s="9"/>
      <c r="D1778" s="228"/>
      <c r="E1778" s="216"/>
      <c r="F1778" s="273"/>
      <c r="G1778" s="9"/>
      <c r="H1778" s="234"/>
      <c r="I1778" s="232"/>
      <c r="J1778" s="9"/>
      <c r="K1778" s="18"/>
      <c r="L1778" s="18"/>
      <c r="M1778" s="18"/>
      <c r="N1778" s="18"/>
      <c r="O1778" s="18"/>
      <c r="P1778" s="18"/>
      <c r="Q1778" s="18"/>
      <c r="R1778" s="18"/>
      <c r="S1778" s="18"/>
      <c r="T1778" s="18"/>
      <c r="U1778" s="18"/>
      <c r="V1778" s="18"/>
      <c r="W1778" s="18"/>
      <c r="X1778" s="18"/>
      <c r="Y1778" s="18"/>
      <c r="Z1778" s="18"/>
    </row>
    <row r="1779" ht="22.5" customHeight="1">
      <c r="A1779" s="250"/>
      <c r="B1779" s="218"/>
      <c r="C1779" s="9"/>
      <c r="D1779" s="228"/>
      <c r="E1779" s="216"/>
      <c r="F1779" s="273"/>
      <c r="G1779" s="9"/>
      <c r="H1779" s="234"/>
      <c r="I1779" s="232"/>
      <c r="J1779" s="9"/>
      <c r="K1779" s="18"/>
      <c r="L1779" s="18"/>
      <c r="M1779" s="18"/>
      <c r="N1779" s="18"/>
      <c r="O1779" s="18"/>
      <c r="P1779" s="18"/>
      <c r="Q1779" s="18"/>
      <c r="R1779" s="18"/>
      <c r="S1779" s="18"/>
      <c r="T1779" s="18"/>
      <c r="U1779" s="18"/>
      <c r="V1779" s="18"/>
      <c r="W1779" s="18"/>
      <c r="X1779" s="18"/>
      <c r="Y1779" s="18"/>
      <c r="Z1779" s="18"/>
    </row>
    <row r="1780" ht="22.5" customHeight="1">
      <c r="A1780" s="250"/>
      <c r="B1780" s="218"/>
      <c r="C1780" s="9"/>
      <c r="D1780" s="228"/>
      <c r="E1780" s="216"/>
      <c r="F1780" s="273"/>
      <c r="G1780" s="9"/>
      <c r="H1780" s="234"/>
      <c r="I1780" s="232"/>
      <c r="J1780" s="9"/>
      <c r="K1780" s="18"/>
      <c r="L1780" s="18"/>
      <c r="M1780" s="18"/>
      <c r="N1780" s="18"/>
      <c r="O1780" s="18"/>
      <c r="P1780" s="18"/>
      <c r="Q1780" s="18"/>
      <c r="R1780" s="18"/>
      <c r="S1780" s="18"/>
      <c r="T1780" s="18"/>
      <c r="U1780" s="18"/>
      <c r="V1780" s="18"/>
      <c r="W1780" s="18"/>
      <c r="X1780" s="18"/>
      <c r="Y1780" s="18"/>
      <c r="Z1780" s="18"/>
    </row>
    <row r="1781" ht="22.5" customHeight="1">
      <c r="A1781" s="250"/>
      <c r="B1781" s="218"/>
      <c r="C1781" s="9"/>
      <c r="D1781" s="228"/>
      <c r="E1781" s="216"/>
      <c r="F1781" s="273"/>
      <c r="G1781" s="9"/>
      <c r="H1781" s="234"/>
      <c r="I1781" s="232"/>
      <c r="J1781" s="9"/>
      <c r="K1781" s="18"/>
      <c r="L1781" s="18"/>
      <c r="M1781" s="18"/>
      <c r="N1781" s="18"/>
      <c r="O1781" s="18"/>
      <c r="P1781" s="18"/>
      <c r="Q1781" s="18"/>
      <c r="R1781" s="18"/>
      <c r="S1781" s="18"/>
      <c r="T1781" s="18"/>
      <c r="U1781" s="18"/>
      <c r="V1781" s="18"/>
      <c r="W1781" s="18"/>
      <c r="X1781" s="18"/>
      <c r="Y1781" s="18"/>
      <c r="Z1781" s="18"/>
    </row>
    <row r="1782" ht="22.5" customHeight="1">
      <c r="A1782" s="250"/>
      <c r="B1782" s="218"/>
      <c r="C1782" s="9"/>
      <c r="D1782" s="228"/>
      <c r="E1782" s="216"/>
      <c r="F1782" s="273"/>
      <c r="G1782" s="9"/>
      <c r="H1782" s="234"/>
      <c r="I1782" s="232"/>
      <c r="J1782" s="9"/>
      <c r="K1782" s="18"/>
      <c r="L1782" s="18"/>
      <c r="M1782" s="18"/>
      <c r="N1782" s="18"/>
      <c r="O1782" s="18"/>
      <c r="P1782" s="18"/>
      <c r="Q1782" s="18"/>
      <c r="R1782" s="18"/>
      <c r="S1782" s="18"/>
      <c r="T1782" s="18"/>
      <c r="U1782" s="18"/>
      <c r="V1782" s="18"/>
      <c r="W1782" s="18"/>
      <c r="X1782" s="18"/>
      <c r="Y1782" s="18"/>
      <c r="Z1782" s="18"/>
    </row>
    <row r="1783" ht="22.5" customHeight="1">
      <c r="A1783" s="250"/>
      <c r="B1783" s="218"/>
      <c r="C1783" s="9"/>
      <c r="D1783" s="228"/>
      <c r="E1783" s="216"/>
      <c r="F1783" s="273"/>
      <c r="G1783" s="9"/>
      <c r="H1783" s="234"/>
      <c r="I1783" s="232"/>
      <c r="J1783" s="9"/>
      <c r="K1783" s="18"/>
      <c r="L1783" s="18"/>
      <c r="M1783" s="18"/>
      <c r="N1783" s="18"/>
      <c r="O1783" s="18"/>
      <c r="P1783" s="18"/>
      <c r="Q1783" s="18"/>
      <c r="R1783" s="18"/>
      <c r="S1783" s="18"/>
      <c r="T1783" s="18"/>
      <c r="U1783" s="18"/>
      <c r="V1783" s="18"/>
      <c r="W1783" s="18"/>
      <c r="X1783" s="18"/>
      <c r="Y1783" s="18"/>
      <c r="Z1783" s="18"/>
    </row>
    <row r="1784" ht="22.5" customHeight="1">
      <c r="A1784" s="250"/>
      <c r="B1784" s="218"/>
      <c r="C1784" s="9"/>
      <c r="D1784" s="228"/>
      <c r="E1784" s="216"/>
      <c r="F1784" s="273"/>
      <c r="G1784" s="9"/>
      <c r="H1784" s="234"/>
      <c r="I1784" s="232"/>
      <c r="J1784" s="9"/>
      <c r="K1784" s="18"/>
      <c r="L1784" s="18"/>
      <c r="M1784" s="18"/>
      <c r="N1784" s="18"/>
      <c r="O1784" s="18"/>
      <c r="P1784" s="18"/>
      <c r="Q1784" s="18"/>
      <c r="R1784" s="18"/>
      <c r="S1784" s="18"/>
      <c r="T1784" s="18"/>
      <c r="U1784" s="18"/>
      <c r="V1784" s="18"/>
      <c r="W1784" s="18"/>
      <c r="X1784" s="18"/>
      <c r="Y1784" s="18"/>
      <c r="Z1784" s="18"/>
    </row>
    <row r="1785" ht="22.5" customHeight="1">
      <c r="A1785" s="250"/>
      <c r="B1785" s="218"/>
      <c r="C1785" s="9"/>
      <c r="D1785" s="228"/>
      <c r="E1785" s="216"/>
      <c r="F1785" s="273"/>
      <c r="G1785" s="9"/>
      <c r="H1785" s="234"/>
      <c r="I1785" s="232"/>
      <c r="J1785" s="9"/>
      <c r="K1785" s="18"/>
      <c r="L1785" s="18"/>
      <c r="M1785" s="18"/>
      <c r="N1785" s="18"/>
      <c r="O1785" s="18"/>
      <c r="P1785" s="18"/>
      <c r="Q1785" s="18"/>
      <c r="R1785" s="18"/>
      <c r="S1785" s="18"/>
      <c r="T1785" s="18"/>
      <c r="U1785" s="18"/>
      <c r="V1785" s="18"/>
      <c r="W1785" s="18"/>
      <c r="X1785" s="18"/>
      <c r="Y1785" s="18"/>
      <c r="Z1785" s="18"/>
    </row>
    <row r="1786" ht="22.5" customHeight="1">
      <c r="A1786" s="250"/>
      <c r="B1786" s="218"/>
      <c r="C1786" s="9"/>
      <c r="D1786" s="228"/>
      <c r="E1786" s="216"/>
      <c r="F1786" s="273"/>
      <c r="G1786" s="9"/>
      <c r="H1786" s="234"/>
      <c r="I1786" s="232"/>
      <c r="J1786" s="9"/>
      <c r="K1786" s="18"/>
      <c r="L1786" s="18"/>
      <c r="M1786" s="18"/>
      <c r="N1786" s="18"/>
      <c r="O1786" s="18"/>
      <c r="P1786" s="18"/>
      <c r="Q1786" s="18"/>
      <c r="R1786" s="18"/>
      <c r="S1786" s="18"/>
      <c r="T1786" s="18"/>
      <c r="U1786" s="18"/>
      <c r="V1786" s="18"/>
      <c r="W1786" s="18"/>
      <c r="X1786" s="18"/>
      <c r="Y1786" s="18"/>
      <c r="Z1786" s="18"/>
    </row>
    <row r="1787" ht="22.5" customHeight="1">
      <c r="A1787" s="250"/>
      <c r="B1787" s="218"/>
      <c r="C1787" s="9"/>
      <c r="D1787" s="228"/>
      <c r="E1787" s="216"/>
      <c r="F1787" s="273"/>
      <c r="G1787" s="9"/>
      <c r="H1787" s="234"/>
      <c r="I1787" s="232"/>
      <c r="J1787" s="9"/>
      <c r="K1787" s="18"/>
      <c r="L1787" s="18"/>
      <c r="M1787" s="18"/>
      <c r="N1787" s="18"/>
      <c r="O1787" s="18"/>
      <c r="P1787" s="18"/>
      <c r="Q1787" s="18"/>
      <c r="R1787" s="18"/>
      <c r="S1787" s="18"/>
      <c r="T1787" s="18"/>
      <c r="U1787" s="18"/>
      <c r="V1787" s="18"/>
      <c r="W1787" s="18"/>
      <c r="X1787" s="18"/>
      <c r="Y1787" s="18"/>
      <c r="Z1787" s="18"/>
    </row>
    <row r="1788" ht="22.5" customHeight="1">
      <c r="A1788" s="250"/>
      <c r="B1788" s="218"/>
      <c r="C1788" s="9"/>
      <c r="D1788" s="228"/>
      <c r="E1788" s="216"/>
      <c r="F1788" s="273"/>
      <c r="G1788" s="9"/>
      <c r="H1788" s="234"/>
      <c r="I1788" s="232"/>
      <c r="J1788" s="9"/>
      <c r="K1788" s="18"/>
      <c r="L1788" s="18"/>
      <c r="M1788" s="18"/>
      <c r="N1788" s="18"/>
      <c r="O1788" s="18"/>
      <c r="P1788" s="18"/>
      <c r="Q1788" s="18"/>
      <c r="R1788" s="18"/>
      <c r="S1788" s="18"/>
      <c r="T1788" s="18"/>
      <c r="U1788" s="18"/>
      <c r="V1788" s="18"/>
      <c r="W1788" s="18"/>
      <c r="X1788" s="18"/>
      <c r="Y1788" s="18"/>
      <c r="Z1788" s="18"/>
    </row>
    <row r="1789" ht="22.5" customHeight="1">
      <c r="A1789" s="250"/>
      <c r="B1789" s="218"/>
      <c r="C1789" s="9"/>
      <c r="D1789" s="228"/>
      <c r="E1789" s="216"/>
      <c r="F1789" s="273"/>
      <c r="G1789" s="9"/>
      <c r="H1789" s="234"/>
      <c r="I1789" s="232"/>
      <c r="J1789" s="9"/>
      <c r="K1789" s="18"/>
      <c r="L1789" s="18"/>
      <c r="M1789" s="18"/>
      <c r="N1789" s="18"/>
      <c r="O1789" s="18"/>
      <c r="P1789" s="18"/>
      <c r="Q1789" s="18"/>
      <c r="R1789" s="18"/>
      <c r="S1789" s="18"/>
      <c r="T1789" s="18"/>
      <c r="U1789" s="18"/>
      <c r="V1789" s="18"/>
      <c r="W1789" s="18"/>
      <c r="X1789" s="18"/>
      <c r="Y1789" s="18"/>
      <c r="Z1789" s="18"/>
    </row>
    <row r="1790" ht="22.5" customHeight="1">
      <c r="A1790" s="250"/>
      <c r="B1790" s="218"/>
      <c r="C1790" s="9"/>
      <c r="D1790" s="228"/>
      <c r="E1790" s="216"/>
      <c r="F1790" s="273"/>
      <c r="G1790" s="9"/>
      <c r="H1790" s="234"/>
      <c r="I1790" s="232"/>
      <c r="J1790" s="9"/>
      <c r="K1790" s="18"/>
      <c r="L1790" s="18"/>
      <c r="M1790" s="18"/>
      <c r="N1790" s="18"/>
      <c r="O1790" s="18"/>
      <c r="P1790" s="18"/>
      <c r="Q1790" s="18"/>
      <c r="R1790" s="18"/>
      <c r="S1790" s="18"/>
      <c r="T1790" s="18"/>
      <c r="U1790" s="18"/>
      <c r="V1790" s="18"/>
      <c r="W1790" s="18"/>
      <c r="X1790" s="18"/>
      <c r="Y1790" s="18"/>
      <c r="Z1790" s="18"/>
    </row>
    <row r="1791" ht="22.5" customHeight="1">
      <c r="A1791" s="250"/>
      <c r="B1791" s="218"/>
      <c r="C1791" s="9"/>
      <c r="D1791" s="228"/>
      <c r="E1791" s="216"/>
      <c r="F1791" s="273"/>
      <c r="G1791" s="9"/>
      <c r="H1791" s="234"/>
      <c r="I1791" s="232"/>
      <c r="J1791" s="9"/>
      <c r="K1791" s="18"/>
      <c r="L1791" s="18"/>
      <c r="M1791" s="18"/>
      <c r="N1791" s="18"/>
      <c r="O1791" s="18"/>
      <c r="P1791" s="18"/>
      <c r="Q1791" s="18"/>
      <c r="R1791" s="18"/>
      <c r="S1791" s="18"/>
      <c r="T1791" s="18"/>
      <c r="U1791" s="18"/>
      <c r="V1791" s="18"/>
      <c r="W1791" s="18"/>
      <c r="X1791" s="18"/>
      <c r="Y1791" s="18"/>
      <c r="Z1791" s="18"/>
    </row>
    <row r="1792" ht="22.5" customHeight="1">
      <c r="A1792" s="250"/>
      <c r="B1792" s="218"/>
      <c r="C1792" s="9"/>
      <c r="D1792" s="228"/>
      <c r="E1792" s="216"/>
      <c r="F1792" s="273"/>
      <c r="G1792" s="9"/>
      <c r="H1792" s="234"/>
      <c r="I1792" s="232"/>
      <c r="J1792" s="9"/>
      <c r="K1792" s="18"/>
      <c r="L1792" s="18"/>
      <c r="M1792" s="18"/>
      <c r="N1792" s="18"/>
      <c r="O1792" s="18"/>
      <c r="P1792" s="18"/>
      <c r="Q1792" s="18"/>
      <c r="R1792" s="18"/>
      <c r="S1792" s="18"/>
      <c r="T1792" s="18"/>
      <c r="U1792" s="18"/>
      <c r="V1792" s="18"/>
      <c r="W1792" s="18"/>
      <c r="X1792" s="18"/>
      <c r="Y1792" s="18"/>
      <c r="Z1792" s="18"/>
    </row>
    <row r="1793" ht="22.5" customHeight="1">
      <c r="A1793" s="250"/>
      <c r="B1793" s="218"/>
      <c r="C1793" s="9"/>
      <c r="D1793" s="228"/>
      <c r="E1793" s="216"/>
      <c r="F1793" s="273"/>
      <c r="G1793" s="9"/>
      <c r="H1793" s="234"/>
      <c r="I1793" s="232"/>
      <c r="J1793" s="9"/>
      <c r="K1793" s="18"/>
      <c r="L1793" s="18"/>
      <c r="M1793" s="18"/>
      <c r="N1793" s="18"/>
      <c r="O1793" s="18"/>
      <c r="P1793" s="18"/>
      <c r="Q1793" s="18"/>
      <c r="R1793" s="18"/>
      <c r="S1793" s="18"/>
      <c r="T1793" s="18"/>
      <c r="U1793" s="18"/>
      <c r="V1793" s="18"/>
      <c r="W1793" s="18"/>
      <c r="X1793" s="18"/>
      <c r="Y1793" s="18"/>
      <c r="Z1793" s="18"/>
    </row>
    <row r="1794" ht="22.5" customHeight="1">
      <c r="A1794" s="250"/>
      <c r="B1794" s="218"/>
      <c r="C1794" s="9"/>
      <c r="D1794" s="228"/>
      <c r="E1794" s="216"/>
      <c r="F1794" s="273"/>
      <c r="G1794" s="9"/>
      <c r="H1794" s="234"/>
      <c r="I1794" s="232"/>
      <c r="J1794" s="9"/>
      <c r="K1794" s="18"/>
      <c r="L1794" s="18"/>
      <c r="M1794" s="18"/>
      <c r="N1794" s="18"/>
      <c r="O1794" s="18"/>
      <c r="P1794" s="18"/>
      <c r="Q1794" s="18"/>
      <c r="R1794" s="18"/>
      <c r="S1794" s="18"/>
      <c r="T1794" s="18"/>
      <c r="U1794" s="18"/>
      <c r="V1794" s="18"/>
      <c r="W1794" s="18"/>
      <c r="X1794" s="18"/>
      <c r="Y1794" s="18"/>
      <c r="Z1794" s="18"/>
    </row>
    <row r="1795" ht="22.5" customHeight="1">
      <c r="A1795" s="250"/>
      <c r="B1795" s="218"/>
      <c r="C1795" s="9"/>
      <c r="D1795" s="228"/>
      <c r="E1795" s="216"/>
      <c r="F1795" s="273"/>
      <c r="G1795" s="9"/>
      <c r="H1795" s="234"/>
      <c r="I1795" s="232"/>
      <c r="J1795" s="9"/>
      <c r="K1795" s="18"/>
      <c r="L1795" s="18"/>
      <c r="M1795" s="18"/>
      <c r="N1795" s="18"/>
      <c r="O1795" s="18"/>
      <c r="P1795" s="18"/>
      <c r="Q1795" s="18"/>
      <c r="R1795" s="18"/>
      <c r="S1795" s="18"/>
      <c r="T1795" s="18"/>
      <c r="U1795" s="18"/>
      <c r="V1795" s="18"/>
      <c r="W1795" s="18"/>
      <c r="X1795" s="18"/>
      <c r="Y1795" s="18"/>
      <c r="Z1795" s="18"/>
    </row>
    <row r="1796" ht="22.5" customHeight="1">
      <c r="A1796" s="250"/>
      <c r="B1796" s="218"/>
      <c r="C1796" s="9"/>
      <c r="D1796" s="228"/>
      <c r="E1796" s="216"/>
      <c r="F1796" s="273"/>
      <c r="G1796" s="9"/>
      <c r="H1796" s="234"/>
      <c r="I1796" s="232"/>
      <c r="J1796" s="9"/>
      <c r="K1796" s="18"/>
      <c r="L1796" s="18"/>
      <c r="M1796" s="18"/>
      <c r="N1796" s="18"/>
      <c r="O1796" s="18"/>
      <c r="P1796" s="18"/>
      <c r="Q1796" s="18"/>
      <c r="R1796" s="18"/>
      <c r="S1796" s="18"/>
      <c r="T1796" s="18"/>
      <c r="U1796" s="18"/>
      <c r="V1796" s="18"/>
      <c r="W1796" s="18"/>
      <c r="X1796" s="18"/>
      <c r="Y1796" s="18"/>
      <c r="Z1796" s="18"/>
    </row>
    <row r="1797" ht="22.5" customHeight="1">
      <c r="A1797" s="250"/>
      <c r="B1797" s="218"/>
      <c r="C1797" s="9"/>
      <c r="D1797" s="228"/>
      <c r="E1797" s="216"/>
      <c r="F1797" s="273"/>
      <c r="G1797" s="9"/>
      <c r="H1797" s="234"/>
      <c r="I1797" s="232"/>
      <c r="J1797" s="9"/>
      <c r="K1797" s="18"/>
      <c r="L1797" s="18"/>
      <c r="M1797" s="18"/>
      <c r="N1797" s="18"/>
      <c r="O1797" s="18"/>
      <c r="P1797" s="18"/>
      <c r="Q1797" s="18"/>
      <c r="R1797" s="18"/>
      <c r="S1797" s="18"/>
      <c r="T1797" s="18"/>
      <c r="U1797" s="18"/>
      <c r="V1797" s="18"/>
      <c r="W1797" s="18"/>
      <c r="X1797" s="18"/>
      <c r="Y1797" s="18"/>
      <c r="Z1797" s="18"/>
    </row>
    <row r="1798" ht="22.5" customHeight="1">
      <c r="A1798" s="250"/>
      <c r="B1798" s="218"/>
      <c r="C1798" s="9"/>
      <c r="D1798" s="228"/>
      <c r="E1798" s="216"/>
      <c r="F1798" s="273"/>
      <c r="G1798" s="9"/>
      <c r="H1798" s="234"/>
      <c r="I1798" s="232"/>
      <c r="J1798" s="9"/>
      <c r="K1798" s="18"/>
      <c r="L1798" s="18"/>
      <c r="M1798" s="18"/>
      <c r="N1798" s="18"/>
      <c r="O1798" s="18"/>
      <c r="P1798" s="18"/>
      <c r="Q1798" s="18"/>
      <c r="R1798" s="18"/>
      <c r="S1798" s="18"/>
      <c r="T1798" s="18"/>
      <c r="U1798" s="18"/>
      <c r="V1798" s="18"/>
      <c r="W1798" s="18"/>
      <c r="X1798" s="18"/>
      <c r="Y1798" s="18"/>
      <c r="Z1798" s="18"/>
    </row>
    <row r="1799" ht="22.5" customHeight="1">
      <c r="A1799" s="250"/>
      <c r="B1799" s="218"/>
      <c r="C1799" s="9"/>
      <c r="D1799" s="228"/>
      <c r="E1799" s="216"/>
      <c r="F1799" s="273"/>
      <c r="G1799" s="9"/>
      <c r="H1799" s="234"/>
      <c r="I1799" s="232"/>
      <c r="J1799" s="9"/>
      <c r="K1799" s="18"/>
      <c r="L1799" s="18"/>
      <c r="M1799" s="18"/>
      <c r="N1799" s="18"/>
      <c r="O1799" s="18"/>
      <c r="P1799" s="18"/>
      <c r="Q1799" s="18"/>
      <c r="R1799" s="18"/>
      <c r="S1799" s="18"/>
      <c r="T1799" s="18"/>
      <c r="U1799" s="18"/>
      <c r="V1799" s="18"/>
      <c r="W1799" s="18"/>
      <c r="X1799" s="18"/>
      <c r="Y1799" s="18"/>
      <c r="Z1799" s="18"/>
    </row>
    <row r="1800" ht="22.5" customHeight="1">
      <c r="A1800" s="250"/>
      <c r="B1800" s="218"/>
      <c r="C1800" s="9"/>
      <c r="D1800" s="228"/>
      <c r="E1800" s="216"/>
      <c r="F1800" s="273"/>
      <c r="G1800" s="9"/>
      <c r="H1800" s="234"/>
      <c r="I1800" s="232"/>
      <c r="J1800" s="9"/>
      <c r="K1800" s="18"/>
      <c r="L1800" s="18"/>
      <c r="M1800" s="18"/>
      <c r="N1800" s="18"/>
      <c r="O1800" s="18"/>
      <c r="P1800" s="18"/>
      <c r="Q1800" s="18"/>
      <c r="R1800" s="18"/>
      <c r="S1800" s="18"/>
      <c r="T1800" s="18"/>
      <c r="U1800" s="18"/>
      <c r="V1800" s="18"/>
      <c r="W1800" s="18"/>
      <c r="X1800" s="18"/>
      <c r="Y1800" s="18"/>
      <c r="Z1800" s="18"/>
    </row>
    <row r="1801" ht="22.5" customHeight="1">
      <c r="A1801" s="250"/>
      <c r="B1801" s="218"/>
      <c r="C1801" s="9"/>
      <c r="D1801" s="228"/>
      <c r="E1801" s="216"/>
      <c r="F1801" s="273"/>
      <c r="G1801" s="9"/>
      <c r="H1801" s="234"/>
      <c r="I1801" s="232"/>
      <c r="J1801" s="9"/>
      <c r="K1801" s="18"/>
      <c r="L1801" s="18"/>
      <c r="M1801" s="18"/>
      <c r="N1801" s="18"/>
      <c r="O1801" s="18"/>
      <c r="P1801" s="18"/>
      <c r="Q1801" s="18"/>
      <c r="R1801" s="18"/>
      <c r="S1801" s="18"/>
      <c r="T1801" s="18"/>
      <c r="U1801" s="18"/>
      <c r="V1801" s="18"/>
      <c r="W1801" s="18"/>
      <c r="X1801" s="18"/>
      <c r="Y1801" s="18"/>
      <c r="Z1801" s="18"/>
    </row>
    <row r="1802" ht="22.5" customHeight="1">
      <c r="A1802" s="250"/>
      <c r="B1802" s="218"/>
      <c r="C1802" s="9"/>
      <c r="D1802" s="228"/>
      <c r="E1802" s="216"/>
      <c r="F1802" s="273"/>
      <c r="G1802" s="9"/>
      <c r="H1802" s="234"/>
      <c r="I1802" s="232"/>
      <c r="J1802" s="9"/>
      <c r="K1802" s="18"/>
      <c r="L1802" s="18"/>
      <c r="M1802" s="18"/>
      <c r="N1802" s="18"/>
      <c r="O1802" s="18"/>
      <c r="P1802" s="18"/>
      <c r="Q1802" s="18"/>
      <c r="R1802" s="18"/>
      <c r="S1802" s="18"/>
      <c r="T1802" s="18"/>
      <c r="U1802" s="18"/>
      <c r="V1802" s="18"/>
      <c r="W1802" s="18"/>
      <c r="X1802" s="18"/>
      <c r="Y1802" s="18"/>
      <c r="Z1802" s="18"/>
    </row>
    <row r="1803" ht="22.5" customHeight="1">
      <c r="A1803" s="250"/>
      <c r="B1803" s="218"/>
      <c r="C1803" s="9"/>
      <c r="D1803" s="228"/>
      <c r="E1803" s="216"/>
      <c r="F1803" s="273"/>
      <c r="G1803" s="9"/>
      <c r="H1803" s="234"/>
      <c r="I1803" s="232"/>
      <c r="J1803" s="9"/>
      <c r="K1803" s="18"/>
      <c r="L1803" s="18"/>
      <c r="M1803" s="18"/>
      <c r="N1803" s="18"/>
      <c r="O1803" s="18"/>
      <c r="P1803" s="18"/>
      <c r="Q1803" s="18"/>
      <c r="R1803" s="18"/>
      <c r="S1803" s="18"/>
      <c r="T1803" s="18"/>
      <c r="U1803" s="18"/>
      <c r="V1803" s="18"/>
      <c r="W1803" s="18"/>
      <c r="X1803" s="18"/>
      <c r="Y1803" s="18"/>
      <c r="Z1803" s="18"/>
    </row>
    <row r="1804" ht="22.5" customHeight="1">
      <c r="A1804" s="250"/>
      <c r="B1804" s="218"/>
      <c r="C1804" s="9"/>
      <c r="D1804" s="228"/>
      <c r="E1804" s="216"/>
      <c r="F1804" s="273"/>
      <c r="G1804" s="9"/>
      <c r="H1804" s="234"/>
      <c r="I1804" s="232"/>
      <c r="J1804" s="9"/>
      <c r="K1804" s="18"/>
      <c r="L1804" s="18"/>
      <c r="M1804" s="18"/>
      <c r="N1804" s="18"/>
      <c r="O1804" s="18"/>
      <c r="P1804" s="18"/>
      <c r="Q1804" s="18"/>
      <c r="R1804" s="18"/>
      <c r="S1804" s="18"/>
      <c r="T1804" s="18"/>
      <c r="U1804" s="18"/>
      <c r="V1804" s="18"/>
      <c r="W1804" s="18"/>
      <c r="X1804" s="18"/>
      <c r="Y1804" s="18"/>
      <c r="Z1804" s="18"/>
    </row>
    <row r="1805" ht="22.5" customHeight="1">
      <c r="A1805" s="250"/>
      <c r="B1805" s="218"/>
      <c r="C1805" s="9"/>
      <c r="D1805" s="228"/>
      <c r="E1805" s="216"/>
      <c r="F1805" s="273"/>
      <c r="G1805" s="9"/>
      <c r="H1805" s="234"/>
      <c r="I1805" s="232"/>
      <c r="J1805" s="9"/>
      <c r="K1805" s="18"/>
      <c r="L1805" s="18"/>
      <c r="M1805" s="18"/>
      <c r="N1805" s="18"/>
      <c r="O1805" s="18"/>
      <c r="P1805" s="18"/>
      <c r="Q1805" s="18"/>
      <c r="R1805" s="18"/>
      <c r="S1805" s="18"/>
      <c r="T1805" s="18"/>
      <c r="U1805" s="18"/>
      <c r="V1805" s="18"/>
      <c r="W1805" s="18"/>
      <c r="X1805" s="18"/>
      <c r="Y1805" s="18"/>
      <c r="Z1805" s="18"/>
    </row>
    <row r="1806" ht="22.5" customHeight="1">
      <c r="A1806" s="250"/>
      <c r="B1806" s="218"/>
      <c r="C1806" s="9"/>
      <c r="D1806" s="228"/>
      <c r="E1806" s="216"/>
      <c r="F1806" s="273"/>
      <c r="G1806" s="9"/>
      <c r="H1806" s="234"/>
      <c r="I1806" s="232"/>
      <c r="J1806" s="9"/>
      <c r="K1806" s="18"/>
      <c r="L1806" s="18"/>
      <c r="M1806" s="18"/>
      <c r="N1806" s="18"/>
      <c r="O1806" s="18"/>
      <c r="P1806" s="18"/>
      <c r="Q1806" s="18"/>
      <c r="R1806" s="18"/>
      <c r="S1806" s="18"/>
      <c r="T1806" s="18"/>
      <c r="U1806" s="18"/>
      <c r="V1806" s="18"/>
      <c r="W1806" s="18"/>
      <c r="X1806" s="18"/>
      <c r="Y1806" s="18"/>
      <c r="Z1806" s="18"/>
    </row>
    <row r="1807" ht="22.5" customHeight="1">
      <c r="A1807" s="250"/>
      <c r="B1807" s="218"/>
      <c r="C1807" s="9"/>
      <c r="D1807" s="228"/>
      <c r="E1807" s="216"/>
      <c r="F1807" s="273"/>
      <c r="G1807" s="9"/>
      <c r="H1807" s="234"/>
      <c r="I1807" s="232"/>
      <c r="J1807" s="9"/>
      <c r="K1807" s="18"/>
      <c r="L1807" s="18"/>
      <c r="M1807" s="18"/>
      <c r="N1807" s="18"/>
      <c r="O1807" s="18"/>
      <c r="P1807" s="18"/>
      <c r="Q1807" s="18"/>
      <c r="R1807" s="18"/>
      <c r="S1807" s="18"/>
      <c r="T1807" s="18"/>
      <c r="U1807" s="18"/>
      <c r="V1807" s="18"/>
      <c r="W1807" s="18"/>
      <c r="X1807" s="18"/>
      <c r="Y1807" s="18"/>
      <c r="Z1807" s="18"/>
    </row>
    <row r="1808" ht="22.5" customHeight="1">
      <c r="A1808" s="250"/>
      <c r="B1808" s="218"/>
      <c r="C1808" s="9"/>
      <c r="D1808" s="228"/>
      <c r="E1808" s="216"/>
      <c r="F1808" s="273"/>
      <c r="G1808" s="9"/>
      <c r="H1808" s="234"/>
      <c r="I1808" s="232"/>
      <c r="J1808" s="9"/>
      <c r="K1808" s="18"/>
      <c r="L1808" s="18"/>
      <c r="M1808" s="18"/>
      <c r="N1808" s="18"/>
      <c r="O1808" s="18"/>
      <c r="P1808" s="18"/>
      <c r="Q1808" s="18"/>
      <c r="R1808" s="18"/>
      <c r="S1808" s="18"/>
      <c r="T1808" s="18"/>
      <c r="U1808" s="18"/>
      <c r="V1808" s="18"/>
      <c r="W1808" s="18"/>
      <c r="X1808" s="18"/>
      <c r="Y1808" s="18"/>
      <c r="Z1808" s="18"/>
    </row>
    <row r="1809" ht="22.5" customHeight="1">
      <c r="A1809" s="250"/>
      <c r="B1809" s="218"/>
      <c r="C1809" s="9"/>
      <c r="D1809" s="228"/>
      <c r="E1809" s="216"/>
      <c r="F1809" s="273"/>
      <c r="G1809" s="9"/>
      <c r="H1809" s="234"/>
      <c r="I1809" s="232"/>
      <c r="J1809" s="9"/>
      <c r="K1809" s="18"/>
      <c r="L1809" s="18"/>
      <c r="M1809" s="18"/>
      <c r="N1809" s="18"/>
      <c r="O1809" s="18"/>
      <c r="P1809" s="18"/>
      <c r="Q1809" s="18"/>
      <c r="R1809" s="18"/>
      <c r="S1809" s="18"/>
      <c r="T1809" s="18"/>
      <c r="U1809" s="18"/>
      <c r="V1809" s="18"/>
      <c r="W1809" s="18"/>
      <c r="X1809" s="18"/>
      <c r="Y1809" s="18"/>
      <c r="Z1809" s="18"/>
    </row>
    <row r="1810" ht="22.5" customHeight="1">
      <c r="A1810" s="250"/>
      <c r="B1810" s="218"/>
      <c r="C1810" s="9"/>
      <c r="D1810" s="228"/>
      <c r="E1810" s="216"/>
      <c r="F1810" s="273"/>
      <c r="G1810" s="9"/>
      <c r="H1810" s="234"/>
      <c r="I1810" s="232"/>
      <c r="J1810" s="9"/>
      <c r="K1810" s="18"/>
      <c r="L1810" s="18"/>
      <c r="M1810" s="18"/>
      <c r="N1810" s="18"/>
      <c r="O1810" s="18"/>
      <c r="P1810" s="18"/>
      <c r="Q1810" s="18"/>
      <c r="R1810" s="18"/>
      <c r="S1810" s="18"/>
      <c r="T1810" s="18"/>
      <c r="U1810" s="18"/>
      <c r="V1810" s="18"/>
      <c r="W1810" s="18"/>
      <c r="X1810" s="18"/>
      <c r="Y1810" s="18"/>
      <c r="Z1810" s="18"/>
    </row>
    <row r="1811" ht="22.5" customHeight="1">
      <c r="A1811" s="250"/>
      <c r="B1811" s="218"/>
      <c r="C1811" s="9"/>
      <c r="D1811" s="228"/>
      <c r="E1811" s="216"/>
      <c r="F1811" s="273"/>
      <c r="G1811" s="9"/>
      <c r="H1811" s="234"/>
      <c r="I1811" s="232"/>
      <c r="J1811" s="9"/>
      <c r="K1811" s="18"/>
      <c r="L1811" s="18"/>
      <c r="M1811" s="18"/>
      <c r="N1811" s="18"/>
      <c r="O1811" s="18"/>
      <c r="P1811" s="18"/>
      <c r="Q1811" s="18"/>
      <c r="R1811" s="18"/>
      <c r="S1811" s="18"/>
      <c r="T1811" s="18"/>
      <c r="U1811" s="18"/>
      <c r="V1811" s="18"/>
      <c r="W1811" s="18"/>
      <c r="X1811" s="18"/>
      <c r="Y1811" s="18"/>
      <c r="Z1811" s="18"/>
    </row>
    <row r="1812" ht="22.5" customHeight="1">
      <c r="A1812" s="250"/>
      <c r="B1812" s="218"/>
      <c r="C1812" s="9"/>
      <c r="D1812" s="228"/>
      <c r="E1812" s="216"/>
      <c r="F1812" s="273"/>
      <c r="G1812" s="9"/>
      <c r="H1812" s="234"/>
      <c r="I1812" s="232"/>
      <c r="J1812" s="9"/>
      <c r="K1812" s="18"/>
      <c r="L1812" s="18"/>
      <c r="M1812" s="18"/>
      <c r="N1812" s="18"/>
      <c r="O1812" s="18"/>
      <c r="P1812" s="18"/>
      <c r="Q1812" s="18"/>
      <c r="R1812" s="18"/>
      <c r="S1812" s="18"/>
      <c r="T1812" s="18"/>
      <c r="U1812" s="18"/>
      <c r="V1812" s="18"/>
      <c r="W1812" s="18"/>
      <c r="X1812" s="18"/>
      <c r="Y1812" s="18"/>
      <c r="Z1812" s="18"/>
    </row>
    <row r="1813" ht="22.5" customHeight="1">
      <c r="A1813" s="250"/>
      <c r="B1813" s="218"/>
      <c r="C1813" s="9"/>
      <c r="D1813" s="228"/>
      <c r="E1813" s="216"/>
      <c r="F1813" s="273"/>
      <c r="G1813" s="9"/>
      <c r="H1813" s="234"/>
      <c r="I1813" s="232"/>
      <c r="J1813" s="9"/>
      <c r="K1813" s="18"/>
      <c r="L1813" s="18"/>
      <c r="M1813" s="18"/>
      <c r="N1813" s="18"/>
      <c r="O1813" s="18"/>
      <c r="P1813" s="18"/>
      <c r="Q1813" s="18"/>
      <c r="R1813" s="18"/>
      <c r="S1813" s="18"/>
      <c r="T1813" s="18"/>
      <c r="U1813" s="18"/>
      <c r="V1813" s="18"/>
      <c r="W1813" s="18"/>
      <c r="X1813" s="18"/>
      <c r="Y1813" s="18"/>
      <c r="Z1813" s="18"/>
    </row>
    <row r="1814" ht="22.5" customHeight="1">
      <c r="A1814" s="250"/>
      <c r="B1814" s="218"/>
      <c r="C1814" s="9"/>
      <c r="D1814" s="228"/>
      <c r="E1814" s="216"/>
      <c r="F1814" s="273"/>
      <c r="G1814" s="9"/>
      <c r="H1814" s="234"/>
      <c r="I1814" s="232"/>
      <c r="J1814" s="9"/>
      <c r="K1814" s="18"/>
      <c r="L1814" s="18"/>
      <c r="M1814" s="18"/>
      <c r="N1814" s="18"/>
      <c r="O1814" s="18"/>
      <c r="P1814" s="18"/>
      <c r="Q1814" s="18"/>
      <c r="R1814" s="18"/>
      <c r="S1814" s="18"/>
      <c r="T1814" s="18"/>
      <c r="U1814" s="18"/>
      <c r="V1814" s="18"/>
      <c r="W1814" s="18"/>
      <c r="X1814" s="18"/>
      <c r="Y1814" s="18"/>
      <c r="Z1814" s="18"/>
    </row>
    <row r="1815" ht="22.5" customHeight="1">
      <c r="A1815" s="250"/>
      <c r="B1815" s="218"/>
      <c r="C1815" s="9"/>
      <c r="D1815" s="228"/>
      <c r="E1815" s="216"/>
      <c r="F1815" s="273"/>
      <c r="G1815" s="9"/>
      <c r="H1815" s="234"/>
      <c r="I1815" s="232"/>
      <c r="J1815" s="9"/>
      <c r="K1815" s="18"/>
      <c r="L1815" s="18"/>
      <c r="M1815" s="18"/>
      <c r="N1815" s="18"/>
      <c r="O1815" s="18"/>
      <c r="P1815" s="18"/>
      <c r="Q1815" s="18"/>
      <c r="R1815" s="18"/>
      <c r="S1815" s="18"/>
      <c r="T1815" s="18"/>
      <c r="U1815" s="18"/>
      <c r="V1815" s="18"/>
      <c r="W1815" s="18"/>
      <c r="X1815" s="18"/>
      <c r="Y1815" s="18"/>
      <c r="Z1815" s="18"/>
    </row>
    <row r="1816" ht="22.5" customHeight="1">
      <c r="A1816" s="250"/>
      <c r="B1816" s="218"/>
      <c r="C1816" s="9"/>
      <c r="D1816" s="228"/>
      <c r="E1816" s="216"/>
      <c r="F1816" s="273"/>
      <c r="G1816" s="9"/>
      <c r="H1816" s="234"/>
      <c r="I1816" s="232"/>
      <c r="J1816" s="9"/>
      <c r="K1816" s="18"/>
      <c r="L1816" s="18"/>
      <c r="M1816" s="18"/>
      <c r="N1816" s="18"/>
      <c r="O1816" s="18"/>
      <c r="P1816" s="18"/>
      <c r="Q1816" s="18"/>
      <c r="R1816" s="18"/>
      <c r="S1816" s="18"/>
      <c r="T1816" s="18"/>
      <c r="U1816" s="18"/>
      <c r="V1816" s="18"/>
      <c r="W1816" s="18"/>
      <c r="X1816" s="18"/>
      <c r="Y1816" s="18"/>
      <c r="Z1816" s="18"/>
    </row>
    <row r="1817" ht="22.5" customHeight="1">
      <c r="A1817" s="250"/>
      <c r="B1817" s="218"/>
      <c r="C1817" s="9"/>
      <c r="D1817" s="228"/>
      <c r="E1817" s="216"/>
      <c r="F1817" s="273"/>
      <c r="G1817" s="9"/>
      <c r="H1817" s="234"/>
      <c r="I1817" s="232"/>
      <c r="J1817" s="9"/>
      <c r="K1817" s="18"/>
      <c r="L1817" s="18"/>
      <c r="M1817" s="18"/>
      <c r="N1817" s="18"/>
      <c r="O1817" s="18"/>
      <c r="P1817" s="18"/>
      <c r="Q1817" s="18"/>
      <c r="R1817" s="18"/>
      <c r="S1817" s="18"/>
      <c r="T1817" s="18"/>
      <c r="U1817" s="18"/>
      <c r="V1817" s="18"/>
      <c r="W1817" s="18"/>
      <c r="X1817" s="18"/>
      <c r="Y1817" s="18"/>
      <c r="Z1817" s="18"/>
    </row>
    <row r="1818" ht="22.5" customHeight="1">
      <c r="A1818" s="250"/>
      <c r="B1818" s="218"/>
      <c r="C1818" s="9"/>
      <c r="D1818" s="228"/>
      <c r="E1818" s="216"/>
      <c r="F1818" s="273"/>
      <c r="G1818" s="9"/>
      <c r="H1818" s="234"/>
      <c r="I1818" s="232"/>
      <c r="J1818" s="9"/>
      <c r="K1818" s="18"/>
      <c r="L1818" s="18"/>
      <c r="M1818" s="18"/>
      <c r="N1818" s="18"/>
      <c r="O1818" s="18"/>
      <c r="P1818" s="18"/>
      <c r="Q1818" s="18"/>
      <c r="R1818" s="18"/>
      <c r="S1818" s="18"/>
      <c r="T1818" s="18"/>
      <c r="U1818" s="18"/>
      <c r="V1818" s="18"/>
      <c r="W1818" s="18"/>
      <c r="X1818" s="18"/>
      <c r="Y1818" s="18"/>
      <c r="Z1818" s="18"/>
    </row>
    <row r="1819" ht="22.5" customHeight="1">
      <c r="A1819" s="250"/>
      <c r="B1819" s="218"/>
      <c r="C1819" s="9"/>
      <c r="D1819" s="228"/>
      <c r="E1819" s="216"/>
      <c r="F1819" s="273"/>
      <c r="G1819" s="9"/>
      <c r="H1819" s="234"/>
      <c r="I1819" s="232"/>
      <c r="J1819" s="9"/>
      <c r="K1819" s="18"/>
      <c r="L1819" s="18"/>
      <c r="M1819" s="18"/>
      <c r="N1819" s="18"/>
      <c r="O1819" s="18"/>
      <c r="P1819" s="18"/>
      <c r="Q1819" s="18"/>
      <c r="R1819" s="18"/>
      <c r="S1819" s="18"/>
      <c r="T1819" s="18"/>
      <c r="U1819" s="18"/>
      <c r="V1819" s="18"/>
      <c r="W1819" s="18"/>
      <c r="X1819" s="18"/>
      <c r="Y1819" s="18"/>
      <c r="Z1819" s="18"/>
    </row>
    <row r="1820" ht="22.5" customHeight="1">
      <c r="A1820" s="250"/>
      <c r="B1820" s="218"/>
      <c r="C1820" s="9"/>
      <c r="D1820" s="228"/>
      <c r="E1820" s="216"/>
      <c r="F1820" s="273"/>
      <c r="G1820" s="9"/>
      <c r="H1820" s="234"/>
      <c r="I1820" s="232"/>
      <c r="J1820" s="9"/>
      <c r="K1820" s="18"/>
      <c r="L1820" s="18"/>
      <c r="M1820" s="18"/>
      <c r="N1820" s="18"/>
      <c r="O1820" s="18"/>
      <c r="P1820" s="18"/>
      <c r="Q1820" s="18"/>
      <c r="R1820" s="18"/>
      <c r="S1820" s="18"/>
      <c r="T1820" s="18"/>
      <c r="U1820" s="18"/>
      <c r="V1820" s="18"/>
      <c r="W1820" s="18"/>
      <c r="X1820" s="18"/>
      <c r="Y1820" s="18"/>
      <c r="Z1820" s="18"/>
    </row>
    <row r="1821" ht="22.5" customHeight="1">
      <c r="A1821" s="250"/>
      <c r="B1821" s="218"/>
      <c r="C1821" s="9"/>
      <c r="D1821" s="228"/>
      <c r="E1821" s="216"/>
      <c r="F1821" s="273"/>
      <c r="G1821" s="9"/>
      <c r="H1821" s="234"/>
      <c r="I1821" s="232"/>
      <c r="J1821" s="9"/>
      <c r="K1821" s="18"/>
      <c r="L1821" s="18"/>
      <c r="M1821" s="18"/>
      <c r="N1821" s="18"/>
      <c r="O1821" s="18"/>
      <c r="P1821" s="18"/>
      <c r="Q1821" s="18"/>
      <c r="R1821" s="18"/>
      <c r="S1821" s="18"/>
      <c r="T1821" s="18"/>
      <c r="U1821" s="18"/>
      <c r="V1821" s="18"/>
      <c r="W1821" s="18"/>
      <c r="X1821" s="18"/>
      <c r="Y1821" s="18"/>
      <c r="Z1821" s="18"/>
    </row>
    <row r="1822" ht="22.5" customHeight="1">
      <c r="A1822" s="250"/>
      <c r="B1822" s="218"/>
      <c r="C1822" s="9"/>
      <c r="D1822" s="228"/>
      <c r="E1822" s="216"/>
      <c r="F1822" s="273"/>
      <c r="G1822" s="9"/>
      <c r="H1822" s="234"/>
      <c r="I1822" s="232"/>
      <c r="J1822" s="9"/>
      <c r="K1822" s="18"/>
      <c r="L1822" s="18"/>
      <c r="M1822" s="18"/>
      <c r="N1822" s="18"/>
      <c r="O1822" s="18"/>
      <c r="P1822" s="18"/>
      <c r="Q1822" s="18"/>
      <c r="R1822" s="18"/>
      <c r="S1822" s="18"/>
      <c r="T1822" s="18"/>
      <c r="U1822" s="18"/>
      <c r="V1822" s="18"/>
      <c r="W1822" s="18"/>
      <c r="X1822" s="18"/>
      <c r="Y1822" s="18"/>
      <c r="Z1822" s="18"/>
    </row>
    <row r="1823" ht="22.5" customHeight="1">
      <c r="A1823" s="250"/>
      <c r="B1823" s="218"/>
      <c r="C1823" s="9"/>
      <c r="D1823" s="228"/>
      <c r="E1823" s="216"/>
      <c r="F1823" s="273"/>
      <c r="G1823" s="9"/>
      <c r="H1823" s="234"/>
      <c r="I1823" s="232"/>
      <c r="J1823" s="9"/>
      <c r="K1823" s="18"/>
      <c r="L1823" s="18"/>
      <c r="M1823" s="18"/>
      <c r="N1823" s="18"/>
      <c r="O1823" s="18"/>
      <c r="P1823" s="18"/>
      <c r="Q1823" s="18"/>
      <c r="R1823" s="18"/>
      <c r="S1823" s="18"/>
      <c r="T1823" s="18"/>
      <c r="U1823" s="18"/>
      <c r="V1823" s="18"/>
      <c r="W1823" s="18"/>
      <c r="X1823" s="18"/>
      <c r="Y1823" s="18"/>
      <c r="Z1823" s="18"/>
    </row>
    <row r="1824" ht="22.5" customHeight="1">
      <c r="A1824" s="250"/>
      <c r="B1824" s="218"/>
      <c r="C1824" s="9"/>
      <c r="D1824" s="228"/>
      <c r="E1824" s="216"/>
      <c r="F1824" s="273"/>
      <c r="G1824" s="9"/>
      <c r="H1824" s="234"/>
      <c r="I1824" s="232"/>
      <c r="J1824" s="9"/>
      <c r="K1824" s="18"/>
      <c r="L1824" s="18"/>
      <c r="M1824" s="18"/>
      <c r="N1824" s="18"/>
      <c r="O1824" s="18"/>
      <c r="P1824" s="18"/>
      <c r="Q1824" s="18"/>
      <c r="R1824" s="18"/>
      <c r="S1824" s="18"/>
      <c r="T1824" s="18"/>
      <c r="U1824" s="18"/>
      <c r="V1824" s="18"/>
      <c r="W1824" s="18"/>
      <c r="X1824" s="18"/>
      <c r="Y1824" s="18"/>
      <c r="Z1824" s="18"/>
    </row>
    <row r="1825" ht="22.5" customHeight="1">
      <c r="A1825" s="250"/>
      <c r="B1825" s="218"/>
      <c r="C1825" s="9"/>
      <c r="D1825" s="228"/>
      <c r="E1825" s="216"/>
      <c r="F1825" s="273"/>
      <c r="G1825" s="9"/>
      <c r="H1825" s="234"/>
      <c r="I1825" s="232"/>
      <c r="J1825" s="9"/>
      <c r="K1825" s="18"/>
      <c r="L1825" s="18"/>
      <c r="M1825" s="18"/>
      <c r="N1825" s="18"/>
      <c r="O1825" s="18"/>
      <c r="P1825" s="18"/>
      <c r="Q1825" s="18"/>
      <c r="R1825" s="18"/>
      <c r="S1825" s="18"/>
      <c r="T1825" s="18"/>
      <c r="U1825" s="18"/>
      <c r="V1825" s="18"/>
      <c r="W1825" s="18"/>
      <c r="X1825" s="18"/>
      <c r="Y1825" s="18"/>
      <c r="Z1825" s="18"/>
    </row>
    <row r="1826" ht="22.5" customHeight="1">
      <c r="A1826" s="250"/>
      <c r="B1826" s="218"/>
      <c r="C1826" s="9"/>
      <c r="D1826" s="228"/>
      <c r="E1826" s="216"/>
      <c r="F1826" s="273"/>
      <c r="G1826" s="9"/>
      <c r="H1826" s="234"/>
      <c r="I1826" s="232"/>
      <c r="J1826" s="9"/>
      <c r="K1826" s="18"/>
      <c r="L1826" s="18"/>
      <c r="M1826" s="18"/>
      <c r="N1826" s="18"/>
      <c r="O1826" s="18"/>
      <c r="P1826" s="18"/>
      <c r="Q1826" s="18"/>
      <c r="R1826" s="18"/>
      <c r="S1826" s="18"/>
      <c r="T1826" s="18"/>
      <c r="U1826" s="18"/>
      <c r="V1826" s="18"/>
      <c r="W1826" s="18"/>
      <c r="X1826" s="18"/>
      <c r="Y1826" s="18"/>
      <c r="Z1826" s="18"/>
    </row>
    <row r="1827" ht="22.5" customHeight="1">
      <c r="A1827" s="250"/>
      <c r="B1827" s="218"/>
      <c r="C1827" s="9"/>
      <c r="D1827" s="228"/>
      <c r="E1827" s="216"/>
      <c r="F1827" s="273"/>
      <c r="G1827" s="9"/>
      <c r="H1827" s="234"/>
      <c r="I1827" s="232"/>
      <c r="J1827" s="9"/>
      <c r="K1827" s="18"/>
      <c r="L1827" s="18"/>
      <c r="M1827" s="18"/>
      <c r="N1827" s="18"/>
      <c r="O1827" s="18"/>
      <c r="P1827" s="18"/>
      <c r="Q1827" s="18"/>
      <c r="R1827" s="18"/>
      <c r="S1827" s="18"/>
      <c r="T1827" s="18"/>
      <c r="U1827" s="18"/>
      <c r="V1827" s="18"/>
      <c r="W1827" s="18"/>
      <c r="X1827" s="18"/>
      <c r="Y1827" s="18"/>
      <c r="Z1827" s="18"/>
    </row>
    <row r="1828" ht="22.5" customHeight="1">
      <c r="A1828" s="250"/>
      <c r="B1828" s="218"/>
      <c r="C1828" s="9"/>
      <c r="D1828" s="228"/>
      <c r="E1828" s="216"/>
      <c r="F1828" s="273"/>
      <c r="G1828" s="9"/>
      <c r="H1828" s="234"/>
      <c r="I1828" s="232"/>
      <c r="J1828" s="9"/>
      <c r="K1828" s="18"/>
      <c r="L1828" s="18"/>
      <c r="M1828" s="18"/>
      <c r="N1828" s="18"/>
      <c r="O1828" s="18"/>
      <c r="P1828" s="18"/>
      <c r="Q1828" s="18"/>
      <c r="R1828" s="18"/>
      <c r="S1828" s="18"/>
      <c r="T1828" s="18"/>
      <c r="U1828" s="18"/>
      <c r="V1828" s="18"/>
      <c r="W1828" s="18"/>
      <c r="X1828" s="18"/>
      <c r="Y1828" s="18"/>
      <c r="Z1828" s="18"/>
    </row>
    <row r="1829" ht="22.5" customHeight="1">
      <c r="A1829" s="250"/>
      <c r="B1829" s="218"/>
      <c r="C1829" s="9"/>
      <c r="D1829" s="228"/>
      <c r="E1829" s="216"/>
      <c r="F1829" s="273"/>
      <c r="G1829" s="9"/>
      <c r="H1829" s="234"/>
      <c r="I1829" s="232"/>
      <c r="J1829" s="9"/>
      <c r="K1829" s="18"/>
      <c r="L1829" s="18"/>
      <c r="M1829" s="18"/>
      <c r="N1829" s="18"/>
      <c r="O1829" s="18"/>
      <c r="P1829" s="18"/>
      <c r="Q1829" s="18"/>
      <c r="R1829" s="18"/>
      <c r="S1829" s="18"/>
      <c r="T1829" s="18"/>
      <c r="U1829" s="18"/>
      <c r="V1829" s="18"/>
      <c r="W1829" s="18"/>
      <c r="X1829" s="18"/>
      <c r="Y1829" s="18"/>
      <c r="Z1829" s="18"/>
    </row>
    <row r="1830" ht="22.5" customHeight="1">
      <c r="A1830" s="250"/>
      <c r="B1830" s="218"/>
      <c r="C1830" s="9"/>
      <c r="D1830" s="228"/>
      <c r="E1830" s="216"/>
      <c r="F1830" s="273"/>
      <c r="G1830" s="9"/>
      <c r="H1830" s="234"/>
      <c r="I1830" s="232"/>
      <c r="J1830" s="9"/>
      <c r="K1830" s="18"/>
      <c r="L1830" s="18"/>
      <c r="M1830" s="18"/>
      <c r="N1830" s="18"/>
      <c r="O1830" s="18"/>
      <c r="P1830" s="18"/>
      <c r="Q1830" s="18"/>
      <c r="R1830" s="18"/>
      <c r="S1830" s="18"/>
      <c r="T1830" s="18"/>
      <c r="U1830" s="18"/>
      <c r="V1830" s="18"/>
      <c r="W1830" s="18"/>
      <c r="X1830" s="18"/>
      <c r="Y1830" s="18"/>
      <c r="Z1830" s="18"/>
    </row>
    <row r="1831" ht="22.5" customHeight="1">
      <c r="A1831" s="250"/>
      <c r="B1831" s="218"/>
      <c r="C1831" s="9"/>
      <c r="D1831" s="228"/>
      <c r="E1831" s="216"/>
      <c r="F1831" s="273"/>
      <c r="G1831" s="9"/>
      <c r="H1831" s="234"/>
      <c r="I1831" s="232"/>
      <c r="J1831" s="9"/>
      <c r="K1831" s="18"/>
      <c r="L1831" s="18"/>
      <c r="M1831" s="18"/>
      <c r="N1831" s="18"/>
      <c r="O1831" s="18"/>
      <c r="P1831" s="18"/>
      <c r="Q1831" s="18"/>
      <c r="R1831" s="18"/>
      <c r="S1831" s="18"/>
      <c r="T1831" s="18"/>
      <c r="U1831" s="18"/>
      <c r="V1831" s="18"/>
      <c r="W1831" s="18"/>
      <c r="X1831" s="18"/>
      <c r="Y1831" s="18"/>
      <c r="Z1831" s="18"/>
    </row>
    <row r="1832" ht="22.5" customHeight="1">
      <c r="A1832" s="250"/>
      <c r="B1832" s="218"/>
      <c r="C1832" s="9"/>
      <c r="D1832" s="228"/>
      <c r="E1832" s="216"/>
      <c r="F1832" s="273"/>
      <c r="G1832" s="9"/>
      <c r="H1832" s="234"/>
      <c r="I1832" s="232"/>
      <c r="J1832" s="9"/>
      <c r="K1832" s="18"/>
      <c r="L1832" s="18"/>
      <c r="M1832" s="18"/>
      <c r="N1832" s="18"/>
      <c r="O1832" s="18"/>
      <c r="P1832" s="18"/>
      <c r="Q1832" s="18"/>
      <c r="R1832" s="18"/>
      <c r="S1832" s="18"/>
      <c r="T1832" s="18"/>
      <c r="U1832" s="18"/>
      <c r="V1832" s="18"/>
      <c r="W1832" s="18"/>
      <c r="X1832" s="18"/>
      <c r="Y1832" s="18"/>
      <c r="Z1832" s="18"/>
    </row>
    <row r="1833" ht="22.5" customHeight="1">
      <c r="A1833" s="250"/>
      <c r="B1833" s="218"/>
      <c r="C1833" s="9"/>
      <c r="D1833" s="228"/>
      <c r="E1833" s="216"/>
      <c r="F1833" s="273"/>
      <c r="G1833" s="9"/>
      <c r="H1833" s="234"/>
      <c r="I1833" s="232"/>
      <c r="J1833" s="9"/>
      <c r="K1833" s="18"/>
      <c r="L1833" s="18"/>
      <c r="M1833" s="18"/>
      <c r="N1833" s="18"/>
      <c r="O1833" s="18"/>
      <c r="P1833" s="18"/>
      <c r="Q1833" s="18"/>
      <c r="R1833" s="18"/>
      <c r="S1833" s="18"/>
      <c r="T1833" s="18"/>
      <c r="U1833" s="18"/>
      <c r="V1833" s="18"/>
      <c r="W1833" s="18"/>
      <c r="X1833" s="18"/>
      <c r="Y1833" s="18"/>
      <c r="Z1833" s="18"/>
    </row>
    <row r="1834" ht="22.5" customHeight="1">
      <c r="A1834" s="250"/>
      <c r="B1834" s="218"/>
      <c r="C1834" s="9"/>
      <c r="D1834" s="228"/>
      <c r="E1834" s="216"/>
      <c r="F1834" s="273"/>
      <c r="G1834" s="9"/>
      <c r="H1834" s="234"/>
      <c r="I1834" s="232"/>
      <c r="J1834" s="9"/>
      <c r="K1834" s="18"/>
      <c r="L1834" s="18"/>
      <c r="M1834" s="18"/>
      <c r="N1834" s="18"/>
      <c r="O1834" s="18"/>
      <c r="P1834" s="18"/>
      <c r="Q1834" s="18"/>
      <c r="R1834" s="18"/>
      <c r="S1834" s="18"/>
      <c r="T1834" s="18"/>
      <c r="U1834" s="18"/>
      <c r="V1834" s="18"/>
      <c r="W1834" s="18"/>
      <c r="X1834" s="18"/>
      <c r="Y1834" s="18"/>
      <c r="Z1834" s="18"/>
    </row>
    <row r="1835" ht="22.5" customHeight="1">
      <c r="A1835" s="250"/>
      <c r="B1835" s="218"/>
      <c r="C1835" s="9"/>
      <c r="D1835" s="228"/>
      <c r="E1835" s="216"/>
      <c r="F1835" s="273"/>
      <c r="G1835" s="9"/>
      <c r="H1835" s="234"/>
      <c r="I1835" s="232"/>
      <c r="J1835" s="9"/>
      <c r="K1835" s="18"/>
      <c r="L1835" s="18"/>
      <c r="M1835" s="18"/>
      <c r="N1835" s="18"/>
      <c r="O1835" s="18"/>
      <c r="P1835" s="18"/>
      <c r="Q1835" s="18"/>
      <c r="R1835" s="18"/>
      <c r="S1835" s="18"/>
      <c r="T1835" s="18"/>
      <c r="U1835" s="18"/>
      <c r="V1835" s="18"/>
      <c r="W1835" s="18"/>
      <c r="X1835" s="18"/>
      <c r="Y1835" s="18"/>
      <c r="Z1835" s="18"/>
    </row>
    <row r="1836" ht="22.5" customHeight="1">
      <c r="A1836" s="250"/>
      <c r="B1836" s="218"/>
      <c r="C1836" s="9"/>
      <c r="D1836" s="228"/>
      <c r="E1836" s="216"/>
      <c r="F1836" s="273"/>
      <c r="G1836" s="9"/>
      <c r="H1836" s="234"/>
      <c r="I1836" s="232"/>
      <c r="J1836" s="9"/>
      <c r="K1836" s="18"/>
      <c r="L1836" s="18"/>
      <c r="M1836" s="18"/>
      <c r="N1836" s="18"/>
      <c r="O1836" s="18"/>
      <c r="P1836" s="18"/>
      <c r="Q1836" s="18"/>
      <c r="R1836" s="18"/>
      <c r="S1836" s="18"/>
      <c r="T1836" s="18"/>
      <c r="U1836" s="18"/>
      <c r="V1836" s="18"/>
      <c r="W1836" s="18"/>
      <c r="X1836" s="18"/>
      <c r="Y1836" s="18"/>
      <c r="Z1836" s="18"/>
    </row>
    <row r="1837" ht="22.5" customHeight="1">
      <c r="A1837" s="250"/>
      <c r="B1837" s="218"/>
      <c r="C1837" s="9"/>
      <c r="D1837" s="228"/>
      <c r="E1837" s="216"/>
      <c r="F1837" s="273"/>
      <c r="G1837" s="9"/>
      <c r="H1837" s="234"/>
      <c r="I1837" s="232"/>
      <c r="J1837" s="9"/>
      <c r="K1837" s="18"/>
      <c r="L1837" s="18"/>
      <c r="M1837" s="18"/>
      <c r="N1837" s="18"/>
      <c r="O1837" s="18"/>
      <c r="P1837" s="18"/>
      <c r="Q1837" s="18"/>
      <c r="R1837" s="18"/>
      <c r="S1837" s="18"/>
      <c r="T1837" s="18"/>
      <c r="U1837" s="18"/>
      <c r="V1837" s="18"/>
      <c r="W1837" s="18"/>
      <c r="X1837" s="18"/>
      <c r="Y1837" s="18"/>
      <c r="Z1837" s="18"/>
    </row>
    <row r="1838" ht="22.5" customHeight="1">
      <c r="A1838" s="250"/>
      <c r="B1838" s="218"/>
      <c r="C1838" s="9"/>
      <c r="D1838" s="228"/>
      <c r="E1838" s="216"/>
      <c r="F1838" s="273"/>
      <c r="G1838" s="9"/>
      <c r="H1838" s="234"/>
      <c r="I1838" s="232"/>
      <c r="J1838" s="9"/>
      <c r="K1838" s="18"/>
      <c r="L1838" s="18"/>
      <c r="M1838" s="18"/>
      <c r="N1838" s="18"/>
      <c r="O1838" s="18"/>
      <c r="P1838" s="18"/>
      <c r="Q1838" s="18"/>
      <c r="R1838" s="18"/>
      <c r="S1838" s="18"/>
      <c r="T1838" s="18"/>
      <c r="U1838" s="18"/>
      <c r="V1838" s="18"/>
      <c r="W1838" s="18"/>
      <c r="X1838" s="18"/>
      <c r="Y1838" s="18"/>
      <c r="Z1838" s="18"/>
    </row>
    <row r="1839" ht="22.5" customHeight="1">
      <c r="A1839" s="250"/>
      <c r="B1839" s="218"/>
      <c r="C1839" s="9"/>
      <c r="D1839" s="228"/>
      <c r="E1839" s="216"/>
      <c r="F1839" s="273"/>
      <c r="G1839" s="9"/>
      <c r="H1839" s="234"/>
      <c r="I1839" s="232"/>
      <c r="J1839" s="9"/>
      <c r="K1839" s="18"/>
      <c r="L1839" s="18"/>
      <c r="M1839" s="18"/>
      <c r="N1839" s="18"/>
      <c r="O1839" s="18"/>
      <c r="P1839" s="18"/>
      <c r="Q1839" s="18"/>
      <c r="R1839" s="18"/>
      <c r="S1839" s="18"/>
      <c r="T1839" s="18"/>
      <c r="U1839" s="18"/>
      <c r="V1839" s="18"/>
      <c r="W1839" s="18"/>
      <c r="X1839" s="18"/>
      <c r="Y1839" s="18"/>
      <c r="Z1839" s="18"/>
    </row>
    <row r="1840" ht="22.5" customHeight="1">
      <c r="A1840" s="250"/>
      <c r="B1840" s="218"/>
      <c r="C1840" s="9"/>
      <c r="D1840" s="228"/>
      <c r="E1840" s="216"/>
      <c r="F1840" s="273"/>
      <c r="G1840" s="9"/>
      <c r="H1840" s="234"/>
      <c r="I1840" s="232"/>
      <c r="J1840" s="9"/>
      <c r="K1840" s="18"/>
      <c r="L1840" s="18"/>
      <c r="M1840" s="18"/>
      <c r="N1840" s="18"/>
      <c r="O1840" s="18"/>
      <c r="P1840" s="18"/>
      <c r="Q1840" s="18"/>
      <c r="R1840" s="18"/>
      <c r="S1840" s="18"/>
      <c r="T1840" s="18"/>
      <c r="U1840" s="18"/>
      <c r="V1840" s="18"/>
      <c r="W1840" s="18"/>
      <c r="X1840" s="18"/>
      <c r="Y1840" s="18"/>
      <c r="Z1840" s="18"/>
    </row>
    <row r="1841" ht="22.5" customHeight="1">
      <c r="A1841" s="250"/>
      <c r="B1841" s="218"/>
      <c r="C1841" s="9"/>
      <c r="D1841" s="228"/>
      <c r="E1841" s="216"/>
      <c r="F1841" s="273"/>
      <c r="G1841" s="9"/>
      <c r="H1841" s="234"/>
      <c r="I1841" s="232"/>
      <c r="J1841" s="9"/>
      <c r="K1841" s="18"/>
      <c r="L1841" s="18"/>
      <c r="M1841" s="18"/>
      <c r="N1841" s="18"/>
      <c r="O1841" s="18"/>
      <c r="P1841" s="18"/>
      <c r="Q1841" s="18"/>
      <c r="R1841" s="18"/>
      <c r="S1841" s="18"/>
      <c r="T1841" s="18"/>
      <c r="U1841" s="18"/>
      <c r="V1841" s="18"/>
      <c r="W1841" s="18"/>
      <c r="X1841" s="18"/>
      <c r="Y1841" s="18"/>
      <c r="Z1841" s="18"/>
    </row>
    <row r="1842" ht="22.5" customHeight="1">
      <c r="A1842" s="250"/>
      <c r="B1842" s="218"/>
      <c r="C1842" s="9"/>
      <c r="D1842" s="228"/>
      <c r="E1842" s="216"/>
      <c r="F1842" s="273"/>
      <c r="G1842" s="9"/>
      <c r="H1842" s="234"/>
      <c r="I1842" s="232"/>
      <c r="J1842" s="9"/>
      <c r="K1842" s="18"/>
      <c r="L1842" s="18"/>
      <c r="M1842" s="18"/>
      <c r="N1842" s="18"/>
      <c r="O1842" s="18"/>
      <c r="P1842" s="18"/>
      <c r="Q1842" s="18"/>
      <c r="R1842" s="18"/>
      <c r="S1842" s="18"/>
      <c r="T1842" s="18"/>
      <c r="U1842" s="18"/>
      <c r="V1842" s="18"/>
      <c r="W1842" s="18"/>
      <c r="X1842" s="18"/>
      <c r="Y1842" s="18"/>
      <c r="Z1842" s="18"/>
    </row>
    <row r="1843" ht="22.5" customHeight="1">
      <c r="A1843" s="250"/>
      <c r="B1843" s="218"/>
      <c r="C1843" s="9"/>
      <c r="D1843" s="228"/>
      <c r="E1843" s="216"/>
      <c r="F1843" s="273"/>
      <c r="G1843" s="9"/>
      <c r="H1843" s="234"/>
      <c r="I1843" s="232"/>
      <c r="J1843" s="9"/>
      <c r="K1843" s="18"/>
      <c r="L1843" s="18"/>
      <c r="M1843" s="18"/>
      <c r="N1843" s="18"/>
      <c r="O1843" s="18"/>
      <c r="P1843" s="18"/>
      <c r="Q1843" s="18"/>
      <c r="R1843" s="18"/>
      <c r="S1843" s="18"/>
      <c r="T1843" s="18"/>
      <c r="U1843" s="18"/>
      <c r="V1843" s="18"/>
      <c r="W1843" s="18"/>
      <c r="X1843" s="18"/>
      <c r="Y1843" s="18"/>
      <c r="Z1843" s="18"/>
    </row>
    <row r="1844" ht="22.5" customHeight="1">
      <c r="A1844" s="250"/>
      <c r="B1844" s="218"/>
      <c r="C1844" s="9"/>
      <c r="D1844" s="228"/>
      <c r="E1844" s="216"/>
      <c r="F1844" s="273"/>
      <c r="G1844" s="9"/>
      <c r="H1844" s="234"/>
      <c r="I1844" s="232"/>
      <c r="J1844" s="9"/>
      <c r="K1844" s="18"/>
      <c r="L1844" s="18"/>
      <c r="M1844" s="18"/>
      <c r="N1844" s="18"/>
      <c r="O1844" s="18"/>
      <c r="P1844" s="18"/>
      <c r="Q1844" s="18"/>
      <c r="R1844" s="18"/>
      <c r="S1844" s="18"/>
      <c r="T1844" s="18"/>
      <c r="U1844" s="18"/>
      <c r="V1844" s="18"/>
      <c r="W1844" s="18"/>
      <c r="X1844" s="18"/>
      <c r="Y1844" s="18"/>
      <c r="Z1844" s="18"/>
    </row>
    <row r="1845" ht="22.5" customHeight="1">
      <c r="A1845" s="250"/>
      <c r="B1845" s="218"/>
      <c r="C1845" s="9"/>
      <c r="D1845" s="228"/>
      <c r="E1845" s="216"/>
      <c r="F1845" s="273"/>
      <c r="G1845" s="9"/>
      <c r="H1845" s="234"/>
      <c r="I1845" s="232"/>
      <c r="J1845" s="9"/>
      <c r="K1845" s="18"/>
      <c r="L1845" s="18"/>
      <c r="M1845" s="18"/>
      <c r="N1845" s="18"/>
      <c r="O1845" s="18"/>
      <c r="P1845" s="18"/>
      <c r="Q1845" s="18"/>
      <c r="R1845" s="18"/>
      <c r="S1845" s="18"/>
      <c r="T1845" s="18"/>
      <c r="U1845" s="18"/>
      <c r="V1845" s="18"/>
      <c r="W1845" s="18"/>
      <c r="X1845" s="18"/>
      <c r="Y1845" s="18"/>
      <c r="Z1845" s="18"/>
    </row>
    <row r="1846" ht="22.5" customHeight="1">
      <c r="A1846" s="250"/>
      <c r="B1846" s="218"/>
      <c r="C1846" s="9"/>
      <c r="D1846" s="228"/>
      <c r="E1846" s="216"/>
      <c r="F1846" s="273"/>
      <c r="G1846" s="9"/>
      <c r="H1846" s="234"/>
      <c r="I1846" s="232"/>
      <c r="J1846" s="9"/>
      <c r="K1846" s="18"/>
      <c r="L1846" s="18"/>
      <c r="M1846" s="18"/>
      <c r="N1846" s="18"/>
      <c r="O1846" s="18"/>
      <c r="P1846" s="18"/>
      <c r="Q1846" s="18"/>
      <c r="R1846" s="18"/>
      <c r="S1846" s="18"/>
      <c r="T1846" s="18"/>
      <c r="U1846" s="18"/>
      <c r="V1846" s="18"/>
      <c r="W1846" s="18"/>
      <c r="X1846" s="18"/>
      <c r="Y1846" s="18"/>
      <c r="Z1846" s="18"/>
    </row>
    <row r="1847" ht="22.5" customHeight="1">
      <c r="A1847" s="250"/>
      <c r="B1847" s="218"/>
      <c r="C1847" s="9"/>
      <c r="D1847" s="228"/>
      <c r="E1847" s="216"/>
      <c r="F1847" s="273"/>
      <c r="G1847" s="9"/>
      <c r="H1847" s="234"/>
      <c r="I1847" s="232"/>
      <c r="J1847" s="9"/>
      <c r="K1847" s="18"/>
      <c r="L1847" s="18"/>
      <c r="M1847" s="18"/>
      <c r="N1847" s="18"/>
      <c r="O1847" s="18"/>
      <c r="P1847" s="18"/>
      <c r="Q1847" s="18"/>
      <c r="R1847" s="18"/>
      <c r="S1847" s="18"/>
      <c r="T1847" s="18"/>
      <c r="U1847" s="18"/>
      <c r="V1847" s="18"/>
      <c r="W1847" s="18"/>
      <c r="X1847" s="18"/>
      <c r="Y1847" s="18"/>
      <c r="Z1847" s="18"/>
    </row>
    <row r="1848" ht="22.5" customHeight="1">
      <c r="A1848" s="250"/>
      <c r="B1848" s="218"/>
      <c r="C1848" s="9"/>
      <c r="D1848" s="228"/>
      <c r="E1848" s="216"/>
      <c r="F1848" s="273"/>
      <c r="G1848" s="9"/>
      <c r="H1848" s="234"/>
      <c r="I1848" s="232"/>
      <c r="J1848" s="9"/>
      <c r="K1848" s="18"/>
      <c r="L1848" s="18"/>
      <c r="M1848" s="18"/>
      <c r="N1848" s="18"/>
      <c r="O1848" s="18"/>
      <c r="P1848" s="18"/>
      <c r="Q1848" s="18"/>
      <c r="R1848" s="18"/>
      <c r="S1848" s="18"/>
      <c r="T1848" s="18"/>
      <c r="U1848" s="18"/>
      <c r="V1848" s="18"/>
      <c r="W1848" s="18"/>
      <c r="X1848" s="18"/>
      <c r="Y1848" s="18"/>
      <c r="Z1848" s="18"/>
    </row>
    <row r="1849" ht="22.5" customHeight="1">
      <c r="A1849" s="250"/>
      <c r="B1849" s="218"/>
      <c r="C1849" s="9"/>
      <c r="D1849" s="228"/>
      <c r="E1849" s="216"/>
      <c r="F1849" s="273"/>
      <c r="G1849" s="9"/>
      <c r="H1849" s="234"/>
      <c r="I1849" s="232"/>
      <c r="J1849" s="9"/>
      <c r="K1849" s="18"/>
      <c r="L1849" s="18"/>
      <c r="M1849" s="18"/>
      <c r="N1849" s="18"/>
      <c r="O1849" s="18"/>
      <c r="P1849" s="18"/>
      <c r="Q1849" s="18"/>
      <c r="R1849" s="18"/>
      <c r="S1849" s="18"/>
      <c r="T1849" s="18"/>
      <c r="U1849" s="18"/>
      <c r="V1849" s="18"/>
      <c r="W1849" s="18"/>
      <c r="X1849" s="18"/>
      <c r="Y1849" s="18"/>
      <c r="Z1849" s="18"/>
    </row>
    <row r="1850" ht="22.5" customHeight="1">
      <c r="A1850" s="250"/>
      <c r="B1850" s="218"/>
      <c r="C1850" s="9"/>
      <c r="D1850" s="228"/>
      <c r="E1850" s="216"/>
      <c r="F1850" s="273"/>
      <c r="G1850" s="9"/>
      <c r="H1850" s="234"/>
      <c r="I1850" s="232"/>
      <c r="J1850" s="9"/>
      <c r="K1850" s="18"/>
      <c r="L1850" s="18"/>
      <c r="M1850" s="18"/>
      <c r="N1850" s="18"/>
      <c r="O1850" s="18"/>
      <c r="P1850" s="18"/>
      <c r="Q1850" s="18"/>
      <c r="R1850" s="18"/>
      <c r="S1850" s="18"/>
      <c r="T1850" s="18"/>
      <c r="U1850" s="18"/>
      <c r="V1850" s="18"/>
      <c r="W1850" s="18"/>
      <c r="X1850" s="18"/>
      <c r="Y1850" s="18"/>
      <c r="Z1850" s="18"/>
    </row>
    <row r="1851" ht="22.5" customHeight="1">
      <c r="A1851" s="250"/>
      <c r="B1851" s="218"/>
      <c r="C1851" s="9"/>
      <c r="D1851" s="228"/>
      <c r="E1851" s="216"/>
      <c r="F1851" s="273"/>
      <c r="G1851" s="9"/>
      <c r="H1851" s="234"/>
      <c r="I1851" s="232"/>
      <c r="J1851" s="9"/>
      <c r="K1851" s="18"/>
      <c r="L1851" s="18"/>
      <c r="M1851" s="18"/>
      <c r="N1851" s="18"/>
      <c r="O1851" s="18"/>
      <c r="P1851" s="18"/>
      <c r="Q1851" s="18"/>
      <c r="R1851" s="18"/>
      <c r="S1851" s="18"/>
      <c r="T1851" s="18"/>
      <c r="U1851" s="18"/>
      <c r="V1851" s="18"/>
      <c r="W1851" s="18"/>
      <c r="X1851" s="18"/>
      <c r="Y1851" s="18"/>
      <c r="Z1851" s="18"/>
    </row>
    <row r="1852" ht="22.5" customHeight="1">
      <c r="A1852" s="250"/>
      <c r="B1852" s="218"/>
      <c r="C1852" s="9"/>
      <c r="D1852" s="228"/>
      <c r="E1852" s="216"/>
      <c r="F1852" s="273"/>
      <c r="G1852" s="9"/>
      <c r="H1852" s="234"/>
      <c r="I1852" s="232"/>
      <c r="J1852" s="9"/>
      <c r="K1852" s="18"/>
      <c r="L1852" s="18"/>
      <c r="M1852" s="18"/>
      <c r="N1852" s="18"/>
      <c r="O1852" s="18"/>
      <c r="P1852" s="18"/>
      <c r="Q1852" s="18"/>
      <c r="R1852" s="18"/>
      <c r="S1852" s="18"/>
      <c r="T1852" s="18"/>
      <c r="U1852" s="18"/>
      <c r="V1852" s="18"/>
      <c r="W1852" s="18"/>
      <c r="X1852" s="18"/>
      <c r="Y1852" s="18"/>
      <c r="Z1852" s="18"/>
    </row>
    <row r="1853" ht="22.5" customHeight="1">
      <c r="A1853" s="250"/>
      <c r="B1853" s="218"/>
      <c r="C1853" s="9"/>
      <c r="D1853" s="228"/>
      <c r="E1853" s="216"/>
      <c r="F1853" s="273"/>
      <c r="G1853" s="9"/>
      <c r="H1853" s="234"/>
      <c r="I1853" s="232"/>
      <c r="J1853" s="9"/>
      <c r="K1853" s="18"/>
      <c r="L1853" s="18"/>
      <c r="M1853" s="18"/>
      <c r="N1853" s="18"/>
      <c r="O1853" s="18"/>
      <c r="P1853" s="18"/>
      <c r="Q1853" s="18"/>
      <c r="R1853" s="18"/>
      <c r="S1853" s="18"/>
      <c r="T1853" s="18"/>
      <c r="U1853" s="18"/>
      <c r="V1853" s="18"/>
      <c r="W1853" s="18"/>
      <c r="X1853" s="18"/>
      <c r="Y1853" s="18"/>
      <c r="Z1853" s="18"/>
    </row>
    <row r="1854" ht="22.5" customHeight="1">
      <c r="A1854" s="250"/>
      <c r="B1854" s="218"/>
      <c r="C1854" s="9"/>
      <c r="D1854" s="228"/>
      <c r="E1854" s="216"/>
      <c r="F1854" s="273"/>
      <c r="G1854" s="9"/>
      <c r="H1854" s="234"/>
      <c r="I1854" s="232"/>
      <c r="J1854" s="9"/>
      <c r="K1854" s="18"/>
      <c r="L1854" s="18"/>
      <c r="M1854" s="18"/>
      <c r="N1854" s="18"/>
      <c r="O1854" s="18"/>
      <c r="P1854" s="18"/>
      <c r="Q1854" s="18"/>
      <c r="R1854" s="18"/>
      <c r="S1854" s="18"/>
      <c r="T1854" s="18"/>
      <c r="U1854" s="18"/>
      <c r="V1854" s="18"/>
      <c r="W1854" s="18"/>
      <c r="X1854" s="18"/>
      <c r="Y1854" s="18"/>
      <c r="Z1854" s="18"/>
    </row>
    <row r="1855" ht="22.5" customHeight="1">
      <c r="A1855" s="250"/>
      <c r="B1855" s="218"/>
      <c r="C1855" s="9"/>
      <c r="D1855" s="228"/>
      <c r="E1855" s="216"/>
      <c r="F1855" s="273"/>
      <c r="G1855" s="9"/>
      <c r="H1855" s="234"/>
      <c r="I1855" s="232"/>
      <c r="J1855" s="9"/>
      <c r="K1855" s="18"/>
      <c r="L1855" s="18"/>
      <c r="M1855" s="18"/>
      <c r="N1855" s="18"/>
      <c r="O1855" s="18"/>
      <c r="P1855" s="18"/>
      <c r="Q1855" s="18"/>
      <c r="R1855" s="18"/>
      <c r="S1855" s="18"/>
      <c r="T1855" s="18"/>
      <c r="U1855" s="18"/>
      <c r="V1855" s="18"/>
      <c r="W1855" s="18"/>
      <c r="X1855" s="18"/>
      <c r="Y1855" s="18"/>
      <c r="Z1855" s="18"/>
    </row>
    <row r="1856" ht="22.5" customHeight="1">
      <c r="A1856" s="250"/>
      <c r="B1856" s="218"/>
      <c r="C1856" s="9"/>
      <c r="D1856" s="228"/>
      <c r="E1856" s="216"/>
      <c r="F1856" s="273"/>
      <c r="G1856" s="9"/>
      <c r="H1856" s="234"/>
      <c r="I1856" s="232"/>
      <c r="J1856" s="9"/>
      <c r="K1856" s="18"/>
      <c r="L1856" s="18"/>
      <c r="M1856" s="18"/>
      <c r="N1856" s="18"/>
      <c r="O1856" s="18"/>
      <c r="P1856" s="18"/>
      <c r="Q1856" s="18"/>
      <c r="R1856" s="18"/>
      <c r="S1856" s="18"/>
      <c r="T1856" s="18"/>
      <c r="U1856" s="18"/>
      <c r="V1856" s="18"/>
      <c r="W1856" s="18"/>
      <c r="X1856" s="18"/>
      <c r="Y1856" s="18"/>
      <c r="Z1856" s="18"/>
    </row>
    <row r="1857" ht="22.5" customHeight="1">
      <c r="A1857" s="250"/>
      <c r="B1857" s="218"/>
      <c r="C1857" s="9"/>
      <c r="D1857" s="228"/>
      <c r="E1857" s="216"/>
      <c r="F1857" s="273"/>
      <c r="G1857" s="9"/>
      <c r="H1857" s="234"/>
      <c r="I1857" s="232"/>
      <c r="J1857" s="9"/>
      <c r="K1857" s="18"/>
      <c r="L1857" s="18"/>
      <c r="M1857" s="18"/>
      <c r="N1857" s="18"/>
      <c r="O1857" s="18"/>
      <c r="P1857" s="18"/>
      <c r="Q1857" s="18"/>
      <c r="R1857" s="18"/>
      <c r="S1857" s="18"/>
      <c r="T1857" s="18"/>
      <c r="U1857" s="18"/>
      <c r="V1857" s="18"/>
      <c r="W1857" s="18"/>
      <c r="X1857" s="18"/>
      <c r="Y1857" s="18"/>
      <c r="Z1857" s="18"/>
    </row>
    <row r="1858" ht="22.5" customHeight="1">
      <c r="A1858" s="250"/>
      <c r="B1858" s="218"/>
      <c r="C1858" s="9"/>
      <c r="D1858" s="228"/>
      <c r="E1858" s="216"/>
      <c r="F1858" s="273"/>
      <c r="G1858" s="9"/>
      <c r="H1858" s="234"/>
      <c r="I1858" s="232"/>
      <c r="J1858" s="9"/>
      <c r="K1858" s="18"/>
      <c r="L1858" s="18"/>
      <c r="M1858" s="18"/>
      <c r="N1858" s="18"/>
      <c r="O1858" s="18"/>
      <c r="P1858" s="18"/>
      <c r="Q1858" s="18"/>
      <c r="R1858" s="18"/>
      <c r="S1858" s="18"/>
      <c r="T1858" s="18"/>
      <c r="U1858" s="18"/>
      <c r="V1858" s="18"/>
      <c r="W1858" s="18"/>
      <c r="X1858" s="18"/>
      <c r="Y1858" s="18"/>
      <c r="Z1858" s="18"/>
    </row>
    <row r="1859" ht="22.5" customHeight="1">
      <c r="A1859" s="250"/>
      <c r="B1859" s="218"/>
      <c r="C1859" s="9"/>
      <c r="D1859" s="228"/>
      <c r="E1859" s="216"/>
      <c r="F1859" s="273"/>
      <c r="G1859" s="9"/>
      <c r="H1859" s="234"/>
      <c r="I1859" s="232"/>
      <c r="J1859" s="9"/>
      <c r="K1859" s="18"/>
      <c r="L1859" s="18"/>
      <c r="M1859" s="18"/>
      <c r="N1859" s="18"/>
      <c r="O1859" s="18"/>
      <c r="P1859" s="18"/>
      <c r="Q1859" s="18"/>
      <c r="R1859" s="18"/>
      <c r="S1859" s="18"/>
      <c r="T1859" s="18"/>
      <c r="U1859" s="18"/>
      <c r="V1859" s="18"/>
      <c r="W1859" s="18"/>
      <c r="X1859" s="18"/>
      <c r="Y1859" s="18"/>
      <c r="Z1859" s="18"/>
    </row>
    <row r="1860" ht="22.5" customHeight="1">
      <c r="A1860" s="250"/>
      <c r="B1860" s="218"/>
      <c r="C1860" s="9"/>
      <c r="D1860" s="228"/>
      <c r="E1860" s="216"/>
      <c r="F1860" s="273"/>
      <c r="G1860" s="9"/>
      <c r="H1860" s="234"/>
      <c r="I1860" s="232"/>
      <c r="J1860" s="9"/>
      <c r="K1860" s="18"/>
      <c r="L1860" s="18"/>
      <c r="M1860" s="18"/>
      <c r="N1860" s="18"/>
      <c r="O1860" s="18"/>
      <c r="P1860" s="18"/>
      <c r="Q1860" s="18"/>
      <c r="R1860" s="18"/>
      <c r="S1860" s="18"/>
      <c r="T1860" s="18"/>
      <c r="U1860" s="18"/>
      <c r="V1860" s="18"/>
      <c r="W1860" s="18"/>
      <c r="X1860" s="18"/>
      <c r="Y1860" s="18"/>
      <c r="Z1860" s="18"/>
    </row>
    <row r="1861" ht="22.5" customHeight="1">
      <c r="A1861" s="250"/>
      <c r="B1861" s="218"/>
      <c r="C1861" s="9"/>
      <c r="D1861" s="228"/>
      <c r="E1861" s="216"/>
      <c r="F1861" s="273"/>
      <c r="G1861" s="9"/>
      <c r="H1861" s="234"/>
      <c r="I1861" s="232"/>
      <c r="J1861" s="9"/>
      <c r="K1861" s="18"/>
      <c r="L1861" s="18"/>
      <c r="M1861" s="18"/>
      <c r="N1861" s="18"/>
      <c r="O1861" s="18"/>
      <c r="P1861" s="18"/>
      <c r="Q1861" s="18"/>
      <c r="R1861" s="18"/>
      <c r="S1861" s="18"/>
      <c r="T1861" s="18"/>
      <c r="U1861" s="18"/>
      <c r="V1861" s="18"/>
      <c r="W1861" s="18"/>
      <c r="X1861" s="18"/>
      <c r="Y1861" s="18"/>
      <c r="Z1861" s="18"/>
    </row>
    <row r="1862" ht="22.5" customHeight="1">
      <c r="A1862" s="250"/>
      <c r="B1862" s="218"/>
      <c r="C1862" s="9"/>
      <c r="D1862" s="228"/>
      <c r="E1862" s="216"/>
      <c r="F1862" s="273"/>
      <c r="G1862" s="9"/>
      <c r="H1862" s="234"/>
      <c r="I1862" s="232"/>
      <c r="J1862" s="9"/>
      <c r="K1862" s="18"/>
      <c r="L1862" s="18"/>
      <c r="M1862" s="18"/>
      <c r="N1862" s="18"/>
      <c r="O1862" s="18"/>
      <c r="P1862" s="18"/>
      <c r="Q1862" s="18"/>
      <c r="R1862" s="18"/>
      <c r="S1862" s="18"/>
      <c r="T1862" s="18"/>
      <c r="U1862" s="18"/>
      <c r="V1862" s="18"/>
      <c r="W1862" s="18"/>
      <c r="X1862" s="18"/>
      <c r="Y1862" s="18"/>
      <c r="Z1862" s="18"/>
    </row>
    <row r="1863" ht="22.5" customHeight="1">
      <c r="A1863" s="250"/>
      <c r="B1863" s="218"/>
      <c r="C1863" s="9"/>
      <c r="D1863" s="228"/>
      <c r="E1863" s="216"/>
      <c r="F1863" s="273"/>
      <c r="G1863" s="9"/>
      <c r="H1863" s="234"/>
      <c r="I1863" s="232"/>
      <c r="J1863" s="9"/>
      <c r="K1863" s="18"/>
      <c r="L1863" s="18"/>
      <c r="M1863" s="18"/>
      <c r="N1863" s="18"/>
      <c r="O1863" s="18"/>
      <c r="P1863" s="18"/>
      <c r="Q1863" s="18"/>
      <c r="R1863" s="18"/>
      <c r="S1863" s="18"/>
      <c r="T1863" s="18"/>
      <c r="U1863" s="18"/>
      <c r="V1863" s="18"/>
      <c r="W1863" s="18"/>
      <c r="X1863" s="18"/>
      <c r="Y1863" s="18"/>
      <c r="Z1863" s="18"/>
    </row>
    <row r="1864" ht="22.5" customHeight="1">
      <c r="A1864" s="250"/>
      <c r="B1864" s="218"/>
      <c r="C1864" s="9"/>
      <c r="D1864" s="228"/>
      <c r="E1864" s="216"/>
      <c r="F1864" s="273"/>
      <c r="G1864" s="9"/>
      <c r="H1864" s="234"/>
      <c r="I1864" s="232"/>
      <c r="J1864" s="9"/>
      <c r="K1864" s="18"/>
      <c r="L1864" s="18"/>
      <c r="M1864" s="18"/>
      <c r="N1864" s="18"/>
      <c r="O1864" s="18"/>
      <c r="P1864" s="18"/>
      <c r="Q1864" s="18"/>
      <c r="R1864" s="18"/>
      <c r="S1864" s="18"/>
      <c r="T1864" s="18"/>
      <c r="U1864" s="18"/>
      <c r="V1864" s="18"/>
      <c r="W1864" s="18"/>
      <c r="X1864" s="18"/>
      <c r="Y1864" s="18"/>
      <c r="Z1864" s="18"/>
    </row>
    <row r="1865" ht="22.5" customHeight="1">
      <c r="A1865" s="250"/>
      <c r="B1865" s="218"/>
      <c r="C1865" s="9"/>
      <c r="D1865" s="228"/>
      <c r="E1865" s="216"/>
      <c r="F1865" s="273"/>
      <c r="G1865" s="9"/>
      <c r="H1865" s="234"/>
      <c r="I1865" s="232"/>
      <c r="J1865" s="9"/>
      <c r="K1865" s="18"/>
      <c r="L1865" s="18"/>
      <c r="M1865" s="18"/>
      <c r="N1865" s="18"/>
      <c r="O1865" s="18"/>
      <c r="P1865" s="18"/>
      <c r="Q1865" s="18"/>
      <c r="R1865" s="18"/>
      <c r="S1865" s="18"/>
      <c r="T1865" s="18"/>
      <c r="U1865" s="18"/>
      <c r="V1865" s="18"/>
      <c r="W1865" s="18"/>
      <c r="X1865" s="18"/>
      <c r="Y1865" s="18"/>
      <c r="Z1865" s="18"/>
    </row>
    <row r="1866" ht="22.5" customHeight="1">
      <c r="A1866" s="250"/>
      <c r="B1866" s="218"/>
      <c r="C1866" s="9"/>
      <c r="D1866" s="228"/>
      <c r="E1866" s="216"/>
      <c r="F1866" s="273"/>
      <c r="G1866" s="9"/>
      <c r="H1866" s="234"/>
      <c r="I1866" s="232"/>
      <c r="J1866" s="9"/>
      <c r="K1866" s="18"/>
      <c r="L1866" s="18"/>
      <c r="M1866" s="18"/>
      <c r="N1866" s="18"/>
      <c r="O1866" s="18"/>
      <c r="P1866" s="18"/>
      <c r="Q1866" s="18"/>
      <c r="R1866" s="18"/>
      <c r="S1866" s="18"/>
      <c r="T1866" s="18"/>
      <c r="U1866" s="18"/>
      <c r="V1866" s="18"/>
      <c r="W1866" s="18"/>
      <c r="X1866" s="18"/>
      <c r="Y1866" s="18"/>
      <c r="Z1866" s="18"/>
    </row>
    <row r="1867" ht="22.5" customHeight="1">
      <c r="A1867" s="250"/>
      <c r="B1867" s="218"/>
      <c r="C1867" s="9"/>
      <c r="D1867" s="228"/>
      <c r="E1867" s="216"/>
      <c r="F1867" s="273"/>
      <c r="G1867" s="9"/>
      <c r="H1867" s="234"/>
      <c r="I1867" s="232"/>
      <c r="J1867" s="9"/>
      <c r="K1867" s="18"/>
      <c r="L1867" s="18"/>
      <c r="M1867" s="18"/>
      <c r="N1867" s="18"/>
      <c r="O1867" s="18"/>
      <c r="P1867" s="18"/>
      <c r="Q1867" s="18"/>
      <c r="R1867" s="18"/>
      <c r="S1867" s="18"/>
      <c r="T1867" s="18"/>
      <c r="U1867" s="18"/>
      <c r="V1867" s="18"/>
      <c r="W1867" s="18"/>
      <c r="X1867" s="18"/>
      <c r="Y1867" s="18"/>
      <c r="Z1867" s="18"/>
    </row>
    <row r="1868" ht="22.5" customHeight="1">
      <c r="A1868" s="250"/>
      <c r="B1868" s="218"/>
      <c r="C1868" s="9"/>
      <c r="D1868" s="228"/>
      <c r="E1868" s="216"/>
      <c r="F1868" s="273"/>
      <c r="G1868" s="9"/>
      <c r="H1868" s="234"/>
      <c r="I1868" s="232"/>
      <c r="J1868" s="9"/>
      <c r="K1868" s="18"/>
      <c r="L1868" s="18"/>
      <c r="M1868" s="18"/>
      <c r="N1868" s="18"/>
      <c r="O1868" s="18"/>
      <c r="P1868" s="18"/>
      <c r="Q1868" s="18"/>
      <c r="R1868" s="18"/>
      <c r="S1868" s="18"/>
      <c r="T1868" s="18"/>
      <c r="U1868" s="18"/>
      <c r="V1868" s="18"/>
      <c r="W1868" s="18"/>
      <c r="X1868" s="18"/>
      <c r="Y1868" s="18"/>
      <c r="Z1868" s="18"/>
    </row>
    <row r="1869" ht="22.5" customHeight="1">
      <c r="A1869" s="250"/>
      <c r="B1869" s="218"/>
      <c r="C1869" s="9"/>
      <c r="D1869" s="228"/>
      <c r="E1869" s="216"/>
      <c r="F1869" s="273"/>
      <c r="G1869" s="9"/>
      <c r="H1869" s="234"/>
      <c r="I1869" s="232"/>
      <c r="J1869" s="9"/>
      <c r="K1869" s="18"/>
      <c r="L1869" s="18"/>
      <c r="M1869" s="18"/>
      <c r="N1869" s="18"/>
      <c r="O1869" s="18"/>
      <c r="P1869" s="18"/>
      <c r="Q1869" s="18"/>
      <c r="R1869" s="18"/>
      <c r="S1869" s="18"/>
      <c r="T1869" s="18"/>
      <c r="U1869" s="18"/>
      <c r="V1869" s="18"/>
      <c r="W1869" s="18"/>
      <c r="X1869" s="18"/>
      <c r="Y1869" s="18"/>
      <c r="Z1869" s="18"/>
    </row>
    <row r="1870" ht="22.5" customHeight="1">
      <c r="A1870" s="250"/>
      <c r="B1870" s="218"/>
      <c r="C1870" s="9"/>
      <c r="D1870" s="228"/>
      <c r="E1870" s="216"/>
      <c r="F1870" s="273"/>
      <c r="G1870" s="9"/>
      <c r="H1870" s="234"/>
      <c r="I1870" s="232"/>
      <c r="J1870" s="9"/>
      <c r="K1870" s="18"/>
      <c r="L1870" s="18"/>
      <c r="M1870" s="18"/>
      <c r="N1870" s="18"/>
      <c r="O1870" s="18"/>
      <c r="P1870" s="18"/>
      <c r="Q1870" s="18"/>
      <c r="R1870" s="18"/>
      <c r="S1870" s="18"/>
      <c r="T1870" s="18"/>
      <c r="U1870" s="18"/>
      <c r="V1870" s="18"/>
      <c r="W1870" s="18"/>
      <c r="X1870" s="18"/>
      <c r="Y1870" s="18"/>
      <c r="Z1870" s="18"/>
    </row>
    <row r="1871" ht="22.5" customHeight="1">
      <c r="A1871" s="250"/>
      <c r="B1871" s="218"/>
      <c r="C1871" s="9"/>
      <c r="D1871" s="228"/>
      <c r="E1871" s="216"/>
      <c r="F1871" s="273"/>
      <c r="G1871" s="9"/>
      <c r="H1871" s="234"/>
      <c r="I1871" s="232"/>
      <c r="J1871" s="9"/>
      <c r="K1871" s="18"/>
      <c r="L1871" s="18"/>
      <c r="M1871" s="18"/>
      <c r="N1871" s="18"/>
      <c r="O1871" s="18"/>
      <c r="P1871" s="18"/>
      <c r="Q1871" s="18"/>
      <c r="R1871" s="18"/>
      <c r="S1871" s="18"/>
      <c r="T1871" s="18"/>
      <c r="U1871" s="18"/>
      <c r="V1871" s="18"/>
      <c r="W1871" s="18"/>
      <c r="X1871" s="18"/>
      <c r="Y1871" s="18"/>
      <c r="Z1871" s="18"/>
    </row>
    <row r="1872" ht="22.5" customHeight="1">
      <c r="A1872" s="250"/>
      <c r="B1872" s="218"/>
      <c r="C1872" s="9"/>
      <c r="D1872" s="228"/>
      <c r="E1872" s="216"/>
      <c r="F1872" s="273"/>
      <c r="G1872" s="9"/>
      <c r="H1872" s="234"/>
      <c r="I1872" s="232"/>
      <c r="J1872" s="9"/>
      <c r="K1872" s="18"/>
      <c r="L1872" s="18"/>
      <c r="M1872" s="18"/>
      <c r="N1872" s="18"/>
      <c r="O1872" s="18"/>
      <c r="P1872" s="18"/>
      <c r="Q1872" s="18"/>
      <c r="R1872" s="18"/>
      <c r="S1872" s="18"/>
      <c r="T1872" s="18"/>
      <c r="U1872" s="18"/>
      <c r="V1872" s="18"/>
      <c r="W1872" s="18"/>
      <c r="X1872" s="18"/>
      <c r="Y1872" s="18"/>
      <c r="Z1872" s="18"/>
    </row>
    <row r="1873" ht="22.5" customHeight="1">
      <c r="A1873" s="250"/>
      <c r="B1873" s="218"/>
      <c r="C1873" s="9"/>
      <c r="D1873" s="228"/>
      <c r="E1873" s="216"/>
      <c r="F1873" s="273"/>
      <c r="G1873" s="9"/>
      <c r="H1873" s="234"/>
      <c r="I1873" s="232"/>
      <c r="J1873" s="9"/>
      <c r="K1873" s="18"/>
      <c r="L1873" s="18"/>
      <c r="M1873" s="18"/>
      <c r="N1873" s="18"/>
      <c r="O1873" s="18"/>
      <c r="P1873" s="18"/>
      <c r="Q1873" s="18"/>
      <c r="R1873" s="18"/>
      <c r="S1873" s="18"/>
      <c r="T1873" s="18"/>
      <c r="U1873" s="18"/>
      <c r="V1873" s="18"/>
      <c r="W1873" s="18"/>
      <c r="X1873" s="18"/>
      <c r="Y1873" s="18"/>
      <c r="Z1873" s="18"/>
    </row>
    <row r="1874" ht="22.5" customHeight="1">
      <c r="A1874" s="250"/>
      <c r="B1874" s="218"/>
      <c r="C1874" s="9"/>
      <c r="D1874" s="228"/>
      <c r="E1874" s="216"/>
      <c r="F1874" s="273"/>
      <c r="G1874" s="9"/>
      <c r="H1874" s="234"/>
      <c r="I1874" s="232"/>
      <c r="J1874" s="9"/>
      <c r="K1874" s="18"/>
      <c r="L1874" s="18"/>
      <c r="M1874" s="18"/>
      <c r="N1874" s="18"/>
      <c r="O1874" s="18"/>
      <c r="P1874" s="18"/>
      <c r="Q1874" s="18"/>
      <c r="R1874" s="18"/>
      <c r="S1874" s="18"/>
      <c r="T1874" s="18"/>
      <c r="U1874" s="18"/>
      <c r="V1874" s="18"/>
      <c r="W1874" s="18"/>
      <c r="X1874" s="18"/>
      <c r="Y1874" s="18"/>
      <c r="Z1874" s="18"/>
    </row>
    <row r="1875" ht="22.5" customHeight="1">
      <c r="A1875" s="250"/>
      <c r="B1875" s="218"/>
      <c r="C1875" s="9"/>
      <c r="D1875" s="228"/>
      <c r="E1875" s="216"/>
      <c r="F1875" s="273"/>
      <c r="G1875" s="9"/>
      <c r="H1875" s="234"/>
      <c r="I1875" s="232"/>
      <c r="J1875" s="9"/>
      <c r="K1875" s="18"/>
      <c r="L1875" s="18"/>
      <c r="M1875" s="18"/>
      <c r="N1875" s="18"/>
      <c r="O1875" s="18"/>
      <c r="P1875" s="18"/>
      <c r="Q1875" s="18"/>
      <c r="R1875" s="18"/>
      <c r="S1875" s="18"/>
      <c r="T1875" s="18"/>
      <c r="U1875" s="18"/>
      <c r="V1875" s="18"/>
      <c r="W1875" s="18"/>
      <c r="X1875" s="18"/>
      <c r="Y1875" s="18"/>
      <c r="Z1875" s="18"/>
    </row>
    <row r="1876" ht="22.5" customHeight="1">
      <c r="A1876" s="250"/>
      <c r="B1876" s="218"/>
      <c r="C1876" s="9"/>
      <c r="D1876" s="228"/>
      <c r="E1876" s="216"/>
      <c r="F1876" s="273"/>
      <c r="G1876" s="9"/>
      <c r="H1876" s="234"/>
      <c r="I1876" s="232"/>
      <c r="J1876" s="9"/>
      <c r="K1876" s="18"/>
      <c r="L1876" s="18"/>
      <c r="M1876" s="18"/>
      <c r="N1876" s="18"/>
      <c r="O1876" s="18"/>
      <c r="P1876" s="18"/>
      <c r="Q1876" s="18"/>
      <c r="R1876" s="18"/>
      <c r="S1876" s="18"/>
      <c r="T1876" s="18"/>
      <c r="U1876" s="18"/>
      <c r="V1876" s="18"/>
      <c r="W1876" s="18"/>
      <c r="X1876" s="18"/>
      <c r="Y1876" s="18"/>
      <c r="Z1876" s="18"/>
    </row>
    <row r="1877" ht="22.5" customHeight="1">
      <c r="A1877" s="250"/>
      <c r="B1877" s="218"/>
      <c r="C1877" s="9"/>
      <c r="D1877" s="228"/>
      <c r="E1877" s="216"/>
      <c r="F1877" s="273"/>
      <c r="G1877" s="9"/>
      <c r="H1877" s="234"/>
      <c r="I1877" s="232"/>
      <c r="J1877" s="9"/>
      <c r="K1877" s="18"/>
      <c r="L1877" s="18"/>
      <c r="M1877" s="18"/>
      <c r="N1877" s="18"/>
      <c r="O1877" s="18"/>
      <c r="P1877" s="18"/>
      <c r="Q1877" s="18"/>
      <c r="R1877" s="18"/>
      <c r="S1877" s="18"/>
      <c r="T1877" s="18"/>
      <c r="U1877" s="18"/>
      <c r="V1877" s="18"/>
      <c r="W1877" s="18"/>
      <c r="X1877" s="18"/>
      <c r="Y1877" s="18"/>
      <c r="Z1877" s="18"/>
    </row>
    <row r="1878" ht="22.5" customHeight="1">
      <c r="A1878" s="250"/>
      <c r="B1878" s="218"/>
      <c r="C1878" s="9"/>
      <c r="D1878" s="228"/>
      <c r="E1878" s="216"/>
      <c r="F1878" s="273"/>
      <c r="G1878" s="9"/>
      <c r="H1878" s="234"/>
      <c r="I1878" s="232"/>
      <c r="J1878" s="9"/>
      <c r="K1878" s="18"/>
      <c r="L1878" s="18"/>
      <c r="M1878" s="18"/>
      <c r="N1878" s="18"/>
      <c r="O1878" s="18"/>
      <c r="P1878" s="18"/>
      <c r="Q1878" s="18"/>
      <c r="R1878" s="18"/>
      <c r="S1878" s="18"/>
      <c r="T1878" s="18"/>
      <c r="U1878" s="18"/>
      <c r="V1878" s="18"/>
      <c r="W1878" s="18"/>
      <c r="X1878" s="18"/>
      <c r="Y1878" s="18"/>
      <c r="Z1878" s="18"/>
    </row>
    <row r="1879" ht="22.5" customHeight="1">
      <c r="A1879" s="250"/>
      <c r="B1879" s="218"/>
      <c r="C1879" s="9"/>
      <c r="D1879" s="228"/>
      <c r="E1879" s="216"/>
      <c r="F1879" s="273"/>
      <c r="G1879" s="9"/>
      <c r="H1879" s="234"/>
      <c r="I1879" s="232"/>
      <c r="J1879" s="9"/>
      <c r="K1879" s="18"/>
      <c r="L1879" s="18"/>
      <c r="M1879" s="18"/>
      <c r="N1879" s="18"/>
      <c r="O1879" s="18"/>
      <c r="P1879" s="18"/>
      <c r="Q1879" s="18"/>
      <c r="R1879" s="18"/>
      <c r="S1879" s="18"/>
      <c r="T1879" s="18"/>
      <c r="U1879" s="18"/>
      <c r="V1879" s="18"/>
      <c r="W1879" s="18"/>
      <c r="X1879" s="18"/>
      <c r="Y1879" s="18"/>
      <c r="Z1879" s="18"/>
    </row>
    <row r="1880" ht="22.5" customHeight="1">
      <c r="A1880" s="250"/>
      <c r="B1880" s="218"/>
      <c r="C1880" s="9"/>
      <c r="D1880" s="228"/>
      <c r="E1880" s="216"/>
      <c r="F1880" s="273"/>
      <c r="G1880" s="9"/>
      <c r="H1880" s="234"/>
      <c r="I1880" s="232"/>
      <c r="J1880" s="9"/>
      <c r="K1880" s="18"/>
      <c r="L1880" s="18"/>
      <c r="M1880" s="18"/>
      <c r="N1880" s="18"/>
      <c r="O1880" s="18"/>
      <c r="P1880" s="18"/>
      <c r="Q1880" s="18"/>
      <c r="R1880" s="18"/>
      <c r="S1880" s="18"/>
      <c r="T1880" s="18"/>
      <c r="U1880" s="18"/>
      <c r="V1880" s="18"/>
      <c r="W1880" s="18"/>
      <c r="X1880" s="18"/>
      <c r="Y1880" s="18"/>
      <c r="Z1880" s="18"/>
    </row>
    <row r="1881" ht="22.5" customHeight="1">
      <c r="A1881" s="250"/>
      <c r="B1881" s="218"/>
      <c r="C1881" s="9"/>
      <c r="D1881" s="228"/>
      <c r="E1881" s="216"/>
      <c r="F1881" s="273"/>
      <c r="G1881" s="9"/>
      <c r="H1881" s="234"/>
      <c r="I1881" s="232"/>
      <c r="J1881" s="9"/>
      <c r="K1881" s="18"/>
      <c r="L1881" s="18"/>
      <c r="M1881" s="18"/>
      <c r="N1881" s="18"/>
      <c r="O1881" s="18"/>
      <c r="P1881" s="18"/>
      <c r="Q1881" s="18"/>
      <c r="R1881" s="18"/>
      <c r="S1881" s="18"/>
      <c r="T1881" s="18"/>
      <c r="U1881" s="18"/>
      <c r="V1881" s="18"/>
      <c r="W1881" s="18"/>
      <c r="X1881" s="18"/>
      <c r="Y1881" s="18"/>
      <c r="Z1881" s="18"/>
    </row>
    <row r="1882" ht="22.5" customHeight="1">
      <c r="A1882" s="250"/>
      <c r="B1882" s="218"/>
      <c r="C1882" s="9"/>
      <c r="D1882" s="228"/>
      <c r="E1882" s="216"/>
      <c r="F1882" s="273"/>
      <c r="G1882" s="9"/>
      <c r="H1882" s="234"/>
      <c r="I1882" s="232"/>
      <c r="J1882" s="9"/>
      <c r="K1882" s="18"/>
      <c r="L1882" s="18"/>
      <c r="M1882" s="18"/>
      <c r="N1882" s="18"/>
      <c r="O1882" s="18"/>
      <c r="P1882" s="18"/>
      <c r="Q1882" s="18"/>
      <c r="R1882" s="18"/>
      <c r="S1882" s="18"/>
      <c r="T1882" s="18"/>
      <c r="U1882" s="18"/>
      <c r="V1882" s="18"/>
      <c r="W1882" s="18"/>
      <c r="X1882" s="18"/>
      <c r="Y1882" s="18"/>
      <c r="Z1882" s="18"/>
    </row>
    <row r="1883" ht="22.5" customHeight="1">
      <c r="A1883" s="250"/>
      <c r="B1883" s="218"/>
      <c r="C1883" s="9"/>
      <c r="D1883" s="228"/>
      <c r="E1883" s="216"/>
      <c r="F1883" s="273"/>
      <c r="G1883" s="9"/>
      <c r="H1883" s="234"/>
      <c r="I1883" s="232"/>
      <c r="J1883" s="9"/>
      <c r="K1883" s="18"/>
      <c r="L1883" s="18"/>
      <c r="M1883" s="18"/>
      <c r="N1883" s="18"/>
      <c r="O1883" s="18"/>
      <c r="P1883" s="18"/>
      <c r="Q1883" s="18"/>
      <c r="R1883" s="18"/>
      <c r="S1883" s="18"/>
      <c r="T1883" s="18"/>
      <c r="U1883" s="18"/>
      <c r="V1883" s="18"/>
      <c r="W1883" s="18"/>
      <c r="X1883" s="18"/>
      <c r="Y1883" s="18"/>
      <c r="Z1883" s="18"/>
    </row>
    <row r="1884" ht="22.5" customHeight="1">
      <c r="A1884" s="250"/>
      <c r="B1884" s="218"/>
      <c r="C1884" s="9"/>
      <c r="D1884" s="228"/>
      <c r="E1884" s="216"/>
      <c r="F1884" s="273"/>
      <c r="G1884" s="9"/>
      <c r="H1884" s="234"/>
      <c r="I1884" s="232"/>
      <c r="J1884" s="9"/>
      <c r="K1884" s="18"/>
      <c r="L1884" s="18"/>
      <c r="M1884" s="18"/>
      <c r="N1884" s="18"/>
      <c r="O1884" s="18"/>
      <c r="P1884" s="18"/>
      <c r="Q1884" s="18"/>
      <c r="R1884" s="18"/>
      <c r="S1884" s="18"/>
      <c r="T1884" s="18"/>
      <c r="U1884" s="18"/>
      <c r="V1884" s="18"/>
      <c r="W1884" s="18"/>
      <c r="X1884" s="18"/>
      <c r="Y1884" s="18"/>
      <c r="Z1884" s="18"/>
    </row>
    <row r="1885" ht="22.5" customHeight="1">
      <c r="A1885" s="250"/>
      <c r="B1885" s="218"/>
      <c r="C1885" s="9"/>
      <c r="D1885" s="228"/>
      <c r="E1885" s="216"/>
      <c r="F1885" s="273"/>
      <c r="G1885" s="9"/>
      <c r="H1885" s="234"/>
      <c r="I1885" s="232"/>
      <c r="J1885" s="9"/>
      <c r="K1885" s="18"/>
      <c r="L1885" s="18"/>
      <c r="M1885" s="18"/>
      <c r="N1885" s="18"/>
      <c r="O1885" s="18"/>
      <c r="P1885" s="18"/>
      <c r="Q1885" s="18"/>
      <c r="R1885" s="18"/>
      <c r="S1885" s="18"/>
      <c r="T1885" s="18"/>
      <c r="U1885" s="18"/>
      <c r="V1885" s="18"/>
      <c r="W1885" s="18"/>
      <c r="X1885" s="18"/>
      <c r="Y1885" s="18"/>
      <c r="Z1885" s="18"/>
    </row>
    <row r="1886" ht="22.5" customHeight="1">
      <c r="A1886" s="250"/>
      <c r="B1886" s="218"/>
      <c r="C1886" s="9"/>
      <c r="D1886" s="228"/>
      <c r="E1886" s="216"/>
      <c r="F1886" s="273"/>
      <c r="G1886" s="9"/>
      <c r="H1886" s="234"/>
      <c r="I1886" s="232"/>
      <c r="J1886" s="9"/>
      <c r="K1886" s="18"/>
      <c r="L1886" s="18"/>
      <c r="M1886" s="18"/>
      <c r="N1886" s="18"/>
      <c r="O1886" s="18"/>
      <c r="P1886" s="18"/>
      <c r="Q1886" s="18"/>
      <c r="R1886" s="18"/>
      <c r="S1886" s="18"/>
      <c r="T1886" s="18"/>
      <c r="U1886" s="18"/>
      <c r="V1886" s="18"/>
      <c r="W1886" s="18"/>
      <c r="X1886" s="18"/>
      <c r="Y1886" s="18"/>
      <c r="Z1886" s="18"/>
    </row>
    <row r="1887" ht="22.5" customHeight="1">
      <c r="A1887" s="250"/>
      <c r="B1887" s="218"/>
      <c r="C1887" s="9"/>
      <c r="D1887" s="228"/>
      <c r="E1887" s="216"/>
      <c r="F1887" s="273"/>
      <c r="G1887" s="9"/>
      <c r="H1887" s="234"/>
      <c r="I1887" s="232"/>
      <c r="J1887" s="9"/>
      <c r="K1887" s="18"/>
      <c r="L1887" s="18"/>
      <c r="M1887" s="18"/>
      <c r="N1887" s="18"/>
      <c r="O1887" s="18"/>
      <c r="P1887" s="18"/>
      <c r="Q1887" s="18"/>
      <c r="R1887" s="18"/>
      <c r="S1887" s="18"/>
      <c r="T1887" s="18"/>
      <c r="U1887" s="18"/>
      <c r="V1887" s="18"/>
      <c r="W1887" s="18"/>
      <c r="X1887" s="18"/>
      <c r="Y1887" s="18"/>
      <c r="Z1887" s="18"/>
    </row>
    <row r="1888" ht="22.5" customHeight="1">
      <c r="A1888" s="250"/>
      <c r="B1888" s="218"/>
      <c r="C1888" s="9"/>
      <c r="D1888" s="228"/>
      <c r="E1888" s="216"/>
      <c r="F1888" s="273"/>
      <c r="G1888" s="9"/>
      <c r="H1888" s="234"/>
      <c r="I1888" s="232"/>
      <c r="J1888" s="9"/>
      <c r="K1888" s="18"/>
      <c r="L1888" s="18"/>
      <c r="M1888" s="18"/>
      <c r="N1888" s="18"/>
      <c r="O1888" s="18"/>
      <c r="P1888" s="18"/>
      <c r="Q1888" s="18"/>
      <c r="R1888" s="18"/>
      <c r="S1888" s="18"/>
      <c r="T1888" s="18"/>
      <c r="U1888" s="18"/>
      <c r="V1888" s="18"/>
      <c r="W1888" s="18"/>
      <c r="X1888" s="18"/>
      <c r="Y1888" s="18"/>
      <c r="Z1888" s="18"/>
    </row>
    <row r="1889" ht="22.5" customHeight="1">
      <c r="A1889" s="250"/>
      <c r="B1889" s="218"/>
      <c r="C1889" s="9"/>
      <c r="D1889" s="228"/>
      <c r="E1889" s="216"/>
      <c r="F1889" s="273"/>
      <c r="G1889" s="9"/>
      <c r="H1889" s="234"/>
      <c r="I1889" s="232"/>
      <c r="J1889" s="9"/>
      <c r="K1889" s="18"/>
      <c r="L1889" s="18"/>
      <c r="M1889" s="18"/>
      <c r="N1889" s="18"/>
      <c r="O1889" s="18"/>
      <c r="P1889" s="18"/>
      <c r="Q1889" s="18"/>
      <c r="R1889" s="18"/>
      <c r="S1889" s="18"/>
      <c r="T1889" s="18"/>
      <c r="U1889" s="18"/>
      <c r="V1889" s="18"/>
      <c r="W1889" s="18"/>
      <c r="X1889" s="18"/>
      <c r="Y1889" s="18"/>
      <c r="Z1889" s="18"/>
    </row>
    <row r="1890" ht="22.5" customHeight="1">
      <c r="A1890" s="250"/>
      <c r="B1890" s="218"/>
      <c r="C1890" s="9"/>
      <c r="D1890" s="228"/>
      <c r="E1890" s="216"/>
      <c r="F1890" s="273"/>
      <c r="G1890" s="9"/>
      <c r="H1890" s="234"/>
      <c r="I1890" s="232"/>
      <c r="J1890" s="9"/>
      <c r="K1890" s="18"/>
      <c r="L1890" s="18"/>
      <c r="M1890" s="18"/>
      <c r="N1890" s="18"/>
      <c r="O1890" s="18"/>
      <c r="P1890" s="18"/>
      <c r="Q1890" s="18"/>
      <c r="R1890" s="18"/>
      <c r="S1890" s="18"/>
      <c r="T1890" s="18"/>
      <c r="U1890" s="18"/>
      <c r="V1890" s="18"/>
      <c r="W1890" s="18"/>
      <c r="X1890" s="18"/>
      <c r="Y1890" s="18"/>
      <c r="Z1890" s="18"/>
    </row>
    <row r="1891" ht="22.5" customHeight="1">
      <c r="A1891" s="250"/>
      <c r="B1891" s="218"/>
      <c r="C1891" s="9"/>
      <c r="D1891" s="228"/>
      <c r="E1891" s="216"/>
      <c r="F1891" s="273"/>
      <c r="G1891" s="9"/>
      <c r="H1891" s="234"/>
      <c r="I1891" s="232"/>
      <c r="J1891" s="9"/>
      <c r="K1891" s="18"/>
      <c r="L1891" s="18"/>
      <c r="M1891" s="18"/>
      <c r="N1891" s="18"/>
      <c r="O1891" s="18"/>
      <c r="P1891" s="18"/>
      <c r="Q1891" s="18"/>
      <c r="R1891" s="18"/>
      <c r="S1891" s="18"/>
      <c r="T1891" s="18"/>
      <c r="U1891" s="18"/>
      <c r="V1891" s="18"/>
      <c r="W1891" s="18"/>
      <c r="X1891" s="18"/>
      <c r="Y1891" s="18"/>
      <c r="Z1891" s="18"/>
    </row>
    <row r="1892" ht="22.5" customHeight="1">
      <c r="A1892" s="250"/>
      <c r="B1892" s="218"/>
      <c r="C1892" s="9"/>
      <c r="D1892" s="228"/>
      <c r="E1892" s="216"/>
      <c r="F1892" s="273"/>
      <c r="G1892" s="9"/>
      <c r="H1892" s="234"/>
      <c r="I1892" s="232"/>
      <c r="J1892" s="9"/>
      <c r="K1892" s="18"/>
      <c r="L1892" s="18"/>
      <c r="M1892" s="18"/>
      <c r="N1892" s="18"/>
      <c r="O1892" s="18"/>
      <c r="P1892" s="18"/>
      <c r="Q1892" s="18"/>
      <c r="R1892" s="18"/>
      <c r="S1892" s="18"/>
      <c r="T1892" s="18"/>
      <c r="U1892" s="18"/>
      <c r="V1892" s="18"/>
      <c r="W1892" s="18"/>
      <c r="X1892" s="18"/>
      <c r="Y1892" s="18"/>
      <c r="Z1892" s="18"/>
    </row>
    <row r="1893" ht="22.5" customHeight="1">
      <c r="A1893" s="250"/>
      <c r="B1893" s="218"/>
      <c r="C1893" s="9"/>
      <c r="D1893" s="228"/>
      <c r="E1893" s="216"/>
      <c r="F1893" s="273"/>
      <c r="G1893" s="9"/>
      <c r="H1893" s="234"/>
      <c r="I1893" s="232"/>
      <c r="J1893" s="9"/>
      <c r="K1893" s="18"/>
      <c r="L1893" s="18"/>
      <c r="M1893" s="18"/>
      <c r="N1893" s="18"/>
      <c r="O1893" s="18"/>
      <c r="P1893" s="18"/>
      <c r="Q1893" s="18"/>
      <c r="R1893" s="18"/>
      <c r="S1893" s="18"/>
      <c r="T1893" s="18"/>
      <c r="U1893" s="18"/>
      <c r="V1893" s="18"/>
      <c r="W1893" s="18"/>
      <c r="X1893" s="18"/>
      <c r="Y1893" s="18"/>
      <c r="Z1893" s="18"/>
    </row>
    <row r="1894" ht="22.5" customHeight="1">
      <c r="A1894" s="250"/>
      <c r="B1894" s="218"/>
      <c r="C1894" s="9"/>
      <c r="D1894" s="228"/>
      <c r="E1894" s="216"/>
      <c r="F1894" s="273"/>
      <c r="G1894" s="9"/>
      <c r="H1894" s="234"/>
      <c r="I1894" s="232"/>
      <c r="J1894" s="9"/>
      <c r="K1894" s="18"/>
      <c r="L1894" s="18"/>
      <c r="M1894" s="18"/>
      <c r="N1894" s="18"/>
      <c r="O1894" s="18"/>
      <c r="P1894" s="18"/>
      <c r="Q1894" s="18"/>
      <c r="R1894" s="18"/>
      <c r="S1894" s="18"/>
      <c r="T1894" s="18"/>
      <c r="U1894" s="18"/>
      <c r="V1894" s="18"/>
      <c r="W1894" s="18"/>
      <c r="X1894" s="18"/>
      <c r="Y1894" s="18"/>
      <c r="Z1894" s="18"/>
    </row>
    <row r="1895" ht="22.5" customHeight="1">
      <c r="A1895" s="250"/>
      <c r="B1895" s="218"/>
      <c r="C1895" s="9"/>
      <c r="D1895" s="228"/>
      <c r="E1895" s="216"/>
      <c r="F1895" s="273"/>
      <c r="G1895" s="9"/>
      <c r="H1895" s="234"/>
      <c r="I1895" s="232"/>
      <c r="J1895" s="9"/>
      <c r="K1895" s="18"/>
      <c r="L1895" s="18"/>
      <c r="M1895" s="18"/>
      <c r="N1895" s="18"/>
      <c r="O1895" s="18"/>
      <c r="P1895" s="18"/>
      <c r="Q1895" s="18"/>
      <c r="R1895" s="18"/>
      <c r="S1895" s="18"/>
      <c r="T1895" s="18"/>
      <c r="U1895" s="18"/>
      <c r="V1895" s="18"/>
      <c r="W1895" s="18"/>
      <c r="X1895" s="18"/>
      <c r="Y1895" s="18"/>
      <c r="Z1895" s="18"/>
    </row>
    <row r="1896" ht="22.5" customHeight="1">
      <c r="A1896" s="250"/>
      <c r="B1896" s="218"/>
      <c r="C1896" s="9"/>
      <c r="D1896" s="228"/>
      <c r="E1896" s="216"/>
      <c r="F1896" s="273"/>
      <c r="G1896" s="9"/>
      <c r="H1896" s="234"/>
      <c r="I1896" s="232"/>
      <c r="J1896" s="9"/>
      <c r="K1896" s="18"/>
      <c r="L1896" s="18"/>
      <c r="M1896" s="18"/>
      <c r="N1896" s="18"/>
      <c r="O1896" s="18"/>
      <c r="P1896" s="18"/>
      <c r="Q1896" s="18"/>
      <c r="R1896" s="18"/>
      <c r="S1896" s="18"/>
      <c r="T1896" s="18"/>
      <c r="U1896" s="18"/>
      <c r="V1896" s="18"/>
      <c r="W1896" s="18"/>
      <c r="X1896" s="18"/>
      <c r="Y1896" s="18"/>
      <c r="Z1896" s="18"/>
    </row>
    <row r="1897" ht="22.5" customHeight="1">
      <c r="A1897" s="250"/>
      <c r="B1897" s="218"/>
      <c r="C1897" s="9"/>
      <c r="D1897" s="228"/>
      <c r="E1897" s="216"/>
      <c r="F1897" s="273"/>
      <c r="G1897" s="9"/>
      <c r="H1897" s="234"/>
      <c r="I1897" s="232"/>
      <c r="J1897" s="9"/>
      <c r="K1897" s="18"/>
      <c r="L1897" s="18"/>
      <c r="M1897" s="18"/>
      <c r="N1897" s="18"/>
      <c r="O1897" s="18"/>
      <c r="P1897" s="18"/>
      <c r="Q1897" s="18"/>
      <c r="R1897" s="18"/>
      <c r="S1897" s="18"/>
      <c r="T1897" s="18"/>
      <c r="U1897" s="18"/>
      <c r="V1897" s="18"/>
      <c r="W1897" s="18"/>
      <c r="X1897" s="18"/>
      <c r="Y1897" s="18"/>
      <c r="Z1897" s="18"/>
    </row>
    <row r="1898" ht="22.5" customHeight="1">
      <c r="A1898" s="250"/>
      <c r="B1898" s="218"/>
      <c r="C1898" s="9"/>
      <c r="D1898" s="228"/>
      <c r="E1898" s="216"/>
      <c r="F1898" s="273"/>
      <c r="G1898" s="9"/>
      <c r="H1898" s="234"/>
      <c r="I1898" s="232"/>
      <c r="J1898" s="9"/>
      <c r="K1898" s="18"/>
      <c r="L1898" s="18"/>
      <c r="M1898" s="18"/>
      <c r="N1898" s="18"/>
      <c r="O1898" s="18"/>
      <c r="P1898" s="18"/>
      <c r="Q1898" s="18"/>
      <c r="R1898" s="18"/>
      <c r="S1898" s="18"/>
      <c r="T1898" s="18"/>
      <c r="U1898" s="18"/>
      <c r="V1898" s="18"/>
      <c r="W1898" s="18"/>
      <c r="X1898" s="18"/>
      <c r="Y1898" s="18"/>
      <c r="Z1898" s="18"/>
    </row>
    <row r="1899" ht="22.5" customHeight="1">
      <c r="A1899" s="250"/>
      <c r="B1899" s="218"/>
      <c r="C1899" s="9"/>
      <c r="D1899" s="228"/>
      <c r="E1899" s="216"/>
      <c r="F1899" s="273"/>
      <c r="G1899" s="9"/>
      <c r="H1899" s="234"/>
      <c r="I1899" s="232"/>
      <c r="J1899" s="9"/>
      <c r="K1899" s="18"/>
      <c r="L1899" s="18"/>
      <c r="M1899" s="18"/>
      <c r="N1899" s="18"/>
      <c r="O1899" s="18"/>
      <c r="P1899" s="18"/>
      <c r="Q1899" s="18"/>
      <c r="R1899" s="18"/>
      <c r="S1899" s="18"/>
      <c r="T1899" s="18"/>
      <c r="U1899" s="18"/>
      <c r="V1899" s="18"/>
      <c r="W1899" s="18"/>
      <c r="X1899" s="18"/>
      <c r="Y1899" s="18"/>
      <c r="Z1899" s="18"/>
    </row>
    <row r="1900" ht="22.5" customHeight="1">
      <c r="A1900" s="250"/>
      <c r="B1900" s="218"/>
      <c r="C1900" s="9"/>
      <c r="D1900" s="228"/>
      <c r="E1900" s="216"/>
      <c r="F1900" s="273"/>
      <c r="G1900" s="9"/>
      <c r="H1900" s="234"/>
      <c r="I1900" s="232"/>
      <c r="J1900" s="9"/>
      <c r="K1900" s="18"/>
      <c r="L1900" s="18"/>
      <c r="M1900" s="18"/>
      <c r="N1900" s="18"/>
      <c r="O1900" s="18"/>
      <c r="P1900" s="18"/>
      <c r="Q1900" s="18"/>
      <c r="R1900" s="18"/>
      <c r="S1900" s="18"/>
      <c r="T1900" s="18"/>
      <c r="U1900" s="18"/>
      <c r="V1900" s="18"/>
      <c r="W1900" s="18"/>
      <c r="X1900" s="18"/>
      <c r="Y1900" s="18"/>
      <c r="Z1900" s="18"/>
    </row>
    <row r="1901" ht="22.5" customHeight="1">
      <c r="A1901" s="250"/>
      <c r="B1901" s="218"/>
      <c r="C1901" s="9"/>
      <c r="D1901" s="228"/>
      <c r="E1901" s="216"/>
      <c r="F1901" s="273"/>
      <c r="G1901" s="9"/>
      <c r="H1901" s="234"/>
      <c r="I1901" s="232"/>
      <c r="J1901" s="9"/>
      <c r="K1901" s="18"/>
      <c r="L1901" s="18"/>
      <c r="M1901" s="18"/>
      <c r="N1901" s="18"/>
      <c r="O1901" s="18"/>
      <c r="P1901" s="18"/>
      <c r="Q1901" s="18"/>
      <c r="R1901" s="18"/>
      <c r="S1901" s="18"/>
      <c r="T1901" s="18"/>
      <c r="U1901" s="18"/>
      <c r="V1901" s="18"/>
      <c r="W1901" s="18"/>
      <c r="X1901" s="18"/>
      <c r="Y1901" s="18"/>
      <c r="Z1901" s="18"/>
    </row>
    <row r="1902" ht="22.5" customHeight="1">
      <c r="A1902" s="250"/>
      <c r="B1902" s="218"/>
      <c r="C1902" s="9"/>
      <c r="D1902" s="228"/>
      <c r="E1902" s="216"/>
      <c r="F1902" s="273"/>
      <c r="G1902" s="9"/>
      <c r="H1902" s="234"/>
      <c r="I1902" s="232"/>
      <c r="J1902" s="9"/>
      <c r="K1902" s="18"/>
      <c r="L1902" s="18"/>
      <c r="M1902" s="18"/>
      <c r="N1902" s="18"/>
      <c r="O1902" s="18"/>
      <c r="P1902" s="18"/>
      <c r="Q1902" s="18"/>
      <c r="R1902" s="18"/>
      <c r="S1902" s="18"/>
      <c r="T1902" s="18"/>
      <c r="U1902" s="18"/>
      <c r="V1902" s="18"/>
      <c r="W1902" s="18"/>
      <c r="X1902" s="18"/>
      <c r="Y1902" s="18"/>
      <c r="Z1902" s="18"/>
    </row>
    <row r="1903" ht="22.5" customHeight="1">
      <c r="A1903" s="250"/>
      <c r="B1903" s="218"/>
      <c r="C1903" s="9"/>
      <c r="D1903" s="228"/>
      <c r="E1903" s="216"/>
      <c r="F1903" s="273"/>
      <c r="G1903" s="9"/>
      <c r="H1903" s="234"/>
      <c r="I1903" s="232"/>
      <c r="J1903" s="9"/>
      <c r="K1903" s="18"/>
      <c r="L1903" s="18"/>
      <c r="M1903" s="18"/>
      <c r="N1903" s="18"/>
      <c r="O1903" s="18"/>
      <c r="P1903" s="18"/>
      <c r="Q1903" s="18"/>
      <c r="R1903" s="18"/>
      <c r="S1903" s="18"/>
      <c r="T1903" s="18"/>
      <c r="U1903" s="18"/>
      <c r="V1903" s="18"/>
      <c r="W1903" s="18"/>
      <c r="X1903" s="18"/>
      <c r="Y1903" s="18"/>
      <c r="Z1903" s="18"/>
    </row>
    <row r="1904" ht="22.5" customHeight="1">
      <c r="A1904" s="250"/>
      <c r="B1904" s="218"/>
      <c r="C1904" s="9"/>
      <c r="D1904" s="228"/>
      <c r="E1904" s="216"/>
      <c r="F1904" s="273"/>
      <c r="G1904" s="9"/>
      <c r="H1904" s="234"/>
      <c r="I1904" s="232"/>
      <c r="J1904" s="9"/>
      <c r="K1904" s="18"/>
      <c r="L1904" s="18"/>
      <c r="M1904" s="18"/>
      <c r="N1904" s="18"/>
      <c r="O1904" s="18"/>
      <c r="P1904" s="18"/>
      <c r="Q1904" s="18"/>
      <c r="R1904" s="18"/>
      <c r="S1904" s="18"/>
      <c r="T1904" s="18"/>
      <c r="U1904" s="18"/>
      <c r="V1904" s="18"/>
      <c r="W1904" s="18"/>
      <c r="X1904" s="18"/>
      <c r="Y1904" s="18"/>
      <c r="Z1904" s="18"/>
    </row>
    <row r="1905" ht="22.5" customHeight="1">
      <c r="A1905" s="250"/>
      <c r="B1905" s="218"/>
      <c r="C1905" s="9"/>
      <c r="D1905" s="228"/>
      <c r="E1905" s="216"/>
      <c r="F1905" s="273"/>
      <c r="G1905" s="9"/>
      <c r="H1905" s="234"/>
      <c r="I1905" s="232"/>
      <c r="J1905" s="9"/>
      <c r="K1905" s="18"/>
      <c r="L1905" s="18"/>
      <c r="M1905" s="18"/>
      <c r="N1905" s="18"/>
      <c r="O1905" s="18"/>
      <c r="P1905" s="18"/>
      <c r="Q1905" s="18"/>
      <c r="R1905" s="18"/>
      <c r="S1905" s="18"/>
      <c r="T1905" s="18"/>
      <c r="U1905" s="18"/>
      <c r="V1905" s="18"/>
      <c r="W1905" s="18"/>
      <c r="X1905" s="18"/>
      <c r="Y1905" s="18"/>
      <c r="Z1905" s="18"/>
    </row>
    <row r="1906" ht="22.5" customHeight="1">
      <c r="A1906" s="250"/>
      <c r="B1906" s="218"/>
      <c r="C1906" s="9"/>
      <c r="D1906" s="228"/>
      <c r="E1906" s="216"/>
      <c r="F1906" s="273"/>
      <c r="G1906" s="9"/>
      <c r="H1906" s="234"/>
      <c r="I1906" s="232"/>
      <c r="J1906" s="9"/>
      <c r="K1906" s="18"/>
      <c r="L1906" s="18"/>
      <c r="M1906" s="18"/>
      <c r="N1906" s="18"/>
      <c r="O1906" s="18"/>
      <c r="P1906" s="18"/>
      <c r="Q1906" s="18"/>
      <c r="R1906" s="18"/>
      <c r="S1906" s="18"/>
      <c r="T1906" s="18"/>
      <c r="U1906" s="18"/>
      <c r="V1906" s="18"/>
      <c r="W1906" s="18"/>
      <c r="X1906" s="18"/>
      <c r="Y1906" s="18"/>
      <c r="Z1906" s="18"/>
    </row>
    <row r="1907" ht="22.5" customHeight="1">
      <c r="A1907" s="250"/>
      <c r="B1907" s="218"/>
      <c r="C1907" s="9"/>
      <c r="D1907" s="228"/>
      <c r="E1907" s="216"/>
      <c r="F1907" s="273"/>
      <c r="G1907" s="9"/>
      <c r="H1907" s="234"/>
      <c r="I1907" s="232"/>
      <c r="J1907" s="9"/>
      <c r="K1907" s="18"/>
      <c r="L1907" s="18"/>
      <c r="M1907" s="18"/>
      <c r="N1907" s="18"/>
      <c r="O1907" s="18"/>
      <c r="P1907" s="18"/>
      <c r="Q1907" s="18"/>
      <c r="R1907" s="18"/>
      <c r="S1907" s="18"/>
      <c r="T1907" s="18"/>
      <c r="U1907" s="18"/>
      <c r="V1907" s="18"/>
      <c r="W1907" s="18"/>
      <c r="X1907" s="18"/>
      <c r="Y1907" s="18"/>
      <c r="Z1907" s="18"/>
    </row>
    <row r="1908" ht="22.5" customHeight="1">
      <c r="A1908" s="250"/>
      <c r="B1908" s="218"/>
      <c r="C1908" s="9"/>
      <c r="D1908" s="228"/>
      <c r="E1908" s="216"/>
      <c r="F1908" s="273"/>
      <c r="G1908" s="9"/>
      <c r="H1908" s="234"/>
      <c r="I1908" s="232"/>
      <c r="J1908" s="9"/>
      <c r="K1908" s="18"/>
      <c r="L1908" s="18"/>
      <c r="M1908" s="18"/>
      <c r="N1908" s="18"/>
      <c r="O1908" s="18"/>
      <c r="P1908" s="18"/>
      <c r="Q1908" s="18"/>
      <c r="R1908" s="18"/>
      <c r="S1908" s="18"/>
      <c r="T1908" s="18"/>
      <c r="U1908" s="18"/>
      <c r="V1908" s="18"/>
      <c r="W1908" s="18"/>
      <c r="X1908" s="18"/>
      <c r="Y1908" s="18"/>
      <c r="Z1908" s="18"/>
    </row>
    <row r="1909" ht="22.5" customHeight="1">
      <c r="A1909" s="250"/>
      <c r="B1909" s="218"/>
      <c r="C1909" s="9"/>
      <c r="D1909" s="228"/>
      <c r="E1909" s="216"/>
      <c r="F1909" s="273"/>
      <c r="G1909" s="9"/>
      <c r="H1909" s="234"/>
      <c r="I1909" s="232"/>
      <c r="J1909" s="9"/>
      <c r="K1909" s="18"/>
      <c r="L1909" s="18"/>
      <c r="M1909" s="18"/>
      <c r="N1909" s="18"/>
      <c r="O1909" s="18"/>
      <c r="P1909" s="18"/>
      <c r="Q1909" s="18"/>
      <c r="R1909" s="18"/>
      <c r="S1909" s="18"/>
      <c r="T1909" s="18"/>
      <c r="U1909" s="18"/>
      <c r="V1909" s="18"/>
      <c r="W1909" s="18"/>
      <c r="X1909" s="18"/>
      <c r="Y1909" s="18"/>
      <c r="Z1909" s="18"/>
    </row>
    <row r="1910" ht="22.5" customHeight="1">
      <c r="A1910" s="250"/>
      <c r="B1910" s="218"/>
      <c r="C1910" s="9"/>
      <c r="D1910" s="228"/>
      <c r="E1910" s="216"/>
      <c r="F1910" s="273"/>
      <c r="G1910" s="9"/>
      <c r="H1910" s="234"/>
      <c r="I1910" s="232"/>
      <c r="J1910" s="9"/>
      <c r="K1910" s="18"/>
      <c r="L1910" s="18"/>
      <c r="M1910" s="18"/>
      <c r="N1910" s="18"/>
      <c r="O1910" s="18"/>
      <c r="P1910" s="18"/>
      <c r="Q1910" s="18"/>
      <c r="R1910" s="18"/>
      <c r="S1910" s="18"/>
      <c r="T1910" s="18"/>
      <c r="U1910" s="18"/>
      <c r="V1910" s="18"/>
      <c r="W1910" s="18"/>
      <c r="X1910" s="18"/>
      <c r="Y1910" s="18"/>
      <c r="Z1910" s="18"/>
    </row>
    <row r="1911" ht="22.5" customHeight="1">
      <c r="A1911" s="250"/>
      <c r="B1911" s="218"/>
      <c r="C1911" s="9"/>
      <c r="D1911" s="228"/>
      <c r="E1911" s="216"/>
      <c r="F1911" s="273"/>
      <c r="G1911" s="9"/>
      <c r="H1911" s="234"/>
      <c r="I1911" s="232"/>
      <c r="J1911" s="9"/>
      <c r="K1911" s="18"/>
      <c r="L1911" s="18"/>
      <c r="M1911" s="18"/>
      <c r="N1911" s="18"/>
      <c r="O1911" s="18"/>
      <c r="P1911" s="18"/>
      <c r="Q1911" s="18"/>
      <c r="R1911" s="18"/>
      <c r="S1911" s="18"/>
      <c r="T1911" s="18"/>
      <c r="U1911" s="18"/>
      <c r="V1911" s="18"/>
      <c r="W1911" s="18"/>
      <c r="X1911" s="18"/>
      <c r="Y1911" s="18"/>
      <c r="Z1911" s="18"/>
    </row>
    <row r="1912" ht="22.5" customHeight="1">
      <c r="A1912" s="250"/>
      <c r="B1912" s="218"/>
      <c r="C1912" s="9"/>
      <c r="D1912" s="228"/>
      <c r="E1912" s="216"/>
      <c r="F1912" s="273"/>
      <c r="G1912" s="9"/>
      <c r="H1912" s="234"/>
      <c r="I1912" s="232"/>
      <c r="J1912" s="9"/>
      <c r="K1912" s="18"/>
      <c r="L1912" s="18"/>
      <c r="M1912" s="18"/>
      <c r="N1912" s="18"/>
      <c r="O1912" s="18"/>
      <c r="P1912" s="18"/>
      <c r="Q1912" s="18"/>
      <c r="R1912" s="18"/>
      <c r="S1912" s="18"/>
      <c r="T1912" s="18"/>
      <c r="U1912" s="18"/>
      <c r="V1912" s="18"/>
      <c r="W1912" s="18"/>
      <c r="X1912" s="18"/>
      <c r="Y1912" s="18"/>
      <c r="Z1912" s="18"/>
    </row>
    <row r="1913" ht="22.5" customHeight="1">
      <c r="A1913" s="250"/>
      <c r="B1913" s="218"/>
      <c r="C1913" s="9"/>
      <c r="D1913" s="228"/>
      <c r="E1913" s="216"/>
      <c r="F1913" s="273"/>
      <c r="G1913" s="9"/>
      <c r="H1913" s="234"/>
      <c r="I1913" s="232"/>
      <c r="J1913" s="9"/>
      <c r="K1913" s="18"/>
      <c r="L1913" s="18"/>
      <c r="M1913" s="18"/>
      <c r="N1913" s="18"/>
      <c r="O1913" s="18"/>
      <c r="P1913" s="18"/>
      <c r="Q1913" s="18"/>
      <c r="R1913" s="18"/>
      <c r="S1913" s="18"/>
      <c r="T1913" s="18"/>
      <c r="U1913" s="18"/>
      <c r="V1913" s="18"/>
      <c r="W1913" s="18"/>
      <c r="X1913" s="18"/>
      <c r="Y1913" s="18"/>
      <c r="Z1913" s="18"/>
    </row>
    <row r="1914" ht="22.5" customHeight="1">
      <c r="A1914" s="250"/>
      <c r="B1914" s="218"/>
      <c r="C1914" s="9"/>
      <c r="D1914" s="228"/>
      <c r="E1914" s="216"/>
      <c r="F1914" s="273"/>
      <c r="G1914" s="9"/>
      <c r="H1914" s="234"/>
      <c r="I1914" s="232"/>
      <c r="J1914" s="9"/>
      <c r="K1914" s="18"/>
      <c r="L1914" s="18"/>
      <c r="M1914" s="18"/>
      <c r="N1914" s="18"/>
      <c r="O1914" s="18"/>
      <c r="P1914" s="18"/>
      <c r="Q1914" s="18"/>
      <c r="R1914" s="18"/>
      <c r="S1914" s="18"/>
      <c r="T1914" s="18"/>
      <c r="U1914" s="18"/>
      <c r="V1914" s="18"/>
      <c r="W1914" s="18"/>
      <c r="X1914" s="18"/>
      <c r="Y1914" s="18"/>
      <c r="Z1914" s="18"/>
    </row>
    <row r="1915" ht="22.5" customHeight="1">
      <c r="A1915" s="250"/>
      <c r="B1915" s="218"/>
      <c r="C1915" s="9"/>
      <c r="D1915" s="228"/>
      <c r="E1915" s="216"/>
      <c r="F1915" s="273"/>
      <c r="G1915" s="9"/>
      <c r="H1915" s="234"/>
      <c r="I1915" s="232"/>
      <c r="J1915" s="9"/>
      <c r="K1915" s="18"/>
      <c r="L1915" s="18"/>
      <c r="M1915" s="18"/>
      <c r="N1915" s="18"/>
      <c r="O1915" s="18"/>
      <c r="P1915" s="18"/>
      <c r="Q1915" s="18"/>
      <c r="R1915" s="18"/>
      <c r="S1915" s="18"/>
      <c r="T1915" s="18"/>
      <c r="U1915" s="18"/>
      <c r="V1915" s="18"/>
      <c r="W1915" s="18"/>
      <c r="X1915" s="18"/>
      <c r="Y1915" s="18"/>
      <c r="Z1915" s="18"/>
    </row>
    <row r="1916" ht="22.5" customHeight="1">
      <c r="A1916" s="250"/>
      <c r="B1916" s="218"/>
      <c r="C1916" s="9"/>
      <c r="D1916" s="228"/>
      <c r="E1916" s="216"/>
      <c r="F1916" s="273"/>
      <c r="G1916" s="9"/>
      <c r="H1916" s="234"/>
      <c r="I1916" s="232"/>
      <c r="J1916" s="9"/>
      <c r="K1916" s="18"/>
      <c r="L1916" s="18"/>
      <c r="M1916" s="18"/>
      <c r="N1916" s="18"/>
      <c r="O1916" s="18"/>
      <c r="P1916" s="18"/>
      <c r="Q1916" s="18"/>
      <c r="R1916" s="18"/>
      <c r="S1916" s="18"/>
      <c r="T1916" s="18"/>
      <c r="U1916" s="18"/>
      <c r="V1916" s="18"/>
      <c r="W1916" s="18"/>
      <c r="X1916" s="18"/>
      <c r="Y1916" s="18"/>
      <c r="Z1916" s="18"/>
    </row>
    <row r="1917" ht="22.5" customHeight="1">
      <c r="A1917" s="250"/>
      <c r="B1917" s="218"/>
      <c r="C1917" s="9"/>
      <c r="D1917" s="228"/>
      <c r="E1917" s="216"/>
      <c r="F1917" s="273"/>
      <c r="G1917" s="9"/>
      <c r="H1917" s="234"/>
      <c r="I1917" s="232"/>
      <c r="J1917" s="9"/>
      <c r="K1917" s="18"/>
      <c r="L1917" s="18"/>
      <c r="M1917" s="18"/>
      <c r="N1917" s="18"/>
      <c r="O1917" s="18"/>
      <c r="P1917" s="18"/>
      <c r="Q1917" s="18"/>
      <c r="R1917" s="18"/>
      <c r="S1917" s="18"/>
      <c r="T1917" s="18"/>
      <c r="U1917" s="18"/>
      <c r="V1917" s="18"/>
      <c r="W1917" s="18"/>
      <c r="X1917" s="18"/>
      <c r="Y1917" s="18"/>
      <c r="Z1917" s="18"/>
    </row>
    <row r="1918" ht="22.5" customHeight="1">
      <c r="A1918" s="250"/>
      <c r="B1918" s="218"/>
      <c r="C1918" s="9"/>
      <c r="D1918" s="228"/>
      <c r="E1918" s="216"/>
      <c r="F1918" s="273"/>
      <c r="G1918" s="9"/>
      <c r="H1918" s="234"/>
      <c r="I1918" s="232"/>
      <c r="J1918" s="9"/>
      <c r="K1918" s="18"/>
      <c r="L1918" s="18"/>
      <c r="M1918" s="18"/>
      <c r="N1918" s="18"/>
      <c r="O1918" s="18"/>
      <c r="P1918" s="18"/>
      <c r="Q1918" s="18"/>
      <c r="R1918" s="18"/>
      <c r="S1918" s="18"/>
      <c r="T1918" s="18"/>
      <c r="U1918" s="18"/>
      <c r="V1918" s="18"/>
      <c r="W1918" s="18"/>
      <c r="X1918" s="18"/>
      <c r="Y1918" s="18"/>
      <c r="Z1918" s="18"/>
    </row>
    <row r="1919" ht="22.5" customHeight="1">
      <c r="A1919" s="250"/>
      <c r="B1919" s="218"/>
      <c r="C1919" s="9"/>
      <c r="D1919" s="228"/>
      <c r="E1919" s="216"/>
      <c r="F1919" s="273"/>
      <c r="G1919" s="9"/>
      <c r="H1919" s="234"/>
      <c r="I1919" s="232"/>
      <c r="J1919" s="9"/>
      <c r="K1919" s="18"/>
      <c r="L1919" s="18"/>
      <c r="M1919" s="18"/>
      <c r="N1919" s="18"/>
      <c r="O1919" s="18"/>
      <c r="P1919" s="18"/>
      <c r="Q1919" s="18"/>
      <c r="R1919" s="18"/>
      <c r="S1919" s="18"/>
      <c r="T1919" s="18"/>
      <c r="U1919" s="18"/>
      <c r="V1919" s="18"/>
      <c r="W1919" s="18"/>
      <c r="X1919" s="18"/>
      <c r="Y1919" s="18"/>
      <c r="Z1919" s="18"/>
    </row>
    <row r="1920" ht="22.5" customHeight="1">
      <c r="A1920" s="250"/>
      <c r="B1920" s="218"/>
      <c r="C1920" s="9"/>
      <c r="D1920" s="228"/>
      <c r="E1920" s="216"/>
      <c r="F1920" s="273"/>
      <c r="G1920" s="9"/>
      <c r="H1920" s="234"/>
      <c r="I1920" s="232"/>
      <c r="J1920" s="9"/>
      <c r="K1920" s="18"/>
      <c r="L1920" s="18"/>
      <c r="M1920" s="18"/>
      <c r="N1920" s="18"/>
      <c r="O1920" s="18"/>
      <c r="P1920" s="18"/>
      <c r="Q1920" s="18"/>
      <c r="R1920" s="18"/>
      <c r="S1920" s="18"/>
      <c r="T1920" s="18"/>
      <c r="U1920" s="18"/>
      <c r="V1920" s="18"/>
      <c r="W1920" s="18"/>
      <c r="X1920" s="18"/>
      <c r="Y1920" s="18"/>
      <c r="Z1920" s="18"/>
    </row>
    <row r="1921" ht="22.5" customHeight="1">
      <c r="A1921" s="250"/>
      <c r="B1921" s="218"/>
      <c r="C1921" s="9"/>
      <c r="D1921" s="228"/>
      <c r="E1921" s="216"/>
      <c r="F1921" s="273"/>
      <c r="G1921" s="9"/>
      <c r="H1921" s="234"/>
      <c r="I1921" s="232"/>
      <c r="J1921" s="9"/>
      <c r="K1921" s="18"/>
      <c r="L1921" s="18"/>
      <c r="M1921" s="18"/>
      <c r="N1921" s="18"/>
      <c r="O1921" s="18"/>
      <c r="P1921" s="18"/>
      <c r="Q1921" s="18"/>
      <c r="R1921" s="18"/>
      <c r="S1921" s="18"/>
      <c r="T1921" s="18"/>
      <c r="U1921" s="18"/>
      <c r="V1921" s="18"/>
      <c r="W1921" s="18"/>
      <c r="X1921" s="18"/>
      <c r="Y1921" s="18"/>
      <c r="Z1921" s="18"/>
    </row>
    <row r="1922" ht="22.5" customHeight="1">
      <c r="A1922" s="250"/>
      <c r="B1922" s="218"/>
      <c r="C1922" s="9"/>
      <c r="D1922" s="228"/>
      <c r="E1922" s="216"/>
      <c r="F1922" s="273"/>
      <c r="G1922" s="9"/>
      <c r="H1922" s="234"/>
      <c r="I1922" s="232"/>
      <c r="J1922" s="9"/>
      <c r="K1922" s="18"/>
      <c r="L1922" s="18"/>
      <c r="M1922" s="18"/>
      <c r="N1922" s="18"/>
      <c r="O1922" s="18"/>
      <c r="P1922" s="18"/>
      <c r="Q1922" s="18"/>
      <c r="R1922" s="18"/>
      <c r="S1922" s="18"/>
      <c r="T1922" s="18"/>
      <c r="U1922" s="18"/>
      <c r="V1922" s="18"/>
      <c r="W1922" s="18"/>
      <c r="X1922" s="18"/>
      <c r="Y1922" s="18"/>
      <c r="Z1922" s="18"/>
    </row>
    <row r="1923" ht="22.5" customHeight="1">
      <c r="A1923" s="250"/>
      <c r="B1923" s="218"/>
      <c r="C1923" s="9"/>
      <c r="D1923" s="228"/>
      <c r="E1923" s="216"/>
      <c r="F1923" s="273"/>
      <c r="G1923" s="9"/>
      <c r="H1923" s="234"/>
      <c r="I1923" s="232"/>
      <c r="J1923" s="9"/>
      <c r="K1923" s="18"/>
      <c r="L1923" s="18"/>
      <c r="M1923" s="18"/>
      <c r="N1923" s="18"/>
      <c r="O1923" s="18"/>
      <c r="P1923" s="18"/>
      <c r="Q1923" s="18"/>
      <c r="R1923" s="18"/>
      <c r="S1923" s="18"/>
      <c r="T1923" s="18"/>
      <c r="U1923" s="18"/>
      <c r="V1923" s="18"/>
      <c r="W1923" s="18"/>
      <c r="X1923" s="18"/>
      <c r="Y1923" s="18"/>
      <c r="Z1923" s="18"/>
    </row>
    <row r="1924" ht="22.5" customHeight="1">
      <c r="A1924" s="250"/>
      <c r="B1924" s="218"/>
      <c r="C1924" s="9"/>
      <c r="D1924" s="228"/>
      <c r="E1924" s="216"/>
      <c r="F1924" s="273"/>
      <c r="G1924" s="9"/>
      <c r="H1924" s="234"/>
      <c r="I1924" s="232"/>
      <c r="J1924" s="9"/>
      <c r="K1924" s="18"/>
      <c r="L1924" s="18"/>
      <c r="M1924" s="18"/>
      <c r="N1924" s="18"/>
      <c r="O1924" s="18"/>
      <c r="P1924" s="18"/>
      <c r="Q1924" s="18"/>
      <c r="R1924" s="18"/>
      <c r="S1924" s="18"/>
      <c r="T1924" s="18"/>
      <c r="U1924" s="18"/>
      <c r="V1924" s="18"/>
      <c r="W1924" s="18"/>
      <c r="X1924" s="18"/>
      <c r="Y1924" s="18"/>
      <c r="Z1924" s="18"/>
    </row>
    <row r="1925" ht="22.5" customHeight="1">
      <c r="A1925" s="250"/>
      <c r="B1925" s="218"/>
      <c r="C1925" s="9"/>
      <c r="D1925" s="228"/>
      <c r="E1925" s="216"/>
      <c r="F1925" s="273"/>
      <c r="G1925" s="9"/>
      <c r="H1925" s="234"/>
      <c r="I1925" s="232"/>
      <c r="J1925" s="9"/>
      <c r="K1925" s="18"/>
      <c r="L1925" s="18"/>
      <c r="M1925" s="18"/>
      <c r="N1925" s="18"/>
      <c r="O1925" s="18"/>
      <c r="P1925" s="18"/>
      <c r="Q1925" s="18"/>
      <c r="R1925" s="18"/>
      <c r="S1925" s="18"/>
      <c r="T1925" s="18"/>
      <c r="U1925" s="18"/>
      <c r="V1925" s="18"/>
      <c r="W1925" s="18"/>
      <c r="X1925" s="18"/>
      <c r="Y1925" s="18"/>
      <c r="Z1925" s="18"/>
    </row>
    <row r="1926" ht="22.5" customHeight="1">
      <c r="A1926" s="250"/>
      <c r="B1926" s="218"/>
      <c r="C1926" s="9"/>
      <c r="D1926" s="228"/>
      <c r="E1926" s="216"/>
      <c r="F1926" s="273"/>
      <c r="G1926" s="9"/>
      <c r="H1926" s="234"/>
      <c r="I1926" s="232"/>
      <c r="J1926" s="9"/>
      <c r="K1926" s="18"/>
      <c r="L1926" s="18"/>
      <c r="M1926" s="18"/>
      <c r="N1926" s="18"/>
      <c r="O1926" s="18"/>
      <c r="P1926" s="18"/>
      <c r="Q1926" s="18"/>
      <c r="R1926" s="18"/>
      <c r="S1926" s="18"/>
      <c r="T1926" s="18"/>
      <c r="U1926" s="18"/>
      <c r="V1926" s="18"/>
      <c r="W1926" s="18"/>
      <c r="X1926" s="18"/>
      <c r="Y1926" s="18"/>
      <c r="Z1926" s="18"/>
    </row>
    <row r="1927" ht="22.5" customHeight="1">
      <c r="A1927" s="250"/>
      <c r="B1927" s="218"/>
      <c r="C1927" s="9"/>
      <c r="D1927" s="228"/>
      <c r="E1927" s="216"/>
      <c r="F1927" s="273"/>
      <c r="G1927" s="9"/>
      <c r="H1927" s="234"/>
      <c r="I1927" s="232"/>
      <c r="J1927" s="9"/>
      <c r="K1927" s="18"/>
      <c r="L1927" s="18"/>
      <c r="M1927" s="18"/>
      <c r="N1927" s="18"/>
      <c r="O1927" s="18"/>
      <c r="P1927" s="18"/>
      <c r="Q1927" s="18"/>
      <c r="R1927" s="18"/>
      <c r="S1927" s="18"/>
      <c r="T1927" s="18"/>
      <c r="U1927" s="18"/>
      <c r="V1927" s="18"/>
      <c r="W1927" s="18"/>
      <c r="X1927" s="18"/>
      <c r="Y1927" s="18"/>
      <c r="Z1927" s="18"/>
    </row>
    <row r="1928" ht="22.5" customHeight="1">
      <c r="A1928" s="250"/>
      <c r="B1928" s="218"/>
      <c r="C1928" s="9"/>
      <c r="D1928" s="228"/>
      <c r="E1928" s="216"/>
      <c r="F1928" s="273"/>
      <c r="G1928" s="9"/>
      <c r="H1928" s="234"/>
      <c r="I1928" s="232"/>
      <c r="J1928" s="9"/>
      <c r="K1928" s="18"/>
      <c r="L1928" s="18"/>
      <c r="M1928" s="18"/>
      <c r="N1928" s="18"/>
      <c r="O1928" s="18"/>
      <c r="P1928" s="18"/>
      <c r="Q1928" s="18"/>
      <c r="R1928" s="18"/>
      <c r="S1928" s="18"/>
      <c r="T1928" s="18"/>
      <c r="U1928" s="18"/>
      <c r="V1928" s="18"/>
      <c r="W1928" s="18"/>
      <c r="X1928" s="18"/>
      <c r="Y1928" s="18"/>
      <c r="Z1928" s="18"/>
    </row>
    <row r="1929" ht="22.5" customHeight="1">
      <c r="A1929" s="250"/>
      <c r="B1929" s="218"/>
      <c r="C1929" s="9"/>
      <c r="D1929" s="228"/>
      <c r="E1929" s="216"/>
      <c r="F1929" s="273"/>
      <c r="G1929" s="9"/>
      <c r="H1929" s="234"/>
      <c r="I1929" s="232"/>
      <c r="J1929" s="9"/>
      <c r="K1929" s="18"/>
      <c r="L1929" s="18"/>
      <c r="M1929" s="18"/>
      <c r="N1929" s="18"/>
      <c r="O1929" s="18"/>
      <c r="P1929" s="18"/>
      <c r="Q1929" s="18"/>
      <c r="R1929" s="18"/>
      <c r="S1929" s="18"/>
      <c r="T1929" s="18"/>
      <c r="U1929" s="18"/>
      <c r="V1929" s="18"/>
      <c r="W1929" s="18"/>
      <c r="X1929" s="18"/>
      <c r="Y1929" s="18"/>
      <c r="Z1929" s="18"/>
    </row>
    <row r="1930" ht="22.5" customHeight="1">
      <c r="A1930" s="250"/>
      <c r="B1930" s="218"/>
      <c r="C1930" s="9"/>
      <c r="D1930" s="228"/>
      <c r="E1930" s="216"/>
      <c r="F1930" s="273"/>
      <c r="G1930" s="9"/>
      <c r="H1930" s="234"/>
      <c r="I1930" s="232"/>
      <c r="J1930" s="9"/>
      <c r="K1930" s="18"/>
      <c r="L1930" s="18"/>
      <c r="M1930" s="18"/>
      <c r="N1930" s="18"/>
      <c r="O1930" s="18"/>
      <c r="P1930" s="18"/>
      <c r="Q1930" s="18"/>
      <c r="R1930" s="18"/>
      <c r="S1930" s="18"/>
      <c r="T1930" s="18"/>
      <c r="U1930" s="18"/>
      <c r="V1930" s="18"/>
      <c r="W1930" s="18"/>
      <c r="X1930" s="18"/>
      <c r="Y1930" s="18"/>
      <c r="Z1930" s="18"/>
    </row>
    <row r="1931" ht="22.5" customHeight="1">
      <c r="A1931" s="250"/>
      <c r="B1931" s="218"/>
      <c r="C1931" s="9"/>
      <c r="D1931" s="228"/>
      <c r="E1931" s="216"/>
      <c r="F1931" s="273"/>
      <c r="G1931" s="9"/>
      <c r="H1931" s="234"/>
      <c r="I1931" s="232"/>
      <c r="J1931" s="9"/>
      <c r="K1931" s="18"/>
      <c r="L1931" s="18"/>
      <c r="M1931" s="18"/>
      <c r="N1931" s="18"/>
      <c r="O1931" s="18"/>
      <c r="P1931" s="18"/>
      <c r="Q1931" s="18"/>
      <c r="R1931" s="18"/>
      <c r="S1931" s="18"/>
      <c r="T1931" s="18"/>
      <c r="U1931" s="18"/>
      <c r="V1931" s="18"/>
      <c r="W1931" s="18"/>
      <c r="X1931" s="18"/>
      <c r="Y1931" s="18"/>
      <c r="Z1931" s="18"/>
    </row>
    <row r="1932" ht="22.5" customHeight="1">
      <c r="A1932" s="250"/>
      <c r="B1932" s="218"/>
      <c r="C1932" s="9"/>
      <c r="D1932" s="228"/>
      <c r="E1932" s="216"/>
      <c r="F1932" s="273"/>
      <c r="G1932" s="9"/>
      <c r="H1932" s="234"/>
      <c r="I1932" s="232"/>
      <c r="J1932" s="9"/>
      <c r="K1932" s="18"/>
      <c r="L1932" s="18"/>
      <c r="M1932" s="18"/>
      <c r="N1932" s="18"/>
      <c r="O1932" s="18"/>
      <c r="P1932" s="18"/>
      <c r="Q1932" s="18"/>
      <c r="R1932" s="18"/>
      <c r="S1932" s="18"/>
      <c r="T1932" s="18"/>
      <c r="U1932" s="18"/>
      <c r="V1932" s="18"/>
      <c r="W1932" s="18"/>
      <c r="X1932" s="18"/>
      <c r="Y1932" s="18"/>
      <c r="Z1932" s="18"/>
    </row>
    <row r="1933" ht="22.5" customHeight="1">
      <c r="A1933" s="250"/>
      <c r="B1933" s="218"/>
      <c r="C1933" s="9"/>
      <c r="D1933" s="228"/>
      <c r="E1933" s="216"/>
      <c r="F1933" s="273"/>
      <c r="G1933" s="9"/>
      <c r="H1933" s="234"/>
      <c r="I1933" s="232"/>
      <c r="J1933" s="9"/>
      <c r="K1933" s="18"/>
      <c r="L1933" s="18"/>
      <c r="M1933" s="18"/>
      <c r="N1933" s="18"/>
      <c r="O1933" s="18"/>
      <c r="P1933" s="18"/>
      <c r="Q1933" s="18"/>
      <c r="R1933" s="18"/>
      <c r="S1933" s="18"/>
      <c r="T1933" s="18"/>
      <c r="U1933" s="18"/>
      <c r="V1933" s="18"/>
      <c r="W1933" s="18"/>
      <c r="X1933" s="18"/>
      <c r="Y1933" s="18"/>
      <c r="Z1933" s="18"/>
    </row>
    <row r="1934" ht="22.5" customHeight="1">
      <c r="A1934" s="250"/>
      <c r="B1934" s="218"/>
      <c r="C1934" s="9"/>
      <c r="D1934" s="228"/>
      <c r="E1934" s="216"/>
      <c r="F1934" s="273"/>
      <c r="G1934" s="9"/>
      <c r="H1934" s="234"/>
      <c r="I1934" s="232"/>
      <c r="J1934" s="9"/>
      <c r="K1934" s="18"/>
      <c r="L1934" s="18"/>
      <c r="M1934" s="18"/>
      <c r="N1934" s="18"/>
      <c r="O1934" s="18"/>
      <c r="P1934" s="18"/>
      <c r="Q1934" s="18"/>
      <c r="R1934" s="18"/>
      <c r="S1934" s="18"/>
      <c r="T1934" s="18"/>
      <c r="U1934" s="18"/>
      <c r="V1934" s="18"/>
      <c r="W1934" s="18"/>
      <c r="X1934" s="18"/>
      <c r="Y1934" s="18"/>
      <c r="Z1934" s="18"/>
    </row>
    <row r="1935" ht="22.5" customHeight="1">
      <c r="A1935" s="250"/>
      <c r="B1935" s="218"/>
      <c r="C1935" s="9"/>
      <c r="D1935" s="228"/>
      <c r="E1935" s="216"/>
      <c r="F1935" s="273"/>
      <c r="G1935" s="9"/>
      <c r="H1935" s="234"/>
      <c r="I1935" s="232"/>
      <c r="J1935" s="9"/>
      <c r="K1935" s="18"/>
      <c r="L1935" s="18"/>
      <c r="M1935" s="18"/>
      <c r="N1935" s="18"/>
      <c r="O1935" s="18"/>
      <c r="P1935" s="18"/>
      <c r="Q1935" s="18"/>
      <c r="R1935" s="18"/>
      <c r="S1935" s="18"/>
      <c r="T1935" s="18"/>
      <c r="U1935" s="18"/>
      <c r="V1935" s="18"/>
      <c r="W1935" s="18"/>
      <c r="X1935" s="18"/>
      <c r="Y1935" s="18"/>
      <c r="Z1935" s="18"/>
    </row>
    <row r="1936" ht="22.5" customHeight="1">
      <c r="A1936" s="250"/>
      <c r="B1936" s="218"/>
      <c r="C1936" s="9"/>
      <c r="D1936" s="228"/>
      <c r="E1936" s="216"/>
      <c r="F1936" s="273"/>
      <c r="G1936" s="9"/>
      <c r="H1936" s="234"/>
      <c r="I1936" s="232"/>
      <c r="J1936" s="9"/>
      <c r="K1936" s="18"/>
      <c r="L1936" s="18"/>
      <c r="M1936" s="18"/>
      <c r="N1936" s="18"/>
      <c r="O1936" s="18"/>
      <c r="P1936" s="18"/>
      <c r="Q1936" s="18"/>
      <c r="R1936" s="18"/>
      <c r="S1936" s="18"/>
      <c r="T1936" s="18"/>
      <c r="U1936" s="18"/>
      <c r="V1936" s="18"/>
      <c r="W1936" s="18"/>
      <c r="X1936" s="18"/>
      <c r="Y1936" s="18"/>
      <c r="Z1936" s="18"/>
    </row>
    <row r="1937" ht="22.5" customHeight="1">
      <c r="A1937" s="250"/>
      <c r="B1937" s="218"/>
      <c r="C1937" s="9"/>
      <c r="D1937" s="228"/>
      <c r="E1937" s="216"/>
      <c r="F1937" s="273"/>
      <c r="G1937" s="9"/>
      <c r="H1937" s="234"/>
      <c r="I1937" s="232"/>
      <c r="J1937" s="9"/>
      <c r="K1937" s="18"/>
      <c r="L1937" s="18"/>
      <c r="M1937" s="18"/>
      <c r="N1937" s="18"/>
      <c r="O1937" s="18"/>
      <c r="P1937" s="18"/>
      <c r="Q1937" s="18"/>
      <c r="R1937" s="18"/>
      <c r="S1937" s="18"/>
      <c r="T1937" s="18"/>
      <c r="U1937" s="18"/>
      <c r="V1937" s="18"/>
      <c r="W1937" s="18"/>
      <c r="X1937" s="18"/>
      <c r="Y1937" s="18"/>
      <c r="Z1937" s="18"/>
    </row>
    <row r="1938" ht="22.5" customHeight="1">
      <c r="A1938" s="250"/>
      <c r="B1938" s="218"/>
      <c r="C1938" s="9"/>
      <c r="D1938" s="228"/>
      <c r="E1938" s="216"/>
      <c r="F1938" s="273"/>
      <c r="G1938" s="9"/>
      <c r="H1938" s="234"/>
      <c r="I1938" s="232"/>
      <c r="J1938" s="9"/>
      <c r="K1938" s="18"/>
      <c r="L1938" s="18"/>
      <c r="M1938" s="18"/>
      <c r="N1938" s="18"/>
      <c r="O1938" s="18"/>
      <c r="P1938" s="18"/>
      <c r="Q1938" s="18"/>
      <c r="R1938" s="18"/>
      <c r="S1938" s="18"/>
      <c r="T1938" s="18"/>
      <c r="U1938" s="18"/>
      <c r="V1938" s="18"/>
      <c r="W1938" s="18"/>
      <c r="X1938" s="18"/>
      <c r="Y1938" s="18"/>
      <c r="Z1938" s="18"/>
    </row>
    <row r="1939" ht="22.5" customHeight="1">
      <c r="A1939" s="250"/>
      <c r="B1939" s="218"/>
      <c r="C1939" s="9"/>
      <c r="D1939" s="228"/>
      <c r="E1939" s="216"/>
      <c r="F1939" s="273"/>
      <c r="G1939" s="9"/>
      <c r="H1939" s="234"/>
      <c r="I1939" s="232"/>
      <c r="J1939" s="9"/>
      <c r="K1939" s="18"/>
      <c r="L1939" s="18"/>
      <c r="M1939" s="18"/>
      <c r="N1939" s="18"/>
      <c r="O1939" s="18"/>
      <c r="P1939" s="18"/>
      <c r="Q1939" s="18"/>
      <c r="R1939" s="18"/>
      <c r="S1939" s="18"/>
      <c r="T1939" s="18"/>
      <c r="U1939" s="18"/>
      <c r="V1939" s="18"/>
      <c r="W1939" s="18"/>
      <c r="X1939" s="18"/>
      <c r="Y1939" s="18"/>
      <c r="Z1939" s="18"/>
    </row>
    <row r="1940" ht="22.5" customHeight="1">
      <c r="A1940" s="250"/>
      <c r="B1940" s="218"/>
      <c r="C1940" s="9"/>
      <c r="D1940" s="228"/>
      <c r="E1940" s="216"/>
      <c r="F1940" s="273"/>
      <c r="G1940" s="9"/>
      <c r="H1940" s="234"/>
      <c r="I1940" s="232"/>
      <c r="J1940" s="9"/>
      <c r="K1940" s="18"/>
      <c r="L1940" s="18"/>
      <c r="M1940" s="18"/>
      <c r="N1940" s="18"/>
      <c r="O1940" s="18"/>
      <c r="P1940" s="18"/>
      <c r="Q1940" s="18"/>
      <c r="R1940" s="18"/>
      <c r="S1940" s="18"/>
      <c r="T1940" s="18"/>
      <c r="U1940" s="18"/>
      <c r="V1940" s="18"/>
      <c r="W1940" s="18"/>
      <c r="X1940" s="18"/>
      <c r="Y1940" s="18"/>
      <c r="Z1940" s="18"/>
    </row>
    <row r="1941" ht="22.5" customHeight="1">
      <c r="A1941" s="250"/>
      <c r="B1941" s="218"/>
      <c r="C1941" s="9"/>
      <c r="D1941" s="228"/>
      <c r="E1941" s="216"/>
      <c r="F1941" s="273"/>
      <c r="G1941" s="9"/>
      <c r="H1941" s="234"/>
      <c r="I1941" s="232"/>
      <c r="J1941" s="9"/>
      <c r="K1941" s="18"/>
      <c r="L1941" s="18"/>
      <c r="M1941" s="18"/>
      <c r="N1941" s="18"/>
      <c r="O1941" s="18"/>
      <c r="P1941" s="18"/>
      <c r="Q1941" s="18"/>
      <c r="R1941" s="18"/>
      <c r="S1941" s="18"/>
      <c r="T1941" s="18"/>
      <c r="U1941" s="18"/>
      <c r="V1941" s="18"/>
      <c r="W1941" s="18"/>
      <c r="X1941" s="18"/>
      <c r="Y1941" s="18"/>
      <c r="Z1941" s="18"/>
    </row>
    <row r="1942" ht="22.5" customHeight="1">
      <c r="A1942" s="250"/>
      <c r="B1942" s="218"/>
      <c r="C1942" s="9"/>
      <c r="D1942" s="228"/>
      <c r="E1942" s="216"/>
      <c r="F1942" s="273"/>
      <c r="G1942" s="9"/>
      <c r="H1942" s="234"/>
      <c r="I1942" s="232"/>
      <c r="J1942" s="9"/>
      <c r="K1942" s="18"/>
      <c r="L1942" s="18"/>
      <c r="M1942" s="18"/>
      <c r="N1942" s="18"/>
      <c r="O1942" s="18"/>
      <c r="P1942" s="18"/>
      <c r="Q1942" s="18"/>
      <c r="R1942" s="18"/>
      <c r="S1942" s="18"/>
      <c r="T1942" s="18"/>
      <c r="U1942" s="18"/>
      <c r="V1942" s="18"/>
      <c r="W1942" s="18"/>
      <c r="X1942" s="18"/>
      <c r="Y1942" s="18"/>
      <c r="Z1942" s="18"/>
    </row>
    <row r="1943" ht="22.5" customHeight="1">
      <c r="A1943" s="250"/>
      <c r="B1943" s="218"/>
      <c r="C1943" s="9"/>
      <c r="D1943" s="228"/>
      <c r="E1943" s="216"/>
      <c r="F1943" s="273"/>
      <c r="G1943" s="9"/>
      <c r="H1943" s="234"/>
      <c r="I1943" s="232"/>
      <c r="J1943" s="9"/>
      <c r="K1943" s="18"/>
      <c r="L1943" s="18"/>
      <c r="M1943" s="18"/>
      <c r="N1943" s="18"/>
      <c r="O1943" s="18"/>
      <c r="P1943" s="18"/>
      <c r="Q1943" s="18"/>
      <c r="R1943" s="18"/>
      <c r="S1943" s="18"/>
      <c r="T1943" s="18"/>
      <c r="U1943" s="18"/>
      <c r="V1943" s="18"/>
      <c r="W1943" s="18"/>
      <c r="X1943" s="18"/>
      <c r="Y1943" s="18"/>
      <c r="Z1943" s="18"/>
    </row>
    <row r="1944" ht="22.5" customHeight="1">
      <c r="A1944" s="250"/>
      <c r="B1944" s="218"/>
      <c r="C1944" s="9"/>
      <c r="D1944" s="228"/>
      <c r="E1944" s="216"/>
      <c r="F1944" s="273"/>
      <c r="G1944" s="9"/>
      <c r="H1944" s="234"/>
      <c r="I1944" s="232"/>
      <c r="J1944" s="9"/>
      <c r="K1944" s="18"/>
      <c r="L1944" s="18"/>
      <c r="M1944" s="18"/>
      <c r="N1944" s="18"/>
      <c r="O1944" s="18"/>
      <c r="P1944" s="18"/>
      <c r="Q1944" s="18"/>
      <c r="R1944" s="18"/>
      <c r="S1944" s="18"/>
      <c r="T1944" s="18"/>
      <c r="U1944" s="18"/>
      <c r="V1944" s="18"/>
      <c r="W1944" s="18"/>
      <c r="X1944" s="18"/>
      <c r="Y1944" s="18"/>
      <c r="Z1944" s="18"/>
    </row>
    <row r="1945" ht="22.5" customHeight="1">
      <c r="A1945" s="250"/>
      <c r="B1945" s="218"/>
      <c r="C1945" s="9"/>
      <c r="D1945" s="228"/>
      <c r="E1945" s="216"/>
      <c r="F1945" s="273"/>
      <c r="G1945" s="9"/>
      <c r="H1945" s="234"/>
      <c r="I1945" s="232"/>
      <c r="J1945" s="9"/>
      <c r="K1945" s="18"/>
      <c r="L1945" s="18"/>
      <c r="M1945" s="18"/>
      <c r="N1945" s="18"/>
      <c r="O1945" s="18"/>
      <c r="P1945" s="18"/>
      <c r="Q1945" s="18"/>
      <c r="R1945" s="18"/>
      <c r="S1945" s="18"/>
      <c r="T1945" s="18"/>
      <c r="U1945" s="18"/>
      <c r="V1945" s="18"/>
      <c r="W1945" s="18"/>
      <c r="X1945" s="18"/>
      <c r="Y1945" s="18"/>
      <c r="Z1945" s="18"/>
    </row>
    <row r="1946" ht="22.5" customHeight="1">
      <c r="A1946" s="250"/>
      <c r="B1946" s="218"/>
      <c r="C1946" s="9"/>
      <c r="D1946" s="228"/>
      <c r="E1946" s="216"/>
      <c r="F1946" s="273"/>
      <c r="G1946" s="9"/>
      <c r="H1946" s="234"/>
      <c r="I1946" s="232"/>
      <c r="J1946" s="9"/>
      <c r="K1946" s="18"/>
      <c r="L1946" s="18"/>
      <c r="M1946" s="18"/>
      <c r="N1946" s="18"/>
      <c r="O1946" s="18"/>
      <c r="P1946" s="18"/>
      <c r="Q1946" s="18"/>
      <c r="R1946" s="18"/>
      <c r="S1946" s="18"/>
      <c r="T1946" s="18"/>
      <c r="U1946" s="18"/>
      <c r="V1946" s="18"/>
      <c r="W1946" s="18"/>
      <c r="X1946" s="18"/>
      <c r="Y1946" s="18"/>
      <c r="Z1946" s="18"/>
    </row>
    <row r="1947" ht="22.5" customHeight="1">
      <c r="A1947" s="250"/>
      <c r="B1947" s="218"/>
      <c r="C1947" s="9"/>
      <c r="D1947" s="228"/>
      <c r="E1947" s="216"/>
      <c r="F1947" s="273"/>
      <c r="G1947" s="9"/>
      <c r="H1947" s="234"/>
      <c r="I1947" s="232"/>
      <c r="J1947" s="9"/>
      <c r="K1947" s="18"/>
      <c r="L1947" s="18"/>
      <c r="M1947" s="18"/>
      <c r="N1947" s="18"/>
      <c r="O1947" s="18"/>
      <c r="P1947" s="18"/>
      <c r="Q1947" s="18"/>
      <c r="R1947" s="18"/>
      <c r="S1947" s="18"/>
      <c r="T1947" s="18"/>
      <c r="U1947" s="18"/>
      <c r="V1947" s="18"/>
      <c r="W1947" s="18"/>
      <c r="X1947" s="18"/>
      <c r="Y1947" s="18"/>
      <c r="Z1947" s="18"/>
    </row>
    <row r="1948" ht="22.5" customHeight="1">
      <c r="A1948" s="250"/>
      <c r="B1948" s="218"/>
      <c r="C1948" s="9"/>
      <c r="D1948" s="228"/>
      <c r="E1948" s="216"/>
      <c r="F1948" s="273"/>
      <c r="G1948" s="9"/>
      <c r="H1948" s="234"/>
      <c r="I1948" s="232"/>
      <c r="J1948" s="9"/>
      <c r="K1948" s="18"/>
      <c r="L1948" s="18"/>
      <c r="M1948" s="18"/>
      <c r="N1948" s="18"/>
      <c r="O1948" s="18"/>
      <c r="P1948" s="18"/>
      <c r="Q1948" s="18"/>
      <c r="R1948" s="18"/>
      <c r="S1948" s="18"/>
      <c r="T1948" s="18"/>
      <c r="U1948" s="18"/>
      <c r="V1948" s="18"/>
      <c r="W1948" s="18"/>
      <c r="X1948" s="18"/>
      <c r="Y1948" s="18"/>
      <c r="Z1948" s="18"/>
    </row>
    <row r="1949" ht="22.5" customHeight="1">
      <c r="A1949" s="250"/>
      <c r="B1949" s="218"/>
      <c r="C1949" s="9"/>
      <c r="D1949" s="228"/>
      <c r="E1949" s="216"/>
      <c r="F1949" s="273"/>
      <c r="G1949" s="9"/>
      <c r="H1949" s="234"/>
      <c r="I1949" s="232"/>
      <c r="J1949" s="9"/>
      <c r="K1949" s="18"/>
      <c r="L1949" s="18"/>
      <c r="M1949" s="18"/>
      <c r="N1949" s="18"/>
      <c r="O1949" s="18"/>
      <c r="P1949" s="18"/>
      <c r="Q1949" s="18"/>
      <c r="R1949" s="18"/>
      <c r="S1949" s="18"/>
      <c r="T1949" s="18"/>
      <c r="U1949" s="18"/>
      <c r="V1949" s="18"/>
      <c r="W1949" s="18"/>
      <c r="X1949" s="18"/>
      <c r="Y1949" s="18"/>
      <c r="Z1949" s="18"/>
    </row>
    <row r="1950" ht="22.5" customHeight="1">
      <c r="A1950" s="250"/>
      <c r="B1950" s="218"/>
      <c r="C1950" s="9"/>
      <c r="D1950" s="228"/>
      <c r="E1950" s="216"/>
      <c r="F1950" s="273"/>
      <c r="G1950" s="9"/>
      <c r="H1950" s="234"/>
      <c r="I1950" s="232"/>
      <c r="J1950" s="9"/>
      <c r="K1950" s="18"/>
      <c r="L1950" s="18"/>
      <c r="M1950" s="18"/>
      <c r="N1950" s="18"/>
      <c r="O1950" s="18"/>
      <c r="P1950" s="18"/>
      <c r="Q1950" s="18"/>
      <c r="R1950" s="18"/>
      <c r="S1950" s="18"/>
      <c r="T1950" s="18"/>
      <c r="U1950" s="18"/>
      <c r="V1950" s="18"/>
      <c r="W1950" s="18"/>
      <c r="X1950" s="18"/>
      <c r="Y1950" s="18"/>
      <c r="Z1950" s="18"/>
    </row>
    <row r="1951" ht="22.5" customHeight="1">
      <c r="A1951" s="250"/>
      <c r="B1951" s="218"/>
      <c r="C1951" s="9"/>
      <c r="D1951" s="228"/>
      <c r="E1951" s="216"/>
      <c r="F1951" s="273"/>
      <c r="G1951" s="9"/>
      <c r="H1951" s="234"/>
      <c r="I1951" s="232"/>
      <c r="J1951" s="9"/>
      <c r="K1951" s="18"/>
      <c r="L1951" s="18"/>
      <c r="M1951" s="18"/>
      <c r="N1951" s="18"/>
      <c r="O1951" s="18"/>
      <c r="P1951" s="18"/>
      <c r="Q1951" s="18"/>
      <c r="R1951" s="18"/>
      <c r="S1951" s="18"/>
      <c r="T1951" s="18"/>
      <c r="U1951" s="18"/>
      <c r="V1951" s="18"/>
      <c r="W1951" s="18"/>
      <c r="X1951" s="18"/>
      <c r="Y1951" s="18"/>
      <c r="Z1951" s="18"/>
    </row>
    <row r="1952" ht="22.5" customHeight="1">
      <c r="A1952" s="250"/>
      <c r="B1952" s="218"/>
      <c r="C1952" s="9"/>
      <c r="D1952" s="228"/>
      <c r="E1952" s="216"/>
      <c r="F1952" s="273"/>
      <c r="G1952" s="9"/>
      <c r="H1952" s="234"/>
      <c r="I1952" s="232"/>
      <c r="J1952" s="9"/>
      <c r="K1952" s="18"/>
      <c r="L1952" s="18"/>
      <c r="M1952" s="18"/>
      <c r="N1952" s="18"/>
      <c r="O1952" s="18"/>
      <c r="P1952" s="18"/>
      <c r="Q1952" s="18"/>
      <c r="R1952" s="18"/>
      <c r="S1952" s="18"/>
      <c r="T1952" s="18"/>
      <c r="U1952" s="18"/>
      <c r="V1952" s="18"/>
      <c r="W1952" s="18"/>
      <c r="X1952" s="18"/>
      <c r="Y1952" s="18"/>
      <c r="Z1952" s="18"/>
    </row>
    <row r="1953" ht="22.5" customHeight="1">
      <c r="A1953" s="250"/>
      <c r="B1953" s="218"/>
      <c r="C1953" s="9"/>
      <c r="D1953" s="228"/>
      <c r="E1953" s="216"/>
      <c r="F1953" s="273"/>
      <c r="G1953" s="9"/>
      <c r="H1953" s="234"/>
      <c r="I1953" s="232"/>
      <c r="J1953" s="9"/>
      <c r="K1953" s="18"/>
      <c r="L1953" s="18"/>
      <c r="M1953" s="18"/>
      <c r="N1953" s="18"/>
      <c r="O1953" s="18"/>
      <c r="P1953" s="18"/>
      <c r="Q1953" s="18"/>
      <c r="R1953" s="18"/>
      <c r="S1953" s="18"/>
      <c r="T1953" s="18"/>
      <c r="U1953" s="18"/>
      <c r="V1953" s="18"/>
      <c r="W1953" s="18"/>
      <c r="X1953" s="18"/>
      <c r="Y1953" s="18"/>
      <c r="Z1953" s="18"/>
    </row>
    <row r="1954" ht="22.5" customHeight="1">
      <c r="A1954" s="250"/>
      <c r="B1954" s="218"/>
      <c r="C1954" s="9"/>
      <c r="D1954" s="228"/>
      <c r="E1954" s="216"/>
      <c r="F1954" s="273"/>
      <c r="G1954" s="9"/>
      <c r="H1954" s="234"/>
      <c r="I1954" s="232"/>
      <c r="J1954" s="9"/>
      <c r="K1954" s="18"/>
      <c r="L1954" s="18"/>
      <c r="M1954" s="18"/>
      <c r="N1954" s="18"/>
      <c r="O1954" s="18"/>
      <c r="P1954" s="18"/>
      <c r="Q1954" s="18"/>
      <c r="R1954" s="18"/>
      <c r="S1954" s="18"/>
      <c r="T1954" s="18"/>
      <c r="U1954" s="18"/>
      <c r="V1954" s="18"/>
      <c r="W1954" s="18"/>
      <c r="X1954" s="18"/>
      <c r="Y1954" s="18"/>
      <c r="Z1954" s="18"/>
    </row>
    <row r="1955" ht="22.5" customHeight="1">
      <c r="A1955" s="250"/>
      <c r="B1955" s="218"/>
      <c r="C1955" s="9"/>
      <c r="D1955" s="228"/>
      <c r="E1955" s="216"/>
      <c r="F1955" s="273"/>
      <c r="G1955" s="9"/>
      <c r="H1955" s="234"/>
      <c r="I1955" s="232"/>
      <c r="J1955" s="9"/>
      <c r="K1955" s="18"/>
      <c r="L1955" s="18"/>
      <c r="M1955" s="18"/>
      <c r="N1955" s="18"/>
      <c r="O1955" s="18"/>
      <c r="P1955" s="18"/>
      <c r="Q1955" s="18"/>
      <c r="R1955" s="18"/>
      <c r="S1955" s="18"/>
      <c r="T1955" s="18"/>
      <c r="U1955" s="18"/>
      <c r="V1955" s="18"/>
      <c r="W1955" s="18"/>
      <c r="X1955" s="18"/>
      <c r="Y1955" s="18"/>
      <c r="Z1955" s="18"/>
    </row>
    <row r="1956" ht="22.5" customHeight="1">
      <c r="A1956" s="250"/>
      <c r="B1956" s="218"/>
      <c r="C1956" s="9"/>
      <c r="D1956" s="228"/>
      <c r="E1956" s="216"/>
      <c r="F1956" s="273"/>
      <c r="G1956" s="9"/>
      <c r="H1956" s="234"/>
      <c r="I1956" s="232"/>
      <c r="J1956" s="9"/>
      <c r="K1956" s="18"/>
      <c r="L1956" s="18"/>
      <c r="M1956" s="18"/>
      <c r="N1956" s="18"/>
      <c r="O1956" s="18"/>
      <c r="P1956" s="18"/>
      <c r="Q1956" s="18"/>
      <c r="R1956" s="18"/>
      <c r="S1956" s="18"/>
      <c r="T1956" s="18"/>
      <c r="U1956" s="18"/>
      <c r="V1956" s="18"/>
      <c r="W1956" s="18"/>
      <c r="X1956" s="18"/>
      <c r="Y1956" s="18"/>
      <c r="Z1956" s="18"/>
    </row>
    <row r="1957" ht="22.5" customHeight="1">
      <c r="A1957" s="250"/>
      <c r="B1957" s="218"/>
      <c r="C1957" s="9"/>
      <c r="D1957" s="228"/>
      <c r="E1957" s="216"/>
      <c r="F1957" s="273"/>
      <c r="G1957" s="9"/>
      <c r="H1957" s="234"/>
      <c r="I1957" s="232"/>
      <c r="J1957" s="9"/>
      <c r="K1957" s="18"/>
      <c r="L1957" s="18"/>
      <c r="M1957" s="18"/>
      <c r="N1957" s="18"/>
      <c r="O1957" s="18"/>
      <c r="P1957" s="18"/>
      <c r="Q1957" s="18"/>
      <c r="R1957" s="18"/>
      <c r="S1957" s="18"/>
      <c r="T1957" s="18"/>
      <c r="U1957" s="18"/>
      <c r="V1957" s="18"/>
      <c r="W1957" s="18"/>
      <c r="X1957" s="18"/>
      <c r="Y1957" s="18"/>
      <c r="Z1957" s="18"/>
    </row>
    <row r="1958" ht="22.5" customHeight="1">
      <c r="A1958" s="250"/>
      <c r="B1958" s="218"/>
      <c r="C1958" s="9"/>
      <c r="D1958" s="228"/>
      <c r="E1958" s="216"/>
      <c r="F1958" s="273"/>
      <c r="G1958" s="9"/>
      <c r="H1958" s="234"/>
      <c r="I1958" s="232"/>
      <c r="J1958" s="9"/>
      <c r="K1958" s="18"/>
      <c r="L1958" s="18"/>
      <c r="M1958" s="18"/>
      <c r="N1958" s="18"/>
      <c r="O1958" s="18"/>
      <c r="P1958" s="18"/>
      <c r="Q1958" s="18"/>
      <c r="R1958" s="18"/>
      <c r="S1958" s="18"/>
      <c r="T1958" s="18"/>
      <c r="U1958" s="18"/>
      <c r="V1958" s="18"/>
      <c r="W1958" s="18"/>
      <c r="X1958" s="18"/>
      <c r="Y1958" s="18"/>
      <c r="Z1958" s="18"/>
    </row>
    <row r="1959" ht="22.5" customHeight="1">
      <c r="A1959" s="250"/>
      <c r="B1959" s="218"/>
      <c r="C1959" s="9"/>
      <c r="D1959" s="228"/>
      <c r="E1959" s="216"/>
      <c r="F1959" s="273"/>
      <c r="G1959" s="9"/>
      <c r="H1959" s="234"/>
      <c r="I1959" s="232"/>
      <c r="J1959" s="9"/>
      <c r="K1959" s="18"/>
      <c r="L1959" s="18"/>
      <c r="M1959" s="18"/>
      <c r="N1959" s="18"/>
      <c r="O1959" s="18"/>
      <c r="P1959" s="18"/>
      <c r="Q1959" s="18"/>
      <c r="R1959" s="18"/>
      <c r="S1959" s="18"/>
      <c r="T1959" s="18"/>
      <c r="U1959" s="18"/>
      <c r="V1959" s="18"/>
      <c r="W1959" s="18"/>
      <c r="X1959" s="18"/>
      <c r="Y1959" s="18"/>
      <c r="Z1959" s="18"/>
    </row>
    <row r="1960" ht="22.5" customHeight="1">
      <c r="A1960" s="250"/>
      <c r="B1960" s="218"/>
      <c r="C1960" s="9"/>
      <c r="D1960" s="228"/>
      <c r="E1960" s="216"/>
      <c r="F1960" s="273"/>
      <c r="G1960" s="9"/>
      <c r="H1960" s="234"/>
      <c r="I1960" s="232"/>
      <c r="J1960" s="9"/>
      <c r="K1960" s="18"/>
      <c r="L1960" s="18"/>
      <c r="M1960" s="18"/>
      <c r="N1960" s="18"/>
      <c r="O1960" s="18"/>
      <c r="P1960" s="18"/>
      <c r="Q1960" s="18"/>
      <c r="R1960" s="18"/>
      <c r="S1960" s="18"/>
      <c r="T1960" s="18"/>
      <c r="U1960" s="18"/>
      <c r="V1960" s="18"/>
      <c r="W1960" s="18"/>
      <c r="X1960" s="18"/>
      <c r="Y1960" s="18"/>
      <c r="Z1960" s="18"/>
    </row>
    <row r="1961" ht="22.5" customHeight="1">
      <c r="A1961" s="250"/>
      <c r="B1961" s="218"/>
      <c r="C1961" s="9"/>
      <c r="D1961" s="228"/>
      <c r="E1961" s="216"/>
      <c r="F1961" s="273"/>
      <c r="G1961" s="9"/>
      <c r="H1961" s="234"/>
      <c r="I1961" s="232"/>
      <c r="J1961" s="9"/>
      <c r="K1961" s="18"/>
      <c r="L1961" s="18"/>
      <c r="M1961" s="18"/>
      <c r="N1961" s="18"/>
      <c r="O1961" s="18"/>
      <c r="P1961" s="18"/>
      <c r="Q1961" s="18"/>
      <c r="R1961" s="18"/>
      <c r="S1961" s="18"/>
      <c r="T1961" s="18"/>
      <c r="U1961" s="18"/>
      <c r="V1961" s="18"/>
      <c r="W1961" s="18"/>
      <c r="X1961" s="18"/>
      <c r="Y1961" s="18"/>
      <c r="Z1961" s="18"/>
    </row>
    <row r="1962" ht="22.5" customHeight="1">
      <c r="A1962" s="250"/>
      <c r="B1962" s="218"/>
      <c r="C1962" s="9"/>
      <c r="D1962" s="228"/>
      <c r="E1962" s="216"/>
      <c r="F1962" s="273"/>
      <c r="G1962" s="9"/>
      <c r="H1962" s="234"/>
      <c r="I1962" s="232"/>
      <c r="J1962" s="9"/>
      <c r="K1962" s="18"/>
      <c r="L1962" s="18"/>
      <c r="M1962" s="18"/>
      <c r="N1962" s="18"/>
      <c r="O1962" s="18"/>
      <c r="P1962" s="18"/>
      <c r="Q1962" s="18"/>
      <c r="R1962" s="18"/>
      <c r="S1962" s="18"/>
      <c r="T1962" s="18"/>
      <c r="U1962" s="18"/>
      <c r="V1962" s="18"/>
      <c r="W1962" s="18"/>
      <c r="X1962" s="18"/>
      <c r="Y1962" s="18"/>
      <c r="Z1962" s="18"/>
    </row>
    <row r="1963" ht="22.5" customHeight="1">
      <c r="A1963" s="250"/>
      <c r="B1963" s="218"/>
      <c r="C1963" s="9"/>
      <c r="D1963" s="228"/>
      <c r="E1963" s="216"/>
      <c r="F1963" s="273"/>
      <c r="G1963" s="9"/>
      <c r="H1963" s="234"/>
      <c r="I1963" s="232"/>
      <c r="J1963" s="9"/>
      <c r="K1963" s="18"/>
      <c r="L1963" s="18"/>
      <c r="M1963" s="18"/>
      <c r="N1963" s="18"/>
      <c r="O1963" s="18"/>
      <c r="P1963" s="18"/>
      <c r="Q1963" s="18"/>
      <c r="R1963" s="18"/>
      <c r="S1963" s="18"/>
      <c r="T1963" s="18"/>
      <c r="U1963" s="18"/>
      <c r="V1963" s="18"/>
      <c r="W1963" s="18"/>
      <c r="X1963" s="18"/>
      <c r="Y1963" s="18"/>
      <c r="Z1963" s="18"/>
    </row>
    <row r="1964" ht="22.5" customHeight="1">
      <c r="A1964" s="250"/>
      <c r="B1964" s="218"/>
      <c r="C1964" s="9"/>
      <c r="D1964" s="228"/>
      <c r="E1964" s="216"/>
      <c r="F1964" s="273"/>
      <c r="G1964" s="9"/>
      <c r="H1964" s="234"/>
      <c r="I1964" s="232"/>
      <c r="J1964" s="9"/>
      <c r="K1964" s="18"/>
      <c r="L1964" s="18"/>
      <c r="M1964" s="18"/>
      <c r="N1964" s="18"/>
      <c r="O1964" s="18"/>
      <c r="P1964" s="18"/>
      <c r="Q1964" s="18"/>
      <c r="R1964" s="18"/>
      <c r="S1964" s="18"/>
      <c r="T1964" s="18"/>
      <c r="U1964" s="18"/>
      <c r="V1964" s="18"/>
      <c r="W1964" s="18"/>
      <c r="X1964" s="18"/>
      <c r="Y1964" s="18"/>
      <c r="Z1964" s="18"/>
    </row>
    <row r="1965" ht="22.5" customHeight="1">
      <c r="A1965" s="250"/>
      <c r="B1965" s="218"/>
      <c r="C1965" s="9"/>
      <c r="D1965" s="228"/>
      <c r="E1965" s="216"/>
      <c r="F1965" s="273"/>
      <c r="G1965" s="9"/>
      <c r="H1965" s="234"/>
      <c r="I1965" s="232"/>
      <c r="J1965" s="9"/>
      <c r="K1965" s="18"/>
      <c r="L1965" s="18"/>
      <c r="M1965" s="18"/>
      <c r="N1965" s="18"/>
      <c r="O1965" s="18"/>
      <c r="P1965" s="18"/>
      <c r="Q1965" s="18"/>
      <c r="R1965" s="18"/>
      <c r="S1965" s="18"/>
      <c r="T1965" s="18"/>
      <c r="U1965" s="18"/>
      <c r="V1965" s="18"/>
      <c r="W1965" s="18"/>
      <c r="X1965" s="18"/>
      <c r="Y1965" s="18"/>
      <c r="Z1965" s="18"/>
    </row>
    <row r="1966" ht="22.5" customHeight="1">
      <c r="A1966" s="250"/>
      <c r="B1966" s="218"/>
      <c r="C1966" s="9"/>
      <c r="D1966" s="228"/>
      <c r="E1966" s="216"/>
      <c r="F1966" s="273"/>
      <c r="G1966" s="9"/>
      <c r="H1966" s="234"/>
      <c r="I1966" s="232"/>
      <c r="J1966" s="9"/>
      <c r="K1966" s="18"/>
      <c r="L1966" s="18"/>
      <c r="M1966" s="18"/>
      <c r="N1966" s="18"/>
      <c r="O1966" s="18"/>
      <c r="P1966" s="18"/>
      <c r="Q1966" s="18"/>
      <c r="R1966" s="18"/>
      <c r="S1966" s="18"/>
      <c r="T1966" s="18"/>
      <c r="U1966" s="18"/>
      <c r="V1966" s="18"/>
      <c r="W1966" s="18"/>
      <c r="X1966" s="18"/>
      <c r="Y1966" s="18"/>
      <c r="Z1966" s="18"/>
    </row>
    <row r="1967" ht="22.5" customHeight="1">
      <c r="A1967" s="250"/>
      <c r="B1967" s="218"/>
      <c r="C1967" s="9"/>
      <c r="D1967" s="228"/>
      <c r="E1967" s="216"/>
      <c r="F1967" s="273"/>
      <c r="G1967" s="9"/>
      <c r="H1967" s="234"/>
      <c r="I1967" s="232"/>
      <c r="J1967" s="9"/>
      <c r="K1967" s="18"/>
      <c r="L1967" s="18"/>
      <c r="M1967" s="18"/>
      <c r="N1967" s="18"/>
      <c r="O1967" s="18"/>
      <c r="P1967" s="18"/>
      <c r="Q1967" s="18"/>
      <c r="R1967" s="18"/>
      <c r="S1967" s="18"/>
      <c r="T1967" s="18"/>
      <c r="U1967" s="18"/>
      <c r="V1967" s="18"/>
      <c r="W1967" s="18"/>
      <c r="X1967" s="18"/>
      <c r="Y1967" s="18"/>
      <c r="Z1967" s="18"/>
    </row>
    <row r="1968" ht="22.5" customHeight="1">
      <c r="A1968" s="250"/>
      <c r="B1968" s="218"/>
      <c r="C1968" s="9"/>
      <c r="D1968" s="228"/>
      <c r="E1968" s="216"/>
      <c r="F1968" s="273"/>
      <c r="G1968" s="9"/>
      <c r="H1968" s="234"/>
      <c r="I1968" s="232"/>
      <c r="J1968" s="9"/>
      <c r="K1968" s="18"/>
      <c r="L1968" s="18"/>
      <c r="M1968" s="18"/>
      <c r="N1968" s="18"/>
      <c r="O1968" s="18"/>
      <c r="P1968" s="18"/>
      <c r="Q1968" s="18"/>
      <c r="R1968" s="18"/>
      <c r="S1968" s="18"/>
      <c r="T1968" s="18"/>
      <c r="U1968" s="18"/>
      <c r="V1968" s="18"/>
      <c r="W1968" s="18"/>
      <c r="X1968" s="18"/>
      <c r="Y1968" s="18"/>
      <c r="Z1968" s="18"/>
    </row>
    <row r="1969" ht="22.5" customHeight="1">
      <c r="A1969" s="250"/>
      <c r="B1969" s="218"/>
      <c r="C1969" s="9"/>
      <c r="D1969" s="228"/>
      <c r="E1969" s="216"/>
      <c r="F1969" s="273"/>
      <c r="G1969" s="9"/>
      <c r="H1969" s="234"/>
      <c r="I1969" s="232"/>
      <c r="J1969" s="9"/>
      <c r="K1969" s="18"/>
      <c r="L1969" s="18"/>
      <c r="M1969" s="18"/>
      <c r="N1969" s="18"/>
      <c r="O1969" s="18"/>
      <c r="P1969" s="18"/>
      <c r="Q1969" s="18"/>
      <c r="R1969" s="18"/>
      <c r="S1969" s="18"/>
      <c r="T1969" s="18"/>
      <c r="U1969" s="18"/>
      <c r="V1969" s="18"/>
      <c r="W1969" s="18"/>
      <c r="X1969" s="18"/>
      <c r="Y1969" s="18"/>
      <c r="Z1969" s="18"/>
    </row>
    <row r="1970" ht="22.5" customHeight="1">
      <c r="A1970" s="250"/>
      <c r="B1970" s="218"/>
      <c r="C1970" s="9"/>
      <c r="D1970" s="228"/>
      <c r="E1970" s="216"/>
      <c r="F1970" s="273"/>
      <c r="G1970" s="9"/>
      <c r="H1970" s="234"/>
      <c r="I1970" s="232"/>
      <c r="J1970" s="9"/>
      <c r="K1970" s="18"/>
      <c r="L1970" s="18"/>
      <c r="M1970" s="18"/>
      <c r="N1970" s="18"/>
      <c r="O1970" s="18"/>
      <c r="P1970" s="18"/>
      <c r="Q1970" s="18"/>
      <c r="R1970" s="18"/>
      <c r="S1970" s="18"/>
      <c r="T1970" s="18"/>
      <c r="U1970" s="18"/>
      <c r="V1970" s="18"/>
      <c r="W1970" s="18"/>
      <c r="X1970" s="18"/>
      <c r="Y1970" s="18"/>
      <c r="Z1970" s="18"/>
    </row>
    <row r="1971" ht="22.5" customHeight="1">
      <c r="A1971" s="250"/>
      <c r="B1971" s="218"/>
      <c r="C1971" s="9"/>
      <c r="D1971" s="228"/>
      <c r="E1971" s="216"/>
      <c r="F1971" s="273"/>
      <c r="G1971" s="9"/>
      <c r="H1971" s="234"/>
      <c r="I1971" s="232"/>
      <c r="J1971" s="9"/>
      <c r="K1971" s="18"/>
      <c r="L1971" s="18"/>
      <c r="M1971" s="18"/>
      <c r="N1971" s="18"/>
      <c r="O1971" s="18"/>
      <c r="P1971" s="18"/>
      <c r="Q1971" s="18"/>
      <c r="R1971" s="18"/>
      <c r="S1971" s="18"/>
      <c r="T1971" s="18"/>
      <c r="U1971" s="18"/>
      <c r="V1971" s="18"/>
      <c r="W1971" s="18"/>
      <c r="X1971" s="18"/>
      <c r="Y1971" s="18"/>
      <c r="Z1971" s="18"/>
    </row>
    <row r="1972" ht="22.5" customHeight="1">
      <c r="A1972" s="250"/>
      <c r="B1972" s="218"/>
      <c r="C1972" s="9"/>
      <c r="D1972" s="228"/>
      <c r="E1972" s="216"/>
      <c r="F1972" s="273"/>
      <c r="G1972" s="9"/>
      <c r="H1972" s="234"/>
      <c r="I1972" s="232"/>
      <c r="J1972" s="9"/>
      <c r="K1972" s="18"/>
      <c r="L1972" s="18"/>
      <c r="M1972" s="18"/>
      <c r="N1972" s="18"/>
      <c r="O1972" s="18"/>
      <c r="P1972" s="18"/>
      <c r="Q1972" s="18"/>
      <c r="R1972" s="18"/>
      <c r="S1972" s="18"/>
      <c r="T1972" s="18"/>
      <c r="U1972" s="18"/>
      <c r="V1972" s="18"/>
      <c r="W1972" s="18"/>
      <c r="X1972" s="18"/>
      <c r="Y1972" s="18"/>
      <c r="Z1972" s="18"/>
    </row>
    <row r="1973" ht="22.5" customHeight="1">
      <c r="A1973" s="250"/>
      <c r="B1973" s="218"/>
      <c r="C1973" s="9"/>
      <c r="D1973" s="228"/>
      <c r="E1973" s="216"/>
      <c r="F1973" s="273"/>
      <c r="G1973" s="9"/>
      <c r="H1973" s="234"/>
      <c r="I1973" s="232"/>
      <c r="J1973" s="9"/>
      <c r="K1973" s="18"/>
      <c r="L1973" s="18"/>
      <c r="M1973" s="18"/>
      <c r="N1973" s="18"/>
      <c r="O1973" s="18"/>
      <c r="P1973" s="18"/>
      <c r="Q1973" s="18"/>
      <c r="R1973" s="18"/>
      <c r="S1973" s="18"/>
      <c r="T1973" s="18"/>
      <c r="U1973" s="18"/>
      <c r="V1973" s="18"/>
      <c r="W1973" s="18"/>
      <c r="X1973" s="18"/>
      <c r="Y1973" s="18"/>
      <c r="Z1973" s="18"/>
    </row>
    <row r="1974" ht="22.5" customHeight="1">
      <c r="A1974" s="250"/>
      <c r="B1974" s="218"/>
      <c r="C1974" s="9"/>
      <c r="D1974" s="228"/>
      <c r="E1974" s="216"/>
      <c r="F1974" s="273"/>
      <c r="G1974" s="9"/>
      <c r="H1974" s="234"/>
      <c r="I1974" s="232"/>
      <c r="J1974" s="9"/>
      <c r="K1974" s="18"/>
      <c r="L1974" s="18"/>
      <c r="M1974" s="18"/>
      <c r="N1974" s="18"/>
      <c r="O1974" s="18"/>
      <c r="P1974" s="18"/>
      <c r="Q1974" s="18"/>
      <c r="R1974" s="18"/>
      <c r="S1974" s="18"/>
      <c r="T1974" s="18"/>
      <c r="U1974" s="18"/>
      <c r="V1974" s="18"/>
      <c r="W1974" s="18"/>
      <c r="X1974" s="18"/>
      <c r="Y1974" s="18"/>
      <c r="Z1974" s="18"/>
    </row>
    <row r="1975" ht="22.5" customHeight="1">
      <c r="A1975" s="250"/>
      <c r="B1975" s="218"/>
      <c r="C1975" s="9"/>
      <c r="D1975" s="228"/>
      <c r="E1975" s="216"/>
      <c r="F1975" s="273"/>
      <c r="G1975" s="9"/>
      <c r="H1975" s="234"/>
      <c r="I1975" s="232"/>
      <c r="J1975" s="9"/>
      <c r="K1975" s="18"/>
      <c r="L1975" s="18"/>
      <c r="M1975" s="18"/>
      <c r="N1975" s="18"/>
      <c r="O1975" s="18"/>
      <c r="P1975" s="18"/>
      <c r="Q1975" s="18"/>
      <c r="R1975" s="18"/>
      <c r="S1975" s="18"/>
      <c r="T1975" s="18"/>
      <c r="U1975" s="18"/>
      <c r="V1975" s="18"/>
      <c r="W1975" s="18"/>
      <c r="X1975" s="18"/>
      <c r="Y1975" s="18"/>
      <c r="Z1975" s="18"/>
    </row>
    <row r="1976" ht="22.5" customHeight="1">
      <c r="A1976" s="250"/>
      <c r="B1976" s="218"/>
      <c r="C1976" s="9"/>
      <c r="D1976" s="228"/>
      <c r="E1976" s="216"/>
      <c r="F1976" s="273"/>
      <c r="G1976" s="9"/>
      <c r="H1976" s="234"/>
      <c r="I1976" s="232"/>
      <c r="J1976" s="9"/>
      <c r="K1976" s="18"/>
      <c r="L1976" s="18"/>
      <c r="M1976" s="18"/>
      <c r="N1976" s="18"/>
      <c r="O1976" s="18"/>
      <c r="P1976" s="18"/>
      <c r="Q1976" s="18"/>
      <c r="R1976" s="18"/>
      <c r="S1976" s="18"/>
      <c r="T1976" s="18"/>
      <c r="U1976" s="18"/>
      <c r="V1976" s="18"/>
      <c r="W1976" s="18"/>
      <c r="X1976" s="18"/>
      <c r="Y1976" s="18"/>
      <c r="Z1976" s="18"/>
    </row>
    <row r="1977" ht="22.5" customHeight="1">
      <c r="A1977" s="250"/>
      <c r="B1977" s="218"/>
      <c r="C1977" s="9"/>
      <c r="D1977" s="228"/>
      <c r="E1977" s="216"/>
      <c r="F1977" s="273"/>
      <c r="G1977" s="9"/>
      <c r="H1977" s="234"/>
      <c r="I1977" s="232"/>
      <c r="J1977" s="9"/>
      <c r="K1977" s="18"/>
      <c r="L1977" s="18"/>
      <c r="M1977" s="18"/>
      <c r="N1977" s="18"/>
      <c r="O1977" s="18"/>
      <c r="P1977" s="18"/>
      <c r="Q1977" s="18"/>
      <c r="R1977" s="18"/>
      <c r="S1977" s="18"/>
      <c r="T1977" s="18"/>
      <c r="U1977" s="18"/>
      <c r="V1977" s="18"/>
      <c r="W1977" s="18"/>
      <c r="X1977" s="18"/>
      <c r="Y1977" s="18"/>
      <c r="Z1977" s="18"/>
    </row>
    <row r="1978" ht="22.5" customHeight="1">
      <c r="A1978" s="250"/>
      <c r="B1978" s="218"/>
      <c r="C1978" s="9"/>
      <c r="D1978" s="228"/>
      <c r="E1978" s="216"/>
      <c r="F1978" s="273"/>
      <c r="G1978" s="9"/>
      <c r="H1978" s="234"/>
      <c r="I1978" s="232"/>
      <c r="J1978" s="9"/>
      <c r="K1978" s="18"/>
      <c r="L1978" s="18"/>
      <c r="M1978" s="18"/>
      <c r="N1978" s="18"/>
      <c r="O1978" s="18"/>
      <c r="P1978" s="18"/>
      <c r="Q1978" s="18"/>
      <c r="R1978" s="18"/>
      <c r="S1978" s="18"/>
      <c r="T1978" s="18"/>
      <c r="U1978" s="18"/>
      <c r="V1978" s="18"/>
      <c r="W1978" s="18"/>
      <c r="X1978" s="18"/>
      <c r="Y1978" s="18"/>
      <c r="Z1978" s="18"/>
    </row>
    <row r="1979" ht="22.5" customHeight="1">
      <c r="A1979" s="250"/>
      <c r="B1979" s="218"/>
      <c r="C1979" s="9"/>
      <c r="D1979" s="228"/>
      <c r="E1979" s="216"/>
      <c r="F1979" s="273"/>
      <c r="G1979" s="9"/>
      <c r="H1979" s="234"/>
      <c r="I1979" s="232"/>
      <c r="J1979" s="9"/>
      <c r="K1979" s="18"/>
      <c r="L1979" s="18"/>
      <c r="M1979" s="18"/>
      <c r="N1979" s="18"/>
      <c r="O1979" s="18"/>
      <c r="P1979" s="18"/>
      <c r="Q1979" s="18"/>
      <c r="R1979" s="18"/>
      <c r="S1979" s="18"/>
      <c r="T1979" s="18"/>
      <c r="U1979" s="18"/>
      <c r="V1979" s="18"/>
      <c r="W1979" s="18"/>
      <c r="X1979" s="18"/>
      <c r="Y1979" s="18"/>
      <c r="Z1979" s="18"/>
    </row>
    <row r="1980" ht="22.5" customHeight="1">
      <c r="A1980" s="250"/>
      <c r="B1980" s="218"/>
      <c r="C1980" s="9"/>
      <c r="D1980" s="228"/>
      <c r="E1980" s="216"/>
      <c r="F1980" s="273"/>
      <c r="G1980" s="9"/>
      <c r="H1980" s="234"/>
      <c r="I1980" s="232"/>
      <c r="J1980" s="9"/>
      <c r="K1980" s="18"/>
      <c r="L1980" s="18"/>
      <c r="M1980" s="18"/>
      <c r="N1980" s="18"/>
      <c r="O1980" s="18"/>
      <c r="P1980" s="18"/>
      <c r="Q1980" s="18"/>
      <c r="R1980" s="18"/>
      <c r="S1980" s="18"/>
      <c r="T1980" s="18"/>
      <c r="U1980" s="18"/>
      <c r="V1980" s="18"/>
      <c r="W1980" s="18"/>
      <c r="X1980" s="18"/>
      <c r="Y1980" s="18"/>
      <c r="Z1980" s="18"/>
    </row>
    <row r="1981" ht="22.5" customHeight="1">
      <c r="A1981" s="250"/>
      <c r="B1981" s="218"/>
      <c r="C1981" s="9"/>
      <c r="D1981" s="228"/>
      <c r="E1981" s="216"/>
      <c r="F1981" s="273"/>
      <c r="G1981" s="9"/>
      <c r="H1981" s="234"/>
      <c r="I1981" s="232"/>
      <c r="J1981" s="9"/>
      <c r="K1981" s="18"/>
      <c r="L1981" s="18"/>
      <c r="M1981" s="18"/>
      <c r="N1981" s="18"/>
      <c r="O1981" s="18"/>
      <c r="P1981" s="18"/>
      <c r="Q1981" s="18"/>
      <c r="R1981" s="18"/>
      <c r="S1981" s="18"/>
      <c r="T1981" s="18"/>
      <c r="U1981" s="18"/>
      <c r="V1981" s="18"/>
      <c r="W1981" s="18"/>
      <c r="X1981" s="18"/>
      <c r="Y1981" s="18"/>
      <c r="Z1981" s="18"/>
    </row>
    <row r="1982" ht="22.5" customHeight="1">
      <c r="A1982" s="250"/>
      <c r="B1982" s="218"/>
      <c r="C1982" s="9"/>
      <c r="D1982" s="228"/>
      <c r="E1982" s="216"/>
      <c r="F1982" s="273"/>
      <c r="G1982" s="9"/>
      <c r="H1982" s="234"/>
      <c r="I1982" s="232"/>
      <c r="J1982" s="9"/>
      <c r="K1982" s="18"/>
      <c r="L1982" s="18"/>
      <c r="M1982" s="18"/>
      <c r="N1982" s="18"/>
      <c r="O1982" s="18"/>
      <c r="P1982" s="18"/>
      <c r="Q1982" s="18"/>
      <c r="R1982" s="18"/>
      <c r="S1982" s="18"/>
      <c r="T1982" s="18"/>
      <c r="U1982" s="18"/>
      <c r="V1982" s="18"/>
      <c r="W1982" s="18"/>
      <c r="X1982" s="18"/>
      <c r="Y1982" s="18"/>
      <c r="Z1982" s="18"/>
    </row>
    <row r="1983" ht="22.5" customHeight="1">
      <c r="A1983" s="250"/>
      <c r="B1983" s="218"/>
      <c r="C1983" s="9"/>
      <c r="D1983" s="228"/>
      <c r="E1983" s="216"/>
      <c r="F1983" s="273"/>
      <c r="G1983" s="9"/>
      <c r="H1983" s="234"/>
      <c r="I1983" s="232"/>
      <c r="J1983" s="9"/>
      <c r="K1983" s="18"/>
      <c r="L1983" s="18"/>
      <c r="M1983" s="18"/>
      <c r="N1983" s="18"/>
      <c r="O1983" s="18"/>
      <c r="P1983" s="18"/>
      <c r="Q1983" s="18"/>
      <c r="R1983" s="18"/>
      <c r="S1983" s="18"/>
      <c r="T1983" s="18"/>
      <c r="U1983" s="18"/>
      <c r="V1983" s="18"/>
      <c r="W1983" s="18"/>
      <c r="X1983" s="18"/>
      <c r="Y1983" s="18"/>
      <c r="Z1983" s="18"/>
    </row>
    <row r="1984" ht="22.5" customHeight="1">
      <c r="A1984" s="250"/>
      <c r="B1984" s="218"/>
      <c r="C1984" s="9"/>
      <c r="D1984" s="228"/>
      <c r="E1984" s="216"/>
      <c r="F1984" s="273"/>
      <c r="G1984" s="9"/>
      <c r="H1984" s="234"/>
      <c r="I1984" s="232"/>
      <c r="J1984" s="9"/>
      <c r="K1984" s="18"/>
      <c r="L1984" s="18"/>
      <c r="M1984" s="18"/>
      <c r="N1984" s="18"/>
      <c r="O1984" s="18"/>
      <c r="P1984" s="18"/>
      <c r="Q1984" s="18"/>
      <c r="R1984" s="18"/>
      <c r="S1984" s="18"/>
      <c r="T1984" s="18"/>
      <c r="U1984" s="18"/>
      <c r="V1984" s="18"/>
      <c r="W1984" s="18"/>
      <c r="X1984" s="18"/>
      <c r="Y1984" s="18"/>
      <c r="Z1984" s="18"/>
    </row>
    <row r="1985" ht="22.5" customHeight="1">
      <c r="A1985" s="250"/>
      <c r="B1985" s="218"/>
      <c r="C1985" s="9"/>
      <c r="D1985" s="228"/>
      <c r="E1985" s="216"/>
      <c r="F1985" s="273"/>
      <c r="G1985" s="9"/>
      <c r="H1985" s="234"/>
      <c r="I1985" s="232"/>
      <c r="J1985" s="9"/>
      <c r="K1985" s="18"/>
      <c r="L1985" s="18"/>
      <c r="M1985" s="18"/>
      <c r="N1985" s="18"/>
      <c r="O1985" s="18"/>
      <c r="P1985" s="18"/>
      <c r="Q1985" s="18"/>
      <c r="R1985" s="18"/>
      <c r="S1985" s="18"/>
      <c r="T1985" s="18"/>
      <c r="U1985" s="18"/>
      <c r="V1985" s="18"/>
      <c r="W1985" s="18"/>
      <c r="X1985" s="18"/>
      <c r="Y1985" s="18"/>
      <c r="Z1985" s="18"/>
    </row>
    <row r="1986" ht="22.5" customHeight="1">
      <c r="A1986" s="250"/>
      <c r="B1986" s="218"/>
      <c r="C1986" s="9"/>
      <c r="D1986" s="228"/>
      <c r="E1986" s="216"/>
      <c r="F1986" s="273"/>
      <c r="G1986" s="9"/>
      <c r="H1986" s="234"/>
      <c r="I1986" s="232"/>
      <c r="J1986" s="9"/>
      <c r="K1986" s="18"/>
      <c r="L1986" s="18"/>
      <c r="M1986" s="18"/>
      <c r="N1986" s="18"/>
      <c r="O1986" s="18"/>
      <c r="P1986" s="18"/>
      <c r="Q1986" s="18"/>
      <c r="R1986" s="18"/>
      <c r="S1986" s="18"/>
      <c r="T1986" s="18"/>
      <c r="U1986" s="18"/>
      <c r="V1986" s="18"/>
      <c r="W1986" s="18"/>
      <c r="X1986" s="18"/>
      <c r="Y1986" s="18"/>
      <c r="Z1986" s="18"/>
    </row>
    <row r="1987" ht="22.5" customHeight="1">
      <c r="A1987" s="250"/>
      <c r="B1987" s="218"/>
      <c r="C1987" s="9"/>
      <c r="D1987" s="228"/>
      <c r="E1987" s="216"/>
      <c r="F1987" s="273"/>
      <c r="G1987" s="9"/>
      <c r="H1987" s="234"/>
      <c r="I1987" s="232"/>
      <c r="J1987" s="9"/>
      <c r="K1987" s="18"/>
      <c r="L1987" s="18"/>
      <c r="M1987" s="18"/>
      <c r="N1987" s="18"/>
      <c r="O1987" s="18"/>
      <c r="P1987" s="18"/>
      <c r="Q1987" s="18"/>
      <c r="R1987" s="18"/>
      <c r="S1987" s="18"/>
      <c r="T1987" s="18"/>
      <c r="U1987" s="18"/>
      <c r="V1987" s="18"/>
      <c r="W1987" s="18"/>
      <c r="X1987" s="18"/>
      <c r="Y1987" s="18"/>
      <c r="Z1987" s="18"/>
    </row>
    <row r="1988" ht="22.5" customHeight="1">
      <c r="A1988" s="250"/>
      <c r="B1988" s="218"/>
      <c r="C1988" s="9"/>
      <c r="D1988" s="228"/>
      <c r="E1988" s="216"/>
      <c r="F1988" s="273"/>
      <c r="G1988" s="9"/>
      <c r="H1988" s="234"/>
      <c r="I1988" s="232"/>
      <c r="J1988" s="9"/>
      <c r="K1988" s="18"/>
      <c r="L1988" s="18"/>
      <c r="M1988" s="18"/>
      <c r="N1988" s="18"/>
      <c r="O1988" s="18"/>
      <c r="P1988" s="18"/>
      <c r="Q1988" s="18"/>
      <c r="R1988" s="18"/>
      <c r="S1988" s="18"/>
      <c r="T1988" s="18"/>
      <c r="U1988" s="18"/>
      <c r="V1988" s="18"/>
      <c r="W1988" s="18"/>
      <c r="X1988" s="18"/>
      <c r="Y1988" s="18"/>
      <c r="Z1988" s="18"/>
    </row>
    <row r="1989" ht="22.5" customHeight="1">
      <c r="A1989" s="250"/>
      <c r="B1989" s="218"/>
      <c r="C1989" s="9"/>
      <c r="D1989" s="228"/>
      <c r="E1989" s="216"/>
      <c r="F1989" s="273"/>
      <c r="G1989" s="9"/>
      <c r="H1989" s="234"/>
      <c r="I1989" s="232"/>
      <c r="J1989" s="9"/>
      <c r="K1989" s="18"/>
      <c r="L1989" s="18"/>
      <c r="M1989" s="18"/>
      <c r="N1989" s="18"/>
      <c r="O1989" s="18"/>
      <c r="P1989" s="18"/>
      <c r="Q1989" s="18"/>
      <c r="R1989" s="18"/>
      <c r="S1989" s="18"/>
      <c r="T1989" s="18"/>
      <c r="U1989" s="18"/>
      <c r="V1989" s="18"/>
      <c r="W1989" s="18"/>
      <c r="X1989" s="18"/>
      <c r="Y1989" s="18"/>
      <c r="Z1989" s="18"/>
    </row>
    <row r="1990" ht="22.5" customHeight="1">
      <c r="A1990" s="250"/>
      <c r="B1990" s="218"/>
      <c r="C1990" s="9"/>
      <c r="D1990" s="228"/>
      <c r="E1990" s="216"/>
      <c r="F1990" s="273"/>
      <c r="G1990" s="9"/>
      <c r="H1990" s="234"/>
      <c r="I1990" s="232"/>
      <c r="J1990" s="9"/>
      <c r="K1990" s="18"/>
      <c r="L1990" s="18"/>
      <c r="M1990" s="18"/>
      <c r="N1990" s="18"/>
      <c r="O1990" s="18"/>
      <c r="P1990" s="18"/>
      <c r="Q1990" s="18"/>
      <c r="R1990" s="18"/>
      <c r="S1990" s="18"/>
      <c r="T1990" s="18"/>
      <c r="U1990" s="18"/>
      <c r="V1990" s="18"/>
      <c r="W1990" s="18"/>
      <c r="X1990" s="18"/>
      <c r="Y1990" s="18"/>
      <c r="Z1990" s="18"/>
    </row>
    <row r="1991" ht="22.5" customHeight="1">
      <c r="A1991" s="250"/>
      <c r="B1991" s="218"/>
      <c r="C1991" s="9"/>
      <c r="D1991" s="228"/>
      <c r="E1991" s="216"/>
      <c r="F1991" s="273"/>
      <c r="G1991" s="9"/>
      <c r="H1991" s="234"/>
      <c r="I1991" s="232"/>
      <c r="J1991" s="9"/>
      <c r="K1991" s="18"/>
      <c r="L1991" s="18"/>
      <c r="M1991" s="18"/>
      <c r="N1991" s="18"/>
      <c r="O1991" s="18"/>
      <c r="P1991" s="18"/>
      <c r="Q1991" s="18"/>
      <c r="R1991" s="18"/>
      <c r="S1991" s="18"/>
      <c r="T1991" s="18"/>
      <c r="U1991" s="18"/>
      <c r="V1991" s="18"/>
      <c r="W1991" s="18"/>
      <c r="X1991" s="18"/>
      <c r="Y1991" s="18"/>
      <c r="Z1991" s="18"/>
    </row>
    <row r="1992" ht="22.5" customHeight="1">
      <c r="A1992" s="250"/>
      <c r="B1992" s="218"/>
      <c r="C1992" s="9"/>
      <c r="D1992" s="228"/>
      <c r="E1992" s="216"/>
      <c r="F1992" s="273"/>
      <c r="G1992" s="9"/>
      <c r="H1992" s="234"/>
      <c r="I1992" s="232"/>
      <c r="J1992" s="9"/>
      <c r="K1992" s="18"/>
      <c r="L1992" s="18"/>
      <c r="M1992" s="18"/>
      <c r="N1992" s="18"/>
      <c r="O1992" s="18"/>
      <c r="P1992" s="18"/>
      <c r="Q1992" s="18"/>
      <c r="R1992" s="18"/>
      <c r="S1992" s="18"/>
      <c r="T1992" s="18"/>
      <c r="U1992" s="18"/>
      <c r="V1992" s="18"/>
      <c r="W1992" s="18"/>
      <c r="X1992" s="18"/>
      <c r="Y1992" s="18"/>
      <c r="Z1992" s="18"/>
    </row>
    <row r="1993" ht="22.5" customHeight="1">
      <c r="A1993" s="250"/>
      <c r="B1993" s="218"/>
      <c r="C1993" s="9"/>
      <c r="D1993" s="228"/>
      <c r="E1993" s="216"/>
      <c r="F1993" s="273"/>
      <c r="G1993" s="9"/>
      <c r="H1993" s="234"/>
      <c r="I1993" s="232"/>
      <c r="J1993" s="9"/>
      <c r="K1993" s="18"/>
      <c r="L1993" s="18"/>
      <c r="M1993" s="18"/>
      <c r="N1993" s="18"/>
      <c r="O1993" s="18"/>
      <c r="P1993" s="18"/>
      <c r="Q1993" s="18"/>
      <c r="R1993" s="18"/>
      <c r="S1993" s="18"/>
      <c r="T1993" s="18"/>
      <c r="U1993" s="18"/>
      <c r="V1993" s="18"/>
      <c r="W1993" s="18"/>
      <c r="X1993" s="18"/>
      <c r="Y1993" s="18"/>
      <c r="Z1993" s="18"/>
    </row>
    <row r="1994" ht="22.5" customHeight="1">
      <c r="A1994" s="250"/>
      <c r="B1994" s="218"/>
      <c r="C1994" s="9"/>
      <c r="D1994" s="228"/>
      <c r="E1994" s="216"/>
      <c r="F1994" s="273"/>
      <c r="G1994" s="9"/>
      <c r="H1994" s="234"/>
      <c r="I1994" s="232"/>
      <c r="J1994" s="9"/>
      <c r="K1994" s="18"/>
      <c r="L1994" s="18"/>
      <c r="M1994" s="18"/>
      <c r="N1994" s="18"/>
      <c r="O1994" s="18"/>
      <c r="P1994" s="18"/>
      <c r="Q1994" s="18"/>
      <c r="R1994" s="18"/>
      <c r="S1994" s="18"/>
      <c r="T1994" s="18"/>
      <c r="U1994" s="18"/>
      <c r="V1994" s="18"/>
      <c r="W1994" s="18"/>
      <c r="X1994" s="18"/>
      <c r="Y1994" s="18"/>
      <c r="Z1994" s="18"/>
    </row>
    <row r="1995" ht="22.5" customHeight="1">
      <c r="A1995" s="250"/>
      <c r="B1995" s="218"/>
      <c r="C1995" s="9"/>
      <c r="D1995" s="228"/>
      <c r="E1995" s="216"/>
      <c r="F1995" s="273"/>
      <c r="G1995" s="9"/>
      <c r="H1995" s="234"/>
      <c r="I1995" s="232"/>
      <c r="J1995" s="9"/>
      <c r="K1995" s="18"/>
      <c r="L1995" s="18"/>
      <c r="M1995" s="18"/>
      <c r="N1995" s="18"/>
      <c r="O1995" s="18"/>
      <c r="P1995" s="18"/>
      <c r="Q1995" s="18"/>
      <c r="R1995" s="18"/>
      <c r="S1995" s="18"/>
      <c r="T1995" s="18"/>
      <c r="U1995" s="18"/>
      <c r="V1995" s="18"/>
      <c r="W1995" s="18"/>
      <c r="X1995" s="18"/>
      <c r="Y1995" s="18"/>
      <c r="Z1995" s="18"/>
    </row>
    <row r="1996" ht="22.5" customHeight="1">
      <c r="A1996" s="250"/>
      <c r="B1996" s="218"/>
      <c r="C1996" s="9"/>
      <c r="D1996" s="228"/>
      <c r="E1996" s="216"/>
      <c r="F1996" s="273"/>
      <c r="G1996" s="9"/>
      <c r="H1996" s="234"/>
      <c r="I1996" s="232"/>
      <c r="J1996" s="9"/>
      <c r="K1996" s="18"/>
      <c r="L1996" s="18"/>
      <c r="M1996" s="18"/>
      <c r="N1996" s="18"/>
      <c r="O1996" s="18"/>
      <c r="P1996" s="18"/>
      <c r="Q1996" s="18"/>
      <c r="R1996" s="18"/>
      <c r="S1996" s="18"/>
      <c r="T1996" s="18"/>
      <c r="U1996" s="18"/>
      <c r="V1996" s="18"/>
      <c r="W1996" s="18"/>
      <c r="X1996" s="18"/>
      <c r="Y1996" s="18"/>
      <c r="Z1996" s="18"/>
    </row>
    <row r="1997" ht="22.5" customHeight="1">
      <c r="A1997" s="250"/>
      <c r="B1997" s="218"/>
      <c r="C1997" s="9"/>
      <c r="D1997" s="228"/>
      <c r="E1997" s="216"/>
      <c r="F1997" s="273"/>
      <c r="G1997" s="9"/>
      <c r="H1997" s="234"/>
      <c r="I1997" s="232"/>
      <c r="J1997" s="9"/>
      <c r="K1997" s="18"/>
      <c r="L1997" s="18"/>
      <c r="M1997" s="18"/>
      <c r="N1997" s="18"/>
      <c r="O1997" s="18"/>
      <c r="P1997" s="18"/>
      <c r="Q1997" s="18"/>
      <c r="R1997" s="18"/>
      <c r="S1997" s="18"/>
      <c r="T1997" s="18"/>
      <c r="U1997" s="18"/>
      <c r="V1997" s="18"/>
      <c r="W1997" s="18"/>
      <c r="X1997" s="18"/>
      <c r="Y1997" s="18"/>
      <c r="Z1997" s="18"/>
    </row>
    <row r="1998" ht="22.5" customHeight="1">
      <c r="A1998" s="250"/>
      <c r="B1998" s="218"/>
      <c r="C1998" s="9"/>
      <c r="D1998" s="228"/>
      <c r="E1998" s="216"/>
      <c r="F1998" s="273"/>
      <c r="G1998" s="9"/>
      <c r="H1998" s="234"/>
      <c r="I1998" s="232"/>
      <c r="J1998" s="9"/>
      <c r="K1998" s="18"/>
      <c r="L1998" s="18"/>
      <c r="M1998" s="18"/>
      <c r="N1998" s="18"/>
      <c r="O1998" s="18"/>
      <c r="P1998" s="18"/>
      <c r="Q1998" s="18"/>
      <c r="R1998" s="18"/>
      <c r="S1998" s="18"/>
      <c r="T1998" s="18"/>
      <c r="U1998" s="18"/>
      <c r="V1998" s="18"/>
      <c r="W1998" s="18"/>
      <c r="X1998" s="18"/>
      <c r="Y1998" s="18"/>
      <c r="Z1998" s="18"/>
    </row>
    <row r="1999" ht="22.5" customHeight="1">
      <c r="A1999" s="250"/>
      <c r="B1999" s="218"/>
      <c r="C1999" s="9"/>
      <c r="D1999" s="228"/>
      <c r="E1999" s="216"/>
      <c r="F1999" s="273"/>
      <c r="G1999" s="9"/>
      <c r="H1999" s="234"/>
      <c r="I1999" s="232"/>
      <c r="J1999" s="9"/>
      <c r="K1999" s="18"/>
      <c r="L1999" s="18"/>
      <c r="M1999" s="18"/>
      <c r="N1999" s="18"/>
      <c r="O1999" s="18"/>
      <c r="P1999" s="18"/>
      <c r="Q1999" s="18"/>
      <c r="R1999" s="18"/>
      <c r="S1999" s="18"/>
      <c r="T1999" s="18"/>
      <c r="U1999" s="18"/>
      <c r="V1999" s="18"/>
      <c r="W1999" s="18"/>
      <c r="X1999" s="18"/>
      <c r="Y1999" s="18"/>
      <c r="Z1999" s="18"/>
    </row>
    <row r="2000" ht="22.5" customHeight="1">
      <c r="A2000" s="250"/>
      <c r="B2000" s="218"/>
      <c r="C2000" s="9"/>
      <c r="D2000" s="228"/>
      <c r="E2000" s="216"/>
      <c r="F2000" s="273"/>
      <c r="G2000" s="9"/>
      <c r="H2000" s="234"/>
      <c r="I2000" s="232"/>
      <c r="J2000" s="9"/>
      <c r="K2000" s="18"/>
      <c r="L2000" s="18"/>
      <c r="M2000" s="18"/>
      <c r="N2000" s="18"/>
      <c r="O2000" s="18"/>
      <c r="P2000" s="18"/>
      <c r="Q2000" s="18"/>
      <c r="R2000" s="18"/>
      <c r="S2000" s="18"/>
      <c r="T2000" s="18"/>
      <c r="U2000" s="18"/>
      <c r="V2000" s="18"/>
      <c r="W2000" s="18"/>
      <c r="X2000" s="18"/>
      <c r="Y2000" s="18"/>
      <c r="Z2000" s="18"/>
    </row>
    <row r="2001" ht="22.5" customHeight="1">
      <c r="A2001" s="250"/>
      <c r="B2001" s="218"/>
      <c r="C2001" s="9"/>
      <c r="D2001" s="228"/>
      <c r="E2001" s="216"/>
      <c r="F2001" s="273"/>
      <c r="G2001" s="9"/>
      <c r="H2001" s="234"/>
      <c r="I2001" s="232"/>
      <c r="J2001" s="9"/>
      <c r="K2001" s="18"/>
      <c r="L2001" s="18"/>
      <c r="M2001" s="18"/>
      <c r="N2001" s="18"/>
      <c r="O2001" s="18"/>
      <c r="P2001" s="18"/>
      <c r="Q2001" s="18"/>
      <c r="R2001" s="18"/>
      <c r="S2001" s="18"/>
      <c r="T2001" s="18"/>
      <c r="U2001" s="18"/>
      <c r="V2001" s="18"/>
      <c r="W2001" s="18"/>
      <c r="X2001" s="18"/>
      <c r="Y2001" s="18"/>
      <c r="Z2001" s="18"/>
    </row>
    <row r="2002" ht="22.5" customHeight="1">
      <c r="A2002" s="250"/>
      <c r="B2002" s="218"/>
      <c r="C2002" s="9"/>
      <c r="D2002" s="228"/>
      <c r="E2002" s="216"/>
      <c r="F2002" s="273"/>
      <c r="G2002" s="9"/>
      <c r="H2002" s="234"/>
      <c r="I2002" s="232"/>
      <c r="J2002" s="9"/>
      <c r="K2002" s="18"/>
      <c r="L2002" s="18"/>
      <c r="M2002" s="18"/>
      <c r="N2002" s="18"/>
      <c r="O2002" s="18"/>
      <c r="P2002" s="18"/>
      <c r="Q2002" s="18"/>
      <c r="R2002" s="18"/>
      <c r="S2002" s="18"/>
      <c r="T2002" s="18"/>
      <c r="U2002" s="18"/>
      <c r="V2002" s="18"/>
      <c r="W2002" s="18"/>
      <c r="X2002" s="18"/>
      <c r="Y2002" s="18"/>
      <c r="Z2002" s="18"/>
    </row>
    <row r="2003" ht="22.5" customHeight="1">
      <c r="A2003" s="250"/>
      <c r="B2003" s="218"/>
      <c r="C2003" s="9"/>
      <c r="D2003" s="228"/>
      <c r="E2003" s="216"/>
      <c r="F2003" s="273"/>
      <c r="G2003" s="9"/>
      <c r="H2003" s="234"/>
      <c r="I2003" s="232"/>
      <c r="J2003" s="9"/>
      <c r="K2003" s="18"/>
      <c r="L2003" s="18"/>
      <c r="M2003" s="18"/>
      <c r="N2003" s="18"/>
      <c r="O2003" s="18"/>
      <c r="P2003" s="18"/>
      <c r="Q2003" s="18"/>
      <c r="R2003" s="18"/>
      <c r="S2003" s="18"/>
      <c r="T2003" s="18"/>
      <c r="U2003" s="18"/>
      <c r="V2003" s="18"/>
      <c r="W2003" s="18"/>
      <c r="X2003" s="18"/>
      <c r="Y2003" s="18"/>
      <c r="Z2003" s="18"/>
    </row>
    <row r="2004" ht="22.5" customHeight="1">
      <c r="A2004" s="250"/>
      <c r="B2004" s="218"/>
      <c r="C2004" s="9"/>
      <c r="D2004" s="228"/>
      <c r="E2004" s="216"/>
      <c r="F2004" s="273"/>
      <c r="G2004" s="9"/>
      <c r="H2004" s="234"/>
      <c r="I2004" s="232"/>
      <c r="J2004" s="9"/>
      <c r="K2004" s="18"/>
      <c r="L2004" s="18"/>
      <c r="M2004" s="18"/>
      <c r="N2004" s="18"/>
      <c r="O2004" s="18"/>
      <c r="P2004" s="18"/>
      <c r="Q2004" s="18"/>
      <c r="R2004" s="18"/>
      <c r="S2004" s="18"/>
      <c r="T2004" s="18"/>
      <c r="U2004" s="18"/>
      <c r="V2004" s="18"/>
      <c r="W2004" s="18"/>
      <c r="X2004" s="18"/>
      <c r="Y2004" s="18"/>
      <c r="Z2004" s="18"/>
    </row>
    <row r="2005" ht="22.5" customHeight="1">
      <c r="A2005" s="250"/>
      <c r="B2005" s="218"/>
      <c r="C2005" s="9"/>
      <c r="D2005" s="228"/>
      <c r="E2005" s="216"/>
      <c r="F2005" s="273"/>
      <c r="G2005" s="9"/>
      <c r="H2005" s="234"/>
      <c r="I2005" s="232"/>
      <c r="J2005" s="9"/>
      <c r="K2005" s="18"/>
      <c r="L2005" s="18"/>
      <c r="M2005" s="18"/>
      <c r="N2005" s="18"/>
      <c r="O2005" s="18"/>
      <c r="P2005" s="18"/>
      <c r="Q2005" s="18"/>
      <c r="R2005" s="18"/>
      <c r="S2005" s="18"/>
      <c r="T2005" s="18"/>
      <c r="U2005" s="18"/>
      <c r="V2005" s="18"/>
      <c r="W2005" s="18"/>
      <c r="X2005" s="18"/>
      <c r="Y2005" s="18"/>
      <c r="Z2005" s="18"/>
    </row>
    <row r="2006" ht="22.5" customHeight="1">
      <c r="A2006" s="250"/>
      <c r="B2006" s="218"/>
      <c r="C2006" s="9"/>
      <c r="D2006" s="228"/>
      <c r="E2006" s="216"/>
      <c r="F2006" s="273"/>
      <c r="G2006" s="9"/>
      <c r="H2006" s="234"/>
      <c r="I2006" s="232"/>
      <c r="J2006" s="9"/>
      <c r="K2006" s="18"/>
      <c r="L2006" s="18"/>
      <c r="M2006" s="18"/>
      <c r="N2006" s="18"/>
      <c r="O2006" s="18"/>
      <c r="P2006" s="18"/>
      <c r="Q2006" s="18"/>
      <c r="R2006" s="18"/>
      <c r="S2006" s="18"/>
      <c r="T2006" s="18"/>
      <c r="U2006" s="18"/>
      <c r="V2006" s="18"/>
      <c r="W2006" s="18"/>
      <c r="X2006" s="18"/>
      <c r="Y2006" s="18"/>
      <c r="Z2006" s="18"/>
    </row>
    <row r="2007" ht="22.5" customHeight="1">
      <c r="A2007" s="274"/>
      <c r="E2007" s="214"/>
      <c r="F2007" s="62"/>
      <c r="H2007" s="234"/>
      <c r="I2007" s="232"/>
      <c r="J2007" s="9"/>
      <c r="K2007" s="18"/>
      <c r="L2007" s="18"/>
      <c r="M2007" s="18"/>
      <c r="N2007" s="18"/>
      <c r="O2007" s="18"/>
      <c r="P2007" s="18"/>
      <c r="Q2007" s="18"/>
      <c r="R2007" s="18"/>
      <c r="S2007" s="18"/>
      <c r="T2007" s="18"/>
      <c r="U2007" s="18"/>
      <c r="V2007" s="18"/>
      <c r="W2007" s="18"/>
      <c r="X2007" s="18"/>
      <c r="Y2007" s="18"/>
      <c r="Z2007" s="18"/>
    </row>
    <row r="2008" ht="22.5" customHeight="1">
      <c r="A2008" s="274"/>
      <c r="E2008" s="214"/>
      <c r="F2008" s="62"/>
      <c r="H2008" s="234"/>
      <c r="I2008" s="232"/>
      <c r="J2008" s="9"/>
      <c r="K2008" s="18"/>
      <c r="L2008" s="18"/>
      <c r="M2008" s="18"/>
      <c r="N2008" s="18"/>
      <c r="O2008" s="18"/>
      <c r="P2008" s="18"/>
      <c r="Q2008" s="18"/>
      <c r="R2008" s="18"/>
      <c r="S2008" s="18"/>
      <c r="T2008" s="18"/>
      <c r="U2008" s="18"/>
      <c r="V2008" s="18"/>
      <c r="W2008" s="18"/>
      <c r="X2008" s="18"/>
      <c r="Y2008" s="18"/>
      <c r="Z2008" s="18"/>
    </row>
    <row r="2009" ht="22.5" customHeight="1">
      <c r="A2009" s="274"/>
      <c r="E2009" s="214"/>
      <c r="F2009" s="62"/>
      <c r="H2009" s="234"/>
      <c r="I2009" s="232"/>
      <c r="J2009" s="9"/>
      <c r="K2009" s="18"/>
      <c r="L2009" s="18"/>
      <c r="M2009" s="18"/>
      <c r="N2009" s="18"/>
      <c r="O2009" s="18"/>
      <c r="P2009" s="18"/>
      <c r="Q2009" s="18"/>
      <c r="R2009" s="18"/>
      <c r="S2009" s="18"/>
      <c r="T2009" s="18"/>
      <c r="U2009" s="18"/>
      <c r="V2009" s="18"/>
      <c r="W2009" s="18"/>
      <c r="X2009" s="18"/>
      <c r="Y2009" s="18"/>
      <c r="Z2009" s="18"/>
    </row>
    <row r="2010" ht="22.5" customHeight="1">
      <c r="A2010" s="274"/>
      <c r="E2010" s="214"/>
      <c r="F2010" s="62"/>
      <c r="H2010" s="234"/>
      <c r="I2010" s="232"/>
      <c r="J2010" s="9"/>
      <c r="K2010" s="18"/>
      <c r="L2010" s="18"/>
      <c r="M2010" s="18"/>
      <c r="N2010" s="18"/>
      <c r="O2010" s="18"/>
      <c r="P2010" s="18"/>
      <c r="Q2010" s="18"/>
      <c r="R2010" s="18"/>
      <c r="S2010" s="18"/>
      <c r="T2010" s="18"/>
      <c r="U2010" s="18"/>
      <c r="V2010" s="18"/>
      <c r="W2010" s="18"/>
      <c r="X2010" s="18"/>
      <c r="Y2010" s="18"/>
      <c r="Z2010" s="18"/>
    </row>
    <row r="2011" ht="22.5" customHeight="1">
      <c r="A2011" s="236"/>
      <c r="B2011" s="218"/>
      <c r="C2011" s="9"/>
      <c r="D2011" s="228"/>
      <c r="E2011" s="216"/>
      <c r="F2011" s="273"/>
      <c r="G2011" s="9"/>
      <c r="H2011" s="234"/>
      <c r="I2011" s="232"/>
      <c r="J2011" s="9"/>
      <c r="K2011" s="18"/>
      <c r="L2011" s="18"/>
      <c r="M2011" s="18"/>
      <c r="N2011" s="18"/>
      <c r="O2011" s="18"/>
      <c r="P2011" s="18"/>
      <c r="Q2011" s="18"/>
      <c r="R2011" s="18"/>
      <c r="S2011" s="18"/>
      <c r="T2011" s="18"/>
      <c r="U2011" s="18"/>
      <c r="V2011" s="18"/>
      <c r="W2011" s="18"/>
      <c r="X2011" s="18"/>
      <c r="Y2011" s="18"/>
      <c r="Z2011" s="18"/>
    </row>
    <row r="2012" ht="22.5" customHeight="1">
      <c r="A2012" s="250"/>
      <c r="B2012" s="218"/>
      <c r="C2012" s="9"/>
      <c r="D2012" s="228"/>
      <c r="E2012" s="216"/>
      <c r="F2012" s="273"/>
      <c r="G2012" s="9"/>
      <c r="H2012" s="234"/>
      <c r="I2012" s="232"/>
      <c r="J2012" s="9"/>
      <c r="K2012" s="18"/>
      <c r="L2012" s="18"/>
      <c r="M2012" s="18"/>
      <c r="N2012" s="18"/>
      <c r="O2012" s="18"/>
      <c r="P2012" s="18"/>
      <c r="Q2012" s="18"/>
      <c r="R2012" s="18"/>
      <c r="S2012" s="18"/>
      <c r="T2012" s="18"/>
      <c r="U2012" s="18"/>
      <c r="V2012" s="18"/>
      <c r="W2012" s="18"/>
      <c r="X2012" s="18"/>
      <c r="Y2012" s="18"/>
      <c r="Z2012" s="18"/>
    </row>
    <row r="2013" ht="22.5" customHeight="1">
      <c r="A2013" s="250"/>
      <c r="B2013" s="218"/>
      <c r="C2013" s="9"/>
      <c r="D2013" s="228"/>
      <c r="E2013" s="216"/>
      <c r="F2013" s="273"/>
      <c r="G2013" s="9"/>
      <c r="H2013" s="234"/>
      <c r="I2013" s="232"/>
      <c r="J2013" s="9"/>
      <c r="K2013" s="18"/>
      <c r="L2013" s="18"/>
      <c r="M2013" s="18"/>
      <c r="N2013" s="18"/>
      <c r="O2013" s="18"/>
      <c r="P2013" s="18"/>
      <c r="Q2013" s="18"/>
      <c r="R2013" s="18"/>
      <c r="S2013" s="18"/>
      <c r="T2013" s="18"/>
      <c r="U2013" s="18"/>
      <c r="V2013" s="18"/>
      <c r="W2013" s="18"/>
      <c r="X2013" s="18"/>
      <c r="Y2013" s="18"/>
      <c r="Z2013" s="18"/>
    </row>
    <row r="2014" ht="22.5" customHeight="1">
      <c r="A2014" s="250"/>
      <c r="B2014" s="218"/>
      <c r="C2014" s="9"/>
      <c r="D2014" s="228"/>
      <c r="E2014" s="216"/>
      <c r="F2014" s="273"/>
      <c r="G2014" s="9"/>
      <c r="H2014" s="234"/>
      <c r="I2014" s="232"/>
      <c r="J2014" s="9"/>
      <c r="K2014" s="18"/>
      <c r="L2014" s="18"/>
      <c r="M2014" s="18"/>
      <c r="N2014" s="18"/>
      <c r="O2014" s="18"/>
      <c r="P2014" s="18"/>
      <c r="Q2014" s="18"/>
      <c r="R2014" s="18"/>
      <c r="S2014" s="18"/>
      <c r="T2014" s="18"/>
      <c r="U2014" s="18"/>
      <c r="V2014" s="18"/>
      <c r="W2014" s="18"/>
      <c r="X2014" s="18"/>
      <c r="Y2014" s="18"/>
      <c r="Z2014" s="18"/>
    </row>
    <row r="2015" ht="22.5" customHeight="1">
      <c r="A2015" s="250"/>
      <c r="B2015" s="218"/>
      <c r="C2015" s="9"/>
      <c r="D2015" s="228"/>
      <c r="E2015" s="216"/>
      <c r="F2015" s="273"/>
      <c r="G2015" s="9"/>
      <c r="H2015" s="234"/>
      <c r="I2015" s="232"/>
      <c r="J2015" s="9"/>
      <c r="K2015" s="18"/>
      <c r="L2015" s="18"/>
      <c r="M2015" s="18"/>
      <c r="N2015" s="18"/>
      <c r="O2015" s="18"/>
      <c r="P2015" s="18"/>
      <c r="Q2015" s="18"/>
      <c r="R2015" s="18"/>
      <c r="S2015" s="18"/>
      <c r="T2015" s="18"/>
      <c r="U2015" s="18"/>
      <c r="V2015" s="18"/>
      <c r="W2015" s="18"/>
      <c r="X2015" s="18"/>
      <c r="Y2015" s="18"/>
      <c r="Z2015" s="18"/>
    </row>
    <row r="2016" ht="22.5" customHeight="1">
      <c r="A2016" s="250"/>
      <c r="B2016" s="218"/>
      <c r="C2016" s="9"/>
      <c r="D2016" s="228"/>
      <c r="E2016" s="216"/>
      <c r="F2016" s="273"/>
      <c r="G2016" s="9"/>
      <c r="H2016" s="234"/>
      <c r="I2016" s="232"/>
      <c r="J2016" s="9"/>
      <c r="K2016" s="18"/>
      <c r="L2016" s="18"/>
      <c r="M2016" s="18"/>
      <c r="N2016" s="18"/>
      <c r="O2016" s="18"/>
      <c r="P2016" s="18"/>
      <c r="Q2016" s="18"/>
      <c r="R2016" s="18"/>
      <c r="S2016" s="18"/>
      <c r="T2016" s="18"/>
      <c r="U2016" s="18"/>
      <c r="V2016" s="18"/>
      <c r="W2016" s="18"/>
      <c r="X2016" s="18"/>
      <c r="Y2016" s="18"/>
      <c r="Z2016" s="18"/>
    </row>
    <row r="2017" ht="22.5" customHeight="1">
      <c r="A2017" s="250"/>
      <c r="B2017" s="218"/>
      <c r="C2017" s="9"/>
      <c r="D2017" s="228"/>
      <c r="E2017" s="216"/>
      <c r="F2017" s="273"/>
      <c r="G2017" s="9"/>
      <c r="H2017" s="234"/>
      <c r="I2017" s="232"/>
      <c r="J2017" s="9"/>
      <c r="K2017" s="18"/>
      <c r="L2017" s="18"/>
      <c r="M2017" s="18"/>
      <c r="N2017" s="18"/>
      <c r="O2017" s="18"/>
      <c r="P2017" s="18"/>
      <c r="Q2017" s="18"/>
      <c r="R2017" s="18"/>
      <c r="S2017" s="18"/>
      <c r="T2017" s="18"/>
      <c r="U2017" s="18"/>
      <c r="V2017" s="18"/>
      <c r="W2017" s="18"/>
      <c r="X2017" s="18"/>
      <c r="Y2017" s="18"/>
      <c r="Z2017" s="18"/>
    </row>
    <row r="2018" ht="22.5" customHeight="1">
      <c r="A2018" s="250"/>
      <c r="B2018" s="218"/>
      <c r="C2018" s="9"/>
      <c r="D2018" s="228"/>
      <c r="E2018" s="216"/>
      <c r="F2018" s="273"/>
      <c r="G2018" s="9"/>
      <c r="H2018" s="234"/>
      <c r="I2018" s="232"/>
      <c r="J2018" s="9"/>
      <c r="K2018" s="18"/>
      <c r="L2018" s="18"/>
      <c r="M2018" s="18"/>
      <c r="N2018" s="18"/>
      <c r="O2018" s="18"/>
      <c r="P2018" s="18"/>
      <c r="Q2018" s="18"/>
      <c r="R2018" s="18"/>
      <c r="S2018" s="18"/>
      <c r="T2018" s="18"/>
      <c r="U2018" s="18"/>
      <c r="V2018" s="18"/>
      <c r="W2018" s="18"/>
      <c r="X2018" s="18"/>
      <c r="Y2018" s="18"/>
      <c r="Z2018" s="18"/>
    </row>
    <row r="2019" ht="22.5" customHeight="1">
      <c r="A2019" s="250"/>
      <c r="B2019" s="218"/>
      <c r="C2019" s="9"/>
      <c r="D2019" s="228"/>
      <c r="E2019" s="216"/>
      <c r="F2019" s="273"/>
      <c r="G2019" s="9"/>
      <c r="H2019" s="234"/>
      <c r="I2019" s="232"/>
      <c r="J2019" s="9"/>
      <c r="K2019" s="18"/>
      <c r="L2019" s="18"/>
      <c r="M2019" s="18"/>
      <c r="N2019" s="18"/>
      <c r="O2019" s="18"/>
      <c r="P2019" s="18"/>
      <c r="Q2019" s="18"/>
      <c r="R2019" s="18"/>
      <c r="S2019" s="18"/>
      <c r="T2019" s="18"/>
      <c r="U2019" s="18"/>
      <c r="V2019" s="18"/>
      <c r="W2019" s="18"/>
      <c r="X2019" s="18"/>
      <c r="Y2019" s="18"/>
      <c r="Z2019" s="18"/>
    </row>
    <row r="2020" ht="22.5" customHeight="1">
      <c r="A2020" s="250"/>
      <c r="B2020" s="218"/>
      <c r="C2020" s="9"/>
      <c r="D2020" s="228"/>
      <c r="E2020" s="216"/>
      <c r="F2020" s="273"/>
      <c r="G2020" s="9"/>
      <c r="H2020" s="234"/>
      <c r="I2020" s="232"/>
      <c r="J2020" s="9"/>
      <c r="K2020" s="18"/>
      <c r="L2020" s="18"/>
      <c r="M2020" s="18"/>
      <c r="N2020" s="18"/>
      <c r="O2020" s="18"/>
      <c r="P2020" s="18"/>
      <c r="Q2020" s="18"/>
      <c r="R2020" s="18"/>
      <c r="S2020" s="18"/>
      <c r="T2020" s="18"/>
      <c r="U2020" s="18"/>
      <c r="V2020" s="18"/>
      <c r="W2020" s="18"/>
      <c r="X2020" s="18"/>
      <c r="Y2020" s="18"/>
      <c r="Z2020" s="18"/>
    </row>
    <row r="2021" ht="22.5" customHeight="1">
      <c r="A2021" s="250"/>
      <c r="B2021" s="218"/>
      <c r="C2021" s="9"/>
      <c r="D2021" s="228"/>
      <c r="E2021" s="216"/>
      <c r="F2021" s="273"/>
      <c r="G2021" s="9"/>
      <c r="H2021" s="234"/>
      <c r="I2021" s="232"/>
      <c r="J2021" s="9"/>
      <c r="K2021" s="18"/>
      <c r="L2021" s="18"/>
      <c r="M2021" s="18"/>
      <c r="N2021" s="18"/>
      <c r="O2021" s="18"/>
      <c r="P2021" s="18"/>
      <c r="Q2021" s="18"/>
      <c r="R2021" s="18"/>
      <c r="S2021" s="18"/>
      <c r="T2021" s="18"/>
      <c r="U2021" s="18"/>
      <c r="V2021" s="18"/>
      <c r="W2021" s="18"/>
      <c r="X2021" s="18"/>
      <c r="Y2021" s="18"/>
      <c r="Z2021" s="18"/>
    </row>
    <row r="2022" ht="22.5" customHeight="1">
      <c r="A2022" s="250"/>
      <c r="B2022" s="218"/>
      <c r="C2022" s="9"/>
      <c r="D2022" s="228"/>
      <c r="E2022" s="216"/>
      <c r="F2022" s="273"/>
      <c r="G2022" s="9"/>
      <c r="H2022" s="234"/>
      <c r="I2022" s="232"/>
      <c r="J2022" s="9"/>
      <c r="K2022" s="18"/>
      <c r="L2022" s="18"/>
      <c r="M2022" s="18"/>
      <c r="N2022" s="18"/>
      <c r="O2022" s="18"/>
      <c r="P2022" s="18"/>
      <c r="Q2022" s="18"/>
      <c r="R2022" s="18"/>
      <c r="S2022" s="18"/>
      <c r="T2022" s="18"/>
      <c r="U2022" s="18"/>
      <c r="V2022" s="18"/>
      <c r="W2022" s="18"/>
      <c r="X2022" s="18"/>
      <c r="Y2022" s="18"/>
      <c r="Z2022" s="18"/>
    </row>
    <row r="2023" ht="22.5" customHeight="1">
      <c r="A2023" s="250"/>
      <c r="B2023" s="218"/>
      <c r="C2023" s="9"/>
      <c r="D2023" s="228"/>
      <c r="E2023" s="216"/>
      <c r="F2023" s="273"/>
      <c r="G2023" s="9"/>
      <c r="H2023" s="234"/>
      <c r="I2023" s="232"/>
      <c r="J2023" s="9"/>
      <c r="K2023" s="18"/>
      <c r="L2023" s="18"/>
      <c r="M2023" s="18"/>
      <c r="N2023" s="18"/>
      <c r="O2023" s="18"/>
      <c r="P2023" s="18"/>
      <c r="Q2023" s="18"/>
      <c r="R2023" s="18"/>
      <c r="S2023" s="18"/>
      <c r="T2023" s="18"/>
      <c r="U2023" s="18"/>
      <c r="V2023" s="18"/>
      <c r="W2023" s="18"/>
      <c r="X2023" s="18"/>
      <c r="Y2023" s="18"/>
      <c r="Z2023" s="18"/>
    </row>
    <row r="2024" ht="22.5" customHeight="1">
      <c r="A2024" s="250"/>
      <c r="B2024" s="218"/>
      <c r="C2024" s="9"/>
      <c r="D2024" s="228"/>
      <c r="E2024" s="216"/>
      <c r="F2024" s="273"/>
      <c r="G2024" s="9"/>
      <c r="H2024" s="234"/>
      <c r="I2024" s="232"/>
      <c r="J2024" s="9"/>
      <c r="K2024" s="18"/>
      <c r="L2024" s="18"/>
      <c r="M2024" s="18"/>
      <c r="N2024" s="18"/>
      <c r="O2024" s="18"/>
      <c r="P2024" s="18"/>
      <c r="Q2024" s="18"/>
      <c r="R2024" s="18"/>
      <c r="S2024" s="18"/>
      <c r="T2024" s="18"/>
      <c r="U2024" s="18"/>
      <c r="V2024" s="18"/>
      <c r="W2024" s="18"/>
      <c r="X2024" s="18"/>
      <c r="Y2024" s="18"/>
      <c r="Z2024" s="18"/>
    </row>
    <row r="2025" ht="22.5" customHeight="1">
      <c r="A2025" s="250"/>
      <c r="B2025" s="218"/>
      <c r="C2025" s="9"/>
      <c r="D2025" s="228"/>
      <c r="E2025" s="216"/>
      <c r="F2025" s="273"/>
      <c r="G2025" s="9"/>
      <c r="H2025" s="234"/>
      <c r="I2025" s="232"/>
      <c r="J2025" s="9"/>
      <c r="K2025" s="18"/>
      <c r="L2025" s="18"/>
      <c r="M2025" s="18"/>
      <c r="N2025" s="18"/>
      <c r="O2025" s="18"/>
      <c r="P2025" s="18"/>
      <c r="Q2025" s="18"/>
      <c r="R2025" s="18"/>
      <c r="S2025" s="18"/>
      <c r="T2025" s="18"/>
      <c r="U2025" s="18"/>
      <c r="V2025" s="18"/>
      <c r="W2025" s="18"/>
      <c r="X2025" s="18"/>
      <c r="Y2025" s="18"/>
      <c r="Z2025" s="18"/>
    </row>
    <row r="2026" ht="22.5" customHeight="1">
      <c r="A2026" s="250"/>
      <c r="B2026" s="218"/>
      <c r="C2026" s="9"/>
      <c r="D2026" s="228"/>
      <c r="E2026" s="216"/>
      <c r="F2026" s="273"/>
      <c r="G2026" s="9"/>
      <c r="H2026" s="234"/>
      <c r="I2026" s="232"/>
      <c r="J2026" s="9"/>
      <c r="K2026" s="18"/>
      <c r="L2026" s="18"/>
      <c r="M2026" s="18"/>
      <c r="N2026" s="18"/>
      <c r="O2026" s="18"/>
      <c r="P2026" s="18"/>
      <c r="Q2026" s="18"/>
      <c r="R2026" s="18"/>
      <c r="S2026" s="18"/>
      <c r="T2026" s="18"/>
      <c r="U2026" s="18"/>
      <c r="V2026" s="18"/>
      <c r="W2026" s="18"/>
      <c r="X2026" s="18"/>
      <c r="Y2026" s="18"/>
      <c r="Z2026" s="18"/>
    </row>
    <row r="2027" ht="22.5" customHeight="1">
      <c r="A2027" s="250"/>
      <c r="B2027" s="218"/>
      <c r="C2027" s="9"/>
      <c r="D2027" s="228"/>
      <c r="E2027" s="216"/>
      <c r="F2027" s="273"/>
      <c r="G2027" s="9"/>
      <c r="H2027" s="234"/>
      <c r="I2027" s="232"/>
      <c r="J2027" s="9"/>
      <c r="K2027" s="18"/>
      <c r="L2027" s="18"/>
      <c r="M2027" s="18"/>
      <c r="N2027" s="18"/>
      <c r="O2027" s="18"/>
      <c r="P2027" s="18"/>
      <c r="Q2027" s="18"/>
      <c r="R2027" s="18"/>
      <c r="S2027" s="18"/>
      <c r="T2027" s="18"/>
      <c r="U2027" s="18"/>
      <c r="V2027" s="18"/>
      <c r="W2027" s="18"/>
      <c r="X2027" s="18"/>
      <c r="Y2027" s="18"/>
      <c r="Z2027" s="18"/>
    </row>
    <row r="2028" ht="22.5" customHeight="1">
      <c r="A2028" s="250"/>
      <c r="B2028" s="218"/>
      <c r="C2028" s="9"/>
      <c r="D2028" s="228"/>
      <c r="E2028" s="216"/>
      <c r="F2028" s="273"/>
      <c r="G2028" s="9"/>
      <c r="H2028" s="234"/>
      <c r="I2028" s="232"/>
      <c r="J2028" s="9"/>
      <c r="K2028" s="18"/>
      <c r="L2028" s="18"/>
      <c r="M2028" s="18"/>
      <c r="N2028" s="18"/>
      <c r="O2028" s="18"/>
      <c r="P2028" s="18"/>
      <c r="Q2028" s="18"/>
      <c r="R2028" s="18"/>
      <c r="S2028" s="18"/>
      <c r="T2028" s="18"/>
      <c r="U2028" s="18"/>
      <c r="V2028" s="18"/>
      <c r="W2028" s="18"/>
      <c r="X2028" s="18"/>
      <c r="Y2028" s="18"/>
      <c r="Z2028" s="18"/>
    </row>
    <row r="2029" ht="22.5" customHeight="1">
      <c r="A2029" s="250"/>
      <c r="B2029" s="218"/>
      <c r="C2029" s="9"/>
      <c r="D2029" s="228"/>
      <c r="E2029" s="216"/>
      <c r="F2029" s="273"/>
      <c r="G2029" s="9"/>
      <c r="H2029" s="234"/>
      <c r="I2029" s="232"/>
      <c r="J2029" s="9"/>
      <c r="K2029" s="18"/>
      <c r="L2029" s="18"/>
      <c r="M2029" s="18"/>
      <c r="N2029" s="18"/>
      <c r="O2029" s="18"/>
      <c r="P2029" s="18"/>
      <c r="Q2029" s="18"/>
      <c r="R2029" s="18"/>
      <c r="S2029" s="18"/>
      <c r="T2029" s="18"/>
      <c r="U2029" s="18"/>
      <c r="V2029" s="18"/>
      <c r="W2029" s="18"/>
      <c r="X2029" s="18"/>
      <c r="Y2029" s="18"/>
      <c r="Z2029" s="18"/>
    </row>
    <row r="2030" ht="22.5" customHeight="1">
      <c r="A2030" s="250"/>
      <c r="B2030" s="218"/>
      <c r="C2030" s="9"/>
      <c r="D2030" s="228"/>
      <c r="E2030" s="216"/>
      <c r="F2030" s="273"/>
      <c r="G2030" s="9"/>
      <c r="H2030" s="234"/>
      <c r="I2030" s="232"/>
      <c r="J2030" s="9"/>
      <c r="K2030" s="18"/>
      <c r="L2030" s="18"/>
      <c r="M2030" s="18"/>
      <c r="N2030" s="18"/>
      <c r="O2030" s="18"/>
      <c r="P2030" s="18"/>
      <c r="Q2030" s="18"/>
      <c r="R2030" s="18"/>
      <c r="S2030" s="18"/>
      <c r="T2030" s="18"/>
      <c r="U2030" s="18"/>
      <c r="V2030" s="18"/>
      <c r="W2030" s="18"/>
      <c r="X2030" s="18"/>
      <c r="Y2030" s="18"/>
      <c r="Z2030" s="18"/>
    </row>
    <row r="2031" ht="22.5" customHeight="1">
      <c r="A2031" s="250"/>
      <c r="B2031" s="218"/>
      <c r="C2031" s="9"/>
      <c r="D2031" s="228"/>
      <c r="E2031" s="216"/>
      <c r="F2031" s="273"/>
      <c r="G2031" s="9"/>
      <c r="H2031" s="234"/>
      <c r="I2031" s="232"/>
      <c r="J2031" s="9"/>
      <c r="K2031" s="18"/>
      <c r="L2031" s="18"/>
      <c r="M2031" s="18"/>
      <c r="N2031" s="18"/>
      <c r="O2031" s="18"/>
      <c r="P2031" s="18"/>
      <c r="Q2031" s="18"/>
      <c r="R2031" s="18"/>
      <c r="S2031" s="18"/>
      <c r="T2031" s="18"/>
      <c r="U2031" s="18"/>
      <c r="V2031" s="18"/>
      <c r="W2031" s="18"/>
      <c r="X2031" s="18"/>
      <c r="Y2031" s="18"/>
      <c r="Z2031" s="18"/>
    </row>
    <row r="2032" ht="22.5" customHeight="1">
      <c r="A2032" s="250"/>
      <c r="B2032" s="218"/>
      <c r="C2032" s="9"/>
      <c r="D2032" s="228"/>
      <c r="E2032" s="216"/>
      <c r="F2032" s="273"/>
      <c r="G2032" s="9"/>
      <c r="H2032" s="234"/>
      <c r="I2032" s="232"/>
      <c r="J2032" s="9"/>
      <c r="K2032" s="18"/>
      <c r="L2032" s="18"/>
      <c r="M2032" s="18"/>
      <c r="N2032" s="18"/>
      <c r="O2032" s="18"/>
      <c r="P2032" s="18"/>
      <c r="Q2032" s="18"/>
      <c r="R2032" s="18"/>
      <c r="S2032" s="18"/>
      <c r="T2032" s="18"/>
      <c r="U2032" s="18"/>
      <c r="V2032" s="18"/>
      <c r="W2032" s="18"/>
      <c r="X2032" s="18"/>
      <c r="Y2032" s="18"/>
      <c r="Z2032" s="18"/>
    </row>
    <row r="2033" ht="22.5" customHeight="1">
      <c r="A2033" s="250"/>
      <c r="B2033" s="218"/>
      <c r="C2033" s="9"/>
      <c r="D2033" s="228"/>
      <c r="E2033" s="216"/>
      <c r="F2033" s="273"/>
      <c r="G2033" s="9"/>
      <c r="H2033" s="234"/>
      <c r="I2033" s="232"/>
      <c r="J2033" s="9"/>
      <c r="K2033" s="18"/>
      <c r="L2033" s="18"/>
      <c r="M2033" s="18"/>
      <c r="N2033" s="18"/>
      <c r="O2033" s="18"/>
      <c r="P2033" s="18"/>
      <c r="Q2033" s="18"/>
      <c r="R2033" s="18"/>
      <c r="S2033" s="18"/>
      <c r="T2033" s="18"/>
      <c r="U2033" s="18"/>
      <c r="V2033" s="18"/>
      <c r="W2033" s="18"/>
      <c r="X2033" s="18"/>
      <c r="Y2033" s="18"/>
      <c r="Z2033" s="18"/>
    </row>
    <row r="2034" ht="22.5" customHeight="1">
      <c r="A2034" s="250"/>
      <c r="B2034" s="218"/>
      <c r="C2034" s="9"/>
      <c r="D2034" s="228"/>
      <c r="E2034" s="216"/>
      <c r="F2034" s="273"/>
      <c r="G2034" s="9"/>
      <c r="H2034" s="234"/>
      <c r="I2034" s="232"/>
      <c r="J2034" s="9"/>
      <c r="K2034" s="18"/>
      <c r="L2034" s="18"/>
      <c r="M2034" s="18"/>
      <c r="N2034" s="18"/>
      <c r="O2034" s="18"/>
      <c r="P2034" s="18"/>
      <c r="Q2034" s="18"/>
      <c r="R2034" s="18"/>
      <c r="S2034" s="18"/>
      <c r="T2034" s="18"/>
      <c r="U2034" s="18"/>
      <c r="V2034" s="18"/>
      <c r="W2034" s="18"/>
      <c r="X2034" s="18"/>
      <c r="Y2034" s="18"/>
      <c r="Z2034" s="18"/>
    </row>
    <row r="2035" ht="22.5" customHeight="1">
      <c r="A2035" s="250"/>
      <c r="B2035" s="218"/>
      <c r="C2035" s="9"/>
      <c r="D2035" s="228"/>
      <c r="E2035" s="216"/>
      <c r="F2035" s="273"/>
      <c r="G2035" s="9"/>
      <c r="H2035" s="234"/>
      <c r="I2035" s="232"/>
      <c r="J2035" s="9"/>
      <c r="K2035" s="18"/>
      <c r="L2035" s="18"/>
      <c r="M2035" s="18"/>
      <c r="N2035" s="18"/>
      <c r="O2035" s="18"/>
      <c r="P2035" s="18"/>
      <c r="Q2035" s="18"/>
      <c r="R2035" s="18"/>
      <c r="S2035" s="18"/>
      <c r="T2035" s="18"/>
      <c r="U2035" s="18"/>
      <c r="V2035" s="18"/>
      <c r="W2035" s="18"/>
      <c r="X2035" s="18"/>
      <c r="Y2035" s="18"/>
      <c r="Z2035" s="18"/>
    </row>
    <row r="2036" ht="22.5" customHeight="1">
      <c r="A2036" s="250"/>
      <c r="B2036" s="218"/>
      <c r="C2036" s="9"/>
      <c r="D2036" s="228"/>
      <c r="E2036" s="216"/>
      <c r="F2036" s="273"/>
      <c r="G2036" s="9"/>
      <c r="H2036" s="234"/>
      <c r="I2036" s="232"/>
      <c r="J2036" s="9"/>
      <c r="K2036" s="18"/>
      <c r="L2036" s="18"/>
      <c r="M2036" s="18"/>
      <c r="N2036" s="18"/>
      <c r="O2036" s="18"/>
      <c r="P2036" s="18"/>
      <c r="Q2036" s="18"/>
      <c r="R2036" s="18"/>
      <c r="S2036" s="18"/>
      <c r="T2036" s="18"/>
      <c r="U2036" s="18"/>
      <c r="V2036" s="18"/>
      <c r="W2036" s="18"/>
      <c r="X2036" s="18"/>
      <c r="Y2036" s="18"/>
      <c r="Z2036" s="18"/>
    </row>
    <row r="2037" ht="22.5" customHeight="1">
      <c r="A2037" s="250"/>
      <c r="B2037" s="218"/>
      <c r="C2037" s="9"/>
      <c r="D2037" s="228"/>
      <c r="E2037" s="216"/>
      <c r="F2037" s="273"/>
      <c r="G2037" s="9"/>
      <c r="H2037" s="234"/>
      <c r="I2037" s="232"/>
      <c r="J2037" s="9"/>
      <c r="K2037" s="18"/>
      <c r="L2037" s="18"/>
      <c r="M2037" s="18"/>
      <c r="N2037" s="18"/>
      <c r="O2037" s="18"/>
      <c r="P2037" s="18"/>
      <c r="Q2037" s="18"/>
      <c r="R2037" s="18"/>
      <c r="S2037" s="18"/>
      <c r="T2037" s="18"/>
      <c r="U2037" s="18"/>
      <c r="V2037" s="18"/>
      <c r="W2037" s="18"/>
      <c r="X2037" s="18"/>
      <c r="Y2037" s="18"/>
      <c r="Z2037" s="18"/>
    </row>
    <row r="2038" ht="22.5" customHeight="1">
      <c r="A2038" s="250"/>
      <c r="B2038" s="218"/>
      <c r="C2038" s="9"/>
      <c r="D2038" s="228"/>
      <c r="E2038" s="216"/>
      <c r="F2038" s="273"/>
      <c r="G2038" s="9"/>
      <c r="H2038" s="234"/>
      <c r="I2038" s="232"/>
      <c r="J2038" s="9"/>
      <c r="K2038" s="18"/>
      <c r="L2038" s="18"/>
      <c r="M2038" s="18"/>
      <c r="N2038" s="18"/>
      <c r="O2038" s="18"/>
      <c r="P2038" s="18"/>
      <c r="Q2038" s="18"/>
      <c r="R2038" s="18"/>
      <c r="S2038" s="18"/>
      <c r="T2038" s="18"/>
      <c r="U2038" s="18"/>
      <c r="V2038" s="18"/>
      <c r="W2038" s="18"/>
      <c r="X2038" s="18"/>
      <c r="Y2038" s="18"/>
      <c r="Z2038" s="18"/>
    </row>
    <row r="2039" ht="22.5" customHeight="1">
      <c r="A2039" s="250"/>
      <c r="B2039" s="218"/>
      <c r="C2039" s="9"/>
      <c r="D2039" s="228"/>
      <c r="E2039" s="216"/>
      <c r="F2039" s="273"/>
      <c r="G2039" s="9"/>
      <c r="H2039" s="234"/>
      <c r="I2039" s="232"/>
      <c r="J2039" s="9"/>
      <c r="K2039" s="18"/>
      <c r="L2039" s="18"/>
      <c r="M2039" s="18"/>
      <c r="N2039" s="18"/>
      <c r="O2039" s="18"/>
      <c r="P2039" s="18"/>
      <c r="Q2039" s="18"/>
      <c r="R2039" s="18"/>
      <c r="S2039" s="18"/>
      <c r="T2039" s="18"/>
      <c r="U2039" s="18"/>
      <c r="V2039" s="18"/>
      <c r="W2039" s="18"/>
      <c r="X2039" s="18"/>
      <c r="Y2039" s="18"/>
      <c r="Z2039" s="18"/>
    </row>
    <row r="2040" ht="22.5" customHeight="1">
      <c r="A2040" s="250"/>
      <c r="B2040" s="218"/>
      <c r="C2040" s="9"/>
      <c r="D2040" s="228"/>
      <c r="E2040" s="216"/>
      <c r="F2040" s="273"/>
      <c r="G2040" s="9"/>
      <c r="H2040" s="234"/>
      <c r="I2040" s="232"/>
      <c r="J2040" s="9"/>
      <c r="K2040" s="18"/>
      <c r="L2040" s="18"/>
      <c r="M2040" s="18"/>
      <c r="N2040" s="18"/>
      <c r="O2040" s="18"/>
      <c r="P2040" s="18"/>
      <c r="Q2040" s="18"/>
      <c r="R2040" s="18"/>
      <c r="S2040" s="18"/>
      <c r="T2040" s="18"/>
      <c r="U2040" s="18"/>
      <c r="V2040" s="18"/>
      <c r="W2040" s="18"/>
      <c r="X2040" s="18"/>
      <c r="Y2040" s="18"/>
      <c r="Z2040" s="18"/>
    </row>
    <row r="2041" ht="22.5" customHeight="1">
      <c r="A2041" s="250"/>
      <c r="B2041" s="218"/>
      <c r="C2041" s="9"/>
      <c r="D2041" s="228"/>
      <c r="E2041" s="216"/>
      <c r="F2041" s="273"/>
      <c r="G2041" s="9"/>
      <c r="H2041" s="234"/>
      <c r="I2041" s="232"/>
      <c r="J2041" s="9"/>
      <c r="K2041" s="18"/>
      <c r="L2041" s="18"/>
      <c r="M2041" s="18"/>
      <c r="N2041" s="18"/>
      <c r="O2041" s="18"/>
      <c r="P2041" s="18"/>
      <c r="Q2041" s="18"/>
      <c r="R2041" s="18"/>
      <c r="S2041" s="18"/>
      <c r="T2041" s="18"/>
      <c r="U2041" s="18"/>
      <c r="V2041" s="18"/>
      <c r="W2041" s="18"/>
      <c r="X2041" s="18"/>
      <c r="Y2041" s="18"/>
      <c r="Z2041" s="18"/>
    </row>
    <row r="2042" ht="22.5" customHeight="1">
      <c r="A2042" s="250"/>
      <c r="B2042" s="218"/>
      <c r="C2042" s="9"/>
      <c r="D2042" s="228"/>
      <c r="E2042" s="216"/>
      <c r="F2042" s="273"/>
      <c r="G2042" s="9"/>
      <c r="H2042" s="234"/>
      <c r="I2042" s="232"/>
      <c r="J2042" s="9"/>
      <c r="K2042" s="18"/>
      <c r="L2042" s="18"/>
      <c r="M2042" s="18"/>
      <c r="N2042" s="18"/>
      <c r="O2042" s="18"/>
      <c r="P2042" s="18"/>
      <c r="Q2042" s="18"/>
      <c r="R2042" s="18"/>
      <c r="S2042" s="18"/>
      <c r="T2042" s="18"/>
      <c r="U2042" s="18"/>
      <c r="V2042" s="18"/>
      <c r="W2042" s="18"/>
      <c r="X2042" s="18"/>
      <c r="Y2042" s="18"/>
      <c r="Z2042" s="18"/>
    </row>
    <row r="2043" ht="22.5" customHeight="1">
      <c r="A2043" s="250"/>
      <c r="B2043" s="218"/>
      <c r="C2043" s="9"/>
      <c r="D2043" s="228"/>
      <c r="E2043" s="216"/>
      <c r="F2043" s="273"/>
      <c r="G2043" s="9"/>
      <c r="H2043" s="234"/>
      <c r="I2043" s="232"/>
      <c r="J2043" s="9"/>
      <c r="K2043" s="18"/>
      <c r="L2043" s="18"/>
      <c r="M2043" s="18"/>
      <c r="N2043" s="18"/>
      <c r="O2043" s="18"/>
      <c r="P2043" s="18"/>
      <c r="Q2043" s="18"/>
      <c r="R2043" s="18"/>
      <c r="S2043" s="18"/>
      <c r="T2043" s="18"/>
      <c r="U2043" s="18"/>
      <c r="V2043" s="18"/>
      <c r="W2043" s="18"/>
      <c r="X2043" s="18"/>
      <c r="Y2043" s="18"/>
      <c r="Z2043" s="18"/>
    </row>
    <row r="2044" ht="22.5" customHeight="1">
      <c r="A2044" s="250"/>
      <c r="B2044" s="218"/>
      <c r="C2044" s="9"/>
      <c r="D2044" s="228"/>
      <c r="E2044" s="216"/>
      <c r="F2044" s="273"/>
      <c r="G2044" s="9"/>
      <c r="H2044" s="234"/>
      <c r="I2044" s="232"/>
      <c r="J2044" s="9"/>
      <c r="K2044" s="18"/>
      <c r="L2044" s="18"/>
      <c r="M2044" s="18"/>
      <c r="N2044" s="18"/>
      <c r="O2044" s="18"/>
      <c r="P2044" s="18"/>
      <c r="Q2044" s="18"/>
      <c r="R2044" s="18"/>
      <c r="S2044" s="18"/>
      <c r="T2044" s="18"/>
      <c r="U2044" s="18"/>
      <c r="V2044" s="18"/>
      <c r="W2044" s="18"/>
      <c r="X2044" s="18"/>
      <c r="Y2044" s="18"/>
      <c r="Z2044" s="18"/>
    </row>
    <row r="2045" ht="22.5" customHeight="1">
      <c r="A2045" s="250"/>
      <c r="B2045" s="218"/>
      <c r="C2045" s="9"/>
      <c r="D2045" s="228"/>
      <c r="E2045" s="216"/>
      <c r="F2045" s="273"/>
      <c r="G2045" s="9"/>
      <c r="H2045" s="234"/>
      <c r="I2045" s="232"/>
      <c r="J2045" s="9"/>
      <c r="K2045" s="18"/>
      <c r="L2045" s="18"/>
      <c r="M2045" s="18"/>
      <c r="N2045" s="18"/>
      <c r="O2045" s="18"/>
      <c r="P2045" s="18"/>
      <c r="Q2045" s="18"/>
      <c r="R2045" s="18"/>
      <c r="S2045" s="18"/>
      <c r="T2045" s="18"/>
      <c r="U2045" s="18"/>
      <c r="V2045" s="18"/>
      <c r="W2045" s="18"/>
      <c r="X2045" s="18"/>
      <c r="Y2045" s="18"/>
      <c r="Z2045" s="18"/>
    </row>
    <row r="2046" ht="22.5" customHeight="1">
      <c r="A2046" s="250"/>
      <c r="B2046" s="218"/>
      <c r="C2046" s="9"/>
      <c r="D2046" s="228"/>
      <c r="E2046" s="216"/>
      <c r="F2046" s="273"/>
      <c r="G2046" s="9"/>
      <c r="H2046" s="234"/>
      <c r="I2046" s="232"/>
      <c r="J2046" s="9"/>
      <c r="K2046" s="18"/>
      <c r="L2046" s="18"/>
      <c r="M2046" s="18"/>
      <c r="N2046" s="18"/>
      <c r="O2046" s="18"/>
      <c r="P2046" s="18"/>
      <c r="Q2046" s="18"/>
      <c r="R2046" s="18"/>
      <c r="S2046" s="18"/>
      <c r="T2046" s="18"/>
      <c r="U2046" s="18"/>
      <c r="V2046" s="18"/>
      <c r="W2046" s="18"/>
      <c r="X2046" s="18"/>
      <c r="Y2046" s="18"/>
      <c r="Z2046" s="18"/>
    </row>
    <row r="2047" ht="22.5" customHeight="1">
      <c r="A2047" s="250"/>
      <c r="B2047" s="218"/>
      <c r="C2047" s="9"/>
      <c r="D2047" s="228"/>
      <c r="E2047" s="216"/>
      <c r="F2047" s="273"/>
      <c r="G2047" s="9"/>
      <c r="H2047" s="234"/>
      <c r="I2047" s="232"/>
      <c r="J2047" s="9"/>
      <c r="K2047" s="18"/>
      <c r="L2047" s="18"/>
      <c r="M2047" s="18"/>
      <c r="N2047" s="18"/>
      <c r="O2047" s="18"/>
      <c r="P2047" s="18"/>
      <c r="Q2047" s="18"/>
      <c r="R2047" s="18"/>
      <c r="S2047" s="18"/>
      <c r="T2047" s="18"/>
      <c r="U2047" s="18"/>
      <c r="V2047" s="18"/>
      <c r="W2047" s="18"/>
      <c r="X2047" s="18"/>
      <c r="Y2047" s="18"/>
      <c r="Z2047" s="18"/>
    </row>
    <row r="2048" ht="22.5" customHeight="1">
      <c r="A2048" s="250"/>
      <c r="B2048" s="218"/>
      <c r="C2048" s="9"/>
      <c r="D2048" s="228"/>
      <c r="E2048" s="216"/>
      <c r="F2048" s="273"/>
      <c r="G2048" s="9"/>
      <c r="H2048" s="234"/>
      <c r="I2048" s="232"/>
      <c r="J2048" s="9"/>
      <c r="K2048" s="18"/>
      <c r="L2048" s="18"/>
      <c r="M2048" s="18"/>
      <c r="N2048" s="18"/>
      <c r="O2048" s="18"/>
      <c r="P2048" s="18"/>
      <c r="Q2048" s="18"/>
      <c r="R2048" s="18"/>
      <c r="S2048" s="18"/>
      <c r="T2048" s="18"/>
      <c r="U2048" s="18"/>
      <c r="V2048" s="18"/>
      <c r="W2048" s="18"/>
      <c r="X2048" s="18"/>
      <c r="Y2048" s="18"/>
      <c r="Z2048" s="18"/>
    </row>
    <row r="2049" ht="22.5" customHeight="1">
      <c r="A2049" s="250"/>
      <c r="B2049" s="218"/>
      <c r="C2049" s="9"/>
      <c r="D2049" s="228"/>
      <c r="E2049" s="216"/>
      <c r="F2049" s="273"/>
      <c r="G2049" s="9"/>
      <c r="H2049" s="234"/>
      <c r="I2049" s="232"/>
      <c r="J2049" s="9"/>
      <c r="K2049" s="18"/>
      <c r="L2049" s="18"/>
      <c r="M2049" s="18"/>
      <c r="N2049" s="18"/>
      <c r="O2049" s="18"/>
      <c r="P2049" s="18"/>
      <c r="Q2049" s="18"/>
      <c r="R2049" s="18"/>
      <c r="S2049" s="18"/>
      <c r="T2049" s="18"/>
      <c r="U2049" s="18"/>
      <c r="V2049" s="18"/>
      <c r="W2049" s="18"/>
      <c r="X2049" s="18"/>
      <c r="Y2049" s="18"/>
      <c r="Z2049" s="18"/>
    </row>
    <row r="2050" ht="22.5" customHeight="1">
      <c r="A2050" s="250"/>
      <c r="B2050" s="218"/>
      <c r="C2050" s="9"/>
      <c r="D2050" s="228"/>
      <c r="E2050" s="216"/>
      <c r="F2050" s="273"/>
      <c r="G2050" s="9"/>
      <c r="H2050" s="234"/>
      <c r="I2050" s="232"/>
      <c r="J2050" s="9"/>
      <c r="K2050" s="18"/>
      <c r="L2050" s="18"/>
      <c r="M2050" s="18"/>
      <c r="N2050" s="18"/>
      <c r="O2050" s="18"/>
      <c r="P2050" s="18"/>
      <c r="Q2050" s="18"/>
      <c r="R2050" s="18"/>
      <c r="S2050" s="18"/>
      <c r="T2050" s="18"/>
      <c r="U2050" s="18"/>
      <c r="V2050" s="18"/>
      <c r="W2050" s="18"/>
      <c r="X2050" s="18"/>
      <c r="Y2050" s="18"/>
      <c r="Z2050" s="18"/>
    </row>
    <row r="2051" ht="22.5" customHeight="1">
      <c r="A2051" s="250"/>
      <c r="B2051" s="218"/>
      <c r="C2051" s="9"/>
      <c r="D2051" s="228"/>
      <c r="E2051" s="216"/>
      <c r="F2051" s="273"/>
      <c r="G2051" s="9"/>
      <c r="H2051" s="234"/>
      <c r="I2051" s="232"/>
      <c r="J2051" s="9"/>
      <c r="K2051" s="18"/>
      <c r="L2051" s="18"/>
      <c r="M2051" s="18"/>
      <c r="N2051" s="18"/>
      <c r="O2051" s="18"/>
      <c r="P2051" s="18"/>
      <c r="Q2051" s="18"/>
      <c r="R2051" s="18"/>
      <c r="S2051" s="18"/>
      <c r="T2051" s="18"/>
      <c r="U2051" s="18"/>
      <c r="V2051" s="18"/>
      <c r="W2051" s="18"/>
      <c r="X2051" s="18"/>
      <c r="Y2051" s="18"/>
      <c r="Z2051" s="18"/>
    </row>
    <row r="2052" ht="22.5" customHeight="1">
      <c r="A2052" s="250"/>
      <c r="B2052" s="218"/>
      <c r="C2052" s="9"/>
      <c r="D2052" s="228"/>
      <c r="E2052" s="216"/>
      <c r="F2052" s="273"/>
      <c r="G2052" s="9"/>
      <c r="H2052" s="234"/>
      <c r="I2052" s="232"/>
      <c r="J2052" s="9"/>
      <c r="K2052" s="18"/>
      <c r="L2052" s="18"/>
      <c r="M2052" s="18"/>
      <c r="N2052" s="18"/>
      <c r="O2052" s="18"/>
      <c r="P2052" s="18"/>
      <c r="Q2052" s="18"/>
      <c r="R2052" s="18"/>
      <c r="S2052" s="18"/>
      <c r="T2052" s="18"/>
      <c r="U2052" s="18"/>
      <c r="V2052" s="18"/>
      <c r="W2052" s="18"/>
      <c r="X2052" s="18"/>
      <c r="Y2052" s="18"/>
      <c r="Z2052" s="18"/>
    </row>
    <row r="2053" ht="22.5" customHeight="1">
      <c r="A2053" s="250"/>
      <c r="B2053" s="218"/>
      <c r="C2053" s="9"/>
      <c r="D2053" s="228"/>
      <c r="E2053" s="216"/>
      <c r="F2053" s="273"/>
      <c r="G2053" s="9"/>
      <c r="H2053" s="234"/>
      <c r="I2053" s="232"/>
      <c r="J2053" s="9"/>
      <c r="K2053" s="18"/>
      <c r="L2053" s="18"/>
      <c r="M2053" s="18"/>
      <c r="N2053" s="18"/>
      <c r="O2053" s="18"/>
      <c r="P2053" s="18"/>
      <c r="Q2053" s="18"/>
      <c r="R2053" s="18"/>
      <c r="S2053" s="18"/>
      <c r="T2053" s="18"/>
      <c r="U2053" s="18"/>
      <c r="V2053" s="18"/>
      <c r="W2053" s="18"/>
      <c r="X2053" s="18"/>
      <c r="Y2053" s="18"/>
      <c r="Z2053" s="18"/>
    </row>
    <row r="2054" ht="22.5" customHeight="1">
      <c r="A2054" s="250"/>
      <c r="B2054" s="218"/>
      <c r="C2054" s="9"/>
      <c r="D2054" s="228"/>
      <c r="E2054" s="216"/>
      <c r="F2054" s="273"/>
      <c r="G2054" s="9"/>
      <c r="H2054" s="234"/>
      <c r="I2054" s="232"/>
      <c r="J2054" s="9"/>
      <c r="K2054" s="18"/>
      <c r="L2054" s="18"/>
      <c r="M2054" s="18"/>
      <c r="N2054" s="18"/>
      <c r="O2054" s="18"/>
      <c r="P2054" s="18"/>
      <c r="Q2054" s="18"/>
      <c r="R2054" s="18"/>
      <c r="S2054" s="18"/>
      <c r="T2054" s="18"/>
      <c r="U2054" s="18"/>
      <c r="V2054" s="18"/>
      <c r="W2054" s="18"/>
      <c r="X2054" s="18"/>
      <c r="Y2054" s="18"/>
      <c r="Z2054" s="18"/>
    </row>
    <row r="2055" ht="22.5" customHeight="1">
      <c r="A2055" s="250"/>
      <c r="B2055" s="218"/>
      <c r="C2055" s="9"/>
      <c r="D2055" s="228"/>
      <c r="E2055" s="216"/>
      <c r="F2055" s="273"/>
      <c r="G2055" s="9"/>
      <c r="H2055" s="234"/>
      <c r="I2055" s="232"/>
      <c r="J2055" s="9"/>
      <c r="K2055" s="18"/>
      <c r="L2055" s="18"/>
      <c r="M2055" s="18"/>
      <c r="N2055" s="18"/>
      <c r="O2055" s="18"/>
      <c r="P2055" s="18"/>
      <c r="Q2055" s="18"/>
      <c r="R2055" s="18"/>
      <c r="S2055" s="18"/>
      <c r="T2055" s="18"/>
      <c r="U2055" s="18"/>
      <c r="V2055" s="18"/>
      <c r="W2055" s="18"/>
      <c r="X2055" s="18"/>
      <c r="Y2055" s="18"/>
      <c r="Z2055" s="18"/>
    </row>
    <row r="2056" ht="22.5" customHeight="1">
      <c r="A2056" s="250"/>
      <c r="B2056" s="218"/>
      <c r="C2056" s="9"/>
      <c r="D2056" s="228"/>
      <c r="E2056" s="216"/>
      <c r="F2056" s="273"/>
      <c r="G2056" s="9"/>
      <c r="H2056" s="234"/>
      <c r="I2056" s="232"/>
      <c r="J2056" s="9"/>
      <c r="K2056" s="18"/>
      <c r="L2056" s="18"/>
      <c r="M2056" s="18"/>
      <c r="N2056" s="18"/>
      <c r="O2056" s="18"/>
      <c r="P2056" s="18"/>
      <c r="Q2056" s="18"/>
      <c r="R2056" s="18"/>
      <c r="S2056" s="18"/>
      <c r="T2056" s="18"/>
      <c r="U2056" s="18"/>
      <c r="V2056" s="18"/>
      <c r="W2056" s="18"/>
      <c r="X2056" s="18"/>
      <c r="Y2056" s="18"/>
      <c r="Z2056" s="18"/>
    </row>
    <row r="2057" ht="22.5" customHeight="1">
      <c r="A2057" s="250"/>
      <c r="B2057" s="218"/>
      <c r="C2057" s="9"/>
      <c r="D2057" s="228"/>
      <c r="E2057" s="216"/>
      <c r="F2057" s="273"/>
      <c r="G2057" s="9"/>
      <c r="H2057" s="234"/>
      <c r="I2057" s="232"/>
      <c r="J2057" s="9"/>
      <c r="K2057" s="18"/>
      <c r="L2057" s="18"/>
      <c r="M2057" s="18"/>
      <c r="N2057" s="18"/>
      <c r="O2057" s="18"/>
      <c r="P2057" s="18"/>
      <c r="Q2057" s="18"/>
      <c r="R2057" s="18"/>
      <c r="S2057" s="18"/>
      <c r="T2057" s="18"/>
      <c r="U2057" s="18"/>
      <c r="V2057" s="18"/>
      <c r="W2057" s="18"/>
      <c r="X2057" s="18"/>
      <c r="Y2057" s="18"/>
      <c r="Z2057" s="18"/>
    </row>
    <row r="2058" ht="22.5" customHeight="1">
      <c r="A2058" s="250"/>
      <c r="B2058" s="218"/>
      <c r="C2058" s="9"/>
      <c r="D2058" s="228"/>
      <c r="E2058" s="216"/>
      <c r="F2058" s="273"/>
      <c r="G2058" s="9"/>
      <c r="H2058" s="234"/>
      <c r="I2058" s="232"/>
      <c r="J2058" s="9"/>
      <c r="K2058" s="18"/>
      <c r="L2058" s="18"/>
      <c r="M2058" s="18"/>
      <c r="N2058" s="18"/>
      <c r="O2058" s="18"/>
      <c r="P2058" s="18"/>
      <c r="Q2058" s="18"/>
      <c r="R2058" s="18"/>
      <c r="S2058" s="18"/>
      <c r="T2058" s="18"/>
      <c r="U2058" s="18"/>
      <c r="V2058" s="18"/>
      <c r="W2058" s="18"/>
      <c r="X2058" s="18"/>
      <c r="Y2058" s="18"/>
      <c r="Z2058" s="18"/>
    </row>
    <row r="2059" ht="22.5" customHeight="1">
      <c r="A2059" s="250"/>
      <c r="B2059" s="218"/>
      <c r="C2059" s="9"/>
      <c r="D2059" s="228"/>
      <c r="E2059" s="216"/>
      <c r="F2059" s="273"/>
      <c r="G2059" s="9"/>
      <c r="H2059" s="234"/>
      <c r="I2059" s="232"/>
      <c r="J2059" s="9"/>
      <c r="K2059" s="18"/>
      <c r="L2059" s="18"/>
      <c r="M2059" s="18"/>
      <c r="N2059" s="18"/>
      <c r="O2059" s="18"/>
      <c r="P2059" s="18"/>
      <c r="Q2059" s="18"/>
      <c r="R2059" s="18"/>
      <c r="S2059" s="18"/>
      <c r="T2059" s="18"/>
      <c r="U2059" s="18"/>
      <c r="V2059" s="18"/>
      <c r="W2059" s="18"/>
      <c r="X2059" s="18"/>
      <c r="Y2059" s="18"/>
      <c r="Z2059" s="18"/>
    </row>
    <row r="2060" ht="22.5" customHeight="1">
      <c r="A2060" s="250"/>
      <c r="B2060" s="218"/>
      <c r="C2060" s="9"/>
      <c r="D2060" s="228"/>
      <c r="E2060" s="216"/>
      <c r="F2060" s="273"/>
      <c r="G2060" s="9"/>
      <c r="H2060" s="234"/>
      <c r="I2060" s="232"/>
      <c r="J2060" s="9"/>
      <c r="K2060" s="18"/>
      <c r="L2060" s="18"/>
      <c r="M2060" s="18"/>
      <c r="N2060" s="18"/>
      <c r="O2060" s="18"/>
      <c r="P2060" s="18"/>
      <c r="Q2060" s="18"/>
      <c r="R2060" s="18"/>
      <c r="S2060" s="18"/>
      <c r="T2060" s="18"/>
      <c r="U2060" s="18"/>
      <c r="V2060" s="18"/>
      <c r="W2060" s="18"/>
      <c r="X2060" s="18"/>
      <c r="Y2060" s="18"/>
      <c r="Z2060" s="18"/>
    </row>
    <row r="2061" ht="22.5" customHeight="1">
      <c r="A2061" s="250"/>
      <c r="B2061" s="218"/>
      <c r="C2061" s="9"/>
      <c r="D2061" s="228"/>
      <c r="E2061" s="216"/>
      <c r="F2061" s="273"/>
      <c r="G2061" s="9"/>
      <c r="H2061" s="234"/>
      <c r="I2061" s="232"/>
      <c r="J2061" s="9"/>
      <c r="K2061" s="18"/>
      <c r="L2061" s="18"/>
      <c r="M2061" s="18"/>
      <c r="N2061" s="18"/>
      <c r="O2061" s="18"/>
      <c r="P2061" s="18"/>
      <c r="Q2061" s="18"/>
      <c r="R2061" s="18"/>
      <c r="S2061" s="18"/>
      <c r="T2061" s="18"/>
      <c r="U2061" s="18"/>
      <c r="V2061" s="18"/>
      <c r="W2061" s="18"/>
      <c r="X2061" s="18"/>
      <c r="Y2061" s="18"/>
      <c r="Z2061" s="18"/>
    </row>
    <row r="2062" ht="22.5" customHeight="1">
      <c r="A2062" s="250"/>
      <c r="B2062" s="218"/>
      <c r="C2062" s="9"/>
      <c r="D2062" s="228"/>
      <c r="E2062" s="216"/>
      <c r="F2062" s="273"/>
      <c r="G2062" s="9"/>
      <c r="H2062" s="234"/>
      <c r="I2062" s="232"/>
      <c r="J2062" s="9"/>
      <c r="K2062" s="18"/>
      <c r="L2062" s="18"/>
      <c r="M2062" s="18"/>
      <c r="N2062" s="18"/>
      <c r="O2062" s="18"/>
      <c r="P2062" s="18"/>
      <c r="Q2062" s="18"/>
      <c r="R2062" s="18"/>
      <c r="S2062" s="18"/>
      <c r="T2062" s="18"/>
      <c r="U2062" s="18"/>
      <c r="V2062" s="18"/>
      <c r="W2062" s="18"/>
      <c r="X2062" s="18"/>
      <c r="Y2062" s="18"/>
      <c r="Z2062" s="18"/>
    </row>
    <row r="2063" ht="22.5" customHeight="1">
      <c r="A2063" s="250"/>
      <c r="B2063" s="218"/>
      <c r="C2063" s="9"/>
      <c r="D2063" s="228"/>
      <c r="E2063" s="216"/>
      <c r="F2063" s="273"/>
      <c r="G2063" s="9"/>
      <c r="H2063" s="234"/>
      <c r="I2063" s="232"/>
      <c r="J2063" s="9"/>
      <c r="K2063" s="18"/>
      <c r="L2063" s="18"/>
      <c r="M2063" s="18"/>
      <c r="N2063" s="18"/>
      <c r="O2063" s="18"/>
      <c r="P2063" s="18"/>
      <c r="Q2063" s="18"/>
      <c r="R2063" s="18"/>
      <c r="S2063" s="18"/>
      <c r="T2063" s="18"/>
      <c r="U2063" s="18"/>
      <c r="V2063" s="18"/>
      <c r="W2063" s="18"/>
      <c r="X2063" s="18"/>
      <c r="Y2063" s="18"/>
      <c r="Z2063" s="18"/>
    </row>
    <row r="2064" ht="22.5" customHeight="1">
      <c r="A2064" s="250"/>
      <c r="B2064" s="218"/>
      <c r="C2064" s="9"/>
      <c r="D2064" s="228"/>
      <c r="E2064" s="216"/>
      <c r="F2064" s="273"/>
      <c r="G2064" s="9"/>
      <c r="H2064" s="234"/>
      <c r="I2064" s="232"/>
      <c r="J2064" s="9"/>
      <c r="K2064" s="18"/>
      <c r="L2064" s="18"/>
      <c r="M2064" s="18"/>
      <c r="N2064" s="18"/>
      <c r="O2064" s="18"/>
      <c r="P2064" s="18"/>
      <c r="Q2064" s="18"/>
      <c r="R2064" s="18"/>
      <c r="S2064" s="18"/>
      <c r="T2064" s="18"/>
      <c r="U2064" s="18"/>
      <c r="V2064" s="18"/>
      <c r="W2064" s="18"/>
      <c r="X2064" s="18"/>
      <c r="Y2064" s="18"/>
      <c r="Z2064" s="18"/>
    </row>
    <row r="2065" ht="22.5" customHeight="1">
      <c r="A2065" s="250"/>
      <c r="B2065" s="218"/>
      <c r="C2065" s="9"/>
      <c r="D2065" s="228"/>
      <c r="E2065" s="216"/>
      <c r="F2065" s="273"/>
      <c r="G2065" s="9"/>
      <c r="H2065" s="234"/>
      <c r="I2065" s="232"/>
      <c r="J2065" s="9"/>
      <c r="K2065" s="18"/>
      <c r="L2065" s="18"/>
      <c r="M2065" s="18"/>
      <c r="N2065" s="18"/>
      <c r="O2065" s="18"/>
      <c r="P2065" s="18"/>
      <c r="Q2065" s="18"/>
      <c r="R2065" s="18"/>
      <c r="S2065" s="18"/>
      <c r="T2065" s="18"/>
      <c r="U2065" s="18"/>
      <c r="V2065" s="18"/>
      <c r="W2065" s="18"/>
      <c r="X2065" s="18"/>
      <c r="Y2065" s="18"/>
      <c r="Z2065" s="18"/>
    </row>
    <row r="2066" ht="22.5" customHeight="1">
      <c r="A2066" s="250"/>
      <c r="B2066" s="218"/>
      <c r="C2066" s="9"/>
      <c r="D2066" s="228"/>
      <c r="E2066" s="216"/>
      <c r="F2066" s="273"/>
      <c r="G2066" s="9"/>
      <c r="H2066" s="234"/>
      <c r="I2066" s="232"/>
      <c r="J2066" s="9"/>
      <c r="K2066" s="18"/>
      <c r="L2066" s="18"/>
      <c r="M2066" s="18"/>
      <c r="N2066" s="18"/>
      <c r="O2066" s="18"/>
      <c r="P2066" s="18"/>
      <c r="Q2066" s="18"/>
      <c r="R2066" s="18"/>
      <c r="S2066" s="18"/>
      <c r="T2066" s="18"/>
      <c r="U2066" s="18"/>
      <c r="V2066" s="18"/>
      <c r="W2066" s="18"/>
      <c r="X2066" s="18"/>
      <c r="Y2066" s="18"/>
      <c r="Z2066" s="18"/>
    </row>
    <row r="2067" ht="22.5" customHeight="1">
      <c r="A2067" s="250"/>
      <c r="B2067" s="218"/>
      <c r="C2067" s="9"/>
      <c r="D2067" s="228"/>
      <c r="E2067" s="216"/>
      <c r="F2067" s="273"/>
      <c r="G2067" s="9"/>
      <c r="H2067" s="234"/>
      <c r="I2067" s="232"/>
      <c r="J2067" s="9"/>
      <c r="K2067" s="18"/>
      <c r="L2067" s="18"/>
      <c r="M2067" s="18"/>
      <c r="N2067" s="18"/>
      <c r="O2067" s="18"/>
      <c r="P2067" s="18"/>
      <c r="Q2067" s="18"/>
      <c r="R2067" s="18"/>
      <c r="S2067" s="18"/>
      <c r="T2067" s="18"/>
      <c r="U2067" s="18"/>
      <c r="V2067" s="18"/>
      <c r="W2067" s="18"/>
      <c r="X2067" s="18"/>
      <c r="Y2067" s="18"/>
      <c r="Z2067" s="18"/>
    </row>
    <row r="2068" ht="22.5" customHeight="1">
      <c r="A2068" s="250"/>
      <c r="B2068" s="218"/>
      <c r="C2068" s="9"/>
      <c r="D2068" s="228"/>
      <c r="E2068" s="216"/>
      <c r="F2068" s="273"/>
      <c r="G2068" s="9"/>
      <c r="H2068" s="234"/>
      <c r="I2068" s="232"/>
      <c r="J2068" s="9"/>
      <c r="K2068" s="18"/>
      <c r="L2068" s="18"/>
      <c r="M2068" s="18"/>
      <c r="N2068" s="18"/>
      <c r="O2068" s="18"/>
      <c r="P2068" s="18"/>
      <c r="Q2068" s="18"/>
      <c r="R2068" s="18"/>
      <c r="S2068" s="18"/>
      <c r="T2068" s="18"/>
      <c r="U2068" s="18"/>
      <c r="V2068" s="18"/>
      <c r="W2068" s="18"/>
      <c r="X2068" s="18"/>
      <c r="Y2068" s="18"/>
      <c r="Z2068" s="18"/>
    </row>
    <row r="2069" ht="22.5" customHeight="1">
      <c r="A2069" s="250"/>
      <c r="B2069" s="218"/>
      <c r="C2069" s="9"/>
      <c r="D2069" s="228"/>
      <c r="E2069" s="216"/>
      <c r="F2069" s="273"/>
      <c r="G2069" s="9"/>
      <c r="H2069" s="234"/>
      <c r="I2069" s="232"/>
      <c r="J2069" s="9"/>
      <c r="K2069" s="18"/>
      <c r="L2069" s="18"/>
      <c r="M2069" s="18"/>
      <c r="N2069" s="18"/>
      <c r="O2069" s="18"/>
      <c r="P2069" s="18"/>
      <c r="Q2069" s="18"/>
      <c r="R2069" s="18"/>
      <c r="S2069" s="18"/>
      <c r="T2069" s="18"/>
      <c r="U2069" s="18"/>
      <c r="V2069" s="18"/>
      <c r="W2069" s="18"/>
      <c r="X2069" s="18"/>
      <c r="Y2069" s="18"/>
      <c r="Z2069" s="18"/>
    </row>
    <row r="2070" ht="22.5" customHeight="1">
      <c r="A2070" s="250"/>
      <c r="B2070" s="218"/>
      <c r="C2070" s="9"/>
      <c r="D2070" s="228"/>
      <c r="E2070" s="216"/>
      <c r="F2070" s="273"/>
      <c r="G2070" s="9"/>
      <c r="H2070" s="234"/>
      <c r="I2070" s="232"/>
      <c r="J2070" s="9"/>
      <c r="K2070" s="18"/>
      <c r="L2070" s="18"/>
      <c r="M2070" s="18"/>
      <c r="N2070" s="18"/>
      <c r="O2070" s="18"/>
      <c r="P2070" s="18"/>
      <c r="Q2070" s="18"/>
      <c r="R2070" s="18"/>
      <c r="S2070" s="18"/>
      <c r="T2070" s="18"/>
      <c r="U2070" s="18"/>
      <c r="V2070" s="18"/>
      <c r="W2070" s="18"/>
      <c r="X2070" s="18"/>
      <c r="Y2070" s="18"/>
      <c r="Z2070" s="18"/>
    </row>
    <row r="2071" ht="22.5" customHeight="1">
      <c r="A2071" s="250"/>
      <c r="B2071" s="218"/>
      <c r="C2071" s="9"/>
      <c r="D2071" s="228"/>
      <c r="E2071" s="216"/>
      <c r="F2071" s="273"/>
      <c r="G2071" s="9"/>
      <c r="H2071" s="234"/>
      <c r="I2071" s="232"/>
      <c r="J2071" s="9"/>
      <c r="K2071" s="18"/>
      <c r="L2071" s="18"/>
      <c r="M2071" s="18"/>
      <c r="N2071" s="18"/>
      <c r="O2071" s="18"/>
      <c r="P2071" s="18"/>
      <c r="Q2071" s="18"/>
      <c r="R2071" s="18"/>
      <c r="S2071" s="18"/>
      <c r="T2071" s="18"/>
      <c r="U2071" s="18"/>
      <c r="V2071" s="18"/>
      <c r="W2071" s="18"/>
      <c r="X2071" s="18"/>
      <c r="Y2071" s="18"/>
      <c r="Z2071" s="18"/>
    </row>
    <row r="2072" ht="22.5" customHeight="1">
      <c r="A2072" s="250"/>
      <c r="B2072" s="218"/>
      <c r="C2072" s="9"/>
      <c r="D2072" s="228"/>
      <c r="E2072" s="216"/>
      <c r="F2072" s="273"/>
      <c r="G2072" s="9"/>
      <c r="H2072" s="234"/>
      <c r="I2072" s="232"/>
      <c r="J2072" s="9"/>
      <c r="K2072" s="18"/>
      <c r="L2072" s="18"/>
      <c r="M2072" s="18"/>
      <c r="N2072" s="18"/>
      <c r="O2072" s="18"/>
      <c r="P2072" s="18"/>
      <c r="Q2072" s="18"/>
      <c r="R2072" s="18"/>
      <c r="S2072" s="18"/>
      <c r="T2072" s="18"/>
      <c r="U2072" s="18"/>
      <c r="V2072" s="18"/>
      <c r="W2072" s="18"/>
      <c r="X2072" s="18"/>
      <c r="Y2072" s="18"/>
      <c r="Z2072" s="18"/>
    </row>
    <row r="2073" ht="22.5" customHeight="1">
      <c r="A2073" s="250"/>
      <c r="B2073" s="218"/>
      <c r="C2073" s="9"/>
      <c r="D2073" s="228"/>
      <c r="E2073" s="216"/>
      <c r="F2073" s="273"/>
      <c r="G2073" s="9"/>
      <c r="H2073" s="234"/>
      <c r="I2073" s="232"/>
      <c r="J2073" s="9"/>
      <c r="K2073" s="18"/>
      <c r="L2073" s="18"/>
      <c r="M2073" s="18"/>
      <c r="N2073" s="18"/>
      <c r="O2073" s="18"/>
      <c r="P2073" s="18"/>
      <c r="Q2073" s="18"/>
      <c r="R2073" s="18"/>
      <c r="S2073" s="18"/>
      <c r="T2073" s="18"/>
      <c r="U2073" s="18"/>
      <c r="V2073" s="18"/>
      <c r="W2073" s="18"/>
      <c r="X2073" s="18"/>
      <c r="Y2073" s="18"/>
      <c r="Z2073" s="18"/>
    </row>
    <row r="2074" ht="22.5" customHeight="1">
      <c r="A2074" s="250"/>
      <c r="B2074" s="218"/>
      <c r="C2074" s="9"/>
      <c r="D2074" s="228"/>
      <c r="E2074" s="216"/>
      <c r="F2074" s="273"/>
      <c r="G2074" s="9"/>
      <c r="H2074" s="234"/>
      <c r="I2074" s="232"/>
      <c r="J2074" s="9"/>
      <c r="K2074" s="18"/>
      <c r="L2074" s="18"/>
      <c r="M2074" s="18"/>
      <c r="N2074" s="18"/>
      <c r="O2074" s="18"/>
      <c r="P2074" s="18"/>
      <c r="Q2074" s="18"/>
      <c r="R2074" s="18"/>
      <c r="S2074" s="18"/>
      <c r="T2074" s="18"/>
      <c r="U2074" s="18"/>
      <c r="V2074" s="18"/>
      <c r="W2074" s="18"/>
      <c r="X2074" s="18"/>
      <c r="Y2074" s="18"/>
      <c r="Z2074" s="18"/>
    </row>
    <row r="2075" ht="22.5" customHeight="1">
      <c r="A2075" s="250"/>
      <c r="B2075" s="218"/>
      <c r="C2075" s="9"/>
      <c r="D2075" s="228"/>
      <c r="E2075" s="216"/>
      <c r="F2075" s="273"/>
      <c r="G2075" s="9"/>
      <c r="H2075" s="234"/>
      <c r="I2075" s="232"/>
      <c r="J2075" s="9"/>
      <c r="K2075" s="18"/>
      <c r="L2075" s="18"/>
      <c r="M2075" s="18"/>
      <c r="N2075" s="18"/>
      <c r="O2075" s="18"/>
      <c r="P2075" s="18"/>
      <c r="Q2075" s="18"/>
      <c r="R2075" s="18"/>
      <c r="S2075" s="18"/>
      <c r="T2075" s="18"/>
      <c r="U2075" s="18"/>
      <c r="V2075" s="18"/>
      <c r="W2075" s="18"/>
      <c r="X2075" s="18"/>
      <c r="Y2075" s="18"/>
      <c r="Z2075" s="18"/>
    </row>
    <row r="2076" ht="22.5" customHeight="1">
      <c r="A2076" s="250"/>
      <c r="B2076" s="218"/>
      <c r="C2076" s="9"/>
      <c r="D2076" s="228"/>
      <c r="E2076" s="216"/>
      <c r="F2076" s="273"/>
      <c r="G2076" s="9"/>
      <c r="H2076" s="234"/>
      <c r="I2076" s="232"/>
      <c r="J2076" s="9"/>
      <c r="K2076" s="18"/>
      <c r="L2076" s="18"/>
      <c r="M2076" s="18"/>
      <c r="N2076" s="18"/>
      <c r="O2076" s="18"/>
      <c r="P2076" s="18"/>
      <c r="Q2076" s="18"/>
      <c r="R2076" s="18"/>
      <c r="S2076" s="18"/>
      <c r="T2076" s="18"/>
      <c r="U2076" s="18"/>
      <c r="V2076" s="18"/>
      <c r="W2076" s="18"/>
      <c r="X2076" s="18"/>
      <c r="Y2076" s="18"/>
      <c r="Z2076" s="18"/>
    </row>
    <row r="2077" ht="22.5" customHeight="1">
      <c r="A2077" s="250"/>
      <c r="B2077" s="218"/>
      <c r="C2077" s="9"/>
      <c r="D2077" s="228"/>
      <c r="E2077" s="216"/>
      <c r="F2077" s="273"/>
      <c r="G2077" s="9"/>
      <c r="H2077" s="234"/>
      <c r="I2077" s="232"/>
      <c r="J2077" s="9"/>
      <c r="K2077" s="18"/>
      <c r="L2077" s="18"/>
      <c r="M2077" s="18"/>
      <c r="N2077" s="18"/>
      <c r="O2077" s="18"/>
      <c r="P2077" s="18"/>
      <c r="Q2077" s="18"/>
      <c r="R2077" s="18"/>
      <c r="S2077" s="18"/>
      <c r="T2077" s="18"/>
      <c r="U2077" s="18"/>
      <c r="V2077" s="18"/>
      <c r="W2077" s="18"/>
      <c r="X2077" s="18"/>
      <c r="Y2077" s="18"/>
      <c r="Z2077" s="18"/>
    </row>
    <row r="2078" ht="22.5" customHeight="1">
      <c r="A2078" s="250"/>
      <c r="B2078" s="218"/>
      <c r="C2078" s="9"/>
      <c r="D2078" s="228"/>
      <c r="E2078" s="216"/>
      <c r="F2078" s="273"/>
      <c r="G2078" s="9"/>
      <c r="H2078" s="234"/>
      <c r="I2078" s="232"/>
      <c r="J2078" s="9"/>
      <c r="K2078" s="18"/>
      <c r="L2078" s="18"/>
      <c r="M2078" s="18"/>
      <c r="N2078" s="18"/>
      <c r="O2078" s="18"/>
      <c r="P2078" s="18"/>
      <c r="Q2078" s="18"/>
      <c r="R2078" s="18"/>
      <c r="S2078" s="18"/>
      <c r="T2078" s="18"/>
      <c r="U2078" s="18"/>
      <c r="V2078" s="18"/>
      <c r="W2078" s="18"/>
      <c r="X2078" s="18"/>
      <c r="Y2078" s="18"/>
      <c r="Z2078" s="18"/>
    </row>
    <row r="2079" ht="22.5" customHeight="1">
      <c r="A2079" s="250"/>
      <c r="B2079" s="218"/>
      <c r="C2079" s="9"/>
      <c r="D2079" s="228"/>
      <c r="E2079" s="216"/>
      <c r="F2079" s="273"/>
      <c r="G2079" s="9"/>
      <c r="H2079" s="234"/>
      <c r="I2079" s="232"/>
      <c r="J2079" s="9"/>
      <c r="K2079" s="18"/>
      <c r="L2079" s="18"/>
      <c r="M2079" s="18"/>
      <c r="N2079" s="18"/>
      <c r="O2079" s="18"/>
      <c r="P2079" s="18"/>
      <c r="Q2079" s="18"/>
      <c r="R2079" s="18"/>
      <c r="S2079" s="18"/>
      <c r="T2079" s="18"/>
      <c r="U2079" s="18"/>
      <c r="V2079" s="18"/>
      <c r="W2079" s="18"/>
      <c r="X2079" s="18"/>
      <c r="Y2079" s="18"/>
      <c r="Z2079" s="18"/>
    </row>
    <row r="2080" ht="22.5" customHeight="1">
      <c r="A2080" s="250"/>
      <c r="B2080" s="218"/>
      <c r="C2080" s="9"/>
      <c r="D2080" s="228"/>
      <c r="E2080" s="216"/>
      <c r="F2080" s="273"/>
      <c r="G2080" s="9"/>
      <c r="H2080" s="234"/>
      <c r="I2080" s="232"/>
      <c r="J2080" s="9"/>
      <c r="K2080" s="18"/>
      <c r="L2080" s="18"/>
      <c r="M2080" s="18"/>
      <c r="N2080" s="18"/>
      <c r="O2080" s="18"/>
      <c r="P2080" s="18"/>
      <c r="Q2080" s="18"/>
      <c r="R2080" s="18"/>
      <c r="S2080" s="18"/>
      <c r="T2080" s="18"/>
      <c r="U2080" s="18"/>
      <c r="V2080" s="18"/>
      <c r="W2080" s="18"/>
      <c r="X2080" s="18"/>
      <c r="Y2080" s="18"/>
      <c r="Z2080" s="18"/>
    </row>
    <row r="2081" ht="22.5" customHeight="1">
      <c r="A2081" s="250"/>
      <c r="B2081" s="218"/>
      <c r="C2081" s="9"/>
      <c r="D2081" s="228"/>
      <c r="E2081" s="216"/>
      <c r="F2081" s="273"/>
      <c r="G2081" s="9"/>
      <c r="H2081" s="234"/>
      <c r="I2081" s="232"/>
      <c r="J2081" s="9"/>
      <c r="K2081" s="18"/>
      <c r="L2081" s="18"/>
      <c r="M2081" s="18"/>
      <c r="N2081" s="18"/>
      <c r="O2081" s="18"/>
      <c r="P2081" s="18"/>
      <c r="Q2081" s="18"/>
      <c r="R2081" s="18"/>
      <c r="S2081" s="18"/>
      <c r="T2081" s="18"/>
      <c r="U2081" s="18"/>
      <c r="V2081" s="18"/>
      <c r="W2081" s="18"/>
      <c r="X2081" s="18"/>
      <c r="Y2081" s="18"/>
      <c r="Z2081" s="18"/>
    </row>
    <row r="2082" ht="22.5" customHeight="1">
      <c r="A2082" s="250"/>
      <c r="B2082" s="218"/>
      <c r="C2082" s="9"/>
      <c r="D2082" s="228"/>
      <c r="E2082" s="216"/>
      <c r="F2082" s="273"/>
      <c r="G2082" s="9"/>
      <c r="H2082" s="234"/>
      <c r="I2082" s="232"/>
      <c r="J2082" s="9"/>
      <c r="K2082" s="18"/>
      <c r="L2082" s="18"/>
      <c r="M2082" s="18"/>
      <c r="N2082" s="18"/>
      <c r="O2082" s="18"/>
      <c r="P2082" s="18"/>
      <c r="Q2082" s="18"/>
      <c r="R2082" s="18"/>
      <c r="S2082" s="18"/>
      <c r="T2082" s="18"/>
      <c r="U2082" s="18"/>
      <c r="V2082" s="18"/>
      <c r="W2082" s="18"/>
      <c r="X2082" s="18"/>
      <c r="Y2082" s="18"/>
      <c r="Z2082" s="18"/>
    </row>
    <row r="2083" ht="22.5" customHeight="1">
      <c r="A2083" s="250"/>
      <c r="B2083" s="218"/>
      <c r="C2083" s="9"/>
      <c r="D2083" s="228"/>
      <c r="E2083" s="216"/>
      <c r="F2083" s="273"/>
      <c r="G2083" s="9"/>
      <c r="H2083" s="234"/>
      <c r="I2083" s="232"/>
      <c r="J2083" s="9"/>
      <c r="K2083" s="18"/>
      <c r="L2083" s="18"/>
      <c r="M2083" s="18"/>
      <c r="N2083" s="18"/>
      <c r="O2083" s="18"/>
      <c r="P2083" s="18"/>
      <c r="Q2083" s="18"/>
      <c r="R2083" s="18"/>
      <c r="S2083" s="18"/>
      <c r="T2083" s="18"/>
      <c r="U2083" s="18"/>
      <c r="V2083" s="18"/>
      <c r="W2083" s="18"/>
      <c r="X2083" s="18"/>
      <c r="Y2083" s="18"/>
      <c r="Z2083" s="18"/>
    </row>
    <row r="2084" ht="22.5" customHeight="1">
      <c r="A2084" s="250"/>
      <c r="B2084" s="218"/>
      <c r="C2084" s="9"/>
      <c r="D2084" s="228"/>
      <c r="E2084" s="216"/>
      <c r="F2084" s="273"/>
      <c r="G2084" s="9"/>
      <c r="H2084" s="234"/>
      <c r="I2084" s="232"/>
      <c r="J2084" s="9"/>
      <c r="K2084" s="18"/>
      <c r="L2084" s="18"/>
      <c r="M2084" s="18"/>
      <c r="N2084" s="18"/>
      <c r="O2084" s="18"/>
      <c r="P2084" s="18"/>
      <c r="Q2084" s="18"/>
      <c r="R2084" s="18"/>
      <c r="S2084" s="18"/>
      <c r="T2084" s="18"/>
      <c r="U2084" s="18"/>
      <c r="V2084" s="18"/>
      <c r="W2084" s="18"/>
      <c r="X2084" s="18"/>
      <c r="Y2084" s="18"/>
      <c r="Z2084" s="18"/>
    </row>
    <row r="2085" ht="22.5" customHeight="1">
      <c r="A2085" s="250"/>
      <c r="B2085" s="218"/>
      <c r="C2085" s="9"/>
      <c r="D2085" s="228"/>
      <c r="E2085" s="216"/>
      <c r="F2085" s="273"/>
      <c r="G2085" s="9"/>
      <c r="H2085" s="234"/>
      <c r="I2085" s="232"/>
      <c r="J2085" s="9"/>
      <c r="K2085" s="18"/>
      <c r="L2085" s="18"/>
      <c r="M2085" s="18"/>
      <c r="N2085" s="18"/>
      <c r="O2085" s="18"/>
      <c r="P2085" s="18"/>
      <c r="Q2085" s="18"/>
      <c r="R2085" s="18"/>
      <c r="S2085" s="18"/>
      <c r="T2085" s="18"/>
      <c r="U2085" s="18"/>
      <c r="V2085" s="18"/>
      <c r="W2085" s="18"/>
      <c r="X2085" s="18"/>
      <c r="Y2085" s="18"/>
      <c r="Z2085" s="18"/>
    </row>
    <row r="2086" ht="22.5" customHeight="1">
      <c r="A2086" s="250"/>
      <c r="B2086" s="218"/>
      <c r="C2086" s="9"/>
      <c r="D2086" s="228"/>
      <c r="E2086" s="216"/>
      <c r="F2086" s="273"/>
      <c r="G2086" s="9"/>
      <c r="H2086" s="234"/>
      <c r="I2086" s="232"/>
      <c r="J2086" s="9"/>
      <c r="K2086" s="18"/>
      <c r="L2086" s="18"/>
      <c r="M2086" s="18"/>
      <c r="N2086" s="18"/>
      <c r="O2086" s="18"/>
      <c r="P2086" s="18"/>
      <c r="Q2086" s="18"/>
      <c r="R2086" s="18"/>
      <c r="S2086" s="18"/>
      <c r="T2086" s="18"/>
      <c r="U2086" s="18"/>
      <c r="V2086" s="18"/>
      <c r="W2086" s="18"/>
      <c r="X2086" s="18"/>
      <c r="Y2086" s="18"/>
      <c r="Z2086" s="18"/>
    </row>
    <row r="2087" ht="22.5" customHeight="1">
      <c r="A2087" s="250"/>
      <c r="B2087" s="218"/>
      <c r="C2087" s="9"/>
      <c r="D2087" s="228"/>
      <c r="E2087" s="216"/>
      <c r="F2087" s="273"/>
      <c r="G2087" s="9"/>
      <c r="H2087" s="234"/>
      <c r="I2087" s="232"/>
      <c r="J2087" s="9"/>
      <c r="K2087" s="18"/>
      <c r="L2087" s="18"/>
      <c r="M2087" s="18"/>
      <c r="N2087" s="18"/>
      <c r="O2087" s="18"/>
      <c r="P2087" s="18"/>
      <c r="Q2087" s="18"/>
      <c r="R2087" s="18"/>
      <c r="S2087" s="18"/>
      <c r="T2087" s="18"/>
      <c r="U2087" s="18"/>
      <c r="V2087" s="18"/>
      <c r="W2087" s="18"/>
      <c r="X2087" s="18"/>
      <c r="Y2087" s="18"/>
      <c r="Z2087" s="18"/>
    </row>
    <row r="2088" ht="22.5" customHeight="1">
      <c r="A2088" s="250"/>
      <c r="B2088" s="218"/>
      <c r="C2088" s="9"/>
      <c r="D2088" s="228"/>
      <c r="E2088" s="216"/>
      <c r="F2088" s="273"/>
      <c r="G2088" s="9"/>
      <c r="H2088" s="234"/>
      <c r="I2088" s="232"/>
      <c r="J2088" s="9"/>
      <c r="K2088" s="18"/>
      <c r="L2088" s="18"/>
      <c r="M2088" s="18"/>
      <c r="N2088" s="18"/>
      <c r="O2088" s="18"/>
      <c r="P2088" s="18"/>
      <c r="Q2088" s="18"/>
      <c r="R2088" s="18"/>
      <c r="S2088" s="18"/>
      <c r="T2088" s="18"/>
      <c r="U2088" s="18"/>
      <c r="V2088" s="18"/>
      <c r="W2088" s="18"/>
      <c r="X2088" s="18"/>
      <c r="Y2088" s="18"/>
      <c r="Z2088" s="18"/>
    </row>
    <row r="2089" ht="22.5" customHeight="1">
      <c r="A2089" s="250"/>
      <c r="B2089" s="218"/>
      <c r="C2089" s="9"/>
      <c r="D2089" s="228"/>
      <c r="E2089" s="216"/>
      <c r="F2089" s="273"/>
      <c r="G2089" s="9"/>
      <c r="H2089" s="234"/>
      <c r="I2089" s="232"/>
      <c r="J2089" s="9"/>
      <c r="K2089" s="18"/>
      <c r="L2089" s="18"/>
      <c r="M2089" s="18"/>
      <c r="N2089" s="18"/>
      <c r="O2089" s="18"/>
      <c r="P2089" s="18"/>
      <c r="Q2089" s="18"/>
      <c r="R2089" s="18"/>
      <c r="S2089" s="18"/>
      <c r="T2089" s="18"/>
      <c r="U2089" s="18"/>
      <c r="V2089" s="18"/>
      <c r="W2089" s="18"/>
      <c r="X2089" s="18"/>
      <c r="Y2089" s="18"/>
      <c r="Z2089" s="18"/>
    </row>
    <row r="2090" ht="22.5" customHeight="1">
      <c r="A2090" s="250"/>
      <c r="B2090" s="218"/>
      <c r="C2090" s="9"/>
      <c r="D2090" s="228"/>
      <c r="E2090" s="216"/>
      <c r="F2090" s="273"/>
      <c r="G2090" s="9"/>
      <c r="H2090" s="234"/>
      <c r="I2090" s="232"/>
      <c r="J2090" s="9"/>
      <c r="K2090" s="18"/>
      <c r="L2090" s="18"/>
      <c r="M2090" s="18"/>
      <c r="N2090" s="18"/>
      <c r="O2090" s="18"/>
      <c r="P2090" s="18"/>
      <c r="Q2090" s="18"/>
      <c r="R2090" s="18"/>
      <c r="S2090" s="18"/>
      <c r="T2090" s="18"/>
      <c r="U2090" s="18"/>
      <c r="V2090" s="18"/>
      <c r="W2090" s="18"/>
      <c r="X2090" s="18"/>
      <c r="Y2090" s="18"/>
      <c r="Z2090" s="18"/>
    </row>
    <row r="2091" ht="22.5" customHeight="1">
      <c r="A2091" s="250"/>
      <c r="B2091" s="218"/>
      <c r="C2091" s="9"/>
      <c r="D2091" s="228"/>
      <c r="E2091" s="216"/>
      <c r="F2091" s="273"/>
      <c r="G2091" s="9"/>
      <c r="H2091" s="234"/>
      <c r="I2091" s="232"/>
      <c r="J2091" s="9"/>
      <c r="K2091" s="18"/>
      <c r="L2091" s="18"/>
      <c r="M2091" s="18"/>
      <c r="N2091" s="18"/>
      <c r="O2091" s="18"/>
      <c r="P2091" s="18"/>
      <c r="Q2091" s="18"/>
      <c r="R2091" s="18"/>
      <c r="S2091" s="18"/>
      <c r="T2091" s="18"/>
      <c r="U2091" s="18"/>
      <c r="V2091" s="18"/>
      <c r="W2091" s="18"/>
      <c r="X2091" s="18"/>
      <c r="Y2091" s="18"/>
      <c r="Z2091" s="18"/>
    </row>
    <row r="2092" ht="22.5" customHeight="1">
      <c r="A2092" s="250"/>
      <c r="B2092" s="218"/>
      <c r="C2092" s="9"/>
      <c r="D2092" s="228"/>
      <c r="E2092" s="216"/>
      <c r="F2092" s="273"/>
      <c r="G2092" s="9"/>
      <c r="H2092" s="234"/>
      <c r="I2092" s="232"/>
      <c r="J2092" s="9"/>
      <c r="K2092" s="18"/>
      <c r="L2092" s="18"/>
      <c r="M2092" s="18"/>
      <c r="N2092" s="18"/>
      <c r="O2092" s="18"/>
      <c r="P2092" s="18"/>
      <c r="Q2092" s="18"/>
      <c r="R2092" s="18"/>
      <c r="S2092" s="18"/>
      <c r="T2092" s="18"/>
      <c r="U2092" s="18"/>
      <c r="V2092" s="18"/>
      <c r="W2092" s="18"/>
      <c r="X2092" s="18"/>
      <c r="Y2092" s="18"/>
      <c r="Z2092" s="18"/>
    </row>
    <row r="2093" ht="22.5" customHeight="1">
      <c r="A2093" s="250"/>
      <c r="B2093" s="218"/>
      <c r="C2093" s="9"/>
      <c r="D2093" s="228"/>
      <c r="E2093" s="216"/>
      <c r="F2093" s="273"/>
      <c r="G2093" s="9"/>
      <c r="H2093" s="234"/>
      <c r="I2093" s="232"/>
      <c r="J2093" s="9"/>
      <c r="K2093" s="18"/>
      <c r="L2093" s="18"/>
      <c r="M2093" s="18"/>
      <c r="N2093" s="18"/>
      <c r="O2093" s="18"/>
      <c r="P2093" s="18"/>
      <c r="Q2093" s="18"/>
      <c r="R2093" s="18"/>
      <c r="S2093" s="18"/>
      <c r="T2093" s="18"/>
      <c r="U2093" s="18"/>
      <c r="V2093" s="18"/>
      <c r="W2093" s="18"/>
      <c r="X2093" s="18"/>
      <c r="Y2093" s="18"/>
      <c r="Z2093" s="18"/>
    </row>
    <row r="2094" ht="22.5" customHeight="1">
      <c r="A2094" s="250"/>
      <c r="B2094" s="218"/>
      <c r="C2094" s="9"/>
      <c r="D2094" s="228"/>
      <c r="E2094" s="216"/>
      <c r="F2094" s="273"/>
      <c r="G2094" s="9"/>
      <c r="H2094" s="234"/>
      <c r="I2094" s="232"/>
      <c r="J2094" s="9"/>
      <c r="K2094" s="18"/>
      <c r="L2094" s="18"/>
      <c r="M2094" s="18"/>
      <c r="N2094" s="18"/>
      <c r="O2094" s="18"/>
      <c r="P2094" s="18"/>
      <c r="Q2094" s="18"/>
      <c r="R2094" s="18"/>
      <c r="S2094" s="18"/>
      <c r="T2094" s="18"/>
      <c r="U2094" s="18"/>
      <c r="V2094" s="18"/>
      <c r="W2094" s="18"/>
      <c r="X2094" s="18"/>
      <c r="Y2094" s="18"/>
      <c r="Z2094" s="18"/>
    </row>
    <row r="2095" ht="22.5" customHeight="1">
      <c r="A2095" s="250"/>
      <c r="B2095" s="218"/>
      <c r="C2095" s="9"/>
      <c r="D2095" s="228"/>
      <c r="E2095" s="216"/>
      <c r="F2095" s="273"/>
      <c r="G2095" s="9"/>
      <c r="H2095" s="234"/>
      <c r="I2095" s="232"/>
      <c r="J2095" s="9"/>
      <c r="K2095" s="18"/>
      <c r="L2095" s="18"/>
      <c r="M2095" s="18"/>
      <c r="N2095" s="18"/>
      <c r="O2095" s="18"/>
      <c r="P2095" s="18"/>
      <c r="Q2095" s="18"/>
      <c r="R2095" s="18"/>
      <c r="S2095" s="18"/>
      <c r="T2095" s="18"/>
      <c r="U2095" s="18"/>
      <c r="V2095" s="18"/>
      <c r="W2095" s="18"/>
      <c r="X2095" s="18"/>
      <c r="Y2095" s="18"/>
      <c r="Z2095" s="18"/>
    </row>
    <row r="2096" ht="22.5" customHeight="1">
      <c r="A2096" s="250"/>
      <c r="B2096" s="218"/>
      <c r="C2096" s="9"/>
      <c r="D2096" s="228"/>
      <c r="E2096" s="216"/>
      <c r="F2096" s="273"/>
      <c r="G2096" s="9"/>
      <c r="H2096" s="234"/>
      <c r="I2096" s="232"/>
      <c r="J2096" s="9"/>
      <c r="K2096" s="18"/>
      <c r="L2096" s="18"/>
      <c r="M2096" s="18"/>
      <c r="N2096" s="18"/>
      <c r="O2096" s="18"/>
      <c r="P2096" s="18"/>
      <c r="Q2096" s="18"/>
      <c r="R2096" s="18"/>
      <c r="S2096" s="18"/>
      <c r="T2096" s="18"/>
      <c r="U2096" s="18"/>
      <c r="V2096" s="18"/>
      <c r="W2096" s="18"/>
      <c r="X2096" s="18"/>
      <c r="Y2096" s="18"/>
      <c r="Z2096" s="18"/>
    </row>
    <row r="2097" ht="22.5" customHeight="1">
      <c r="A2097" s="250"/>
      <c r="B2097" s="218"/>
      <c r="C2097" s="9"/>
      <c r="D2097" s="228"/>
      <c r="E2097" s="216"/>
      <c r="F2097" s="273"/>
      <c r="G2097" s="9"/>
      <c r="H2097" s="234"/>
      <c r="I2097" s="232"/>
      <c r="J2097" s="9"/>
      <c r="K2097" s="18"/>
      <c r="L2097" s="18"/>
      <c r="M2097" s="18"/>
      <c r="N2097" s="18"/>
      <c r="O2097" s="18"/>
      <c r="P2097" s="18"/>
      <c r="Q2097" s="18"/>
      <c r="R2097" s="18"/>
      <c r="S2097" s="18"/>
      <c r="T2097" s="18"/>
      <c r="U2097" s="18"/>
      <c r="V2097" s="18"/>
      <c r="W2097" s="18"/>
      <c r="X2097" s="18"/>
      <c r="Y2097" s="18"/>
      <c r="Z2097" s="18"/>
    </row>
    <row r="2098" ht="22.5" customHeight="1">
      <c r="A2098" s="250"/>
      <c r="B2098" s="218"/>
      <c r="C2098" s="9"/>
      <c r="D2098" s="228"/>
      <c r="E2098" s="216"/>
      <c r="F2098" s="273"/>
      <c r="G2098" s="9"/>
      <c r="H2098" s="234"/>
      <c r="I2098" s="232"/>
      <c r="J2098" s="9"/>
      <c r="K2098" s="18"/>
      <c r="L2098" s="18"/>
      <c r="M2098" s="18"/>
      <c r="N2098" s="18"/>
      <c r="O2098" s="18"/>
      <c r="P2098" s="18"/>
      <c r="Q2098" s="18"/>
      <c r="R2098" s="18"/>
      <c r="S2098" s="18"/>
      <c r="T2098" s="18"/>
      <c r="U2098" s="18"/>
      <c r="V2098" s="18"/>
      <c r="W2098" s="18"/>
      <c r="X2098" s="18"/>
      <c r="Y2098" s="18"/>
      <c r="Z2098" s="18"/>
    </row>
    <row r="2099" ht="22.5" customHeight="1">
      <c r="A2099" s="250"/>
      <c r="B2099" s="218"/>
      <c r="C2099" s="9"/>
      <c r="D2099" s="228"/>
      <c r="E2099" s="216"/>
      <c r="F2099" s="273"/>
      <c r="G2099" s="9"/>
      <c r="H2099" s="234"/>
      <c r="I2099" s="232"/>
      <c r="J2099" s="9"/>
      <c r="K2099" s="18"/>
      <c r="L2099" s="18"/>
      <c r="M2099" s="18"/>
      <c r="N2099" s="18"/>
      <c r="O2099" s="18"/>
      <c r="P2099" s="18"/>
      <c r="Q2099" s="18"/>
      <c r="R2099" s="18"/>
      <c r="S2099" s="18"/>
      <c r="T2099" s="18"/>
      <c r="U2099" s="18"/>
      <c r="V2099" s="18"/>
      <c r="W2099" s="18"/>
      <c r="X2099" s="18"/>
      <c r="Y2099" s="18"/>
      <c r="Z2099" s="18"/>
    </row>
    <row r="2100" ht="22.5" customHeight="1">
      <c r="A2100" s="250"/>
      <c r="B2100" s="218"/>
      <c r="C2100" s="9"/>
      <c r="D2100" s="228"/>
      <c r="E2100" s="216"/>
      <c r="F2100" s="273"/>
      <c r="G2100" s="9"/>
      <c r="H2100" s="234"/>
      <c r="I2100" s="232"/>
      <c r="J2100" s="9"/>
      <c r="K2100" s="18"/>
      <c r="L2100" s="18"/>
      <c r="M2100" s="18"/>
      <c r="N2100" s="18"/>
      <c r="O2100" s="18"/>
      <c r="P2100" s="18"/>
      <c r="Q2100" s="18"/>
      <c r="R2100" s="18"/>
      <c r="S2100" s="18"/>
      <c r="T2100" s="18"/>
      <c r="U2100" s="18"/>
      <c r="V2100" s="18"/>
      <c r="W2100" s="18"/>
      <c r="X2100" s="18"/>
      <c r="Y2100" s="18"/>
      <c r="Z2100" s="18"/>
    </row>
    <row r="2101" ht="22.5" customHeight="1">
      <c r="A2101" s="250"/>
      <c r="B2101" s="218"/>
      <c r="C2101" s="9"/>
      <c r="D2101" s="228"/>
      <c r="E2101" s="216"/>
      <c r="F2101" s="273"/>
      <c r="G2101" s="9"/>
      <c r="H2101" s="234"/>
      <c r="I2101" s="232"/>
      <c r="J2101" s="9"/>
      <c r="K2101" s="18"/>
      <c r="L2101" s="18"/>
      <c r="M2101" s="18"/>
      <c r="N2101" s="18"/>
      <c r="O2101" s="18"/>
      <c r="P2101" s="18"/>
      <c r="Q2101" s="18"/>
      <c r="R2101" s="18"/>
      <c r="S2101" s="18"/>
      <c r="T2101" s="18"/>
      <c r="U2101" s="18"/>
      <c r="V2101" s="18"/>
      <c r="W2101" s="18"/>
      <c r="X2101" s="18"/>
      <c r="Y2101" s="18"/>
      <c r="Z2101" s="18"/>
    </row>
    <row r="2102" ht="22.5" customHeight="1">
      <c r="A2102" s="250"/>
      <c r="B2102" s="218"/>
      <c r="C2102" s="9"/>
      <c r="D2102" s="228"/>
      <c r="E2102" s="216"/>
      <c r="F2102" s="273"/>
      <c r="G2102" s="9"/>
      <c r="H2102" s="234"/>
      <c r="I2102" s="232"/>
      <c r="J2102" s="9"/>
      <c r="K2102" s="18"/>
      <c r="L2102" s="18"/>
      <c r="M2102" s="18"/>
      <c r="N2102" s="18"/>
      <c r="O2102" s="18"/>
      <c r="P2102" s="18"/>
      <c r="Q2102" s="18"/>
      <c r="R2102" s="18"/>
      <c r="S2102" s="18"/>
      <c r="T2102" s="18"/>
      <c r="U2102" s="18"/>
      <c r="V2102" s="18"/>
      <c r="W2102" s="18"/>
      <c r="X2102" s="18"/>
      <c r="Y2102" s="18"/>
      <c r="Z2102" s="18"/>
    </row>
    <row r="2103" ht="22.5" customHeight="1">
      <c r="A2103" s="250"/>
      <c r="B2103" s="218"/>
      <c r="C2103" s="9"/>
      <c r="D2103" s="228"/>
      <c r="E2103" s="216"/>
      <c r="F2103" s="273"/>
      <c r="G2103" s="9"/>
      <c r="H2103" s="234"/>
      <c r="I2103" s="232"/>
      <c r="J2103" s="9"/>
      <c r="K2103" s="18"/>
      <c r="L2103" s="18"/>
      <c r="M2103" s="18"/>
      <c r="N2103" s="18"/>
      <c r="O2103" s="18"/>
      <c r="P2103" s="18"/>
      <c r="Q2103" s="18"/>
      <c r="R2103" s="18"/>
      <c r="S2103" s="18"/>
      <c r="T2103" s="18"/>
      <c r="U2103" s="18"/>
      <c r="V2103" s="18"/>
      <c r="W2103" s="18"/>
      <c r="X2103" s="18"/>
      <c r="Y2103" s="18"/>
      <c r="Z2103" s="18"/>
    </row>
    <row r="2104" ht="22.5" customHeight="1">
      <c r="A2104" s="250"/>
      <c r="B2104" s="218"/>
      <c r="C2104" s="9"/>
      <c r="D2104" s="228"/>
      <c r="E2104" s="216"/>
      <c r="F2104" s="273"/>
      <c r="G2104" s="9"/>
      <c r="H2104" s="234"/>
      <c r="I2104" s="232"/>
      <c r="J2104" s="9"/>
      <c r="K2104" s="18"/>
      <c r="L2104" s="18"/>
      <c r="M2104" s="18"/>
      <c r="N2104" s="18"/>
      <c r="O2104" s="18"/>
      <c r="P2104" s="18"/>
      <c r="Q2104" s="18"/>
      <c r="R2104" s="18"/>
      <c r="S2104" s="18"/>
      <c r="T2104" s="18"/>
      <c r="U2104" s="18"/>
      <c r="V2104" s="18"/>
      <c r="W2104" s="18"/>
      <c r="X2104" s="18"/>
      <c r="Y2104" s="18"/>
      <c r="Z2104" s="18"/>
    </row>
    <row r="2105" ht="22.5" customHeight="1">
      <c r="A2105" s="250"/>
      <c r="B2105" s="218"/>
      <c r="C2105" s="9"/>
      <c r="D2105" s="228"/>
      <c r="E2105" s="216"/>
      <c r="F2105" s="273"/>
      <c r="G2105" s="9"/>
      <c r="H2105" s="234"/>
      <c r="I2105" s="232"/>
      <c r="J2105" s="9"/>
      <c r="K2105" s="18"/>
      <c r="L2105" s="18"/>
      <c r="M2105" s="18"/>
      <c r="N2105" s="18"/>
      <c r="O2105" s="18"/>
      <c r="P2105" s="18"/>
      <c r="Q2105" s="18"/>
      <c r="R2105" s="18"/>
      <c r="S2105" s="18"/>
      <c r="T2105" s="18"/>
      <c r="U2105" s="18"/>
      <c r="V2105" s="18"/>
      <c r="W2105" s="18"/>
      <c r="X2105" s="18"/>
      <c r="Y2105" s="18"/>
      <c r="Z2105" s="18"/>
    </row>
    <row r="2106" ht="22.5" customHeight="1">
      <c r="A2106" s="250"/>
      <c r="B2106" s="218"/>
      <c r="C2106" s="9"/>
      <c r="D2106" s="228"/>
      <c r="E2106" s="216"/>
      <c r="F2106" s="273"/>
      <c r="G2106" s="9"/>
      <c r="H2106" s="234"/>
      <c r="I2106" s="232"/>
      <c r="J2106" s="9"/>
      <c r="K2106" s="18"/>
      <c r="L2106" s="18"/>
      <c r="M2106" s="18"/>
      <c r="N2106" s="18"/>
      <c r="O2106" s="18"/>
      <c r="P2106" s="18"/>
      <c r="Q2106" s="18"/>
      <c r="R2106" s="18"/>
      <c r="S2106" s="18"/>
      <c r="T2106" s="18"/>
      <c r="U2106" s="18"/>
      <c r="V2106" s="18"/>
      <c r="W2106" s="18"/>
      <c r="X2106" s="18"/>
      <c r="Y2106" s="18"/>
      <c r="Z2106" s="18"/>
    </row>
    <row r="2107" ht="22.5" customHeight="1">
      <c r="A2107" s="250"/>
      <c r="B2107" s="218"/>
      <c r="C2107" s="9"/>
      <c r="D2107" s="228"/>
      <c r="E2107" s="216"/>
      <c r="F2107" s="273"/>
      <c r="G2107" s="9"/>
      <c r="H2107" s="234"/>
      <c r="I2107" s="232"/>
      <c r="J2107" s="9"/>
      <c r="K2107" s="18"/>
      <c r="L2107" s="18"/>
      <c r="M2107" s="18"/>
      <c r="N2107" s="18"/>
      <c r="O2107" s="18"/>
      <c r="P2107" s="18"/>
      <c r="Q2107" s="18"/>
      <c r="R2107" s="18"/>
      <c r="S2107" s="18"/>
      <c r="T2107" s="18"/>
      <c r="U2107" s="18"/>
      <c r="V2107" s="18"/>
      <c r="W2107" s="18"/>
      <c r="X2107" s="18"/>
      <c r="Y2107" s="18"/>
      <c r="Z2107" s="18"/>
    </row>
    <row r="2108" ht="22.5" customHeight="1">
      <c r="A2108" s="250"/>
      <c r="B2108" s="218"/>
      <c r="C2108" s="9"/>
      <c r="D2108" s="228"/>
      <c r="E2108" s="216"/>
      <c r="F2108" s="273"/>
      <c r="G2108" s="9"/>
      <c r="H2108" s="234"/>
      <c r="I2108" s="232"/>
      <c r="J2108" s="9"/>
      <c r="K2108" s="18"/>
      <c r="L2108" s="18"/>
      <c r="M2108" s="18"/>
      <c r="N2108" s="18"/>
      <c r="O2108" s="18"/>
      <c r="P2108" s="18"/>
      <c r="Q2108" s="18"/>
      <c r="R2108" s="18"/>
      <c r="S2108" s="18"/>
      <c r="T2108" s="18"/>
      <c r="U2108" s="18"/>
      <c r="V2108" s="18"/>
      <c r="W2108" s="18"/>
      <c r="X2108" s="18"/>
      <c r="Y2108" s="18"/>
      <c r="Z2108" s="18"/>
    </row>
    <row r="2109" ht="22.5" customHeight="1">
      <c r="A2109" s="250"/>
      <c r="B2109" s="218"/>
      <c r="C2109" s="9"/>
      <c r="D2109" s="228"/>
      <c r="E2109" s="216"/>
      <c r="F2109" s="273"/>
      <c r="G2109" s="9"/>
      <c r="H2109" s="234"/>
      <c r="I2109" s="232"/>
      <c r="J2109" s="9"/>
      <c r="K2109" s="18"/>
      <c r="L2109" s="18"/>
      <c r="M2109" s="18"/>
      <c r="N2109" s="18"/>
      <c r="O2109" s="18"/>
      <c r="P2109" s="18"/>
      <c r="Q2109" s="18"/>
      <c r="R2109" s="18"/>
      <c r="S2109" s="18"/>
      <c r="T2109" s="18"/>
      <c r="U2109" s="18"/>
      <c r="V2109" s="18"/>
      <c r="W2109" s="18"/>
      <c r="X2109" s="18"/>
      <c r="Y2109" s="18"/>
      <c r="Z2109" s="18"/>
    </row>
    <row r="2110" ht="22.5" customHeight="1">
      <c r="A2110" s="250"/>
      <c r="B2110" s="218"/>
      <c r="C2110" s="9"/>
      <c r="D2110" s="228"/>
      <c r="E2110" s="216"/>
      <c r="F2110" s="273"/>
      <c r="G2110" s="9"/>
      <c r="H2110" s="234"/>
      <c r="I2110" s="232"/>
      <c r="J2110" s="9"/>
      <c r="K2110" s="18"/>
      <c r="L2110" s="18"/>
      <c r="M2110" s="18"/>
      <c r="N2110" s="18"/>
      <c r="O2110" s="18"/>
      <c r="P2110" s="18"/>
      <c r="Q2110" s="18"/>
      <c r="R2110" s="18"/>
      <c r="S2110" s="18"/>
      <c r="T2110" s="18"/>
      <c r="U2110" s="18"/>
      <c r="V2110" s="18"/>
      <c r="W2110" s="18"/>
      <c r="X2110" s="18"/>
      <c r="Y2110" s="18"/>
      <c r="Z2110" s="18"/>
    </row>
    <row r="2111" ht="22.5" customHeight="1">
      <c r="A2111" s="250"/>
      <c r="B2111" s="218"/>
      <c r="C2111" s="9"/>
      <c r="D2111" s="228"/>
      <c r="E2111" s="216"/>
      <c r="F2111" s="273"/>
      <c r="G2111" s="9"/>
      <c r="H2111" s="234"/>
      <c r="I2111" s="232"/>
      <c r="J2111" s="9"/>
      <c r="K2111" s="18"/>
      <c r="L2111" s="18"/>
      <c r="M2111" s="18"/>
      <c r="N2111" s="18"/>
      <c r="O2111" s="18"/>
      <c r="P2111" s="18"/>
      <c r="Q2111" s="18"/>
      <c r="R2111" s="18"/>
      <c r="S2111" s="18"/>
      <c r="T2111" s="18"/>
      <c r="U2111" s="18"/>
      <c r="V2111" s="18"/>
      <c r="W2111" s="18"/>
      <c r="X2111" s="18"/>
      <c r="Y2111" s="18"/>
      <c r="Z2111" s="18"/>
    </row>
    <row r="2112" ht="22.5" customHeight="1">
      <c r="A2112" s="250"/>
      <c r="B2112" s="218"/>
      <c r="C2112" s="9"/>
      <c r="D2112" s="228"/>
      <c r="E2112" s="216"/>
      <c r="F2112" s="273"/>
      <c r="G2112" s="9"/>
      <c r="H2112" s="234"/>
      <c r="I2112" s="232"/>
      <c r="J2112" s="9"/>
      <c r="K2112" s="18"/>
      <c r="L2112" s="18"/>
      <c r="M2112" s="18"/>
      <c r="N2112" s="18"/>
      <c r="O2112" s="18"/>
      <c r="P2112" s="18"/>
      <c r="Q2112" s="18"/>
      <c r="R2112" s="18"/>
      <c r="S2112" s="18"/>
      <c r="T2112" s="18"/>
      <c r="U2112" s="18"/>
      <c r="V2112" s="18"/>
      <c r="W2112" s="18"/>
      <c r="X2112" s="18"/>
      <c r="Y2112" s="18"/>
      <c r="Z2112" s="18"/>
    </row>
    <row r="2113" ht="22.5" customHeight="1">
      <c r="A2113" s="250"/>
      <c r="B2113" s="218"/>
      <c r="C2113" s="9"/>
      <c r="D2113" s="228"/>
      <c r="E2113" s="216"/>
      <c r="F2113" s="273"/>
      <c r="G2113" s="9"/>
      <c r="H2113" s="234"/>
      <c r="I2113" s="232"/>
      <c r="J2113" s="9"/>
      <c r="K2113" s="18"/>
      <c r="L2113" s="18"/>
      <c r="M2113" s="18"/>
      <c r="N2113" s="18"/>
      <c r="O2113" s="18"/>
      <c r="P2113" s="18"/>
      <c r="Q2113" s="18"/>
      <c r="R2113" s="18"/>
      <c r="S2113" s="18"/>
      <c r="T2113" s="18"/>
      <c r="U2113" s="18"/>
      <c r="V2113" s="18"/>
      <c r="W2113" s="18"/>
      <c r="X2113" s="18"/>
      <c r="Y2113" s="18"/>
      <c r="Z2113" s="18"/>
    </row>
    <row r="2114" ht="22.5" customHeight="1">
      <c r="A2114" s="250"/>
      <c r="B2114" s="218"/>
      <c r="C2114" s="9"/>
      <c r="D2114" s="228"/>
      <c r="E2114" s="216"/>
      <c r="F2114" s="273"/>
      <c r="G2114" s="9"/>
      <c r="H2114" s="234"/>
      <c r="I2114" s="232"/>
      <c r="J2114" s="9"/>
      <c r="K2114" s="18"/>
      <c r="L2114" s="18"/>
      <c r="M2114" s="18"/>
      <c r="N2114" s="18"/>
      <c r="O2114" s="18"/>
      <c r="P2114" s="18"/>
      <c r="Q2114" s="18"/>
      <c r="R2114" s="18"/>
      <c r="S2114" s="18"/>
      <c r="T2114" s="18"/>
      <c r="U2114" s="18"/>
      <c r="V2114" s="18"/>
      <c r="W2114" s="18"/>
      <c r="X2114" s="18"/>
      <c r="Y2114" s="18"/>
      <c r="Z2114" s="18"/>
    </row>
    <row r="2115" ht="22.5" customHeight="1">
      <c r="A2115" s="250"/>
      <c r="B2115" s="218"/>
      <c r="C2115" s="9"/>
      <c r="D2115" s="228"/>
      <c r="E2115" s="216"/>
      <c r="F2115" s="273"/>
      <c r="G2115" s="9"/>
      <c r="H2115" s="234"/>
      <c r="I2115" s="232"/>
      <c r="J2115" s="9"/>
      <c r="K2115" s="18"/>
      <c r="L2115" s="18"/>
      <c r="M2115" s="18"/>
      <c r="N2115" s="18"/>
      <c r="O2115" s="18"/>
      <c r="P2115" s="18"/>
      <c r="Q2115" s="18"/>
      <c r="R2115" s="18"/>
      <c r="S2115" s="18"/>
      <c r="T2115" s="18"/>
      <c r="U2115" s="18"/>
      <c r="V2115" s="18"/>
      <c r="W2115" s="18"/>
      <c r="X2115" s="18"/>
      <c r="Y2115" s="18"/>
      <c r="Z2115" s="18"/>
    </row>
    <row r="2116" ht="22.5" customHeight="1">
      <c r="A2116" s="250"/>
      <c r="B2116" s="218"/>
      <c r="C2116" s="9"/>
      <c r="D2116" s="228"/>
      <c r="E2116" s="216"/>
      <c r="F2116" s="273"/>
      <c r="G2116" s="9"/>
      <c r="H2116" s="234"/>
      <c r="I2116" s="232"/>
      <c r="J2116" s="9"/>
      <c r="K2116" s="18"/>
      <c r="L2116" s="18"/>
      <c r="M2116" s="18"/>
      <c r="N2116" s="18"/>
      <c r="O2116" s="18"/>
      <c r="P2116" s="18"/>
      <c r="Q2116" s="18"/>
      <c r="R2116" s="18"/>
      <c r="S2116" s="18"/>
      <c r="T2116" s="18"/>
      <c r="U2116" s="18"/>
      <c r="V2116" s="18"/>
      <c r="W2116" s="18"/>
      <c r="X2116" s="18"/>
      <c r="Y2116" s="18"/>
      <c r="Z2116" s="18"/>
    </row>
    <row r="2117" ht="22.5" customHeight="1">
      <c r="A2117" s="250"/>
      <c r="B2117" s="218"/>
      <c r="C2117" s="9"/>
      <c r="D2117" s="228"/>
      <c r="E2117" s="216"/>
      <c r="F2117" s="273"/>
      <c r="G2117" s="9"/>
      <c r="H2117" s="234"/>
      <c r="I2117" s="232"/>
      <c r="J2117" s="9"/>
      <c r="K2117" s="18"/>
      <c r="L2117" s="18"/>
      <c r="M2117" s="18"/>
      <c r="N2117" s="18"/>
      <c r="O2117" s="18"/>
      <c r="P2117" s="18"/>
      <c r="Q2117" s="18"/>
      <c r="R2117" s="18"/>
      <c r="S2117" s="18"/>
      <c r="T2117" s="18"/>
      <c r="U2117" s="18"/>
      <c r="V2117" s="18"/>
      <c r="W2117" s="18"/>
      <c r="X2117" s="18"/>
      <c r="Y2117" s="18"/>
      <c r="Z2117" s="18"/>
    </row>
    <row r="2118" ht="22.5" customHeight="1">
      <c r="A2118" s="250"/>
      <c r="B2118" s="218"/>
      <c r="C2118" s="9"/>
      <c r="D2118" s="228"/>
      <c r="E2118" s="216"/>
      <c r="F2118" s="273"/>
      <c r="G2118" s="9"/>
      <c r="H2118" s="234"/>
      <c r="I2118" s="232"/>
      <c r="J2118" s="9"/>
      <c r="K2118" s="18"/>
      <c r="L2118" s="18"/>
      <c r="M2118" s="18"/>
      <c r="N2118" s="18"/>
      <c r="O2118" s="18"/>
      <c r="P2118" s="18"/>
      <c r="Q2118" s="18"/>
      <c r="R2118" s="18"/>
      <c r="S2118" s="18"/>
      <c r="T2118" s="18"/>
      <c r="U2118" s="18"/>
      <c r="V2118" s="18"/>
      <c r="W2118" s="18"/>
      <c r="X2118" s="18"/>
      <c r="Y2118" s="18"/>
      <c r="Z2118" s="18"/>
    </row>
    <row r="2119" ht="22.5" customHeight="1">
      <c r="A2119" s="250"/>
      <c r="B2119" s="218"/>
      <c r="C2119" s="9"/>
      <c r="D2119" s="228"/>
      <c r="E2119" s="216"/>
      <c r="F2119" s="273"/>
      <c r="G2119" s="9"/>
      <c r="H2119" s="234"/>
      <c r="I2119" s="232"/>
      <c r="J2119" s="9"/>
      <c r="K2119" s="18"/>
      <c r="L2119" s="18"/>
      <c r="M2119" s="18"/>
      <c r="N2119" s="18"/>
      <c r="O2119" s="18"/>
      <c r="P2119" s="18"/>
      <c r="Q2119" s="18"/>
      <c r="R2119" s="18"/>
      <c r="S2119" s="18"/>
      <c r="T2119" s="18"/>
      <c r="U2119" s="18"/>
      <c r="V2119" s="18"/>
      <c r="W2119" s="18"/>
      <c r="X2119" s="18"/>
      <c r="Y2119" s="18"/>
      <c r="Z2119" s="18"/>
    </row>
    <row r="2120" ht="22.5" customHeight="1">
      <c r="A2120" s="250"/>
      <c r="B2120" s="218"/>
      <c r="C2120" s="9"/>
      <c r="D2120" s="228"/>
      <c r="E2120" s="216"/>
      <c r="F2120" s="273"/>
      <c r="G2120" s="9"/>
      <c r="H2120" s="234"/>
      <c r="I2120" s="232"/>
      <c r="J2120" s="9"/>
      <c r="K2120" s="18"/>
      <c r="L2120" s="18"/>
      <c r="M2120" s="18"/>
      <c r="N2120" s="18"/>
      <c r="O2120" s="18"/>
      <c r="P2120" s="18"/>
      <c r="Q2120" s="18"/>
      <c r="R2120" s="18"/>
      <c r="S2120" s="18"/>
      <c r="T2120" s="18"/>
      <c r="U2120" s="18"/>
      <c r="V2120" s="18"/>
      <c r="W2120" s="18"/>
      <c r="X2120" s="18"/>
      <c r="Y2120" s="18"/>
      <c r="Z2120" s="18"/>
    </row>
    <row r="2121" ht="22.5" customHeight="1">
      <c r="A2121" s="250"/>
      <c r="B2121" s="218"/>
      <c r="C2121" s="9"/>
      <c r="D2121" s="228"/>
      <c r="E2121" s="216"/>
      <c r="F2121" s="273"/>
      <c r="G2121" s="9"/>
      <c r="H2121" s="234"/>
      <c r="I2121" s="232"/>
      <c r="J2121" s="9"/>
      <c r="K2121" s="18"/>
      <c r="L2121" s="18"/>
      <c r="M2121" s="18"/>
      <c r="N2121" s="18"/>
      <c r="O2121" s="18"/>
      <c r="P2121" s="18"/>
      <c r="Q2121" s="18"/>
      <c r="R2121" s="18"/>
      <c r="S2121" s="18"/>
      <c r="T2121" s="18"/>
      <c r="U2121" s="18"/>
      <c r="V2121" s="18"/>
      <c r="W2121" s="18"/>
      <c r="X2121" s="18"/>
      <c r="Y2121" s="18"/>
      <c r="Z2121" s="18"/>
    </row>
    <row r="2122" ht="22.5" customHeight="1">
      <c r="A2122" s="250"/>
      <c r="B2122" s="218"/>
      <c r="C2122" s="9"/>
      <c r="D2122" s="228"/>
      <c r="E2122" s="216"/>
      <c r="F2122" s="273"/>
      <c r="G2122" s="9"/>
      <c r="H2122" s="234"/>
      <c r="I2122" s="232"/>
      <c r="J2122" s="9"/>
      <c r="K2122" s="18"/>
      <c r="L2122" s="18"/>
      <c r="M2122" s="18"/>
      <c r="N2122" s="18"/>
      <c r="O2122" s="18"/>
      <c r="P2122" s="18"/>
      <c r="Q2122" s="18"/>
      <c r="R2122" s="18"/>
      <c r="S2122" s="18"/>
      <c r="T2122" s="18"/>
      <c r="U2122" s="18"/>
      <c r="V2122" s="18"/>
      <c r="W2122" s="18"/>
      <c r="X2122" s="18"/>
      <c r="Y2122" s="18"/>
      <c r="Z2122" s="18"/>
    </row>
    <row r="2123" ht="22.5" customHeight="1">
      <c r="A2123" s="250"/>
      <c r="B2123" s="218"/>
      <c r="C2123" s="9"/>
      <c r="D2123" s="228"/>
      <c r="E2123" s="216"/>
      <c r="F2123" s="273"/>
      <c r="G2123" s="9"/>
      <c r="H2123" s="234"/>
      <c r="I2123" s="232"/>
      <c r="J2123" s="9"/>
      <c r="K2123" s="18"/>
      <c r="L2123" s="18"/>
      <c r="M2123" s="18"/>
      <c r="N2123" s="18"/>
      <c r="O2123" s="18"/>
      <c r="P2123" s="18"/>
      <c r="Q2123" s="18"/>
      <c r="R2123" s="18"/>
      <c r="S2123" s="18"/>
      <c r="T2123" s="18"/>
      <c r="U2123" s="18"/>
      <c r="V2123" s="18"/>
      <c r="W2123" s="18"/>
      <c r="X2123" s="18"/>
      <c r="Y2123" s="18"/>
      <c r="Z2123" s="18"/>
    </row>
    <row r="2124" ht="22.5" customHeight="1">
      <c r="A2124" s="250"/>
      <c r="B2124" s="218"/>
      <c r="C2124" s="9"/>
      <c r="D2124" s="228"/>
      <c r="E2124" s="216"/>
      <c r="F2124" s="273"/>
      <c r="G2124" s="9"/>
      <c r="H2124" s="234"/>
      <c r="I2124" s="232"/>
      <c r="J2124" s="9"/>
      <c r="K2124" s="18"/>
      <c r="L2124" s="18"/>
      <c r="M2124" s="18"/>
      <c r="N2124" s="18"/>
      <c r="O2124" s="18"/>
      <c r="P2124" s="18"/>
      <c r="Q2124" s="18"/>
      <c r="R2124" s="18"/>
      <c r="S2124" s="18"/>
      <c r="T2124" s="18"/>
      <c r="U2124" s="18"/>
      <c r="V2124" s="18"/>
      <c r="W2124" s="18"/>
      <c r="X2124" s="18"/>
      <c r="Y2124" s="18"/>
      <c r="Z2124" s="18"/>
    </row>
    <row r="2125" ht="22.5" customHeight="1">
      <c r="A2125" s="250"/>
      <c r="B2125" s="218"/>
      <c r="C2125" s="9"/>
      <c r="D2125" s="228"/>
      <c r="E2125" s="216"/>
      <c r="F2125" s="273"/>
      <c r="G2125" s="9"/>
      <c r="H2125" s="234"/>
      <c r="I2125" s="232"/>
      <c r="J2125" s="9"/>
      <c r="K2125" s="18"/>
      <c r="L2125" s="18"/>
      <c r="M2125" s="18"/>
      <c r="N2125" s="18"/>
      <c r="O2125" s="18"/>
      <c r="P2125" s="18"/>
      <c r="Q2125" s="18"/>
      <c r="R2125" s="18"/>
      <c r="S2125" s="18"/>
      <c r="T2125" s="18"/>
      <c r="U2125" s="18"/>
      <c r="V2125" s="18"/>
      <c r="W2125" s="18"/>
      <c r="X2125" s="18"/>
      <c r="Y2125" s="18"/>
      <c r="Z2125" s="18"/>
    </row>
    <row r="2126" ht="22.5" customHeight="1">
      <c r="A2126" s="250"/>
      <c r="B2126" s="218"/>
      <c r="C2126" s="9"/>
      <c r="D2126" s="228"/>
      <c r="E2126" s="216"/>
      <c r="F2126" s="273"/>
      <c r="G2126" s="9"/>
      <c r="H2126" s="234"/>
      <c r="I2126" s="232"/>
      <c r="J2126" s="9"/>
      <c r="K2126" s="18"/>
      <c r="L2126" s="18"/>
      <c r="M2126" s="18"/>
      <c r="N2126" s="18"/>
      <c r="O2126" s="18"/>
      <c r="P2126" s="18"/>
      <c r="Q2126" s="18"/>
      <c r="R2126" s="18"/>
      <c r="S2126" s="18"/>
      <c r="T2126" s="18"/>
      <c r="U2126" s="18"/>
      <c r="V2126" s="18"/>
      <c r="W2126" s="18"/>
      <c r="X2126" s="18"/>
      <c r="Y2126" s="18"/>
      <c r="Z2126" s="18"/>
    </row>
    <row r="2127" ht="22.5" customHeight="1">
      <c r="A2127" s="250"/>
      <c r="B2127" s="218"/>
      <c r="C2127" s="9"/>
      <c r="D2127" s="228"/>
      <c r="E2127" s="216"/>
      <c r="F2127" s="273"/>
      <c r="G2127" s="9"/>
      <c r="H2127" s="234"/>
      <c r="I2127" s="232"/>
      <c r="J2127" s="9"/>
      <c r="K2127" s="18"/>
      <c r="L2127" s="18"/>
      <c r="M2127" s="18"/>
      <c r="N2127" s="18"/>
      <c r="O2127" s="18"/>
      <c r="P2127" s="18"/>
      <c r="Q2127" s="18"/>
      <c r="R2127" s="18"/>
      <c r="S2127" s="18"/>
      <c r="T2127" s="18"/>
      <c r="U2127" s="18"/>
      <c r="V2127" s="18"/>
      <c r="W2127" s="18"/>
      <c r="X2127" s="18"/>
      <c r="Y2127" s="18"/>
      <c r="Z2127" s="18"/>
    </row>
    <row r="2128" ht="22.5" customHeight="1">
      <c r="A2128" s="250"/>
      <c r="B2128" s="218"/>
      <c r="C2128" s="9"/>
      <c r="D2128" s="228"/>
      <c r="E2128" s="216"/>
      <c r="F2128" s="273"/>
      <c r="G2128" s="9"/>
      <c r="H2128" s="234"/>
      <c r="I2128" s="232"/>
      <c r="J2128" s="9"/>
      <c r="K2128" s="18"/>
      <c r="L2128" s="18"/>
      <c r="M2128" s="18"/>
      <c r="N2128" s="18"/>
      <c r="O2128" s="18"/>
      <c r="P2128" s="18"/>
      <c r="Q2128" s="18"/>
      <c r="R2128" s="18"/>
      <c r="S2128" s="18"/>
      <c r="T2128" s="18"/>
      <c r="U2128" s="18"/>
      <c r="V2128" s="18"/>
      <c r="W2128" s="18"/>
      <c r="X2128" s="18"/>
      <c r="Y2128" s="18"/>
      <c r="Z2128" s="18"/>
    </row>
    <row r="2129" ht="22.5" customHeight="1">
      <c r="A2129" s="250"/>
      <c r="B2129" s="218"/>
      <c r="C2129" s="9"/>
      <c r="D2129" s="228"/>
      <c r="E2129" s="216"/>
      <c r="F2129" s="273"/>
      <c r="G2129" s="9"/>
      <c r="H2129" s="234"/>
      <c r="I2129" s="232"/>
      <c r="J2129" s="9"/>
      <c r="K2129" s="18"/>
      <c r="L2129" s="18"/>
      <c r="M2129" s="18"/>
      <c r="N2129" s="18"/>
      <c r="O2129" s="18"/>
      <c r="P2129" s="18"/>
      <c r="Q2129" s="18"/>
      <c r="R2129" s="18"/>
      <c r="S2129" s="18"/>
      <c r="T2129" s="18"/>
      <c r="U2129" s="18"/>
      <c r="V2129" s="18"/>
      <c r="W2129" s="18"/>
      <c r="X2129" s="18"/>
      <c r="Y2129" s="18"/>
      <c r="Z2129" s="18"/>
    </row>
    <row r="2130" ht="22.5" customHeight="1">
      <c r="A2130" s="250"/>
      <c r="B2130" s="218"/>
      <c r="C2130" s="9"/>
      <c r="D2130" s="228"/>
      <c r="E2130" s="216"/>
      <c r="F2130" s="273"/>
      <c r="G2130" s="9"/>
      <c r="H2130" s="234"/>
      <c r="I2130" s="232"/>
      <c r="J2130" s="9"/>
      <c r="K2130" s="18"/>
      <c r="L2130" s="18"/>
      <c r="M2130" s="18"/>
      <c r="N2130" s="18"/>
      <c r="O2130" s="18"/>
      <c r="P2130" s="18"/>
      <c r="Q2130" s="18"/>
      <c r="R2130" s="18"/>
      <c r="S2130" s="18"/>
      <c r="T2130" s="18"/>
      <c r="U2130" s="18"/>
      <c r="V2130" s="18"/>
      <c r="W2130" s="18"/>
      <c r="X2130" s="18"/>
      <c r="Y2130" s="18"/>
      <c r="Z2130" s="18"/>
    </row>
    <row r="2131" ht="22.5" customHeight="1">
      <c r="A2131" s="250"/>
      <c r="B2131" s="218"/>
      <c r="C2131" s="9"/>
      <c r="D2131" s="228"/>
      <c r="E2131" s="216"/>
      <c r="F2131" s="273"/>
      <c r="G2131" s="9"/>
      <c r="H2131" s="234"/>
      <c r="I2131" s="232"/>
      <c r="J2131" s="9"/>
      <c r="K2131" s="18"/>
      <c r="L2131" s="18"/>
      <c r="M2131" s="18"/>
      <c r="N2131" s="18"/>
      <c r="O2131" s="18"/>
      <c r="P2131" s="18"/>
      <c r="Q2131" s="18"/>
      <c r="R2131" s="18"/>
      <c r="S2131" s="18"/>
      <c r="T2131" s="18"/>
      <c r="U2131" s="18"/>
      <c r="V2131" s="18"/>
      <c r="W2131" s="18"/>
      <c r="X2131" s="18"/>
      <c r="Y2131" s="18"/>
      <c r="Z2131" s="18"/>
    </row>
    <row r="2132" ht="22.5" customHeight="1">
      <c r="A2132" s="250"/>
      <c r="B2132" s="218"/>
      <c r="C2132" s="9"/>
      <c r="D2132" s="228"/>
      <c r="E2132" s="216"/>
      <c r="F2132" s="273"/>
      <c r="G2132" s="9"/>
      <c r="H2132" s="234"/>
      <c r="I2132" s="232"/>
      <c r="J2132" s="9"/>
      <c r="K2132" s="18"/>
      <c r="L2132" s="18"/>
      <c r="M2132" s="18"/>
      <c r="N2132" s="18"/>
      <c r="O2132" s="18"/>
      <c r="P2132" s="18"/>
      <c r="Q2132" s="18"/>
      <c r="R2132" s="18"/>
      <c r="S2132" s="18"/>
      <c r="T2132" s="18"/>
      <c r="U2132" s="18"/>
      <c r="V2132" s="18"/>
      <c r="W2132" s="18"/>
      <c r="X2132" s="18"/>
      <c r="Y2132" s="18"/>
      <c r="Z2132" s="18"/>
    </row>
    <row r="2133" ht="22.5" customHeight="1">
      <c r="A2133" s="250"/>
      <c r="B2133" s="218"/>
      <c r="C2133" s="9"/>
      <c r="D2133" s="228"/>
      <c r="E2133" s="216"/>
      <c r="F2133" s="273"/>
      <c r="G2133" s="9"/>
      <c r="H2133" s="234"/>
      <c r="I2133" s="232"/>
      <c r="J2133" s="9"/>
      <c r="K2133" s="18"/>
      <c r="L2133" s="18"/>
      <c r="M2133" s="18"/>
      <c r="N2133" s="18"/>
      <c r="O2133" s="18"/>
      <c r="P2133" s="18"/>
      <c r="Q2133" s="18"/>
      <c r="R2133" s="18"/>
      <c r="S2133" s="18"/>
      <c r="T2133" s="18"/>
      <c r="U2133" s="18"/>
      <c r="V2133" s="18"/>
      <c r="W2133" s="18"/>
      <c r="X2133" s="18"/>
      <c r="Y2133" s="18"/>
      <c r="Z2133" s="18"/>
    </row>
    <row r="2134" ht="22.5" customHeight="1">
      <c r="A2134" s="250"/>
      <c r="B2134" s="218"/>
      <c r="C2134" s="9"/>
      <c r="D2134" s="228"/>
      <c r="E2134" s="216"/>
      <c r="F2134" s="273"/>
      <c r="G2134" s="9"/>
      <c r="H2134" s="234"/>
      <c r="I2134" s="232"/>
      <c r="J2134" s="9"/>
      <c r="K2134" s="18"/>
      <c r="L2134" s="18"/>
      <c r="M2134" s="18"/>
      <c r="N2134" s="18"/>
      <c r="O2134" s="18"/>
      <c r="P2134" s="18"/>
      <c r="Q2134" s="18"/>
      <c r="R2134" s="18"/>
      <c r="S2134" s="18"/>
      <c r="T2134" s="18"/>
      <c r="U2134" s="18"/>
      <c r="V2134" s="18"/>
      <c r="W2134" s="18"/>
      <c r="X2134" s="18"/>
      <c r="Y2134" s="18"/>
      <c r="Z2134" s="18"/>
    </row>
    <row r="2135" ht="22.5" customHeight="1">
      <c r="A2135" s="250"/>
      <c r="B2135" s="218"/>
      <c r="C2135" s="9"/>
      <c r="D2135" s="228"/>
      <c r="E2135" s="216"/>
      <c r="F2135" s="273"/>
      <c r="G2135" s="9"/>
      <c r="H2135" s="234"/>
      <c r="I2135" s="232"/>
      <c r="J2135" s="9"/>
      <c r="K2135" s="18"/>
      <c r="L2135" s="18"/>
      <c r="M2135" s="18"/>
      <c r="N2135" s="18"/>
      <c r="O2135" s="18"/>
      <c r="P2135" s="18"/>
      <c r="Q2135" s="18"/>
      <c r="R2135" s="18"/>
      <c r="S2135" s="18"/>
      <c r="T2135" s="18"/>
      <c r="U2135" s="18"/>
      <c r="V2135" s="18"/>
      <c r="W2135" s="18"/>
      <c r="X2135" s="18"/>
      <c r="Y2135" s="18"/>
      <c r="Z2135" s="18"/>
    </row>
    <row r="2136" ht="22.5" customHeight="1">
      <c r="A2136" s="250"/>
      <c r="B2136" s="218"/>
      <c r="C2136" s="9"/>
      <c r="D2136" s="228"/>
      <c r="E2136" s="216"/>
      <c r="F2136" s="273"/>
      <c r="G2136" s="9"/>
      <c r="H2136" s="234"/>
      <c r="I2136" s="232"/>
      <c r="J2136" s="9"/>
      <c r="K2136" s="18"/>
      <c r="L2136" s="18"/>
      <c r="M2136" s="18"/>
      <c r="N2136" s="18"/>
      <c r="O2136" s="18"/>
      <c r="P2136" s="18"/>
      <c r="Q2136" s="18"/>
      <c r="R2136" s="18"/>
      <c r="S2136" s="18"/>
      <c r="T2136" s="18"/>
      <c r="U2136" s="18"/>
      <c r="V2136" s="18"/>
      <c r="W2136" s="18"/>
      <c r="X2136" s="18"/>
      <c r="Y2136" s="18"/>
      <c r="Z2136" s="18"/>
    </row>
    <row r="2137" ht="22.5" customHeight="1">
      <c r="A2137" s="250"/>
      <c r="B2137" s="218"/>
      <c r="C2137" s="9"/>
      <c r="D2137" s="228"/>
      <c r="E2137" s="216"/>
      <c r="F2137" s="273"/>
      <c r="G2137" s="9"/>
      <c r="H2137" s="234"/>
      <c r="I2137" s="232"/>
      <c r="J2137" s="9"/>
      <c r="K2137" s="18"/>
      <c r="L2137" s="18"/>
      <c r="M2137" s="18"/>
      <c r="N2137" s="18"/>
      <c r="O2137" s="18"/>
      <c r="P2137" s="18"/>
      <c r="Q2137" s="18"/>
      <c r="R2137" s="18"/>
      <c r="S2137" s="18"/>
      <c r="T2137" s="18"/>
      <c r="U2137" s="18"/>
      <c r="V2137" s="18"/>
      <c r="W2137" s="18"/>
      <c r="X2137" s="18"/>
      <c r="Y2137" s="18"/>
      <c r="Z2137" s="18"/>
    </row>
    <row r="2138" ht="22.5" customHeight="1">
      <c r="A2138" s="250"/>
      <c r="B2138" s="218"/>
      <c r="C2138" s="9"/>
      <c r="D2138" s="228"/>
      <c r="E2138" s="216"/>
      <c r="F2138" s="273"/>
      <c r="G2138" s="9"/>
      <c r="H2138" s="234"/>
      <c r="I2138" s="232"/>
      <c r="J2138" s="9"/>
      <c r="K2138" s="18"/>
      <c r="L2138" s="18"/>
      <c r="M2138" s="18"/>
      <c r="N2138" s="18"/>
      <c r="O2138" s="18"/>
      <c r="P2138" s="18"/>
      <c r="Q2138" s="18"/>
      <c r="R2138" s="18"/>
      <c r="S2138" s="18"/>
      <c r="T2138" s="18"/>
      <c r="U2138" s="18"/>
      <c r="V2138" s="18"/>
      <c r="W2138" s="18"/>
      <c r="X2138" s="18"/>
      <c r="Y2138" s="18"/>
      <c r="Z2138" s="18"/>
    </row>
    <row r="2139" ht="22.5" customHeight="1">
      <c r="A2139" s="250"/>
      <c r="B2139" s="218"/>
      <c r="C2139" s="9"/>
      <c r="D2139" s="228"/>
      <c r="E2139" s="216"/>
      <c r="F2139" s="273"/>
      <c r="G2139" s="9"/>
      <c r="H2139" s="234"/>
      <c r="I2139" s="232"/>
      <c r="J2139" s="9"/>
      <c r="K2139" s="18"/>
      <c r="L2139" s="18"/>
      <c r="M2139" s="18"/>
      <c r="N2139" s="18"/>
      <c r="O2139" s="18"/>
      <c r="P2139" s="18"/>
      <c r="Q2139" s="18"/>
      <c r="R2139" s="18"/>
      <c r="S2139" s="18"/>
      <c r="T2139" s="18"/>
      <c r="U2139" s="18"/>
      <c r="V2139" s="18"/>
      <c r="W2139" s="18"/>
      <c r="X2139" s="18"/>
      <c r="Y2139" s="18"/>
      <c r="Z2139" s="18"/>
    </row>
    <row r="2140" ht="22.5" customHeight="1">
      <c r="A2140" s="250"/>
      <c r="B2140" s="218"/>
      <c r="C2140" s="9"/>
      <c r="D2140" s="228"/>
      <c r="E2140" s="216"/>
      <c r="F2140" s="273"/>
      <c r="G2140" s="9"/>
      <c r="H2140" s="234"/>
      <c r="I2140" s="232"/>
      <c r="J2140" s="9"/>
      <c r="K2140" s="18"/>
      <c r="L2140" s="18"/>
      <c r="M2140" s="18"/>
      <c r="N2140" s="18"/>
      <c r="O2140" s="18"/>
      <c r="P2140" s="18"/>
      <c r="Q2140" s="18"/>
      <c r="R2140" s="18"/>
      <c r="S2140" s="18"/>
      <c r="T2140" s="18"/>
      <c r="U2140" s="18"/>
      <c r="V2140" s="18"/>
      <c r="W2140" s="18"/>
      <c r="X2140" s="18"/>
      <c r="Y2140" s="18"/>
      <c r="Z2140" s="18"/>
    </row>
    <row r="2141" ht="22.5" customHeight="1">
      <c r="A2141" s="250"/>
      <c r="B2141" s="218"/>
      <c r="C2141" s="9"/>
      <c r="D2141" s="228"/>
      <c r="E2141" s="216"/>
      <c r="F2141" s="273"/>
      <c r="G2141" s="9"/>
      <c r="H2141" s="234"/>
      <c r="I2141" s="232"/>
      <c r="J2141" s="9"/>
      <c r="K2141" s="18"/>
      <c r="L2141" s="18"/>
      <c r="M2141" s="18"/>
      <c r="N2141" s="18"/>
      <c r="O2141" s="18"/>
      <c r="P2141" s="18"/>
      <c r="Q2141" s="18"/>
      <c r="R2141" s="18"/>
      <c r="S2141" s="18"/>
      <c r="T2141" s="18"/>
      <c r="U2141" s="18"/>
      <c r="V2141" s="18"/>
      <c r="W2141" s="18"/>
      <c r="X2141" s="18"/>
      <c r="Y2141" s="18"/>
      <c r="Z2141" s="18"/>
    </row>
    <row r="2142" ht="22.5" customHeight="1">
      <c r="A2142" s="250"/>
      <c r="B2142" s="218"/>
      <c r="C2142" s="9"/>
      <c r="D2142" s="228"/>
      <c r="E2142" s="216"/>
      <c r="F2142" s="273"/>
      <c r="G2142" s="9"/>
      <c r="H2142" s="234"/>
      <c r="I2142" s="232"/>
      <c r="J2142" s="9"/>
      <c r="K2142" s="18"/>
      <c r="L2142" s="18"/>
      <c r="M2142" s="18"/>
      <c r="N2142" s="18"/>
      <c r="O2142" s="18"/>
      <c r="P2142" s="18"/>
      <c r="Q2142" s="18"/>
      <c r="R2142" s="18"/>
      <c r="S2142" s="18"/>
      <c r="T2142" s="18"/>
      <c r="U2142" s="18"/>
      <c r="V2142" s="18"/>
      <c r="W2142" s="18"/>
      <c r="X2142" s="18"/>
      <c r="Y2142" s="18"/>
      <c r="Z2142" s="18"/>
    </row>
    <row r="2143" ht="22.5" customHeight="1">
      <c r="A2143" s="250"/>
      <c r="B2143" s="218"/>
      <c r="C2143" s="9"/>
      <c r="D2143" s="228"/>
      <c r="E2143" s="216"/>
      <c r="F2143" s="273"/>
      <c r="G2143" s="9"/>
      <c r="H2143" s="234"/>
      <c r="I2143" s="232"/>
      <c r="J2143" s="9"/>
      <c r="K2143" s="18"/>
      <c r="L2143" s="18"/>
      <c r="M2143" s="18"/>
      <c r="N2143" s="18"/>
      <c r="O2143" s="18"/>
      <c r="P2143" s="18"/>
      <c r="Q2143" s="18"/>
      <c r="R2143" s="18"/>
      <c r="S2143" s="18"/>
      <c r="T2143" s="18"/>
      <c r="U2143" s="18"/>
      <c r="V2143" s="18"/>
      <c r="W2143" s="18"/>
      <c r="X2143" s="18"/>
      <c r="Y2143" s="18"/>
      <c r="Z2143" s="18"/>
    </row>
    <row r="2144" ht="22.5" customHeight="1">
      <c r="A2144" s="250"/>
      <c r="B2144" s="218"/>
      <c r="C2144" s="9"/>
      <c r="D2144" s="228"/>
      <c r="E2144" s="216"/>
      <c r="F2144" s="273"/>
      <c r="G2144" s="9"/>
      <c r="H2144" s="234"/>
      <c r="I2144" s="232"/>
      <c r="J2144" s="9"/>
      <c r="K2144" s="18"/>
      <c r="L2144" s="18"/>
      <c r="M2144" s="18"/>
      <c r="N2144" s="18"/>
      <c r="O2144" s="18"/>
      <c r="P2144" s="18"/>
      <c r="Q2144" s="18"/>
      <c r="R2144" s="18"/>
      <c r="S2144" s="18"/>
      <c r="T2144" s="18"/>
      <c r="U2144" s="18"/>
      <c r="V2144" s="18"/>
      <c r="W2144" s="18"/>
      <c r="X2144" s="18"/>
      <c r="Y2144" s="18"/>
      <c r="Z2144" s="18"/>
    </row>
    <row r="2145" ht="22.5" customHeight="1">
      <c r="A2145" s="250"/>
      <c r="B2145" s="218"/>
      <c r="C2145" s="9"/>
      <c r="D2145" s="228"/>
      <c r="E2145" s="216"/>
      <c r="F2145" s="273"/>
      <c r="G2145" s="9"/>
      <c r="H2145" s="234"/>
      <c r="I2145" s="232"/>
      <c r="J2145" s="9"/>
      <c r="K2145" s="18"/>
      <c r="L2145" s="18"/>
      <c r="M2145" s="18"/>
      <c r="N2145" s="18"/>
      <c r="O2145" s="18"/>
      <c r="P2145" s="18"/>
      <c r="Q2145" s="18"/>
      <c r="R2145" s="18"/>
      <c r="S2145" s="18"/>
      <c r="T2145" s="18"/>
      <c r="U2145" s="18"/>
      <c r="V2145" s="18"/>
      <c r="W2145" s="18"/>
      <c r="X2145" s="18"/>
      <c r="Y2145" s="18"/>
      <c r="Z2145" s="18"/>
    </row>
    <row r="2146" ht="22.5" customHeight="1">
      <c r="A2146" s="250"/>
      <c r="B2146" s="218"/>
      <c r="C2146" s="9"/>
      <c r="D2146" s="228"/>
      <c r="E2146" s="216"/>
      <c r="F2146" s="273"/>
      <c r="G2146" s="9"/>
      <c r="H2146" s="234"/>
      <c r="I2146" s="232"/>
      <c r="J2146" s="9"/>
      <c r="K2146" s="18"/>
      <c r="L2146" s="18"/>
      <c r="M2146" s="18"/>
      <c r="N2146" s="18"/>
      <c r="O2146" s="18"/>
      <c r="P2146" s="18"/>
      <c r="Q2146" s="18"/>
      <c r="R2146" s="18"/>
      <c r="S2146" s="18"/>
      <c r="T2146" s="18"/>
      <c r="U2146" s="18"/>
      <c r="V2146" s="18"/>
      <c r="W2146" s="18"/>
      <c r="X2146" s="18"/>
      <c r="Y2146" s="18"/>
      <c r="Z2146" s="18"/>
    </row>
    <row r="2147" ht="22.5" customHeight="1">
      <c r="A2147" s="250"/>
      <c r="B2147" s="218"/>
      <c r="C2147" s="9"/>
      <c r="D2147" s="228"/>
      <c r="E2147" s="216"/>
      <c r="F2147" s="273"/>
      <c r="G2147" s="9"/>
      <c r="H2147" s="234"/>
      <c r="I2147" s="232"/>
      <c r="J2147" s="9"/>
      <c r="K2147" s="18"/>
      <c r="L2147" s="18"/>
      <c r="M2147" s="18"/>
      <c r="N2147" s="18"/>
      <c r="O2147" s="18"/>
      <c r="P2147" s="18"/>
      <c r="Q2147" s="18"/>
      <c r="R2147" s="18"/>
      <c r="S2147" s="18"/>
      <c r="T2147" s="18"/>
      <c r="U2147" s="18"/>
      <c r="V2147" s="18"/>
      <c r="W2147" s="18"/>
      <c r="X2147" s="18"/>
      <c r="Y2147" s="18"/>
      <c r="Z2147" s="18"/>
    </row>
    <row r="2148" ht="22.5" customHeight="1">
      <c r="A2148" s="250"/>
      <c r="B2148" s="218"/>
      <c r="C2148" s="9"/>
      <c r="D2148" s="228"/>
      <c r="E2148" s="216"/>
      <c r="F2148" s="273"/>
      <c r="G2148" s="9"/>
      <c r="H2148" s="234"/>
      <c r="I2148" s="232"/>
      <c r="J2148" s="9"/>
      <c r="K2148" s="18"/>
      <c r="L2148" s="18"/>
      <c r="M2148" s="18"/>
      <c r="N2148" s="18"/>
      <c r="O2148" s="18"/>
      <c r="P2148" s="18"/>
      <c r="Q2148" s="18"/>
      <c r="R2148" s="18"/>
      <c r="S2148" s="18"/>
      <c r="T2148" s="18"/>
      <c r="U2148" s="18"/>
      <c r="V2148" s="18"/>
      <c r="W2148" s="18"/>
      <c r="X2148" s="18"/>
      <c r="Y2148" s="18"/>
      <c r="Z2148" s="18"/>
    </row>
    <row r="2149" ht="22.5" customHeight="1">
      <c r="A2149" s="250"/>
      <c r="B2149" s="218"/>
      <c r="C2149" s="9"/>
      <c r="D2149" s="228"/>
      <c r="E2149" s="216"/>
      <c r="F2149" s="273"/>
      <c r="G2149" s="9"/>
      <c r="H2149" s="234"/>
      <c r="I2149" s="232"/>
      <c r="J2149" s="9"/>
      <c r="K2149" s="18"/>
      <c r="L2149" s="18"/>
      <c r="M2149" s="18"/>
      <c r="N2149" s="18"/>
      <c r="O2149" s="18"/>
      <c r="P2149" s="18"/>
      <c r="Q2149" s="18"/>
      <c r="R2149" s="18"/>
      <c r="S2149" s="18"/>
      <c r="T2149" s="18"/>
      <c r="U2149" s="18"/>
      <c r="V2149" s="18"/>
      <c r="W2149" s="18"/>
      <c r="X2149" s="18"/>
      <c r="Y2149" s="18"/>
      <c r="Z2149" s="18"/>
    </row>
    <row r="2150" ht="22.5" customHeight="1">
      <c r="A2150" s="250"/>
      <c r="B2150" s="218"/>
      <c r="C2150" s="9"/>
      <c r="D2150" s="228"/>
      <c r="E2150" s="216"/>
      <c r="F2150" s="273"/>
      <c r="G2150" s="9"/>
      <c r="H2150" s="234"/>
      <c r="I2150" s="232"/>
      <c r="J2150" s="9"/>
      <c r="K2150" s="18"/>
      <c r="L2150" s="18"/>
      <c r="M2150" s="18"/>
      <c r="N2150" s="18"/>
      <c r="O2150" s="18"/>
      <c r="P2150" s="18"/>
      <c r="Q2150" s="18"/>
      <c r="R2150" s="18"/>
      <c r="S2150" s="18"/>
      <c r="T2150" s="18"/>
      <c r="U2150" s="18"/>
      <c r="V2150" s="18"/>
      <c r="W2150" s="18"/>
      <c r="X2150" s="18"/>
      <c r="Y2150" s="18"/>
      <c r="Z2150" s="18"/>
    </row>
    <row r="2151" ht="22.5" customHeight="1">
      <c r="A2151" s="250"/>
      <c r="B2151" s="218"/>
      <c r="C2151" s="9"/>
      <c r="D2151" s="228"/>
      <c r="E2151" s="216"/>
      <c r="F2151" s="273"/>
      <c r="G2151" s="9"/>
      <c r="H2151" s="234"/>
      <c r="I2151" s="232"/>
      <c r="J2151" s="9"/>
      <c r="K2151" s="18"/>
      <c r="L2151" s="18"/>
      <c r="M2151" s="18"/>
      <c r="N2151" s="18"/>
      <c r="O2151" s="18"/>
      <c r="P2151" s="18"/>
      <c r="Q2151" s="18"/>
      <c r="R2151" s="18"/>
      <c r="S2151" s="18"/>
      <c r="T2151" s="18"/>
      <c r="U2151" s="18"/>
      <c r="V2151" s="18"/>
      <c r="W2151" s="18"/>
      <c r="X2151" s="18"/>
      <c r="Y2151" s="18"/>
      <c r="Z2151" s="18"/>
    </row>
    <row r="2152" ht="22.5" customHeight="1">
      <c r="A2152" s="250"/>
      <c r="B2152" s="218"/>
      <c r="C2152" s="9"/>
      <c r="D2152" s="228"/>
      <c r="E2152" s="216"/>
      <c r="F2152" s="273"/>
      <c r="G2152" s="9"/>
      <c r="H2152" s="234"/>
      <c r="I2152" s="232"/>
      <c r="J2152" s="9"/>
      <c r="K2152" s="18"/>
      <c r="L2152" s="18"/>
      <c r="M2152" s="18"/>
      <c r="N2152" s="18"/>
      <c r="O2152" s="18"/>
      <c r="P2152" s="18"/>
      <c r="Q2152" s="18"/>
      <c r="R2152" s="18"/>
      <c r="S2152" s="18"/>
      <c r="T2152" s="18"/>
      <c r="U2152" s="18"/>
      <c r="V2152" s="18"/>
      <c r="W2152" s="18"/>
      <c r="X2152" s="18"/>
      <c r="Y2152" s="18"/>
      <c r="Z2152" s="18"/>
    </row>
    <row r="2153" ht="22.5" customHeight="1">
      <c r="A2153" s="250"/>
      <c r="B2153" s="218"/>
      <c r="C2153" s="9"/>
      <c r="D2153" s="228"/>
      <c r="E2153" s="216"/>
      <c r="F2153" s="273"/>
      <c r="G2153" s="9"/>
      <c r="H2153" s="234"/>
      <c r="I2153" s="232"/>
      <c r="J2153" s="9"/>
      <c r="K2153" s="18"/>
      <c r="L2153" s="18"/>
      <c r="M2153" s="18"/>
      <c r="N2153" s="18"/>
      <c r="O2153" s="18"/>
      <c r="P2153" s="18"/>
      <c r="Q2153" s="18"/>
      <c r="R2153" s="18"/>
      <c r="S2153" s="18"/>
      <c r="T2153" s="18"/>
      <c r="U2153" s="18"/>
      <c r="V2153" s="18"/>
      <c r="W2153" s="18"/>
      <c r="X2153" s="18"/>
      <c r="Y2153" s="18"/>
      <c r="Z2153" s="18"/>
    </row>
    <row r="2154" ht="22.5" customHeight="1">
      <c r="A2154" s="250"/>
      <c r="B2154" s="218"/>
      <c r="C2154" s="9"/>
      <c r="D2154" s="228"/>
      <c r="E2154" s="216"/>
      <c r="F2154" s="273"/>
      <c r="G2154" s="9"/>
      <c r="H2154" s="234"/>
      <c r="I2154" s="232"/>
      <c r="J2154" s="9"/>
      <c r="K2154" s="18"/>
      <c r="L2154" s="18"/>
      <c r="M2154" s="18"/>
      <c r="N2154" s="18"/>
      <c r="O2154" s="18"/>
      <c r="P2154" s="18"/>
      <c r="Q2154" s="18"/>
      <c r="R2154" s="18"/>
      <c r="S2154" s="18"/>
      <c r="T2154" s="18"/>
      <c r="U2154" s="18"/>
      <c r="V2154" s="18"/>
      <c r="W2154" s="18"/>
      <c r="X2154" s="18"/>
      <c r="Y2154" s="18"/>
      <c r="Z2154" s="18"/>
    </row>
    <row r="2155" ht="22.5" customHeight="1">
      <c r="A2155" s="250"/>
      <c r="B2155" s="218"/>
      <c r="C2155" s="9"/>
      <c r="D2155" s="228"/>
      <c r="E2155" s="216"/>
      <c r="F2155" s="273"/>
      <c r="G2155" s="9"/>
      <c r="H2155" s="234"/>
      <c r="I2155" s="232"/>
      <c r="J2155" s="9"/>
      <c r="K2155" s="18"/>
      <c r="L2155" s="18"/>
      <c r="M2155" s="18"/>
      <c r="N2155" s="18"/>
      <c r="O2155" s="18"/>
      <c r="P2155" s="18"/>
      <c r="Q2155" s="18"/>
      <c r="R2155" s="18"/>
      <c r="S2155" s="18"/>
      <c r="T2155" s="18"/>
      <c r="U2155" s="18"/>
      <c r="V2155" s="18"/>
      <c r="W2155" s="18"/>
      <c r="X2155" s="18"/>
      <c r="Y2155" s="18"/>
      <c r="Z2155" s="18"/>
    </row>
    <row r="2156" ht="22.5" customHeight="1">
      <c r="A2156" s="250"/>
      <c r="B2156" s="218"/>
      <c r="C2156" s="9"/>
      <c r="D2156" s="228"/>
      <c r="E2156" s="216"/>
      <c r="F2156" s="273"/>
      <c r="G2156" s="9"/>
      <c r="H2156" s="234"/>
      <c r="I2156" s="232"/>
      <c r="J2156" s="9"/>
      <c r="K2156" s="18"/>
      <c r="L2156" s="18"/>
      <c r="M2156" s="18"/>
      <c r="N2156" s="18"/>
      <c r="O2156" s="18"/>
      <c r="P2156" s="18"/>
      <c r="Q2156" s="18"/>
      <c r="R2156" s="18"/>
      <c r="S2156" s="18"/>
      <c r="T2156" s="18"/>
      <c r="U2156" s="18"/>
      <c r="V2156" s="18"/>
      <c r="W2156" s="18"/>
      <c r="X2156" s="18"/>
      <c r="Y2156" s="18"/>
      <c r="Z2156" s="18"/>
    </row>
    <row r="2157" ht="22.5" customHeight="1">
      <c r="A2157" s="250"/>
      <c r="B2157" s="218"/>
      <c r="C2157" s="9"/>
      <c r="D2157" s="228"/>
      <c r="E2157" s="216"/>
      <c r="F2157" s="273"/>
      <c r="G2157" s="9"/>
      <c r="H2157" s="234"/>
      <c r="I2157" s="232"/>
      <c r="J2157" s="9"/>
      <c r="K2157" s="18"/>
      <c r="L2157" s="18"/>
      <c r="M2157" s="18"/>
      <c r="N2157" s="18"/>
      <c r="O2157" s="18"/>
      <c r="P2157" s="18"/>
      <c r="Q2157" s="18"/>
      <c r="R2157" s="18"/>
      <c r="S2157" s="18"/>
      <c r="T2157" s="18"/>
      <c r="U2157" s="18"/>
      <c r="V2157" s="18"/>
      <c r="W2157" s="18"/>
      <c r="X2157" s="18"/>
      <c r="Y2157" s="18"/>
      <c r="Z2157" s="18"/>
    </row>
    <row r="2158" ht="22.5" customHeight="1">
      <c r="A2158" s="250"/>
      <c r="B2158" s="218"/>
      <c r="C2158" s="9"/>
      <c r="D2158" s="228"/>
      <c r="E2158" s="216"/>
      <c r="F2158" s="273"/>
      <c r="G2158" s="9"/>
      <c r="H2158" s="234"/>
      <c r="I2158" s="232"/>
      <c r="J2158" s="9"/>
      <c r="K2158" s="18"/>
      <c r="L2158" s="18"/>
      <c r="M2158" s="18"/>
      <c r="N2158" s="18"/>
      <c r="O2158" s="18"/>
      <c r="P2158" s="18"/>
      <c r="Q2158" s="18"/>
      <c r="R2158" s="18"/>
      <c r="S2158" s="18"/>
      <c r="T2158" s="18"/>
      <c r="U2158" s="18"/>
      <c r="V2158" s="18"/>
      <c r="W2158" s="18"/>
      <c r="X2158" s="18"/>
      <c r="Y2158" s="18"/>
      <c r="Z2158" s="18"/>
    </row>
    <row r="2159" ht="22.5" customHeight="1">
      <c r="A2159" s="250"/>
      <c r="B2159" s="218"/>
      <c r="C2159" s="9"/>
      <c r="D2159" s="228"/>
      <c r="E2159" s="216"/>
      <c r="F2159" s="273"/>
      <c r="G2159" s="9"/>
      <c r="H2159" s="234"/>
      <c r="I2159" s="232"/>
      <c r="J2159" s="9"/>
      <c r="K2159" s="18"/>
      <c r="L2159" s="18"/>
      <c r="M2159" s="18"/>
      <c r="N2159" s="18"/>
      <c r="O2159" s="18"/>
      <c r="P2159" s="18"/>
      <c r="Q2159" s="18"/>
      <c r="R2159" s="18"/>
      <c r="S2159" s="18"/>
      <c r="T2159" s="18"/>
      <c r="U2159" s="18"/>
      <c r="V2159" s="18"/>
      <c r="W2159" s="18"/>
      <c r="X2159" s="18"/>
      <c r="Y2159" s="18"/>
      <c r="Z2159" s="18"/>
    </row>
    <row r="2160" ht="22.5" customHeight="1">
      <c r="A2160" s="250"/>
      <c r="B2160" s="218"/>
      <c r="C2160" s="9"/>
      <c r="D2160" s="228"/>
      <c r="E2160" s="216"/>
      <c r="F2160" s="273"/>
      <c r="G2160" s="9"/>
      <c r="H2160" s="234"/>
      <c r="I2160" s="232"/>
      <c r="J2160" s="9"/>
      <c r="K2160" s="18"/>
      <c r="L2160" s="18"/>
      <c r="M2160" s="18"/>
      <c r="N2160" s="18"/>
      <c r="O2160" s="18"/>
      <c r="P2160" s="18"/>
      <c r="Q2160" s="18"/>
      <c r="R2160" s="18"/>
      <c r="S2160" s="18"/>
      <c r="T2160" s="18"/>
      <c r="U2160" s="18"/>
      <c r="V2160" s="18"/>
      <c r="W2160" s="18"/>
      <c r="X2160" s="18"/>
      <c r="Y2160" s="18"/>
      <c r="Z2160" s="18"/>
    </row>
    <row r="2161" ht="22.5" customHeight="1">
      <c r="A2161" s="250"/>
      <c r="B2161" s="218"/>
      <c r="C2161" s="9"/>
      <c r="D2161" s="228"/>
      <c r="E2161" s="216"/>
      <c r="F2161" s="273"/>
      <c r="G2161" s="9"/>
      <c r="H2161" s="234"/>
      <c r="I2161" s="232"/>
      <c r="J2161" s="9"/>
      <c r="K2161" s="18"/>
      <c r="L2161" s="18"/>
      <c r="M2161" s="18"/>
      <c r="N2161" s="18"/>
      <c r="O2161" s="18"/>
      <c r="P2161" s="18"/>
      <c r="Q2161" s="18"/>
      <c r="R2161" s="18"/>
      <c r="S2161" s="18"/>
      <c r="T2161" s="18"/>
      <c r="U2161" s="18"/>
      <c r="V2161" s="18"/>
      <c r="W2161" s="18"/>
      <c r="X2161" s="18"/>
      <c r="Y2161" s="18"/>
      <c r="Z2161" s="18"/>
    </row>
    <row r="2162" ht="22.5" customHeight="1">
      <c r="A2162" s="250"/>
      <c r="B2162" s="218"/>
      <c r="C2162" s="9"/>
      <c r="D2162" s="228"/>
      <c r="E2162" s="216"/>
      <c r="F2162" s="273"/>
      <c r="G2162" s="9"/>
      <c r="H2162" s="234"/>
      <c r="I2162" s="232"/>
      <c r="J2162" s="9"/>
      <c r="K2162" s="18"/>
      <c r="L2162" s="18"/>
      <c r="M2162" s="18"/>
      <c r="N2162" s="18"/>
      <c r="O2162" s="18"/>
      <c r="P2162" s="18"/>
      <c r="Q2162" s="18"/>
      <c r="R2162" s="18"/>
      <c r="S2162" s="18"/>
      <c r="T2162" s="18"/>
      <c r="U2162" s="18"/>
      <c r="V2162" s="18"/>
      <c r="W2162" s="18"/>
      <c r="X2162" s="18"/>
      <c r="Y2162" s="18"/>
      <c r="Z2162" s="18"/>
    </row>
    <row r="2163" ht="22.5" customHeight="1">
      <c r="A2163" s="250"/>
      <c r="B2163" s="218"/>
      <c r="C2163" s="9"/>
      <c r="D2163" s="228"/>
      <c r="E2163" s="216"/>
      <c r="F2163" s="273"/>
      <c r="G2163" s="9"/>
      <c r="H2163" s="234"/>
      <c r="I2163" s="232"/>
      <c r="J2163" s="9"/>
      <c r="K2163" s="18"/>
      <c r="L2163" s="18"/>
      <c r="M2163" s="18"/>
      <c r="N2163" s="18"/>
      <c r="O2163" s="18"/>
      <c r="P2163" s="18"/>
      <c r="Q2163" s="18"/>
      <c r="R2163" s="18"/>
      <c r="S2163" s="18"/>
      <c r="T2163" s="18"/>
      <c r="U2163" s="18"/>
      <c r="V2163" s="18"/>
      <c r="W2163" s="18"/>
      <c r="X2163" s="18"/>
      <c r="Y2163" s="18"/>
      <c r="Z2163" s="18"/>
    </row>
    <row r="2164" ht="22.5" customHeight="1">
      <c r="A2164" s="250"/>
      <c r="B2164" s="218"/>
      <c r="C2164" s="9"/>
      <c r="D2164" s="228"/>
      <c r="E2164" s="216"/>
      <c r="F2164" s="273"/>
      <c r="G2164" s="9"/>
      <c r="H2164" s="234"/>
      <c r="I2164" s="232"/>
      <c r="J2164" s="9"/>
      <c r="K2164" s="18"/>
      <c r="L2164" s="18"/>
      <c r="M2164" s="18"/>
      <c r="N2164" s="18"/>
      <c r="O2164" s="18"/>
      <c r="P2164" s="18"/>
      <c r="Q2164" s="18"/>
      <c r="R2164" s="18"/>
      <c r="S2164" s="18"/>
      <c r="T2164" s="18"/>
      <c r="U2164" s="18"/>
      <c r="V2164" s="18"/>
      <c r="W2164" s="18"/>
      <c r="X2164" s="18"/>
      <c r="Y2164" s="18"/>
      <c r="Z2164" s="18"/>
    </row>
    <row r="2165" ht="22.5" customHeight="1">
      <c r="A2165" s="250"/>
      <c r="B2165" s="218"/>
      <c r="C2165" s="9"/>
      <c r="D2165" s="228"/>
      <c r="E2165" s="216"/>
      <c r="F2165" s="273"/>
      <c r="G2165" s="9"/>
      <c r="H2165" s="234"/>
      <c r="I2165" s="232"/>
      <c r="J2165" s="9"/>
      <c r="K2165" s="18"/>
      <c r="L2165" s="18"/>
      <c r="M2165" s="18"/>
      <c r="N2165" s="18"/>
      <c r="O2165" s="18"/>
      <c r="P2165" s="18"/>
      <c r="Q2165" s="18"/>
      <c r="R2165" s="18"/>
      <c r="S2165" s="18"/>
      <c r="T2165" s="18"/>
      <c r="U2165" s="18"/>
      <c r="V2165" s="18"/>
      <c r="W2165" s="18"/>
      <c r="X2165" s="18"/>
      <c r="Y2165" s="18"/>
      <c r="Z2165" s="18"/>
    </row>
    <row r="2166" ht="22.5" customHeight="1">
      <c r="A2166" s="250"/>
      <c r="B2166" s="218"/>
      <c r="C2166" s="9"/>
      <c r="D2166" s="228"/>
      <c r="E2166" s="216"/>
      <c r="F2166" s="273"/>
      <c r="G2166" s="9"/>
      <c r="H2166" s="234"/>
      <c r="I2166" s="232"/>
      <c r="J2166" s="9"/>
      <c r="K2166" s="18"/>
      <c r="L2166" s="18"/>
      <c r="M2166" s="18"/>
      <c r="N2166" s="18"/>
      <c r="O2166" s="18"/>
      <c r="P2166" s="18"/>
      <c r="Q2166" s="18"/>
      <c r="R2166" s="18"/>
      <c r="S2166" s="18"/>
      <c r="T2166" s="18"/>
      <c r="U2166" s="18"/>
      <c r="V2166" s="18"/>
      <c r="W2166" s="18"/>
      <c r="X2166" s="18"/>
      <c r="Y2166" s="18"/>
      <c r="Z2166" s="18"/>
    </row>
    <row r="2167" ht="22.5" customHeight="1">
      <c r="A2167" s="250"/>
      <c r="B2167" s="218"/>
      <c r="C2167" s="9"/>
      <c r="D2167" s="228"/>
      <c r="E2167" s="216"/>
      <c r="F2167" s="273"/>
      <c r="G2167" s="9"/>
      <c r="H2167" s="234"/>
      <c r="I2167" s="232"/>
      <c r="J2167" s="9"/>
      <c r="K2167" s="18"/>
      <c r="L2167" s="18"/>
      <c r="M2167" s="18"/>
      <c r="N2167" s="18"/>
      <c r="O2167" s="18"/>
      <c r="P2167" s="18"/>
      <c r="Q2167" s="18"/>
      <c r="R2167" s="18"/>
      <c r="S2167" s="18"/>
      <c r="T2167" s="18"/>
      <c r="U2167" s="18"/>
      <c r="V2167" s="18"/>
      <c r="W2167" s="18"/>
      <c r="X2167" s="18"/>
      <c r="Y2167" s="18"/>
      <c r="Z2167" s="18"/>
    </row>
    <row r="2168" ht="22.5" customHeight="1">
      <c r="A2168" s="250"/>
      <c r="B2168" s="218"/>
      <c r="C2168" s="9"/>
      <c r="D2168" s="228"/>
      <c r="E2168" s="216"/>
      <c r="F2168" s="273"/>
      <c r="G2168" s="9"/>
      <c r="H2168" s="234"/>
      <c r="I2168" s="232"/>
      <c r="J2168" s="9"/>
      <c r="K2168" s="18"/>
      <c r="L2168" s="18"/>
      <c r="M2168" s="18"/>
      <c r="N2168" s="18"/>
      <c r="O2168" s="18"/>
      <c r="P2168" s="18"/>
      <c r="Q2168" s="18"/>
      <c r="R2168" s="18"/>
      <c r="S2168" s="18"/>
      <c r="T2168" s="18"/>
      <c r="U2168" s="18"/>
      <c r="V2168" s="18"/>
      <c r="W2168" s="18"/>
      <c r="X2168" s="18"/>
      <c r="Y2168" s="18"/>
      <c r="Z2168" s="18"/>
    </row>
    <row r="2169" ht="22.5" customHeight="1">
      <c r="A2169" s="250"/>
      <c r="B2169" s="218"/>
      <c r="C2169" s="9"/>
      <c r="D2169" s="228"/>
      <c r="E2169" s="216"/>
      <c r="F2169" s="273"/>
      <c r="G2169" s="9"/>
      <c r="H2169" s="234"/>
      <c r="I2169" s="232"/>
      <c r="J2169" s="9"/>
      <c r="K2169" s="18"/>
      <c r="L2169" s="18"/>
      <c r="M2169" s="18"/>
      <c r="N2169" s="18"/>
      <c r="O2169" s="18"/>
      <c r="P2169" s="18"/>
      <c r="Q2169" s="18"/>
      <c r="R2169" s="18"/>
      <c r="S2169" s="18"/>
      <c r="T2169" s="18"/>
      <c r="U2169" s="18"/>
      <c r="V2169" s="18"/>
      <c r="W2169" s="18"/>
      <c r="X2169" s="18"/>
      <c r="Y2169" s="18"/>
      <c r="Z2169" s="18"/>
    </row>
    <row r="2170" ht="22.5" customHeight="1">
      <c r="A2170" s="250"/>
      <c r="B2170" s="218"/>
      <c r="C2170" s="9"/>
      <c r="D2170" s="228"/>
      <c r="E2170" s="216"/>
      <c r="F2170" s="273"/>
      <c r="G2170" s="9"/>
      <c r="H2170" s="234"/>
      <c r="I2170" s="232"/>
      <c r="J2170" s="9"/>
      <c r="K2170" s="18"/>
      <c r="L2170" s="18"/>
      <c r="M2170" s="18"/>
      <c r="N2170" s="18"/>
      <c r="O2170" s="18"/>
      <c r="P2170" s="18"/>
      <c r="Q2170" s="18"/>
      <c r="R2170" s="18"/>
      <c r="S2170" s="18"/>
      <c r="T2170" s="18"/>
      <c r="U2170" s="18"/>
      <c r="V2170" s="18"/>
      <c r="W2170" s="18"/>
      <c r="X2170" s="18"/>
      <c r="Y2170" s="18"/>
      <c r="Z2170" s="18"/>
    </row>
    <row r="2171" ht="22.5" customHeight="1">
      <c r="A2171" s="250"/>
      <c r="B2171" s="218"/>
      <c r="C2171" s="9"/>
      <c r="D2171" s="228"/>
      <c r="E2171" s="216"/>
      <c r="F2171" s="273"/>
      <c r="G2171" s="9"/>
      <c r="H2171" s="234"/>
      <c r="I2171" s="232"/>
      <c r="J2171" s="9"/>
      <c r="K2171" s="18"/>
      <c r="L2171" s="18"/>
      <c r="M2171" s="18"/>
      <c r="N2171" s="18"/>
      <c r="O2171" s="18"/>
      <c r="P2171" s="18"/>
      <c r="Q2171" s="18"/>
      <c r="R2171" s="18"/>
      <c r="S2171" s="18"/>
      <c r="T2171" s="18"/>
      <c r="U2171" s="18"/>
      <c r="V2171" s="18"/>
      <c r="W2171" s="18"/>
      <c r="X2171" s="18"/>
      <c r="Y2171" s="18"/>
      <c r="Z2171" s="18"/>
    </row>
    <row r="2172" ht="22.5" customHeight="1">
      <c r="A2172" s="250"/>
      <c r="B2172" s="218"/>
      <c r="C2172" s="9"/>
      <c r="D2172" s="228"/>
      <c r="E2172" s="216"/>
      <c r="F2172" s="273"/>
      <c r="G2172" s="9"/>
      <c r="H2172" s="234"/>
      <c r="I2172" s="232"/>
      <c r="J2172" s="9"/>
      <c r="K2172" s="18"/>
      <c r="L2172" s="18"/>
      <c r="M2172" s="18"/>
      <c r="N2172" s="18"/>
      <c r="O2172" s="18"/>
      <c r="P2172" s="18"/>
      <c r="Q2172" s="18"/>
      <c r="R2172" s="18"/>
      <c r="S2172" s="18"/>
      <c r="T2172" s="18"/>
      <c r="U2172" s="18"/>
      <c r="V2172" s="18"/>
      <c r="W2172" s="18"/>
      <c r="X2172" s="18"/>
      <c r="Y2172" s="18"/>
      <c r="Z2172" s="18"/>
    </row>
    <row r="2173" ht="22.5" customHeight="1">
      <c r="A2173" s="250"/>
      <c r="B2173" s="218"/>
      <c r="C2173" s="9"/>
      <c r="D2173" s="228"/>
      <c r="E2173" s="216"/>
      <c r="F2173" s="273"/>
      <c r="G2173" s="9"/>
      <c r="H2173" s="234"/>
      <c r="I2173" s="232"/>
      <c r="J2173" s="9"/>
      <c r="K2173" s="18"/>
      <c r="L2173" s="18"/>
      <c r="M2173" s="18"/>
      <c r="N2173" s="18"/>
      <c r="O2173" s="18"/>
      <c r="P2173" s="18"/>
      <c r="Q2173" s="18"/>
      <c r="R2173" s="18"/>
      <c r="S2173" s="18"/>
      <c r="T2173" s="18"/>
      <c r="U2173" s="18"/>
      <c r="V2173" s="18"/>
      <c r="W2173" s="18"/>
      <c r="X2173" s="18"/>
      <c r="Y2173" s="18"/>
      <c r="Z2173" s="18"/>
    </row>
    <row r="2174" ht="22.5" customHeight="1">
      <c r="A2174" s="250"/>
      <c r="B2174" s="218"/>
      <c r="C2174" s="9"/>
      <c r="D2174" s="228"/>
      <c r="E2174" s="216"/>
      <c r="F2174" s="273"/>
      <c r="G2174" s="9"/>
      <c r="H2174" s="234"/>
      <c r="I2174" s="232"/>
      <c r="J2174" s="9"/>
      <c r="K2174" s="18"/>
      <c r="L2174" s="18"/>
      <c r="M2174" s="18"/>
      <c r="N2174" s="18"/>
      <c r="O2174" s="18"/>
      <c r="P2174" s="18"/>
      <c r="Q2174" s="18"/>
      <c r="R2174" s="18"/>
      <c r="S2174" s="18"/>
      <c r="T2174" s="18"/>
      <c r="U2174" s="18"/>
      <c r="V2174" s="18"/>
      <c r="W2174" s="18"/>
      <c r="X2174" s="18"/>
      <c r="Y2174" s="18"/>
      <c r="Z2174" s="18"/>
    </row>
    <row r="2175" ht="22.5" customHeight="1">
      <c r="A2175" s="250"/>
      <c r="B2175" s="218"/>
      <c r="C2175" s="9"/>
      <c r="D2175" s="228"/>
      <c r="E2175" s="216"/>
      <c r="F2175" s="273"/>
      <c r="G2175" s="9"/>
      <c r="H2175" s="234"/>
      <c r="I2175" s="232"/>
      <c r="J2175" s="9"/>
      <c r="K2175" s="18"/>
      <c r="L2175" s="18"/>
      <c r="M2175" s="18"/>
      <c r="N2175" s="18"/>
      <c r="O2175" s="18"/>
      <c r="P2175" s="18"/>
      <c r="Q2175" s="18"/>
      <c r="R2175" s="18"/>
      <c r="S2175" s="18"/>
      <c r="T2175" s="18"/>
      <c r="U2175" s="18"/>
      <c r="V2175" s="18"/>
      <c r="W2175" s="18"/>
      <c r="X2175" s="18"/>
      <c r="Y2175" s="18"/>
      <c r="Z2175" s="18"/>
    </row>
    <row r="2176" ht="22.5" customHeight="1">
      <c r="A2176" s="250"/>
      <c r="B2176" s="218"/>
      <c r="C2176" s="9"/>
      <c r="D2176" s="228"/>
      <c r="E2176" s="216"/>
      <c r="F2176" s="273"/>
      <c r="G2176" s="9"/>
      <c r="H2176" s="234"/>
      <c r="I2176" s="232"/>
      <c r="J2176" s="9"/>
      <c r="K2176" s="18"/>
      <c r="L2176" s="18"/>
      <c r="M2176" s="18"/>
      <c r="N2176" s="18"/>
      <c r="O2176" s="18"/>
      <c r="P2176" s="18"/>
      <c r="Q2176" s="18"/>
      <c r="R2176" s="18"/>
      <c r="S2176" s="18"/>
      <c r="T2176" s="18"/>
      <c r="U2176" s="18"/>
      <c r="V2176" s="18"/>
      <c r="W2176" s="18"/>
      <c r="X2176" s="18"/>
      <c r="Y2176" s="18"/>
      <c r="Z2176" s="18"/>
    </row>
    <row r="2177" ht="22.5" customHeight="1">
      <c r="A2177" s="250"/>
      <c r="B2177" s="218"/>
      <c r="C2177" s="9"/>
      <c r="D2177" s="228"/>
      <c r="E2177" s="216"/>
      <c r="F2177" s="273"/>
      <c r="G2177" s="9"/>
      <c r="H2177" s="234"/>
      <c r="I2177" s="232"/>
      <c r="J2177" s="9"/>
      <c r="K2177" s="18"/>
      <c r="L2177" s="18"/>
      <c r="M2177" s="18"/>
      <c r="N2177" s="18"/>
      <c r="O2177" s="18"/>
      <c r="P2177" s="18"/>
      <c r="Q2177" s="18"/>
      <c r="R2177" s="18"/>
      <c r="S2177" s="18"/>
      <c r="T2177" s="18"/>
      <c r="U2177" s="18"/>
      <c r="V2177" s="18"/>
      <c r="W2177" s="18"/>
      <c r="X2177" s="18"/>
      <c r="Y2177" s="18"/>
      <c r="Z2177" s="18"/>
    </row>
    <row r="2178" ht="22.5" customHeight="1">
      <c r="A2178" s="250"/>
      <c r="B2178" s="218"/>
      <c r="C2178" s="9"/>
      <c r="D2178" s="228"/>
      <c r="E2178" s="216"/>
      <c r="F2178" s="273"/>
      <c r="G2178" s="9"/>
      <c r="H2178" s="234"/>
      <c r="I2178" s="232"/>
      <c r="J2178" s="9"/>
      <c r="K2178" s="18"/>
      <c r="L2178" s="18"/>
      <c r="M2178" s="18"/>
      <c r="N2178" s="18"/>
      <c r="O2178" s="18"/>
      <c r="P2178" s="18"/>
      <c r="Q2178" s="18"/>
      <c r="R2178" s="18"/>
      <c r="S2178" s="18"/>
      <c r="T2178" s="18"/>
      <c r="U2178" s="18"/>
      <c r="V2178" s="18"/>
      <c r="W2178" s="18"/>
      <c r="X2178" s="18"/>
      <c r="Y2178" s="18"/>
      <c r="Z2178" s="18"/>
    </row>
    <row r="2179" ht="22.5" customHeight="1">
      <c r="A2179" s="250"/>
      <c r="B2179" s="218"/>
      <c r="C2179" s="9"/>
      <c r="D2179" s="228"/>
      <c r="E2179" s="216"/>
      <c r="F2179" s="273"/>
      <c r="G2179" s="9"/>
      <c r="H2179" s="234"/>
      <c r="I2179" s="232"/>
      <c r="J2179" s="9"/>
      <c r="K2179" s="18"/>
      <c r="L2179" s="18"/>
      <c r="M2179" s="18"/>
      <c r="N2179" s="18"/>
      <c r="O2179" s="18"/>
      <c r="P2179" s="18"/>
      <c r="Q2179" s="18"/>
      <c r="R2179" s="18"/>
      <c r="S2179" s="18"/>
      <c r="T2179" s="18"/>
      <c r="U2179" s="18"/>
      <c r="V2179" s="18"/>
      <c r="W2179" s="18"/>
      <c r="X2179" s="18"/>
      <c r="Y2179" s="18"/>
      <c r="Z2179" s="18"/>
    </row>
    <row r="2180" ht="22.5" customHeight="1">
      <c r="A2180" s="250"/>
      <c r="B2180" s="218"/>
      <c r="C2180" s="9"/>
      <c r="D2180" s="228"/>
      <c r="E2180" s="216"/>
      <c r="F2180" s="273"/>
      <c r="G2180" s="9"/>
      <c r="H2180" s="234"/>
      <c r="I2180" s="232"/>
      <c r="J2180" s="9"/>
      <c r="K2180" s="18"/>
      <c r="L2180" s="18"/>
      <c r="M2180" s="18"/>
      <c r="N2180" s="18"/>
      <c r="O2180" s="18"/>
      <c r="P2180" s="18"/>
      <c r="Q2180" s="18"/>
      <c r="R2180" s="18"/>
      <c r="S2180" s="18"/>
      <c r="T2180" s="18"/>
      <c r="U2180" s="18"/>
      <c r="V2180" s="18"/>
      <c r="W2180" s="18"/>
      <c r="X2180" s="18"/>
      <c r="Y2180" s="18"/>
      <c r="Z2180" s="18"/>
    </row>
    <row r="2181" ht="22.5" customHeight="1">
      <c r="A2181" s="250"/>
      <c r="B2181" s="218"/>
      <c r="C2181" s="9"/>
      <c r="D2181" s="228"/>
      <c r="E2181" s="216"/>
      <c r="F2181" s="273"/>
      <c r="G2181" s="9"/>
      <c r="H2181" s="234"/>
      <c r="I2181" s="232"/>
      <c r="J2181" s="9"/>
      <c r="K2181" s="18"/>
      <c r="L2181" s="18"/>
      <c r="M2181" s="18"/>
      <c r="N2181" s="18"/>
      <c r="O2181" s="18"/>
      <c r="P2181" s="18"/>
      <c r="Q2181" s="18"/>
      <c r="R2181" s="18"/>
      <c r="S2181" s="18"/>
      <c r="T2181" s="18"/>
      <c r="U2181" s="18"/>
      <c r="V2181" s="18"/>
      <c r="W2181" s="18"/>
      <c r="X2181" s="18"/>
      <c r="Y2181" s="18"/>
      <c r="Z2181" s="18"/>
    </row>
    <row r="2182" ht="22.5" customHeight="1">
      <c r="A2182" s="250"/>
      <c r="B2182" s="218"/>
      <c r="C2182" s="9"/>
      <c r="D2182" s="228"/>
      <c r="E2182" s="216"/>
      <c r="F2182" s="273"/>
      <c r="G2182" s="9"/>
      <c r="H2182" s="234"/>
      <c r="I2182" s="232"/>
      <c r="J2182" s="9"/>
      <c r="K2182" s="18"/>
      <c r="L2182" s="18"/>
      <c r="M2182" s="18"/>
      <c r="N2182" s="18"/>
      <c r="O2182" s="18"/>
      <c r="P2182" s="18"/>
      <c r="Q2182" s="18"/>
      <c r="R2182" s="18"/>
      <c r="S2182" s="18"/>
      <c r="T2182" s="18"/>
      <c r="U2182" s="18"/>
      <c r="V2182" s="18"/>
      <c r="W2182" s="18"/>
      <c r="X2182" s="18"/>
      <c r="Y2182" s="18"/>
      <c r="Z2182" s="18"/>
    </row>
    <row r="2183" ht="22.5" customHeight="1">
      <c r="A2183" s="250"/>
      <c r="B2183" s="218"/>
      <c r="C2183" s="9"/>
      <c r="D2183" s="228"/>
      <c r="E2183" s="216"/>
      <c r="F2183" s="273"/>
      <c r="G2183" s="9"/>
      <c r="H2183" s="234"/>
      <c r="I2183" s="232"/>
      <c r="J2183" s="9"/>
      <c r="K2183" s="18"/>
      <c r="L2183" s="18"/>
      <c r="M2183" s="18"/>
      <c r="N2183" s="18"/>
      <c r="O2183" s="18"/>
      <c r="P2183" s="18"/>
      <c r="Q2183" s="18"/>
      <c r="R2183" s="18"/>
      <c r="S2183" s="18"/>
      <c r="T2183" s="18"/>
      <c r="U2183" s="18"/>
      <c r="V2183" s="18"/>
      <c r="W2183" s="18"/>
      <c r="X2183" s="18"/>
      <c r="Y2183" s="18"/>
      <c r="Z2183" s="18"/>
    </row>
    <row r="2184" ht="22.5" customHeight="1">
      <c r="A2184" s="250"/>
      <c r="B2184" s="218"/>
      <c r="C2184" s="9"/>
      <c r="D2184" s="228"/>
      <c r="E2184" s="216"/>
      <c r="F2184" s="273"/>
      <c r="G2184" s="9"/>
      <c r="H2184" s="234"/>
      <c r="I2184" s="232"/>
      <c r="J2184" s="9"/>
      <c r="K2184" s="18"/>
      <c r="L2184" s="18"/>
      <c r="M2184" s="18"/>
      <c r="N2184" s="18"/>
      <c r="O2184" s="18"/>
      <c r="P2184" s="18"/>
      <c r="Q2184" s="18"/>
      <c r="R2184" s="18"/>
      <c r="S2184" s="18"/>
      <c r="T2184" s="18"/>
      <c r="U2184" s="18"/>
      <c r="V2184" s="18"/>
      <c r="W2184" s="18"/>
      <c r="X2184" s="18"/>
      <c r="Y2184" s="18"/>
      <c r="Z2184" s="18"/>
    </row>
    <row r="2185" ht="22.5" customHeight="1">
      <c r="A2185" s="250"/>
      <c r="B2185" s="218"/>
      <c r="C2185" s="9"/>
      <c r="D2185" s="228"/>
      <c r="E2185" s="216"/>
      <c r="F2185" s="273"/>
      <c r="G2185" s="9"/>
      <c r="H2185" s="234"/>
      <c r="I2185" s="232"/>
      <c r="J2185" s="9"/>
      <c r="K2185" s="18"/>
      <c r="L2185" s="18"/>
      <c r="M2185" s="18"/>
      <c r="N2185" s="18"/>
      <c r="O2185" s="18"/>
      <c r="P2185" s="18"/>
      <c r="Q2185" s="18"/>
      <c r="R2185" s="18"/>
      <c r="S2185" s="18"/>
      <c r="T2185" s="18"/>
      <c r="U2185" s="18"/>
      <c r="V2185" s="18"/>
      <c r="W2185" s="18"/>
      <c r="X2185" s="18"/>
      <c r="Y2185" s="18"/>
      <c r="Z2185" s="18"/>
    </row>
    <row r="2186" ht="22.5" customHeight="1">
      <c r="A2186" s="250"/>
      <c r="B2186" s="218"/>
      <c r="C2186" s="9"/>
      <c r="D2186" s="228"/>
      <c r="E2186" s="216"/>
      <c r="F2186" s="273"/>
      <c r="G2186" s="9"/>
      <c r="H2186" s="234"/>
      <c r="I2186" s="232"/>
      <c r="J2186" s="9"/>
      <c r="K2186" s="18"/>
      <c r="L2186" s="18"/>
      <c r="M2186" s="18"/>
      <c r="N2186" s="18"/>
      <c r="O2186" s="18"/>
      <c r="P2186" s="18"/>
      <c r="Q2186" s="18"/>
      <c r="R2186" s="18"/>
      <c r="S2186" s="18"/>
      <c r="T2186" s="18"/>
      <c r="U2186" s="18"/>
      <c r="V2186" s="18"/>
      <c r="W2186" s="18"/>
      <c r="X2186" s="18"/>
      <c r="Y2186" s="18"/>
      <c r="Z2186" s="18"/>
    </row>
    <row r="2187" ht="22.5" customHeight="1">
      <c r="A2187" s="250"/>
      <c r="B2187" s="218"/>
      <c r="C2187" s="9"/>
      <c r="D2187" s="228"/>
      <c r="E2187" s="216"/>
      <c r="F2187" s="273"/>
      <c r="G2187" s="9"/>
      <c r="H2187" s="234"/>
      <c r="I2187" s="232"/>
      <c r="J2187" s="9"/>
      <c r="K2187" s="18"/>
      <c r="L2187" s="18"/>
      <c r="M2187" s="18"/>
      <c r="N2187" s="18"/>
      <c r="O2187" s="18"/>
      <c r="P2187" s="18"/>
      <c r="Q2187" s="18"/>
      <c r="R2187" s="18"/>
      <c r="S2187" s="18"/>
      <c r="T2187" s="18"/>
      <c r="U2187" s="18"/>
      <c r="V2187" s="18"/>
      <c r="W2187" s="18"/>
      <c r="X2187" s="18"/>
      <c r="Y2187" s="18"/>
      <c r="Z2187" s="18"/>
    </row>
    <row r="2188" ht="22.5" customHeight="1">
      <c r="A2188" s="250"/>
      <c r="B2188" s="218"/>
      <c r="C2188" s="9"/>
      <c r="D2188" s="228"/>
      <c r="E2188" s="216"/>
      <c r="F2188" s="273"/>
      <c r="G2188" s="9"/>
      <c r="H2188" s="234"/>
      <c r="I2188" s="232"/>
      <c r="J2188" s="9"/>
      <c r="K2188" s="18"/>
      <c r="L2188" s="18"/>
      <c r="M2188" s="18"/>
      <c r="N2188" s="18"/>
      <c r="O2188" s="18"/>
      <c r="P2188" s="18"/>
      <c r="Q2188" s="18"/>
      <c r="R2188" s="18"/>
      <c r="S2188" s="18"/>
      <c r="T2188" s="18"/>
      <c r="U2188" s="18"/>
      <c r="V2188" s="18"/>
      <c r="W2188" s="18"/>
      <c r="X2188" s="18"/>
      <c r="Y2188" s="18"/>
      <c r="Z2188" s="18"/>
    </row>
    <row r="2189" ht="22.5" customHeight="1">
      <c r="A2189" s="250"/>
      <c r="B2189" s="218"/>
      <c r="C2189" s="9"/>
      <c r="D2189" s="228"/>
      <c r="E2189" s="216"/>
      <c r="F2189" s="273"/>
      <c r="G2189" s="9"/>
      <c r="H2189" s="234"/>
      <c r="I2189" s="232"/>
      <c r="J2189" s="9"/>
      <c r="K2189" s="18"/>
      <c r="L2189" s="18"/>
      <c r="M2189" s="18"/>
      <c r="N2189" s="18"/>
      <c r="O2189" s="18"/>
      <c r="P2189" s="18"/>
      <c r="Q2189" s="18"/>
      <c r="R2189" s="18"/>
      <c r="S2189" s="18"/>
      <c r="T2189" s="18"/>
      <c r="U2189" s="18"/>
      <c r="V2189" s="18"/>
      <c r="W2189" s="18"/>
      <c r="X2189" s="18"/>
      <c r="Y2189" s="18"/>
      <c r="Z2189" s="18"/>
    </row>
    <row r="2190" ht="22.5" customHeight="1">
      <c r="A2190" s="250"/>
      <c r="B2190" s="218"/>
      <c r="C2190" s="9"/>
      <c r="D2190" s="228"/>
      <c r="E2190" s="216"/>
      <c r="F2190" s="273"/>
      <c r="G2190" s="9"/>
      <c r="H2190" s="234"/>
      <c r="I2190" s="232"/>
      <c r="J2190" s="9"/>
      <c r="K2190" s="18"/>
      <c r="L2190" s="18"/>
      <c r="M2190" s="18"/>
      <c r="N2190" s="18"/>
      <c r="O2190" s="18"/>
      <c r="P2190" s="18"/>
      <c r="Q2190" s="18"/>
      <c r="R2190" s="18"/>
      <c r="S2190" s="18"/>
      <c r="T2190" s="18"/>
      <c r="U2190" s="18"/>
      <c r="V2190" s="18"/>
      <c r="W2190" s="18"/>
      <c r="X2190" s="18"/>
      <c r="Y2190" s="18"/>
      <c r="Z2190" s="18"/>
    </row>
    <row r="2191" ht="22.5" customHeight="1">
      <c r="A2191" s="250"/>
      <c r="B2191" s="218"/>
      <c r="C2191" s="9"/>
      <c r="D2191" s="228"/>
      <c r="E2191" s="216"/>
      <c r="F2191" s="273"/>
      <c r="G2191" s="9"/>
      <c r="H2191" s="234"/>
      <c r="I2191" s="232"/>
      <c r="J2191" s="9"/>
      <c r="K2191" s="18"/>
      <c r="L2191" s="18"/>
      <c r="M2191" s="18"/>
      <c r="N2191" s="18"/>
      <c r="O2191" s="18"/>
      <c r="P2191" s="18"/>
      <c r="Q2191" s="18"/>
      <c r="R2191" s="18"/>
      <c r="S2191" s="18"/>
      <c r="T2191" s="18"/>
      <c r="U2191" s="18"/>
      <c r="V2191" s="18"/>
      <c r="W2191" s="18"/>
      <c r="X2191" s="18"/>
      <c r="Y2191" s="18"/>
      <c r="Z2191" s="18"/>
    </row>
    <row r="2192" ht="22.5" customHeight="1">
      <c r="A2192" s="250"/>
      <c r="B2192" s="218"/>
      <c r="C2192" s="9"/>
      <c r="D2192" s="228"/>
      <c r="E2192" s="216"/>
      <c r="F2192" s="273"/>
      <c r="G2192" s="9"/>
      <c r="H2192" s="234"/>
      <c r="I2192" s="232"/>
      <c r="J2192" s="9"/>
      <c r="K2192" s="18"/>
      <c r="L2192" s="18"/>
      <c r="M2192" s="18"/>
      <c r="N2192" s="18"/>
      <c r="O2192" s="18"/>
      <c r="P2192" s="18"/>
      <c r="Q2192" s="18"/>
      <c r="R2192" s="18"/>
      <c r="S2192" s="18"/>
      <c r="T2192" s="18"/>
      <c r="U2192" s="18"/>
      <c r="V2192" s="18"/>
      <c r="W2192" s="18"/>
      <c r="X2192" s="18"/>
      <c r="Y2192" s="18"/>
      <c r="Z2192" s="18"/>
    </row>
    <row r="2193" ht="22.5" customHeight="1">
      <c r="A2193" s="250"/>
      <c r="B2193" s="218"/>
      <c r="C2193" s="9"/>
      <c r="D2193" s="228"/>
      <c r="E2193" s="216"/>
      <c r="F2193" s="273"/>
      <c r="G2193" s="9"/>
      <c r="H2193" s="234"/>
      <c r="I2193" s="232"/>
      <c r="J2193" s="9"/>
      <c r="K2193" s="18"/>
      <c r="L2193" s="18"/>
      <c r="M2193" s="18"/>
      <c r="N2193" s="18"/>
      <c r="O2193" s="18"/>
      <c r="P2193" s="18"/>
      <c r="Q2193" s="18"/>
      <c r="R2193" s="18"/>
      <c r="S2193" s="18"/>
      <c r="T2193" s="18"/>
      <c r="U2193" s="18"/>
      <c r="V2193" s="18"/>
      <c r="W2193" s="18"/>
      <c r="X2193" s="18"/>
      <c r="Y2193" s="18"/>
      <c r="Z2193" s="18"/>
    </row>
    <row r="2194" ht="22.5" customHeight="1">
      <c r="A2194" s="250"/>
      <c r="B2194" s="218"/>
      <c r="C2194" s="9"/>
      <c r="D2194" s="228"/>
      <c r="E2194" s="216"/>
      <c r="F2194" s="273"/>
      <c r="G2194" s="9"/>
      <c r="H2194" s="234"/>
      <c r="I2194" s="232"/>
      <c r="J2194" s="9"/>
      <c r="K2194" s="18"/>
      <c r="L2194" s="18"/>
      <c r="M2194" s="18"/>
      <c r="N2194" s="18"/>
      <c r="O2194" s="18"/>
      <c r="P2194" s="18"/>
      <c r="Q2194" s="18"/>
      <c r="R2194" s="18"/>
      <c r="S2194" s="18"/>
      <c r="T2194" s="18"/>
      <c r="U2194" s="18"/>
      <c r="V2194" s="18"/>
      <c r="W2194" s="18"/>
      <c r="X2194" s="18"/>
      <c r="Y2194" s="18"/>
      <c r="Z2194" s="18"/>
    </row>
    <row r="2195" ht="22.5" customHeight="1">
      <c r="A2195" s="250"/>
      <c r="B2195" s="218"/>
      <c r="C2195" s="9"/>
      <c r="D2195" s="228"/>
      <c r="E2195" s="216"/>
      <c r="F2195" s="273"/>
      <c r="G2195" s="9"/>
      <c r="H2195" s="234"/>
      <c r="I2195" s="232"/>
      <c r="J2195" s="9"/>
      <c r="K2195" s="18"/>
      <c r="L2195" s="18"/>
      <c r="M2195" s="18"/>
      <c r="N2195" s="18"/>
      <c r="O2195" s="18"/>
      <c r="P2195" s="18"/>
      <c r="Q2195" s="18"/>
      <c r="R2195" s="18"/>
      <c r="S2195" s="18"/>
      <c r="T2195" s="18"/>
      <c r="U2195" s="18"/>
      <c r="V2195" s="18"/>
      <c r="W2195" s="18"/>
      <c r="X2195" s="18"/>
      <c r="Y2195" s="18"/>
      <c r="Z2195" s="18"/>
    </row>
    <row r="2196" ht="22.5" customHeight="1">
      <c r="A2196" s="250"/>
      <c r="B2196" s="218"/>
      <c r="C2196" s="9"/>
      <c r="D2196" s="228"/>
      <c r="E2196" s="216"/>
      <c r="F2196" s="273"/>
      <c r="G2196" s="9"/>
      <c r="H2196" s="234"/>
      <c r="I2196" s="232"/>
      <c r="J2196" s="9"/>
      <c r="K2196" s="18"/>
      <c r="L2196" s="18"/>
      <c r="M2196" s="18"/>
      <c r="N2196" s="18"/>
      <c r="O2196" s="18"/>
      <c r="P2196" s="18"/>
      <c r="Q2196" s="18"/>
      <c r="R2196" s="18"/>
      <c r="S2196" s="18"/>
      <c r="T2196" s="18"/>
      <c r="U2196" s="18"/>
      <c r="V2196" s="18"/>
      <c r="W2196" s="18"/>
      <c r="X2196" s="18"/>
      <c r="Y2196" s="18"/>
      <c r="Z2196" s="18"/>
    </row>
    <row r="2197" ht="22.5" customHeight="1">
      <c r="A2197" s="250"/>
      <c r="B2197" s="218"/>
      <c r="C2197" s="9"/>
      <c r="D2197" s="228"/>
      <c r="E2197" s="216"/>
      <c r="F2197" s="273"/>
      <c r="G2197" s="9"/>
      <c r="H2197" s="234"/>
      <c r="I2197" s="232"/>
      <c r="J2197" s="9"/>
      <c r="K2197" s="18"/>
      <c r="L2197" s="18"/>
      <c r="M2197" s="18"/>
      <c r="N2197" s="18"/>
      <c r="O2197" s="18"/>
      <c r="P2197" s="18"/>
      <c r="Q2197" s="18"/>
      <c r="R2197" s="18"/>
      <c r="S2197" s="18"/>
      <c r="T2197" s="18"/>
      <c r="U2197" s="18"/>
      <c r="V2197" s="18"/>
      <c r="W2197" s="18"/>
      <c r="X2197" s="18"/>
      <c r="Y2197" s="18"/>
      <c r="Z2197" s="18"/>
    </row>
    <row r="2198" ht="22.5" customHeight="1">
      <c r="A2198" s="250"/>
      <c r="B2198" s="218"/>
      <c r="C2198" s="9"/>
      <c r="D2198" s="228"/>
      <c r="E2198" s="216"/>
      <c r="F2198" s="273"/>
      <c r="G2198" s="9"/>
      <c r="H2198" s="234"/>
      <c r="I2198" s="232"/>
      <c r="J2198" s="9"/>
      <c r="K2198" s="18"/>
      <c r="L2198" s="18"/>
      <c r="M2198" s="18"/>
      <c r="N2198" s="18"/>
      <c r="O2198" s="18"/>
      <c r="P2198" s="18"/>
      <c r="Q2198" s="18"/>
      <c r="R2198" s="18"/>
      <c r="S2198" s="18"/>
      <c r="T2198" s="18"/>
      <c r="U2198" s="18"/>
      <c r="V2198" s="18"/>
      <c r="W2198" s="18"/>
      <c r="X2198" s="18"/>
      <c r="Y2198" s="18"/>
      <c r="Z2198" s="18"/>
    </row>
    <row r="2199" ht="22.5" customHeight="1">
      <c r="A2199" s="250"/>
      <c r="B2199" s="218"/>
      <c r="C2199" s="9"/>
      <c r="D2199" s="228"/>
      <c r="E2199" s="216"/>
      <c r="F2199" s="273"/>
      <c r="G2199" s="9"/>
      <c r="H2199" s="234"/>
      <c r="I2199" s="232"/>
      <c r="J2199" s="9"/>
      <c r="K2199" s="18"/>
      <c r="L2199" s="18"/>
      <c r="M2199" s="18"/>
      <c r="N2199" s="18"/>
      <c r="O2199" s="18"/>
      <c r="P2199" s="18"/>
      <c r="Q2199" s="18"/>
      <c r="R2199" s="18"/>
      <c r="S2199" s="18"/>
      <c r="T2199" s="18"/>
      <c r="U2199" s="18"/>
      <c r="V2199" s="18"/>
      <c r="W2199" s="18"/>
      <c r="X2199" s="18"/>
      <c r="Y2199" s="18"/>
      <c r="Z2199" s="18"/>
    </row>
    <row r="2200" ht="22.5" customHeight="1">
      <c r="A2200" s="250"/>
      <c r="B2200" s="218"/>
      <c r="C2200" s="9"/>
      <c r="D2200" s="228"/>
      <c r="E2200" s="216"/>
      <c r="F2200" s="273"/>
      <c r="G2200" s="9"/>
      <c r="H2200" s="234"/>
      <c r="I2200" s="232"/>
      <c r="J2200" s="9"/>
      <c r="K2200" s="18"/>
      <c r="L2200" s="18"/>
      <c r="M2200" s="18"/>
      <c r="N2200" s="18"/>
      <c r="O2200" s="18"/>
      <c r="P2200" s="18"/>
      <c r="Q2200" s="18"/>
      <c r="R2200" s="18"/>
      <c r="S2200" s="18"/>
      <c r="T2200" s="18"/>
      <c r="U2200" s="18"/>
      <c r="V2200" s="18"/>
      <c r="W2200" s="18"/>
      <c r="X2200" s="18"/>
      <c r="Y2200" s="18"/>
      <c r="Z2200" s="18"/>
    </row>
    <row r="2201" ht="22.5" customHeight="1">
      <c r="A2201" s="250"/>
      <c r="B2201" s="218"/>
      <c r="C2201" s="9"/>
      <c r="D2201" s="228"/>
      <c r="E2201" s="216"/>
      <c r="F2201" s="273"/>
      <c r="G2201" s="9"/>
      <c r="H2201" s="234"/>
      <c r="I2201" s="232"/>
      <c r="J2201" s="9"/>
      <c r="K2201" s="18"/>
      <c r="L2201" s="18"/>
      <c r="M2201" s="18"/>
      <c r="N2201" s="18"/>
      <c r="O2201" s="18"/>
      <c r="P2201" s="18"/>
      <c r="Q2201" s="18"/>
      <c r="R2201" s="18"/>
      <c r="S2201" s="18"/>
      <c r="T2201" s="18"/>
      <c r="U2201" s="18"/>
      <c r="V2201" s="18"/>
      <c r="W2201" s="18"/>
      <c r="X2201" s="18"/>
      <c r="Y2201" s="18"/>
      <c r="Z2201" s="18"/>
    </row>
    <row r="2202" ht="22.5" customHeight="1">
      <c r="A2202" s="250"/>
      <c r="B2202" s="218"/>
      <c r="C2202" s="9"/>
      <c r="D2202" s="228"/>
      <c r="E2202" s="216"/>
      <c r="F2202" s="273"/>
      <c r="G2202" s="9"/>
      <c r="H2202" s="234"/>
      <c r="I2202" s="232"/>
      <c r="J2202" s="9"/>
      <c r="K2202" s="18"/>
      <c r="L2202" s="18"/>
      <c r="M2202" s="18"/>
      <c r="N2202" s="18"/>
      <c r="O2202" s="18"/>
      <c r="P2202" s="18"/>
      <c r="Q2202" s="18"/>
      <c r="R2202" s="18"/>
      <c r="S2202" s="18"/>
      <c r="T2202" s="18"/>
      <c r="U2202" s="18"/>
      <c r="V2202" s="18"/>
      <c r="W2202" s="18"/>
      <c r="X2202" s="18"/>
      <c r="Y2202" s="18"/>
      <c r="Z2202" s="18"/>
    </row>
    <row r="2203" ht="22.5" customHeight="1">
      <c r="A2203" s="250"/>
      <c r="B2203" s="218"/>
      <c r="C2203" s="9"/>
      <c r="D2203" s="228"/>
      <c r="E2203" s="216"/>
      <c r="F2203" s="273"/>
      <c r="G2203" s="9"/>
      <c r="H2203" s="234"/>
      <c r="I2203" s="232"/>
      <c r="J2203" s="9"/>
      <c r="K2203" s="18"/>
      <c r="L2203" s="18"/>
      <c r="M2203" s="18"/>
      <c r="N2203" s="18"/>
      <c r="O2203" s="18"/>
      <c r="P2203" s="18"/>
      <c r="Q2203" s="18"/>
      <c r="R2203" s="18"/>
      <c r="S2203" s="18"/>
      <c r="T2203" s="18"/>
      <c r="U2203" s="18"/>
      <c r="V2203" s="18"/>
      <c r="W2203" s="18"/>
      <c r="X2203" s="18"/>
      <c r="Y2203" s="18"/>
      <c r="Z2203" s="18"/>
    </row>
    <row r="2204" ht="22.5" customHeight="1">
      <c r="A2204" s="250"/>
      <c r="B2204" s="218"/>
      <c r="C2204" s="9"/>
      <c r="D2204" s="228"/>
      <c r="E2204" s="216"/>
      <c r="F2204" s="273"/>
      <c r="G2204" s="9"/>
      <c r="H2204" s="234"/>
      <c r="I2204" s="232"/>
      <c r="J2204" s="9"/>
      <c r="K2204" s="18"/>
      <c r="L2204" s="18"/>
      <c r="M2204" s="18"/>
      <c r="N2204" s="18"/>
      <c r="O2204" s="18"/>
      <c r="P2204" s="18"/>
      <c r="Q2204" s="18"/>
      <c r="R2204" s="18"/>
      <c r="S2204" s="18"/>
      <c r="T2204" s="18"/>
      <c r="U2204" s="18"/>
      <c r="V2204" s="18"/>
      <c r="W2204" s="18"/>
      <c r="X2204" s="18"/>
      <c r="Y2204" s="18"/>
      <c r="Z2204" s="18"/>
    </row>
    <row r="2205" ht="22.5" customHeight="1">
      <c r="A2205" s="250"/>
      <c r="B2205" s="218"/>
      <c r="C2205" s="9"/>
      <c r="D2205" s="228"/>
      <c r="E2205" s="216"/>
      <c r="F2205" s="273"/>
      <c r="G2205" s="9"/>
      <c r="H2205" s="234"/>
      <c r="I2205" s="232"/>
      <c r="J2205" s="9"/>
      <c r="K2205" s="18"/>
      <c r="L2205" s="18"/>
      <c r="M2205" s="18"/>
      <c r="N2205" s="18"/>
      <c r="O2205" s="18"/>
      <c r="P2205" s="18"/>
      <c r="Q2205" s="18"/>
      <c r="R2205" s="18"/>
      <c r="S2205" s="18"/>
      <c r="T2205" s="18"/>
      <c r="U2205" s="18"/>
      <c r="V2205" s="18"/>
      <c r="W2205" s="18"/>
      <c r="X2205" s="18"/>
      <c r="Y2205" s="18"/>
      <c r="Z2205" s="18"/>
    </row>
    <row r="2206" ht="22.5" customHeight="1">
      <c r="A2206" s="250"/>
      <c r="B2206" s="218"/>
      <c r="C2206" s="9"/>
      <c r="D2206" s="228"/>
      <c r="E2206" s="216"/>
      <c r="F2206" s="273"/>
      <c r="G2206" s="9"/>
      <c r="H2206" s="234"/>
      <c r="I2206" s="232"/>
      <c r="J2206" s="9"/>
      <c r="K2206" s="18"/>
      <c r="L2206" s="18"/>
      <c r="M2206" s="18"/>
      <c r="N2206" s="18"/>
      <c r="O2206" s="18"/>
      <c r="P2206" s="18"/>
      <c r="Q2206" s="18"/>
      <c r="R2206" s="18"/>
      <c r="S2206" s="18"/>
      <c r="T2206" s="18"/>
      <c r="U2206" s="18"/>
      <c r="V2206" s="18"/>
      <c r="W2206" s="18"/>
      <c r="X2206" s="18"/>
      <c r="Y2206" s="18"/>
      <c r="Z2206" s="18"/>
    </row>
    <row r="2207" ht="22.5" customHeight="1">
      <c r="A2207" s="250"/>
      <c r="B2207" s="218"/>
      <c r="C2207" s="9"/>
      <c r="D2207" s="228"/>
      <c r="E2207" s="216"/>
      <c r="F2207" s="273"/>
      <c r="G2207" s="9"/>
      <c r="H2207" s="234"/>
      <c r="I2207" s="232"/>
      <c r="J2207" s="9"/>
      <c r="K2207" s="18"/>
      <c r="L2207" s="18"/>
      <c r="M2207" s="18"/>
      <c r="N2207" s="18"/>
      <c r="O2207" s="18"/>
      <c r="P2207" s="18"/>
      <c r="Q2207" s="18"/>
      <c r="R2207" s="18"/>
      <c r="S2207" s="18"/>
      <c r="T2207" s="18"/>
      <c r="U2207" s="18"/>
      <c r="V2207" s="18"/>
      <c r="W2207" s="18"/>
      <c r="X2207" s="18"/>
      <c r="Y2207" s="18"/>
      <c r="Z2207" s="18"/>
    </row>
    <row r="2208" ht="22.5" customHeight="1">
      <c r="A2208" s="250"/>
      <c r="B2208" s="218"/>
      <c r="C2208" s="9"/>
      <c r="D2208" s="228"/>
      <c r="E2208" s="216"/>
      <c r="F2208" s="273"/>
      <c r="G2208" s="9"/>
      <c r="H2208" s="234"/>
      <c r="I2208" s="232"/>
      <c r="J2208" s="9"/>
      <c r="K2208" s="18"/>
      <c r="L2208" s="18"/>
      <c r="M2208" s="18"/>
      <c r="N2208" s="18"/>
      <c r="O2208" s="18"/>
      <c r="P2208" s="18"/>
      <c r="Q2208" s="18"/>
      <c r="R2208" s="18"/>
      <c r="S2208" s="18"/>
      <c r="T2208" s="18"/>
      <c r="U2208" s="18"/>
      <c r="V2208" s="18"/>
      <c r="W2208" s="18"/>
      <c r="X2208" s="18"/>
      <c r="Y2208" s="18"/>
      <c r="Z2208" s="18"/>
    </row>
    <row r="2209" ht="22.5" customHeight="1">
      <c r="A2209" s="250"/>
      <c r="B2209" s="218"/>
      <c r="C2209" s="9"/>
      <c r="D2209" s="228"/>
      <c r="E2209" s="216"/>
      <c r="F2209" s="273"/>
      <c r="G2209" s="9"/>
      <c r="H2209" s="234"/>
      <c r="I2209" s="232"/>
      <c r="J2209" s="9"/>
      <c r="K2209" s="18"/>
      <c r="L2209" s="18"/>
      <c r="M2209" s="18"/>
      <c r="N2209" s="18"/>
      <c r="O2209" s="18"/>
      <c r="P2209" s="18"/>
      <c r="Q2209" s="18"/>
      <c r="R2209" s="18"/>
      <c r="S2209" s="18"/>
      <c r="T2209" s="18"/>
      <c r="U2209" s="18"/>
      <c r="V2209" s="18"/>
      <c r="W2209" s="18"/>
      <c r="X2209" s="18"/>
      <c r="Y2209" s="18"/>
      <c r="Z2209" s="18"/>
    </row>
    <row r="2210" ht="22.5" customHeight="1">
      <c r="A2210" s="250"/>
      <c r="B2210" s="218"/>
      <c r="C2210" s="9"/>
      <c r="D2210" s="228"/>
      <c r="E2210" s="216"/>
      <c r="F2210" s="273"/>
      <c r="G2210" s="9"/>
      <c r="H2210" s="234"/>
      <c r="I2210" s="232"/>
      <c r="J2210" s="9"/>
      <c r="K2210" s="18"/>
      <c r="L2210" s="18"/>
      <c r="M2210" s="18"/>
      <c r="N2210" s="18"/>
      <c r="O2210" s="18"/>
      <c r="P2210" s="18"/>
      <c r="Q2210" s="18"/>
      <c r="R2210" s="18"/>
      <c r="S2210" s="18"/>
      <c r="T2210" s="18"/>
      <c r="U2210" s="18"/>
      <c r="V2210" s="18"/>
      <c r="W2210" s="18"/>
      <c r="X2210" s="18"/>
      <c r="Y2210" s="18"/>
      <c r="Z2210" s="18"/>
    </row>
    <row r="2211" ht="22.5" customHeight="1">
      <c r="A2211" s="250"/>
      <c r="B2211" s="218"/>
      <c r="C2211" s="9"/>
      <c r="D2211" s="228"/>
      <c r="E2211" s="216"/>
      <c r="F2211" s="273"/>
      <c r="G2211" s="9"/>
      <c r="H2211" s="234"/>
      <c r="I2211" s="232"/>
      <c r="J2211" s="9"/>
      <c r="K2211" s="18"/>
      <c r="L2211" s="18"/>
      <c r="M2211" s="18"/>
      <c r="N2211" s="18"/>
      <c r="O2211" s="18"/>
      <c r="P2211" s="18"/>
      <c r="Q2211" s="18"/>
      <c r="R2211" s="18"/>
      <c r="S2211" s="18"/>
      <c r="T2211" s="18"/>
      <c r="U2211" s="18"/>
      <c r="V2211" s="18"/>
      <c r="W2211" s="18"/>
      <c r="X2211" s="18"/>
      <c r="Y2211" s="18"/>
      <c r="Z2211" s="18"/>
    </row>
    <row r="2212" ht="22.5" customHeight="1">
      <c r="A2212" s="250"/>
      <c r="B2212" s="218"/>
      <c r="C2212" s="9"/>
      <c r="D2212" s="228"/>
      <c r="E2212" s="216"/>
      <c r="F2212" s="273"/>
      <c r="G2212" s="9"/>
      <c r="H2212" s="234"/>
      <c r="I2212" s="232"/>
      <c r="J2212" s="9"/>
      <c r="K2212" s="18"/>
      <c r="L2212" s="18"/>
      <c r="M2212" s="18"/>
      <c r="N2212" s="18"/>
      <c r="O2212" s="18"/>
      <c r="P2212" s="18"/>
      <c r="Q2212" s="18"/>
      <c r="R2212" s="18"/>
      <c r="S2212" s="18"/>
      <c r="T2212" s="18"/>
      <c r="U2212" s="18"/>
      <c r="V2212" s="18"/>
      <c r="W2212" s="18"/>
      <c r="X2212" s="18"/>
      <c r="Y2212" s="18"/>
      <c r="Z2212" s="18"/>
    </row>
    <row r="2213" ht="22.5" customHeight="1">
      <c r="A2213" s="250"/>
      <c r="B2213" s="218"/>
      <c r="C2213" s="9"/>
      <c r="D2213" s="228"/>
      <c r="E2213" s="216"/>
      <c r="F2213" s="273"/>
      <c r="G2213" s="9"/>
      <c r="H2213" s="234"/>
      <c r="I2213" s="232"/>
      <c r="J2213" s="9"/>
      <c r="K2213" s="18"/>
      <c r="L2213" s="18"/>
      <c r="M2213" s="18"/>
      <c r="N2213" s="18"/>
      <c r="O2213" s="18"/>
      <c r="P2213" s="18"/>
      <c r="Q2213" s="18"/>
      <c r="R2213" s="18"/>
      <c r="S2213" s="18"/>
      <c r="T2213" s="18"/>
      <c r="U2213" s="18"/>
      <c r="V2213" s="18"/>
      <c r="W2213" s="18"/>
      <c r="X2213" s="18"/>
      <c r="Y2213" s="18"/>
      <c r="Z2213" s="18"/>
    </row>
    <row r="2214" ht="22.5" customHeight="1">
      <c r="A2214" s="250"/>
      <c r="B2214" s="218"/>
      <c r="C2214" s="9"/>
      <c r="D2214" s="228"/>
      <c r="E2214" s="216"/>
      <c r="F2214" s="273"/>
      <c r="G2214" s="9"/>
      <c r="H2214" s="234"/>
      <c r="I2214" s="232"/>
      <c r="J2214" s="9"/>
      <c r="K2214" s="18"/>
      <c r="L2214" s="18"/>
      <c r="M2214" s="18"/>
      <c r="N2214" s="18"/>
      <c r="O2214" s="18"/>
      <c r="P2214" s="18"/>
      <c r="Q2214" s="18"/>
      <c r="R2214" s="18"/>
      <c r="S2214" s="18"/>
      <c r="T2214" s="18"/>
      <c r="U2214" s="18"/>
      <c r="V2214" s="18"/>
      <c r="W2214" s="18"/>
      <c r="X2214" s="18"/>
      <c r="Y2214" s="18"/>
      <c r="Z2214" s="18"/>
    </row>
    <row r="2215" ht="22.5" customHeight="1">
      <c r="A2215" s="250"/>
      <c r="B2215" s="218"/>
      <c r="C2215" s="9"/>
      <c r="D2215" s="228"/>
      <c r="E2215" s="216"/>
      <c r="F2215" s="273"/>
      <c r="G2215" s="9"/>
      <c r="H2215" s="234"/>
      <c r="I2215" s="232"/>
      <c r="J2215" s="9"/>
      <c r="K2215" s="18"/>
      <c r="L2215" s="18"/>
      <c r="M2215" s="18"/>
      <c r="N2215" s="18"/>
      <c r="O2215" s="18"/>
      <c r="P2215" s="18"/>
      <c r="Q2215" s="18"/>
      <c r="R2215" s="18"/>
      <c r="S2215" s="18"/>
      <c r="T2215" s="18"/>
      <c r="U2215" s="18"/>
      <c r="V2215" s="18"/>
      <c r="W2215" s="18"/>
      <c r="X2215" s="18"/>
      <c r="Y2215" s="18"/>
      <c r="Z2215" s="18"/>
    </row>
    <row r="2216" ht="22.5" customHeight="1">
      <c r="A2216" s="250"/>
      <c r="B2216" s="218"/>
      <c r="C2216" s="9"/>
      <c r="D2216" s="228"/>
      <c r="E2216" s="216"/>
      <c r="F2216" s="273"/>
      <c r="G2216" s="9"/>
      <c r="H2216" s="234"/>
      <c r="I2216" s="232"/>
      <c r="J2216" s="9"/>
      <c r="K2216" s="18"/>
      <c r="L2216" s="18"/>
      <c r="M2216" s="18"/>
      <c r="N2216" s="18"/>
      <c r="O2216" s="18"/>
      <c r="P2216" s="18"/>
      <c r="Q2216" s="18"/>
      <c r="R2216" s="18"/>
      <c r="S2216" s="18"/>
      <c r="T2216" s="18"/>
      <c r="U2216" s="18"/>
      <c r="V2216" s="18"/>
      <c r="W2216" s="18"/>
      <c r="X2216" s="18"/>
      <c r="Y2216" s="18"/>
      <c r="Z2216" s="18"/>
    </row>
    <row r="2217" ht="22.5" customHeight="1">
      <c r="A2217" s="250"/>
      <c r="B2217" s="218"/>
      <c r="C2217" s="9"/>
      <c r="D2217" s="228"/>
      <c r="E2217" s="216"/>
      <c r="F2217" s="273"/>
      <c r="G2217" s="9"/>
      <c r="H2217" s="234"/>
      <c r="I2217" s="232"/>
      <c r="J2217" s="9"/>
      <c r="K2217" s="18"/>
      <c r="L2217" s="18"/>
      <c r="M2217" s="18"/>
      <c r="N2217" s="18"/>
      <c r="O2217" s="18"/>
      <c r="P2217" s="18"/>
      <c r="Q2217" s="18"/>
      <c r="R2217" s="18"/>
      <c r="S2217" s="18"/>
      <c r="T2217" s="18"/>
      <c r="U2217" s="18"/>
      <c r="V2217" s="18"/>
      <c r="W2217" s="18"/>
      <c r="X2217" s="18"/>
      <c r="Y2217" s="18"/>
      <c r="Z2217" s="18"/>
    </row>
    <row r="2218" ht="22.5" customHeight="1">
      <c r="A2218" s="250"/>
      <c r="B2218" s="218"/>
      <c r="C2218" s="9"/>
      <c r="D2218" s="228"/>
      <c r="E2218" s="216"/>
      <c r="F2218" s="273"/>
      <c r="G2218" s="9"/>
      <c r="H2218" s="234"/>
      <c r="I2218" s="232"/>
      <c r="J2218" s="9"/>
      <c r="K2218" s="18"/>
      <c r="L2218" s="18"/>
      <c r="M2218" s="18"/>
      <c r="N2218" s="18"/>
      <c r="O2218" s="18"/>
      <c r="P2218" s="18"/>
      <c r="Q2218" s="18"/>
      <c r="R2218" s="18"/>
      <c r="S2218" s="18"/>
      <c r="T2218" s="18"/>
      <c r="U2218" s="18"/>
      <c r="V2218" s="18"/>
      <c r="W2218" s="18"/>
      <c r="X2218" s="18"/>
      <c r="Y2218" s="18"/>
      <c r="Z2218" s="18"/>
    </row>
    <row r="2219" ht="22.5" customHeight="1">
      <c r="A2219" s="250"/>
      <c r="B2219" s="218"/>
      <c r="C2219" s="9"/>
      <c r="D2219" s="228"/>
      <c r="E2219" s="216"/>
      <c r="F2219" s="273"/>
      <c r="G2219" s="9"/>
      <c r="H2219" s="234"/>
      <c r="I2219" s="232"/>
      <c r="J2219" s="9"/>
      <c r="K2219" s="18"/>
      <c r="L2219" s="18"/>
      <c r="M2219" s="18"/>
      <c r="N2219" s="18"/>
      <c r="O2219" s="18"/>
      <c r="P2219" s="18"/>
      <c r="Q2219" s="18"/>
      <c r="R2219" s="18"/>
      <c r="S2219" s="18"/>
      <c r="T2219" s="18"/>
      <c r="U2219" s="18"/>
      <c r="V2219" s="18"/>
      <c r="W2219" s="18"/>
      <c r="X2219" s="18"/>
      <c r="Y2219" s="18"/>
      <c r="Z2219" s="18"/>
    </row>
    <row r="2220" ht="22.5" customHeight="1">
      <c r="A2220" s="250"/>
      <c r="B2220" s="218"/>
      <c r="C2220" s="9"/>
      <c r="D2220" s="228"/>
      <c r="E2220" s="216"/>
      <c r="F2220" s="273"/>
      <c r="G2220" s="9"/>
      <c r="H2220" s="234"/>
      <c r="I2220" s="232"/>
      <c r="J2220" s="9"/>
      <c r="K2220" s="18"/>
      <c r="L2220" s="18"/>
      <c r="M2220" s="18"/>
      <c r="N2220" s="18"/>
      <c r="O2220" s="18"/>
      <c r="P2220" s="18"/>
      <c r="Q2220" s="18"/>
      <c r="R2220" s="18"/>
      <c r="S2220" s="18"/>
      <c r="T2220" s="18"/>
      <c r="U2220" s="18"/>
      <c r="V2220" s="18"/>
      <c r="W2220" s="18"/>
      <c r="X2220" s="18"/>
      <c r="Y2220" s="18"/>
      <c r="Z2220" s="18"/>
    </row>
    <row r="2221" ht="22.5" customHeight="1">
      <c r="A2221" s="250"/>
      <c r="B2221" s="218"/>
      <c r="C2221" s="9"/>
      <c r="D2221" s="228"/>
      <c r="E2221" s="216"/>
      <c r="F2221" s="273"/>
      <c r="G2221" s="9"/>
      <c r="H2221" s="234"/>
      <c r="I2221" s="232"/>
      <c r="J2221" s="9"/>
      <c r="K2221" s="18"/>
      <c r="L2221" s="18"/>
      <c r="M2221" s="18"/>
      <c r="N2221" s="18"/>
      <c r="O2221" s="18"/>
      <c r="P2221" s="18"/>
      <c r="Q2221" s="18"/>
      <c r="R2221" s="18"/>
      <c r="S2221" s="18"/>
      <c r="T2221" s="18"/>
      <c r="U2221" s="18"/>
      <c r="V2221" s="18"/>
      <c r="W2221" s="18"/>
      <c r="X2221" s="18"/>
      <c r="Y2221" s="18"/>
      <c r="Z2221" s="18"/>
    </row>
    <row r="2222" ht="22.5" customHeight="1">
      <c r="A2222" s="250"/>
      <c r="B2222" s="218"/>
      <c r="C2222" s="9"/>
      <c r="D2222" s="228"/>
      <c r="E2222" s="216"/>
      <c r="F2222" s="273"/>
      <c r="G2222" s="9"/>
      <c r="H2222" s="234"/>
      <c r="I2222" s="232"/>
      <c r="J2222" s="9"/>
      <c r="K2222" s="18"/>
      <c r="L2222" s="18"/>
      <c r="M2222" s="18"/>
      <c r="N2222" s="18"/>
      <c r="O2222" s="18"/>
      <c r="P2222" s="18"/>
      <c r="Q2222" s="18"/>
      <c r="R2222" s="18"/>
      <c r="S2222" s="18"/>
      <c r="T2222" s="18"/>
      <c r="U2222" s="18"/>
      <c r="V2222" s="18"/>
      <c r="W2222" s="18"/>
      <c r="X2222" s="18"/>
      <c r="Y2222" s="18"/>
      <c r="Z2222" s="18"/>
    </row>
    <row r="2223" ht="22.5" customHeight="1">
      <c r="A2223" s="250"/>
      <c r="B2223" s="218"/>
      <c r="C2223" s="9"/>
      <c r="D2223" s="228"/>
      <c r="E2223" s="216"/>
      <c r="F2223" s="273"/>
      <c r="G2223" s="9"/>
      <c r="H2223" s="234"/>
      <c r="I2223" s="232"/>
      <c r="J2223" s="9"/>
      <c r="K2223" s="18"/>
      <c r="L2223" s="18"/>
      <c r="M2223" s="18"/>
      <c r="N2223" s="18"/>
      <c r="O2223" s="18"/>
      <c r="P2223" s="18"/>
      <c r="Q2223" s="18"/>
      <c r="R2223" s="18"/>
      <c r="S2223" s="18"/>
      <c r="T2223" s="18"/>
      <c r="U2223" s="18"/>
      <c r="V2223" s="18"/>
      <c r="W2223" s="18"/>
      <c r="X2223" s="18"/>
      <c r="Y2223" s="18"/>
      <c r="Z2223" s="18"/>
    </row>
    <row r="2224" ht="22.5" customHeight="1">
      <c r="A2224" s="250"/>
      <c r="B2224" s="218"/>
      <c r="C2224" s="9"/>
      <c r="D2224" s="228"/>
      <c r="E2224" s="216"/>
      <c r="F2224" s="273"/>
      <c r="G2224" s="9"/>
      <c r="H2224" s="234"/>
      <c r="I2224" s="232"/>
      <c r="J2224" s="9"/>
      <c r="K2224" s="18"/>
      <c r="L2224" s="18"/>
      <c r="M2224" s="18"/>
      <c r="N2224" s="18"/>
      <c r="O2224" s="18"/>
      <c r="P2224" s="18"/>
      <c r="Q2224" s="18"/>
      <c r="R2224" s="18"/>
      <c r="S2224" s="18"/>
      <c r="T2224" s="18"/>
      <c r="U2224" s="18"/>
      <c r="V2224" s="18"/>
      <c r="W2224" s="18"/>
      <c r="X2224" s="18"/>
      <c r="Y2224" s="18"/>
      <c r="Z2224" s="18"/>
    </row>
    <row r="2225" ht="22.5" customHeight="1">
      <c r="A2225" s="250"/>
      <c r="B2225" s="218"/>
      <c r="C2225" s="9"/>
      <c r="D2225" s="228"/>
      <c r="E2225" s="216"/>
      <c r="F2225" s="273"/>
      <c r="G2225" s="9"/>
      <c r="H2225" s="234"/>
      <c r="I2225" s="232"/>
      <c r="J2225" s="9"/>
      <c r="K2225" s="18"/>
      <c r="L2225" s="18"/>
      <c r="M2225" s="18"/>
      <c r="N2225" s="18"/>
      <c r="O2225" s="18"/>
      <c r="P2225" s="18"/>
      <c r="Q2225" s="18"/>
      <c r="R2225" s="18"/>
      <c r="S2225" s="18"/>
      <c r="T2225" s="18"/>
      <c r="U2225" s="18"/>
      <c r="V2225" s="18"/>
      <c r="W2225" s="18"/>
      <c r="X2225" s="18"/>
      <c r="Y2225" s="18"/>
      <c r="Z2225" s="18"/>
    </row>
    <row r="2226" ht="22.5" customHeight="1">
      <c r="A2226" s="250"/>
      <c r="B2226" s="218"/>
      <c r="C2226" s="9"/>
      <c r="D2226" s="228"/>
      <c r="E2226" s="216"/>
      <c r="F2226" s="273"/>
      <c r="G2226" s="9"/>
      <c r="H2226" s="234"/>
      <c r="I2226" s="232"/>
      <c r="J2226" s="9"/>
      <c r="K2226" s="18"/>
      <c r="L2226" s="18"/>
      <c r="M2226" s="18"/>
      <c r="N2226" s="18"/>
      <c r="O2226" s="18"/>
      <c r="P2226" s="18"/>
      <c r="Q2226" s="18"/>
      <c r="R2226" s="18"/>
      <c r="S2226" s="18"/>
      <c r="T2226" s="18"/>
      <c r="U2226" s="18"/>
      <c r="V2226" s="18"/>
      <c r="W2226" s="18"/>
      <c r="X2226" s="18"/>
      <c r="Y2226" s="18"/>
      <c r="Z2226" s="18"/>
    </row>
    <row r="2227" ht="22.5" customHeight="1">
      <c r="A2227" s="250"/>
      <c r="B2227" s="218"/>
      <c r="C2227" s="9"/>
      <c r="D2227" s="228"/>
      <c r="E2227" s="216"/>
      <c r="F2227" s="273"/>
      <c r="G2227" s="9"/>
      <c r="H2227" s="234"/>
      <c r="I2227" s="232"/>
      <c r="J2227" s="9"/>
      <c r="K2227" s="18"/>
      <c r="L2227" s="18"/>
      <c r="M2227" s="18"/>
      <c r="N2227" s="18"/>
      <c r="O2227" s="18"/>
      <c r="P2227" s="18"/>
      <c r="Q2227" s="18"/>
      <c r="R2227" s="18"/>
      <c r="S2227" s="18"/>
      <c r="T2227" s="18"/>
      <c r="U2227" s="18"/>
      <c r="V2227" s="18"/>
      <c r="W2227" s="18"/>
      <c r="X2227" s="18"/>
      <c r="Y2227" s="18"/>
      <c r="Z2227" s="18"/>
    </row>
    <row r="2228" ht="22.5" customHeight="1">
      <c r="A2228" s="250"/>
      <c r="B2228" s="218"/>
      <c r="C2228" s="9"/>
      <c r="D2228" s="228"/>
      <c r="E2228" s="216"/>
      <c r="F2228" s="273"/>
      <c r="G2228" s="9"/>
      <c r="H2228" s="234"/>
      <c r="I2228" s="232"/>
      <c r="J2228" s="9"/>
      <c r="K2228" s="18"/>
      <c r="L2228" s="18"/>
      <c r="M2228" s="18"/>
      <c r="N2228" s="18"/>
      <c r="O2228" s="18"/>
      <c r="P2228" s="18"/>
      <c r="Q2228" s="18"/>
      <c r="R2228" s="18"/>
      <c r="S2228" s="18"/>
      <c r="T2228" s="18"/>
      <c r="U2228" s="18"/>
      <c r="V2228" s="18"/>
      <c r="W2228" s="18"/>
      <c r="X2228" s="18"/>
      <c r="Y2228" s="18"/>
      <c r="Z2228" s="18"/>
    </row>
    <row r="2229" ht="22.5" customHeight="1">
      <c r="A2229" s="250"/>
      <c r="B2229" s="218"/>
      <c r="C2229" s="9"/>
      <c r="D2229" s="228"/>
      <c r="E2229" s="216"/>
      <c r="F2229" s="273"/>
      <c r="G2229" s="9"/>
      <c r="H2229" s="234"/>
      <c r="I2229" s="232"/>
      <c r="J2229" s="9"/>
      <c r="K2229" s="18"/>
      <c r="L2229" s="18"/>
      <c r="M2229" s="18"/>
      <c r="N2229" s="18"/>
      <c r="O2229" s="18"/>
      <c r="P2229" s="18"/>
      <c r="Q2229" s="18"/>
      <c r="R2229" s="18"/>
      <c r="S2229" s="18"/>
      <c r="T2229" s="18"/>
      <c r="U2229" s="18"/>
      <c r="V2229" s="18"/>
      <c r="W2229" s="18"/>
      <c r="X2229" s="18"/>
      <c r="Y2229" s="18"/>
      <c r="Z2229" s="18"/>
    </row>
    <row r="2230" ht="22.5" customHeight="1">
      <c r="A2230" s="250"/>
      <c r="B2230" s="218"/>
      <c r="C2230" s="9"/>
      <c r="D2230" s="228"/>
      <c r="E2230" s="216"/>
      <c r="F2230" s="273"/>
      <c r="G2230" s="9"/>
      <c r="H2230" s="234"/>
      <c r="I2230" s="232"/>
      <c r="J2230" s="9"/>
      <c r="K2230" s="18"/>
      <c r="L2230" s="18"/>
      <c r="M2230" s="18"/>
      <c r="N2230" s="18"/>
      <c r="O2230" s="18"/>
      <c r="P2230" s="18"/>
      <c r="Q2230" s="18"/>
      <c r="R2230" s="18"/>
      <c r="S2230" s="18"/>
      <c r="T2230" s="18"/>
      <c r="U2230" s="18"/>
      <c r="V2230" s="18"/>
      <c r="W2230" s="18"/>
      <c r="X2230" s="18"/>
      <c r="Y2230" s="18"/>
      <c r="Z2230" s="18"/>
    </row>
    <row r="2231" ht="22.5" customHeight="1">
      <c r="A2231" s="250"/>
      <c r="B2231" s="218"/>
      <c r="C2231" s="9"/>
      <c r="D2231" s="228"/>
      <c r="E2231" s="216"/>
      <c r="F2231" s="273"/>
      <c r="G2231" s="9"/>
      <c r="H2231" s="234"/>
      <c r="I2231" s="232"/>
      <c r="J2231" s="9"/>
      <c r="K2231" s="18"/>
      <c r="L2231" s="18"/>
      <c r="M2231" s="18"/>
      <c r="N2231" s="18"/>
      <c r="O2231" s="18"/>
      <c r="P2231" s="18"/>
      <c r="Q2231" s="18"/>
      <c r="R2231" s="18"/>
      <c r="S2231" s="18"/>
      <c r="T2231" s="18"/>
      <c r="U2231" s="18"/>
      <c r="V2231" s="18"/>
      <c r="W2231" s="18"/>
      <c r="X2231" s="18"/>
      <c r="Y2231" s="18"/>
      <c r="Z2231" s="18"/>
    </row>
    <row r="2232" ht="22.5" customHeight="1">
      <c r="A2232" s="250"/>
      <c r="B2232" s="218"/>
      <c r="C2232" s="9"/>
      <c r="D2232" s="228"/>
      <c r="E2232" s="216"/>
      <c r="F2232" s="273"/>
      <c r="G2232" s="9"/>
      <c r="H2232" s="234"/>
      <c r="I2232" s="232"/>
      <c r="J2232" s="9"/>
      <c r="K2232" s="18"/>
      <c r="L2232" s="18"/>
      <c r="M2232" s="18"/>
      <c r="N2232" s="18"/>
      <c r="O2232" s="18"/>
      <c r="P2232" s="18"/>
      <c r="Q2232" s="18"/>
      <c r="R2232" s="18"/>
      <c r="S2232" s="18"/>
      <c r="T2232" s="18"/>
      <c r="U2232" s="18"/>
      <c r="V2232" s="18"/>
      <c r="W2232" s="18"/>
      <c r="X2232" s="18"/>
      <c r="Y2232" s="18"/>
      <c r="Z2232" s="18"/>
    </row>
    <row r="2233" ht="22.5" customHeight="1">
      <c r="A2233" s="250"/>
      <c r="B2233" s="218"/>
      <c r="C2233" s="9"/>
      <c r="D2233" s="228"/>
      <c r="E2233" s="216"/>
      <c r="F2233" s="273"/>
      <c r="G2233" s="9"/>
      <c r="H2233" s="234"/>
      <c r="I2233" s="232"/>
      <c r="J2233" s="9"/>
      <c r="K2233" s="18"/>
      <c r="L2233" s="18"/>
      <c r="M2233" s="18"/>
      <c r="N2233" s="18"/>
      <c r="O2233" s="18"/>
      <c r="P2233" s="18"/>
      <c r="Q2233" s="18"/>
      <c r="R2233" s="18"/>
      <c r="S2233" s="18"/>
      <c r="T2233" s="18"/>
      <c r="U2233" s="18"/>
      <c r="V2233" s="18"/>
      <c r="W2233" s="18"/>
      <c r="X2233" s="18"/>
      <c r="Y2233" s="18"/>
      <c r="Z2233" s="18"/>
    </row>
    <row r="2234" ht="22.5" customHeight="1">
      <c r="A2234" s="250"/>
      <c r="B2234" s="218"/>
      <c r="C2234" s="9"/>
      <c r="D2234" s="228"/>
      <c r="E2234" s="216"/>
      <c r="F2234" s="273"/>
      <c r="G2234" s="9"/>
      <c r="H2234" s="234"/>
      <c r="I2234" s="232"/>
      <c r="J2234" s="9"/>
      <c r="K2234" s="18"/>
      <c r="L2234" s="18"/>
      <c r="M2234" s="18"/>
      <c r="N2234" s="18"/>
      <c r="O2234" s="18"/>
      <c r="P2234" s="18"/>
      <c r="Q2234" s="18"/>
      <c r="R2234" s="18"/>
      <c r="S2234" s="18"/>
      <c r="T2234" s="18"/>
      <c r="U2234" s="18"/>
      <c r="V2234" s="18"/>
      <c r="W2234" s="18"/>
      <c r="X2234" s="18"/>
      <c r="Y2234" s="18"/>
      <c r="Z2234" s="18"/>
    </row>
    <row r="2235" ht="22.5" customHeight="1">
      <c r="A2235" s="250"/>
      <c r="B2235" s="218"/>
      <c r="C2235" s="9"/>
      <c r="D2235" s="228"/>
      <c r="E2235" s="216"/>
      <c r="F2235" s="273"/>
      <c r="G2235" s="9"/>
      <c r="H2235" s="234"/>
      <c r="I2235" s="232"/>
      <c r="J2235" s="9"/>
      <c r="K2235" s="18"/>
      <c r="L2235" s="18"/>
      <c r="M2235" s="18"/>
      <c r="N2235" s="18"/>
      <c r="O2235" s="18"/>
      <c r="P2235" s="18"/>
      <c r="Q2235" s="18"/>
      <c r="R2235" s="18"/>
      <c r="S2235" s="18"/>
      <c r="T2235" s="18"/>
      <c r="U2235" s="18"/>
      <c r="V2235" s="18"/>
      <c r="W2235" s="18"/>
      <c r="X2235" s="18"/>
      <c r="Y2235" s="18"/>
      <c r="Z2235" s="18"/>
    </row>
    <row r="2236" ht="22.5" customHeight="1">
      <c r="A2236" s="250"/>
      <c r="B2236" s="218"/>
      <c r="C2236" s="9"/>
      <c r="D2236" s="228"/>
      <c r="E2236" s="216"/>
      <c r="F2236" s="273"/>
      <c r="G2236" s="9"/>
      <c r="H2236" s="234"/>
      <c r="I2236" s="232"/>
      <c r="J2236" s="9"/>
      <c r="K2236" s="18"/>
      <c r="L2236" s="18"/>
      <c r="M2236" s="18"/>
      <c r="N2236" s="18"/>
      <c r="O2236" s="18"/>
      <c r="P2236" s="18"/>
      <c r="Q2236" s="18"/>
      <c r="R2236" s="18"/>
      <c r="S2236" s="18"/>
      <c r="T2236" s="18"/>
      <c r="U2236" s="18"/>
      <c r="V2236" s="18"/>
      <c r="W2236" s="18"/>
      <c r="X2236" s="18"/>
      <c r="Y2236" s="18"/>
      <c r="Z2236" s="18"/>
    </row>
    <row r="2237" ht="22.5" customHeight="1">
      <c r="A2237" s="250"/>
      <c r="B2237" s="218"/>
      <c r="C2237" s="9"/>
      <c r="D2237" s="228"/>
      <c r="E2237" s="216"/>
      <c r="F2237" s="273"/>
      <c r="G2237" s="9"/>
      <c r="H2237" s="234"/>
      <c r="I2237" s="232"/>
      <c r="J2237" s="9"/>
      <c r="K2237" s="18"/>
      <c r="L2237" s="18"/>
      <c r="M2237" s="18"/>
      <c r="N2237" s="18"/>
      <c r="O2237" s="18"/>
      <c r="P2237" s="18"/>
      <c r="Q2237" s="18"/>
      <c r="R2237" s="18"/>
      <c r="S2237" s="18"/>
      <c r="T2237" s="18"/>
      <c r="U2237" s="18"/>
      <c r="V2237" s="18"/>
      <c r="W2237" s="18"/>
      <c r="X2237" s="18"/>
      <c r="Y2237" s="18"/>
      <c r="Z2237" s="18"/>
    </row>
    <row r="2238" ht="22.5" customHeight="1">
      <c r="A2238" s="250"/>
      <c r="B2238" s="218"/>
      <c r="C2238" s="9"/>
      <c r="D2238" s="228"/>
      <c r="E2238" s="216"/>
      <c r="F2238" s="273"/>
      <c r="G2238" s="9"/>
      <c r="H2238" s="234"/>
      <c r="I2238" s="232"/>
      <c r="J2238" s="9"/>
      <c r="K2238" s="18"/>
      <c r="L2238" s="18"/>
      <c r="M2238" s="18"/>
      <c r="N2238" s="18"/>
      <c r="O2238" s="18"/>
      <c r="P2238" s="18"/>
      <c r="Q2238" s="18"/>
      <c r="R2238" s="18"/>
      <c r="S2238" s="18"/>
      <c r="T2238" s="18"/>
      <c r="U2238" s="18"/>
      <c r="V2238" s="18"/>
      <c r="W2238" s="18"/>
      <c r="X2238" s="18"/>
      <c r="Y2238" s="18"/>
      <c r="Z2238" s="18"/>
    </row>
    <row r="2239" ht="22.5" customHeight="1">
      <c r="A2239" s="250"/>
      <c r="B2239" s="218"/>
      <c r="C2239" s="9"/>
      <c r="D2239" s="228"/>
      <c r="E2239" s="216"/>
      <c r="F2239" s="273"/>
      <c r="G2239" s="9"/>
      <c r="H2239" s="234"/>
      <c r="I2239" s="232"/>
      <c r="J2239" s="9"/>
      <c r="K2239" s="18"/>
      <c r="L2239" s="18"/>
      <c r="M2239" s="18"/>
      <c r="N2239" s="18"/>
      <c r="O2239" s="18"/>
      <c r="P2239" s="18"/>
      <c r="Q2239" s="18"/>
      <c r="R2239" s="18"/>
      <c r="S2239" s="18"/>
      <c r="T2239" s="18"/>
      <c r="U2239" s="18"/>
      <c r="V2239" s="18"/>
      <c r="W2239" s="18"/>
      <c r="X2239" s="18"/>
      <c r="Y2239" s="18"/>
      <c r="Z2239" s="18"/>
    </row>
    <row r="2240" ht="22.5" customHeight="1">
      <c r="A2240" s="250"/>
      <c r="B2240" s="218"/>
      <c r="C2240" s="9"/>
      <c r="D2240" s="228"/>
      <c r="E2240" s="216"/>
      <c r="F2240" s="273"/>
      <c r="G2240" s="9"/>
      <c r="H2240" s="234"/>
      <c r="I2240" s="232"/>
      <c r="J2240" s="9"/>
      <c r="K2240" s="18"/>
      <c r="L2240" s="18"/>
      <c r="M2240" s="18"/>
      <c r="N2240" s="18"/>
      <c r="O2240" s="18"/>
      <c r="P2240" s="18"/>
      <c r="Q2240" s="18"/>
      <c r="R2240" s="18"/>
      <c r="S2240" s="18"/>
      <c r="T2240" s="18"/>
      <c r="U2240" s="18"/>
      <c r="V2240" s="18"/>
      <c r="W2240" s="18"/>
      <c r="X2240" s="18"/>
      <c r="Y2240" s="18"/>
      <c r="Z2240" s="18"/>
    </row>
    <row r="2241" ht="22.5" customHeight="1">
      <c r="A2241" s="250"/>
      <c r="B2241" s="218"/>
      <c r="C2241" s="9"/>
      <c r="D2241" s="228"/>
      <c r="E2241" s="216"/>
      <c r="F2241" s="273"/>
      <c r="G2241" s="9"/>
      <c r="H2241" s="234"/>
      <c r="I2241" s="232"/>
      <c r="J2241" s="9"/>
      <c r="K2241" s="18"/>
      <c r="L2241" s="18"/>
      <c r="M2241" s="18"/>
      <c r="N2241" s="18"/>
      <c r="O2241" s="18"/>
      <c r="P2241" s="18"/>
      <c r="Q2241" s="18"/>
      <c r="R2241" s="18"/>
      <c r="S2241" s="18"/>
      <c r="T2241" s="18"/>
      <c r="U2241" s="18"/>
      <c r="V2241" s="18"/>
      <c r="W2241" s="18"/>
      <c r="X2241" s="18"/>
      <c r="Y2241" s="18"/>
      <c r="Z2241" s="18"/>
    </row>
    <row r="2242" ht="22.5" customHeight="1">
      <c r="A2242" s="250"/>
      <c r="B2242" s="218"/>
      <c r="C2242" s="9"/>
      <c r="D2242" s="228"/>
      <c r="E2242" s="216"/>
      <c r="F2242" s="273"/>
      <c r="G2242" s="9"/>
      <c r="H2242" s="234"/>
      <c r="I2242" s="232"/>
      <c r="J2242" s="9"/>
      <c r="K2242" s="18"/>
      <c r="L2242" s="18"/>
      <c r="M2242" s="18"/>
      <c r="N2242" s="18"/>
      <c r="O2242" s="18"/>
      <c r="P2242" s="18"/>
      <c r="Q2242" s="18"/>
      <c r="R2242" s="18"/>
      <c r="S2242" s="18"/>
      <c r="T2242" s="18"/>
      <c r="U2242" s="18"/>
      <c r="V2242" s="18"/>
      <c r="W2242" s="18"/>
      <c r="X2242" s="18"/>
      <c r="Y2242" s="18"/>
      <c r="Z2242" s="18"/>
    </row>
    <row r="2243" ht="22.5" customHeight="1">
      <c r="A2243" s="250"/>
      <c r="B2243" s="218"/>
      <c r="C2243" s="9"/>
      <c r="D2243" s="228"/>
      <c r="E2243" s="216"/>
      <c r="F2243" s="273"/>
      <c r="G2243" s="9"/>
      <c r="H2243" s="234"/>
      <c r="I2243" s="232"/>
      <c r="J2243" s="9"/>
      <c r="K2243" s="18"/>
      <c r="L2243" s="18"/>
      <c r="M2243" s="18"/>
      <c r="N2243" s="18"/>
      <c r="O2243" s="18"/>
      <c r="P2243" s="18"/>
      <c r="Q2243" s="18"/>
      <c r="R2243" s="18"/>
      <c r="S2243" s="18"/>
      <c r="T2243" s="18"/>
      <c r="U2243" s="18"/>
      <c r="V2243" s="18"/>
      <c r="W2243" s="18"/>
      <c r="X2243" s="18"/>
      <c r="Y2243" s="18"/>
      <c r="Z2243" s="18"/>
    </row>
    <row r="2244" ht="22.5" customHeight="1">
      <c r="A2244" s="250"/>
      <c r="B2244" s="218"/>
      <c r="C2244" s="9"/>
      <c r="D2244" s="228"/>
      <c r="E2244" s="216"/>
      <c r="F2244" s="273"/>
      <c r="G2244" s="9"/>
      <c r="H2244" s="234"/>
      <c r="I2244" s="232"/>
      <c r="J2244" s="9"/>
      <c r="K2244" s="18"/>
      <c r="L2244" s="18"/>
      <c r="M2244" s="18"/>
      <c r="N2244" s="18"/>
      <c r="O2244" s="18"/>
      <c r="P2244" s="18"/>
      <c r="Q2244" s="18"/>
      <c r="R2244" s="18"/>
      <c r="S2244" s="18"/>
      <c r="T2244" s="18"/>
      <c r="U2244" s="18"/>
      <c r="V2244" s="18"/>
      <c r="W2244" s="18"/>
      <c r="X2244" s="18"/>
      <c r="Y2244" s="18"/>
      <c r="Z2244" s="18"/>
    </row>
    <row r="2245" ht="22.5" customHeight="1">
      <c r="A2245" s="250"/>
      <c r="B2245" s="218"/>
      <c r="C2245" s="9"/>
      <c r="D2245" s="228"/>
      <c r="E2245" s="216"/>
      <c r="F2245" s="273"/>
      <c r="G2245" s="9"/>
      <c r="H2245" s="234"/>
      <c r="I2245" s="232"/>
      <c r="J2245" s="9"/>
      <c r="K2245" s="18"/>
      <c r="L2245" s="18"/>
      <c r="M2245" s="18"/>
      <c r="N2245" s="18"/>
      <c r="O2245" s="18"/>
      <c r="P2245" s="18"/>
      <c r="Q2245" s="18"/>
      <c r="R2245" s="18"/>
      <c r="S2245" s="18"/>
      <c r="T2245" s="18"/>
      <c r="U2245" s="18"/>
      <c r="V2245" s="18"/>
      <c r="W2245" s="18"/>
      <c r="X2245" s="18"/>
      <c r="Y2245" s="18"/>
      <c r="Z2245" s="18"/>
    </row>
    <row r="2246" ht="22.5" customHeight="1">
      <c r="A2246" s="250"/>
      <c r="B2246" s="218"/>
      <c r="C2246" s="9"/>
      <c r="D2246" s="228"/>
      <c r="E2246" s="216"/>
      <c r="F2246" s="273"/>
      <c r="G2246" s="9"/>
      <c r="H2246" s="234"/>
      <c r="I2246" s="232"/>
      <c r="J2246" s="9"/>
      <c r="K2246" s="18"/>
      <c r="L2246" s="18"/>
      <c r="M2246" s="18"/>
      <c r="N2246" s="18"/>
      <c r="O2246" s="18"/>
      <c r="P2246" s="18"/>
      <c r="Q2246" s="18"/>
      <c r="R2246" s="18"/>
      <c r="S2246" s="18"/>
      <c r="T2246" s="18"/>
      <c r="U2246" s="18"/>
      <c r="V2246" s="18"/>
      <c r="W2246" s="18"/>
      <c r="X2246" s="18"/>
      <c r="Y2246" s="18"/>
      <c r="Z2246" s="18"/>
    </row>
    <row r="2247" ht="22.5" customHeight="1">
      <c r="A2247" s="250"/>
      <c r="B2247" s="218"/>
      <c r="C2247" s="9"/>
      <c r="D2247" s="228"/>
      <c r="E2247" s="216"/>
      <c r="F2247" s="273"/>
      <c r="G2247" s="9"/>
      <c r="H2247" s="234"/>
      <c r="I2247" s="232"/>
      <c r="J2247" s="9"/>
      <c r="K2247" s="18"/>
      <c r="L2247" s="18"/>
      <c r="M2247" s="18"/>
      <c r="N2247" s="18"/>
      <c r="O2247" s="18"/>
      <c r="P2247" s="18"/>
      <c r="Q2247" s="18"/>
      <c r="R2247" s="18"/>
      <c r="S2247" s="18"/>
      <c r="T2247" s="18"/>
      <c r="U2247" s="18"/>
      <c r="V2247" s="18"/>
      <c r="W2247" s="18"/>
      <c r="X2247" s="18"/>
      <c r="Y2247" s="18"/>
      <c r="Z2247" s="18"/>
    </row>
    <row r="2248" ht="22.5" customHeight="1">
      <c r="A2248" s="250"/>
      <c r="B2248" s="218"/>
      <c r="C2248" s="9"/>
      <c r="D2248" s="228"/>
      <c r="E2248" s="216"/>
      <c r="F2248" s="273"/>
      <c r="G2248" s="9"/>
      <c r="H2248" s="234"/>
      <c r="I2248" s="232"/>
      <c r="J2248" s="9"/>
      <c r="K2248" s="18"/>
      <c r="L2248" s="18"/>
      <c r="M2248" s="18"/>
      <c r="N2248" s="18"/>
      <c r="O2248" s="18"/>
      <c r="P2248" s="18"/>
      <c r="Q2248" s="18"/>
      <c r="R2248" s="18"/>
      <c r="S2248" s="18"/>
      <c r="T2248" s="18"/>
      <c r="U2248" s="18"/>
      <c r="V2248" s="18"/>
      <c r="W2248" s="18"/>
      <c r="X2248" s="18"/>
      <c r="Y2248" s="18"/>
      <c r="Z2248" s="18"/>
    </row>
    <row r="2249" ht="22.5" customHeight="1">
      <c r="A2249" s="250"/>
      <c r="B2249" s="218"/>
      <c r="C2249" s="9"/>
      <c r="D2249" s="228"/>
      <c r="E2249" s="216"/>
      <c r="F2249" s="273"/>
      <c r="G2249" s="9"/>
      <c r="H2249" s="234"/>
      <c r="I2249" s="232"/>
      <c r="J2249" s="9"/>
      <c r="K2249" s="18"/>
      <c r="L2249" s="18"/>
      <c r="M2249" s="18"/>
      <c r="N2249" s="18"/>
      <c r="O2249" s="18"/>
      <c r="P2249" s="18"/>
      <c r="Q2249" s="18"/>
      <c r="R2249" s="18"/>
      <c r="S2249" s="18"/>
      <c r="T2249" s="18"/>
      <c r="U2249" s="18"/>
      <c r="V2249" s="18"/>
      <c r="W2249" s="18"/>
      <c r="X2249" s="18"/>
      <c r="Y2249" s="18"/>
      <c r="Z2249" s="18"/>
    </row>
    <row r="2250" ht="22.5" customHeight="1">
      <c r="A2250" s="250"/>
      <c r="B2250" s="218"/>
      <c r="C2250" s="9"/>
      <c r="D2250" s="228"/>
      <c r="E2250" s="216"/>
      <c r="F2250" s="273"/>
      <c r="G2250" s="9"/>
      <c r="H2250" s="234"/>
      <c r="I2250" s="232"/>
      <c r="J2250" s="9"/>
      <c r="K2250" s="18"/>
      <c r="L2250" s="18"/>
      <c r="M2250" s="18"/>
      <c r="N2250" s="18"/>
      <c r="O2250" s="18"/>
      <c r="P2250" s="18"/>
      <c r="Q2250" s="18"/>
      <c r="R2250" s="18"/>
      <c r="S2250" s="18"/>
      <c r="T2250" s="18"/>
      <c r="U2250" s="18"/>
      <c r="V2250" s="18"/>
      <c r="W2250" s="18"/>
      <c r="X2250" s="18"/>
      <c r="Y2250" s="18"/>
      <c r="Z2250" s="18"/>
    </row>
    <row r="2251" ht="22.5" customHeight="1">
      <c r="A2251" s="250"/>
      <c r="B2251" s="218"/>
      <c r="C2251" s="9"/>
      <c r="D2251" s="228"/>
      <c r="E2251" s="216"/>
      <c r="F2251" s="273"/>
      <c r="G2251" s="9"/>
      <c r="H2251" s="234"/>
      <c r="I2251" s="232"/>
      <c r="J2251" s="9"/>
      <c r="K2251" s="18"/>
      <c r="L2251" s="18"/>
      <c r="M2251" s="18"/>
      <c r="N2251" s="18"/>
      <c r="O2251" s="18"/>
      <c r="P2251" s="18"/>
      <c r="Q2251" s="18"/>
      <c r="R2251" s="18"/>
      <c r="S2251" s="18"/>
      <c r="T2251" s="18"/>
      <c r="U2251" s="18"/>
      <c r="V2251" s="18"/>
      <c r="W2251" s="18"/>
      <c r="X2251" s="18"/>
      <c r="Y2251" s="18"/>
      <c r="Z2251" s="18"/>
    </row>
    <row r="2252" ht="22.5" customHeight="1">
      <c r="A2252" s="250"/>
      <c r="B2252" s="218"/>
      <c r="C2252" s="9"/>
      <c r="D2252" s="228"/>
      <c r="E2252" s="216"/>
      <c r="F2252" s="273"/>
      <c r="G2252" s="9"/>
      <c r="H2252" s="234"/>
      <c r="I2252" s="232"/>
      <c r="J2252" s="9"/>
      <c r="K2252" s="18"/>
      <c r="L2252" s="18"/>
      <c r="M2252" s="18"/>
      <c r="N2252" s="18"/>
      <c r="O2252" s="18"/>
      <c r="P2252" s="18"/>
      <c r="Q2252" s="18"/>
      <c r="R2252" s="18"/>
      <c r="S2252" s="18"/>
      <c r="T2252" s="18"/>
      <c r="U2252" s="18"/>
      <c r="V2252" s="18"/>
      <c r="W2252" s="18"/>
      <c r="X2252" s="18"/>
      <c r="Y2252" s="18"/>
      <c r="Z2252" s="18"/>
    </row>
    <row r="2253" ht="22.5" customHeight="1">
      <c r="A2253" s="250"/>
      <c r="B2253" s="218"/>
      <c r="C2253" s="9"/>
      <c r="D2253" s="228"/>
      <c r="E2253" s="216"/>
      <c r="F2253" s="273"/>
      <c r="G2253" s="9"/>
      <c r="H2253" s="234"/>
      <c r="I2253" s="232"/>
      <c r="J2253" s="9"/>
      <c r="K2253" s="18"/>
      <c r="L2253" s="18"/>
      <c r="M2253" s="18"/>
      <c r="N2253" s="18"/>
      <c r="O2253" s="18"/>
      <c r="P2253" s="18"/>
      <c r="Q2253" s="18"/>
      <c r="R2253" s="18"/>
      <c r="S2253" s="18"/>
      <c r="T2253" s="18"/>
      <c r="U2253" s="18"/>
      <c r="V2253" s="18"/>
      <c r="W2253" s="18"/>
      <c r="X2253" s="18"/>
      <c r="Y2253" s="18"/>
      <c r="Z2253" s="18"/>
    </row>
    <row r="2254" ht="22.5" customHeight="1">
      <c r="A2254" s="250"/>
      <c r="B2254" s="218"/>
      <c r="C2254" s="9"/>
      <c r="D2254" s="228"/>
      <c r="E2254" s="216"/>
      <c r="F2254" s="273"/>
      <c r="G2254" s="9"/>
      <c r="H2254" s="234"/>
      <c r="I2254" s="232"/>
      <c r="J2254" s="9"/>
      <c r="K2254" s="18"/>
      <c r="L2254" s="18"/>
      <c r="M2254" s="18"/>
      <c r="N2254" s="18"/>
      <c r="O2254" s="18"/>
      <c r="P2254" s="18"/>
      <c r="Q2254" s="18"/>
      <c r="R2254" s="18"/>
      <c r="S2254" s="18"/>
      <c r="T2254" s="18"/>
      <c r="U2254" s="18"/>
      <c r="V2254" s="18"/>
      <c r="W2254" s="18"/>
      <c r="X2254" s="18"/>
      <c r="Y2254" s="18"/>
      <c r="Z2254" s="18"/>
    </row>
    <row r="2255" ht="22.5" customHeight="1">
      <c r="A2255" s="250"/>
      <c r="B2255" s="218"/>
      <c r="C2255" s="9"/>
      <c r="D2255" s="228"/>
      <c r="E2255" s="216"/>
      <c r="F2255" s="273"/>
      <c r="G2255" s="9"/>
      <c r="H2255" s="234"/>
      <c r="I2255" s="232"/>
      <c r="J2255" s="9"/>
      <c r="K2255" s="18"/>
      <c r="L2255" s="18"/>
      <c r="M2255" s="18"/>
      <c r="N2255" s="18"/>
      <c r="O2255" s="18"/>
      <c r="P2255" s="18"/>
      <c r="Q2255" s="18"/>
      <c r="R2255" s="18"/>
      <c r="S2255" s="18"/>
      <c r="T2255" s="18"/>
      <c r="U2255" s="18"/>
      <c r="V2255" s="18"/>
      <c r="W2255" s="18"/>
      <c r="X2255" s="18"/>
      <c r="Y2255" s="18"/>
      <c r="Z2255" s="18"/>
    </row>
    <row r="2256" ht="22.5" customHeight="1">
      <c r="A2256" s="250"/>
      <c r="B2256" s="218"/>
      <c r="C2256" s="9"/>
      <c r="D2256" s="228"/>
      <c r="E2256" s="216"/>
      <c r="F2256" s="273"/>
      <c r="G2256" s="9"/>
      <c r="H2256" s="234"/>
      <c r="I2256" s="232"/>
      <c r="J2256" s="9"/>
      <c r="K2256" s="18"/>
      <c r="L2256" s="18"/>
      <c r="M2256" s="18"/>
      <c r="N2256" s="18"/>
      <c r="O2256" s="18"/>
      <c r="P2256" s="18"/>
      <c r="Q2256" s="18"/>
      <c r="R2256" s="18"/>
      <c r="S2256" s="18"/>
      <c r="T2256" s="18"/>
      <c r="U2256" s="18"/>
      <c r="V2256" s="18"/>
      <c r="W2256" s="18"/>
      <c r="X2256" s="18"/>
      <c r="Y2256" s="18"/>
      <c r="Z2256" s="18"/>
    </row>
    <row r="2257" ht="22.5" customHeight="1">
      <c r="A2257" s="250"/>
      <c r="B2257" s="218"/>
      <c r="C2257" s="9"/>
      <c r="D2257" s="228"/>
      <c r="E2257" s="216"/>
      <c r="F2257" s="273"/>
      <c r="G2257" s="9"/>
      <c r="H2257" s="234"/>
      <c r="I2257" s="232"/>
      <c r="J2257" s="9"/>
      <c r="K2257" s="18"/>
      <c r="L2257" s="18"/>
      <c r="M2257" s="18"/>
      <c r="N2257" s="18"/>
      <c r="O2257" s="18"/>
      <c r="P2257" s="18"/>
      <c r="Q2257" s="18"/>
      <c r="R2257" s="18"/>
      <c r="S2257" s="18"/>
      <c r="T2257" s="18"/>
      <c r="U2257" s="18"/>
      <c r="V2257" s="18"/>
      <c r="W2257" s="18"/>
      <c r="X2257" s="18"/>
      <c r="Y2257" s="18"/>
      <c r="Z2257" s="18"/>
    </row>
    <row r="2258" ht="22.5" customHeight="1">
      <c r="A2258" s="250"/>
      <c r="B2258" s="218"/>
      <c r="C2258" s="9"/>
      <c r="D2258" s="228"/>
      <c r="E2258" s="216"/>
      <c r="F2258" s="273"/>
      <c r="G2258" s="9"/>
      <c r="H2258" s="234"/>
      <c r="I2258" s="232"/>
      <c r="J2258" s="9"/>
      <c r="K2258" s="18"/>
      <c r="L2258" s="18"/>
      <c r="M2258" s="18"/>
      <c r="N2258" s="18"/>
      <c r="O2258" s="18"/>
      <c r="P2258" s="18"/>
      <c r="Q2258" s="18"/>
      <c r="R2258" s="18"/>
      <c r="S2258" s="18"/>
      <c r="T2258" s="18"/>
      <c r="U2258" s="18"/>
      <c r="V2258" s="18"/>
      <c r="W2258" s="18"/>
      <c r="X2258" s="18"/>
      <c r="Y2258" s="18"/>
      <c r="Z2258" s="18"/>
    </row>
    <row r="2259" ht="22.5" customHeight="1">
      <c r="A2259" s="250"/>
      <c r="B2259" s="218"/>
      <c r="C2259" s="9"/>
      <c r="D2259" s="228"/>
      <c r="E2259" s="216"/>
      <c r="F2259" s="273"/>
      <c r="G2259" s="9"/>
      <c r="H2259" s="234"/>
      <c r="I2259" s="232"/>
      <c r="J2259" s="9"/>
      <c r="K2259" s="18"/>
      <c r="L2259" s="18"/>
      <c r="M2259" s="18"/>
      <c r="N2259" s="18"/>
      <c r="O2259" s="18"/>
      <c r="P2259" s="18"/>
      <c r="Q2259" s="18"/>
      <c r="R2259" s="18"/>
      <c r="S2259" s="18"/>
      <c r="T2259" s="18"/>
      <c r="U2259" s="18"/>
      <c r="V2259" s="18"/>
      <c r="W2259" s="18"/>
      <c r="X2259" s="18"/>
      <c r="Y2259" s="18"/>
      <c r="Z2259" s="18"/>
    </row>
    <row r="2260" ht="22.5" customHeight="1">
      <c r="A2260" s="250"/>
      <c r="B2260" s="218"/>
      <c r="C2260" s="9"/>
      <c r="D2260" s="228"/>
      <c r="E2260" s="216"/>
      <c r="F2260" s="273"/>
      <c r="G2260" s="9"/>
      <c r="H2260" s="234"/>
      <c r="I2260" s="232"/>
      <c r="J2260" s="9"/>
      <c r="K2260" s="18"/>
      <c r="L2260" s="18"/>
      <c r="M2260" s="18"/>
      <c r="N2260" s="18"/>
      <c r="O2260" s="18"/>
      <c r="P2260" s="18"/>
      <c r="Q2260" s="18"/>
      <c r="R2260" s="18"/>
      <c r="S2260" s="18"/>
      <c r="T2260" s="18"/>
      <c r="U2260" s="18"/>
      <c r="V2260" s="18"/>
      <c r="W2260" s="18"/>
      <c r="X2260" s="18"/>
      <c r="Y2260" s="18"/>
      <c r="Z2260" s="18"/>
    </row>
    <row r="2261" ht="22.5" customHeight="1">
      <c r="A2261" s="250"/>
      <c r="B2261" s="218"/>
      <c r="C2261" s="9"/>
      <c r="D2261" s="228"/>
      <c r="E2261" s="216"/>
      <c r="F2261" s="273"/>
      <c r="G2261" s="9"/>
      <c r="H2261" s="234"/>
      <c r="I2261" s="232"/>
      <c r="J2261" s="9"/>
      <c r="K2261" s="18"/>
      <c r="L2261" s="18"/>
      <c r="M2261" s="18"/>
      <c r="N2261" s="18"/>
      <c r="O2261" s="18"/>
      <c r="P2261" s="18"/>
      <c r="Q2261" s="18"/>
      <c r="R2261" s="18"/>
      <c r="S2261" s="18"/>
      <c r="T2261" s="18"/>
      <c r="U2261" s="18"/>
      <c r="V2261" s="18"/>
      <c r="W2261" s="18"/>
      <c r="X2261" s="18"/>
      <c r="Y2261" s="18"/>
      <c r="Z2261" s="18"/>
    </row>
    <row r="2262" ht="22.5" customHeight="1">
      <c r="A2262" s="250"/>
      <c r="B2262" s="218"/>
      <c r="C2262" s="9"/>
      <c r="D2262" s="228"/>
      <c r="E2262" s="216"/>
      <c r="F2262" s="273"/>
      <c r="G2262" s="9"/>
      <c r="H2262" s="234"/>
      <c r="I2262" s="232"/>
      <c r="J2262" s="9"/>
      <c r="K2262" s="18"/>
      <c r="L2262" s="18"/>
      <c r="M2262" s="18"/>
      <c r="N2262" s="18"/>
      <c r="O2262" s="18"/>
      <c r="P2262" s="18"/>
      <c r="Q2262" s="18"/>
      <c r="R2262" s="18"/>
      <c r="S2262" s="18"/>
      <c r="T2262" s="18"/>
      <c r="U2262" s="18"/>
      <c r="V2262" s="18"/>
      <c r="W2262" s="18"/>
      <c r="X2262" s="18"/>
      <c r="Y2262" s="18"/>
      <c r="Z2262" s="18"/>
    </row>
    <row r="2263" ht="22.5" customHeight="1">
      <c r="A2263" s="250"/>
      <c r="B2263" s="218"/>
      <c r="C2263" s="9"/>
      <c r="D2263" s="228"/>
      <c r="E2263" s="216"/>
      <c r="F2263" s="273"/>
      <c r="G2263" s="9"/>
      <c r="H2263" s="234"/>
      <c r="I2263" s="232"/>
      <c r="J2263" s="9"/>
      <c r="K2263" s="18"/>
      <c r="L2263" s="18"/>
      <c r="M2263" s="18"/>
      <c r="N2263" s="18"/>
      <c r="O2263" s="18"/>
      <c r="P2263" s="18"/>
      <c r="Q2263" s="18"/>
      <c r="R2263" s="18"/>
      <c r="S2263" s="18"/>
      <c r="T2263" s="18"/>
      <c r="U2263" s="18"/>
      <c r="V2263" s="18"/>
      <c r="W2263" s="18"/>
      <c r="X2263" s="18"/>
      <c r="Y2263" s="18"/>
      <c r="Z2263" s="18"/>
    </row>
    <row r="2264" ht="22.5" customHeight="1">
      <c r="A2264" s="250"/>
      <c r="B2264" s="218"/>
      <c r="C2264" s="9"/>
      <c r="D2264" s="228"/>
      <c r="E2264" s="216"/>
      <c r="F2264" s="273"/>
      <c r="G2264" s="9"/>
      <c r="H2264" s="234"/>
      <c r="I2264" s="232"/>
      <c r="J2264" s="9"/>
      <c r="K2264" s="18"/>
      <c r="L2264" s="18"/>
      <c r="M2264" s="18"/>
      <c r="N2264" s="18"/>
      <c r="O2264" s="18"/>
      <c r="P2264" s="18"/>
      <c r="Q2264" s="18"/>
      <c r="R2264" s="18"/>
      <c r="S2264" s="18"/>
      <c r="T2264" s="18"/>
      <c r="U2264" s="18"/>
      <c r="V2264" s="18"/>
      <c r="W2264" s="18"/>
      <c r="X2264" s="18"/>
      <c r="Y2264" s="18"/>
      <c r="Z2264" s="18"/>
    </row>
    <row r="2265" ht="22.5" customHeight="1">
      <c r="A2265" s="250"/>
      <c r="B2265" s="218"/>
      <c r="C2265" s="9"/>
      <c r="D2265" s="228"/>
      <c r="E2265" s="216"/>
      <c r="F2265" s="273"/>
      <c r="G2265" s="9"/>
      <c r="H2265" s="234"/>
      <c r="I2265" s="232"/>
      <c r="J2265" s="9"/>
      <c r="K2265" s="18"/>
      <c r="L2265" s="18"/>
      <c r="M2265" s="18"/>
      <c r="N2265" s="18"/>
      <c r="O2265" s="18"/>
      <c r="P2265" s="18"/>
      <c r="Q2265" s="18"/>
      <c r="R2265" s="18"/>
      <c r="S2265" s="18"/>
      <c r="T2265" s="18"/>
      <c r="U2265" s="18"/>
      <c r="V2265" s="18"/>
      <c r="W2265" s="18"/>
      <c r="X2265" s="18"/>
      <c r="Y2265" s="18"/>
      <c r="Z2265" s="18"/>
    </row>
    <row r="2266" ht="22.5" customHeight="1">
      <c r="A2266" s="250"/>
      <c r="B2266" s="218"/>
      <c r="C2266" s="9"/>
      <c r="D2266" s="228"/>
      <c r="E2266" s="216"/>
      <c r="F2266" s="273"/>
      <c r="G2266" s="9"/>
      <c r="H2266" s="234"/>
      <c r="I2266" s="232"/>
      <c r="J2266" s="9"/>
      <c r="K2266" s="18"/>
      <c r="L2266" s="18"/>
      <c r="M2266" s="18"/>
      <c r="N2266" s="18"/>
      <c r="O2266" s="18"/>
      <c r="P2266" s="18"/>
      <c r="Q2266" s="18"/>
      <c r="R2266" s="18"/>
      <c r="S2266" s="18"/>
      <c r="T2266" s="18"/>
      <c r="U2266" s="18"/>
      <c r="V2266" s="18"/>
      <c r="W2266" s="18"/>
      <c r="X2266" s="18"/>
      <c r="Y2266" s="18"/>
      <c r="Z2266" s="18"/>
    </row>
    <row r="2267" ht="22.5" customHeight="1">
      <c r="A2267" s="250"/>
      <c r="B2267" s="218"/>
      <c r="C2267" s="9"/>
      <c r="D2267" s="228"/>
      <c r="E2267" s="216"/>
      <c r="F2267" s="273"/>
      <c r="G2267" s="9"/>
      <c r="H2267" s="234"/>
      <c r="I2267" s="232"/>
      <c r="J2267" s="9"/>
      <c r="K2267" s="18"/>
      <c r="L2267" s="18"/>
      <c r="M2267" s="18"/>
      <c r="N2267" s="18"/>
      <c r="O2267" s="18"/>
      <c r="P2267" s="18"/>
      <c r="Q2267" s="18"/>
      <c r="R2267" s="18"/>
      <c r="S2267" s="18"/>
      <c r="T2267" s="18"/>
      <c r="U2267" s="18"/>
      <c r="V2267" s="18"/>
      <c r="W2267" s="18"/>
      <c r="X2267" s="18"/>
      <c r="Y2267" s="18"/>
      <c r="Z2267" s="18"/>
    </row>
    <row r="2268" ht="22.5" customHeight="1">
      <c r="A2268" s="250"/>
      <c r="B2268" s="218"/>
      <c r="C2268" s="9"/>
      <c r="D2268" s="228"/>
      <c r="E2268" s="216"/>
      <c r="F2268" s="273"/>
      <c r="G2268" s="9"/>
      <c r="H2268" s="234"/>
      <c r="I2268" s="232"/>
      <c r="J2268" s="9"/>
      <c r="K2268" s="18"/>
      <c r="L2268" s="18"/>
      <c r="M2268" s="18"/>
      <c r="N2268" s="18"/>
      <c r="O2268" s="18"/>
      <c r="P2268" s="18"/>
      <c r="Q2268" s="18"/>
      <c r="R2268" s="18"/>
      <c r="S2268" s="18"/>
      <c r="T2268" s="18"/>
      <c r="U2268" s="18"/>
      <c r="V2268" s="18"/>
      <c r="W2268" s="18"/>
      <c r="X2268" s="18"/>
      <c r="Y2268" s="18"/>
      <c r="Z2268" s="18"/>
    </row>
    <row r="2269" ht="22.5" customHeight="1">
      <c r="A2269" s="250"/>
      <c r="B2269" s="218"/>
      <c r="C2269" s="9"/>
      <c r="D2269" s="228"/>
      <c r="E2269" s="216"/>
      <c r="F2269" s="273"/>
      <c r="G2269" s="9"/>
      <c r="H2269" s="234"/>
      <c r="I2269" s="232"/>
      <c r="J2269" s="9"/>
      <c r="K2269" s="18"/>
      <c r="L2269" s="18"/>
      <c r="M2269" s="18"/>
      <c r="N2269" s="18"/>
      <c r="O2269" s="18"/>
      <c r="P2269" s="18"/>
      <c r="Q2269" s="18"/>
      <c r="R2269" s="18"/>
      <c r="S2269" s="18"/>
      <c r="T2269" s="18"/>
      <c r="U2269" s="18"/>
      <c r="V2269" s="18"/>
      <c r="W2269" s="18"/>
      <c r="X2269" s="18"/>
      <c r="Y2269" s="18"/>
      <c r="Z2269" s="18"/>
    </row>
    <row r="2270" ht="22.5" customHeight="1">
      <c r="A2270" s="250"/>
      <c r="B2270" s="218"/>
      <c r="C2270" s="9"/>
      <c r="D2270" s="228"/>
      <c r="E2270" s="216"/>
      <c r="F2270" s="273"/>
      <c r="G2270" s="9"/>
      <c r="H2270" s="234"/>
      <c r="I2270" s="232"/>
      <c r="J2270" s="9"/>
      <c r="K2270" s="18"/>
      <c r="L2270" s="18"/>
      <c r="M2270" s="18"/>
      <c r="N2270" s="18"/>
      <c r="O2270" s="18"/>
      <c r="P2270" s="18"/>
      <c r="Q2270" s="18"/>
      <c r="R2270" s="18"/>
      <c r="S2270" s="18"/>
      <c r="T2270" s="18"/>
      <c r="U2270" s="18"/>
      <c r="V2270" s="18"/>
      <c r="W2270" s="18"/>
      <c r="X2270" s="18"/>
      <c r="Y2270" s="18"/>
      <c r="Z2270" s="18"/>
    </row>
    <row r="2271" ht="22.5" customHeight="1">
      <c r="A2271" s="250"/>
      <c r="B2271" s="218"/>
      <c r="C2271" s="9"/>
      <c r="D2271" s="228"/>
      <c r="E2271" s="216"/>
      <c r="F2271" s="273"/>
      <c r="G2271" s="9"/>
      <c r="H2271" s="234"/>
      <c r="I2271" s="232"/>
      <c r="J2271" s="9"/>
      <c r="K2271" s="18"/>
      <c r="L2271" s="18"/>
      <c r="M2271" s="18"/>
      <c r="N2271" s="18"/>
      <c r="O2271" s="18"/>
      <c r="P2271" s="18"/>
      <c r="Q2271" s="18"/>
      <c r="R2271" s="18"/>
      <c r="S2271" s="18"/>
      <c r="T2271" s="18"/>
      <c r="U2271" s="18"/>
      <c r="V2271" s="18"/>
      <c r="W2271" s="18"/>
      <c r="X2271" s="18"/>
      <c r="Y2271" s="18"/>
      <c r="Z2271" s="18"/>
    </row>
    <row r="2272" ht="22.5" customHeight="1">
      <c r="A2272" s="250"/>
      <c r="B2272" s="218"/>
      <c r="C2272" s="9"/>
      <c r="D2272" s="228"/>
      <c r="E2272" s="216"/>
      <c r="F2272" s="273"/>
      <c r="G2272" s="9"/>
      <c r="H2272" s="234"/>
      <c r="I2272" s="232"/>
      <c r="J2272" s="9"/>
      <c r="K2272" s="18"/>
      <c r="L2272" s="18"/>
      <c r="M2272" s="18"/>
      <c r="N2272" s="18"/>
      <c r="O2272" s="18"/>
      <c r="P2272" s="18"/>
      <c r="Q2272" s="18"/>
      <c r="R2272" s="18"/>
      <c r="S2272" s="18"/>
      <c r="T2272" s="18"/>
      <c r="U2272" s="18"/>
      <c r="V2272" s="18"/>
      <c r="W2272" s="18"/>
      <c r="X2272" s="18"/>
      <c r="Y2272" s="18"/>
      <c r="Z2272" s="18"/>
    </row>
    <row r="2273" ht="22.5" customHeight="1">
      <c r="A2273" s="250"/>
      <c r="B2273" s="218"/>
      <c r="C2273" s="9"/>
      <c r="D2273" s="228"/>
      <c r="E2273" s="216"/>
      <c r="F2273" s="273"/>
      <c r="G2273" s="9"/>
      <c r="H2273" s="234"/>
      <c r="I2273" s="232"/>
      <c r="J2273" s="9"/>
      <c r="K2273" s="18"/>
      <c r="L2273" s="18"/>
      <c r="M2273" s="18"/>
      <c r="N2273" s="18"/>
      <c r="O2273" s="18"/>
      <c r="P2273" s="18"/>
      <c r="Q2273" s="18"/>
      <c r="R2273" s="18"/>
      <c r="S2273" s="18"/>
      <c r="T2273" s="18"/>
      <c r="U2273" s="18"/>
      <c r="V2273" s="18"/>
      <c r="W2273" s="18"/>
      <c r="X2273" s="18"/>
      <c r="Y2273" s="18"/>
      <c r="Z2273" s="18"/>
    </row>
    <row r="2274" ht="22.5" customHeight="1">
      <c r="A2274" s="250"/>
      <c r="B2274" s="218"/>
      <c r="C2274" s="9"/>
      <c r="D2274" s="228"/>
      <c r="E2274" s="216"/>
      <c r="F2274" s="273"/>
      <c r="G2274" s="9"/>
      <c r="H2274" s="234"/>
      <c r="I2274" s="232"/>
      <c r="J2274" s="9"/>
      <c r="K2274" s="18"/>
      <c r="L2274" s="18"/>
      <c r="M2274" s="18"/>
      <c r="N2274" s="18"/>
      <c r="O2274" s="18"/>
      <c r="P2274" s="18"/>
      <c r="Q2274" s="18"/>
      <c r="R2274" s="18"/>
      <c r="S2274" s="18"/>
      <c r="T2274" s="18"/>
      <c r="U2274" s="18"/>
      <c r="V2274" s="18"/>
      <c r="W2274" s="18"/>
      <c r="X2274" s="18"/>
      <c r="Y2274" s="18"/>
      <c r="Z2274" s="18"/>
    </row>
    <row r="2275" ht="22.5" customHeight="1">
      <c r="A2275" s="250"/>
      <c r="B2275" s="218"/>
      <c r="C2275" s="9"/>
      <c r="D2275" s="228"/>
      <c r="E2275" s="216"/>
      <c r="F2275" s="273"/>
      <c r="G2275" s="9"/>
      <c r="H2275" s="234"/>
      <c r="I2275" s="232"/>
      <c r="J2275" s="9"/>
      <c r="K2275" s="18"/>
      <c r="L2275" s="18"/>
      <c r="M2275" s="18"/>
      <c r="N2275" s="18"/>
      <c r="O2275" s="18"/>
      <c r="P2275" s="18"/>
      <c r="Q2275" s="18"/>
      <c r="R2275" s="18"/>
      <c r="S2275" s="18"/>
      <c r="T2275" s="18"/>
      <c r="U2275" s="18"/>
      <c r="V2275" s="18"/>
      <c r="W2275" s="18"/>
      <c r="X2275" s="18"/>
      <c r="Y2275" s="18"/>
      <c r="Z2275" s="18"/>
    </row>
    <row r="2276" ht="22.5" customHeight="1">
      <c r="A2276" s="250"/>
      <c r="B2276" s="218"/>
      <c r="C2276" s="9"/>
      <c r="D2276" s="228"/>
      <c r="E2276" s="216"/>
      <c r="F2276" s="273"/>
      <c r="G2276" s="9"/>
      <c r="H2276" s="234"/>
      <c r="I2276" s="232"/>
      <c r="J2276" s="9"/>
      <c r="K2276" s="18"/>
      <c r="L2276" s="18"/>
      <c r="M2276" s="18"/>
      <c r="N2276" s="18"/>
      <c r="O2276" s="18"/>
      <c r="P2276" s="18"/>
      <c r="Q2276" s="18"/>
      <c r="R2276" s="18"/>
      <c r="S2276" s="18"/>
      <c r="T2276" s="18"/>
      <c r="U2276" s="18"/>
      <c r="V2276" s="18"/>
      <c r="W2276" s="18"/>
      <c r="X2276" s="18"/>
      <c r="Y2276" s="18"/>
      <c r="Z2276" s="18"/>
    </row>
    <row r="2277" ht="22.5" customHeight="1">
      <c r="A2277" s="250"/>
      <c r="B2277" s="218"/>
      <c r="C2277" s="9"/>
      <c r="D2277" s="228"/>
      <c r="E2277" s="216"/>
      <c r="F2277" s="273"/>
      <c r="G2277" s="9"/>
      <c r="H2277" s="234"/>
      <c r="I2277" s="232"/>
      <c r="J2277" s="9"/>
      <c r="K2277" s="18"/>
      <c r="L2277" s="18"/>
      <c r="M2277" s="18"/>
      <c r="N2277" s="18"/>
      <c r="O2277" s="18"/>
      <c r="P2277" s="18"/>
      <c r="Q2277" s="18"/>
      <c r="R2277" s="18"/>
      <c r="S2277" s="18"/>
      <c r="T2277" s="18"/>
      <c r="U2277" s="18"/>
      <c r="V2277" s="18"/>
      <c r="W2277" s="18"/>
      <c r="X2277" s="18"/>
      <c r="Y2277" s="18"/>
      <c r="Z2277" s="18"/>
    </row>
    <row r="2278" ht="22.5" customHeight="1">
      <c r="A2278" s="250"/>
      <c r="B2278" s="218"/>
      <c r="C2278" s="9"/>
      <c r="D2278" s="228"/>
      <c r="E2278" s="216"/>
      <c r="F2278" s="273"/>
      <c r="G2278" s="9"/>
      <c r="H2278" s="234"/>
      <c r="I2278" s="232"/>
      <c r="J2278" s="9"/>
      <c r="K2278" s="18"/>
      <c r="L2278" s="18"/>
      <c r="M2278" s="18"/>
      <c r="N2278" s="18"/>
      <c r="O2278" s="18"/>
      <c r="P2278" s="18"/>
      <c r="Q2278" s="18"/>
      <c r="R2278" s="18"/>
      <c r="S2278" s="18"/>
      <c r="T2278" s="18"/>
      <c r="U2278" s="18"/>
      <c r="V2278" s="18"/>
      <c r="W2278" s="18"/>
      <c r="X2278" s="18"/>
      <c r="Y2278" s="18"/>
      <c r="Z2278" s="18"/>
    </row>
    <row r="2279" ht="22.5" customHeight="1">
      <c r="A2279" s="250"/>
      <c r="B2279" s="218"/>
      <c r="C2279" s="9"/>
      <c r="D2279" s="228"/>
      <c r="E2279" s="216"/>
      <c r="F2279" s="273"/>
      <c r="G2279" s="9"/>
      <c r="H2279" s="234"/>
      <c r="I2279" s="232"/>
      <c r="J2279" s="9"/>
      <c r="K2279" s="18"/>
      <c r="L2279" s="18"/>
      <c r="M2279" s="18"/>
      <c r="N2279" s="18"/>
      <c r="O2279" s="18"/>
      <c r="P2279" s="18"/>
      <c r="Q2279" s="18"/>
      <c r="R2279" s="18"/>
      <c r="S2279" s="18"/>
      <c r="T2279" s="18"/>
      <c r="U2279" s="18"/>
      <c r="V2279" s="18"/>
      <c r="W2279" s="18"/>
      <c r="X2279" s="18"/>
      <c r="Y2279" s="18"/>
      <c r="Z2279" s="18"/>
    </row>
    <row r="2280" ht="22.5" customHeight="1">
      <c r="A2280" s="250"/>
      <c r="B2280" s="218"/>
      <c r="C2280" s="9"/>
      <c r="D2280" s="228"/>
      <c r="E2280" s="216"/>
      <c r="F2280" s="273"/>
      <c r="G2280" s="9"/>
      <c r="H2280" s="234"/>
      <c r="I2280" s="232"/>
      <c r="J2280" s="9"/>
      <c r="K2280" s="18"/>
      <c r="L2280" s="18"/>
      <c r="M2280" s="18"/>
      <c r="N2280" s="18"/>
      <c r="O2280" s="18"/>
      <c r="P2280" s="18"/>
      <c r="Q2280" s="18"/>
      <c r="R2280" s="18"/>
      <c r="S2280" s="18"/>
      <c r="T2280" s="18"/>
      <c r="U2280" s="18"/>
      <c r="V2280" s="18"/>
      <c r="W2280" s="18"/>
      <c r="X2280" s="18"/>
      <c r="Y2280" s="18"/>
      <c r="Z2280" s="18"/>
    </row>
    <row r="2281" ht="22.5" customHeight="1">
      <c r="A2281" s="250"/>
      <c r="B2281" s="218"/>
      <c r="C2281" s="9"/>
      <c r="D2281" s="228"/>
      <c r="E2281" s="216"/>
      <c r="F2281" s="273"/>
      <c r="G2281" s="9"/>
      <c r="H2281" s="234"/>
      <c r="I2281" s="232"/>
      <c r="J2281" s="9"/>
      <c r="K2281" s="18"/>
      <c r="L2281" s="18"/>
      <c r="M2281" s="18"/>
      <c r="N2281" s="18"/>
      <c r="O2281" s="18"/>
      <c r="P2281" s="18"/>
      <c r="Q2281" s="18"/>
      <c r="R2281" s="18"/>
      <c r="S2281" s="18"/>
      <c r="T2281" s="18"/>
      <c r="U2281" s="18"/>
      <c r="V2281" s="18"/>
      <c r="W2281" s="18"/>
      <c r="X2281" s="18"/>
      <c r="Y2281" s="18"/>
      <c r="Z2281" s="18"/>
    </row>
    <row r="2282" ht="22.5" customHeight="1">
      <c r="A2282" s="250"/>
      <c r="B2282" s="218"/>
      <c r="C2282" s="9"/>
      <c r="D2282" s="228"/>
      <c r="E2282" s="216"/>
      <c r="F2282" s="273"/>
      <c r="G2282" s="9"/>
      <c r="H2282" s="234"/>
      <c r="I2282" s="232"/>
      <c r="J2282" s="9"/>
      <c r="K2282" s="18"/>
      <c r="L2282" s="18"/>
      <c r="M2282" s="18"/>
      <c r="N2282" s="18"/>
      <c r="O2282" s="18"/>
      <c r="P2282" s="18"/>
      <c r="Q2282" s="18"/>
      <c r="R2282" s="18"/>
      <c r="S2282" s="18"/>
      <c r="T2282" s="18"/>
      <c r="U2282" s="18"/>
      <c r="V2282" s="18"/>
      <c r="W2282" s="18"/>
      <c r="X2282" s="18"/>
      <c r="Y2282" s="18"/>
      <c r="Z2282" s="18"/>
    </row>
    <row r="2283" ht="22.5" customHeight="1">
      <c r="A2283" s="250"/>
      <c r="B2283" s="218"/>
      <c r="C2283" s="9"/>
      <c r="D2283" s="228"/>
      <c r="E2283" s="216"/>
      <c r="F2283" s="273"/>
      <c r="G2283" s="9"/>
      <c r="H2283" s="234"/>
      <c r="I2283" s="232"/>
      <c r="J2283" s="9"/>
      <c r="K2283" s="18"/>
      <c r="L2283" s="18"/>
      <c r="M2283" s="18"/>
      <c r="N2283" s="18"/>
      <c r="O2283" s="18"/>
      <c r="P2283" s="18"/>
      <c r="Q2283" s="18"/>
      <c r="R2283" s="18"/>
      <c r="S2283" s="18"/>
      <c r="T2283" s="18"/>
      <c r="U2283" s="18"/>
      <c r="V2283" s="18"/>
      <c r="W2283" s="18"/>
      <c r="X2283" s="18"/>
      <c r="Y2283" s="18"/>
      <c r="Z2283" s="18"/>
    </row>
    <row r="2284" ht="22.5" customHeight="1">
      <c r="A2284" s="250"/>
      <c r="B2284" s="218"/>
      <c r="C2284" s="9"/>
      <c r="D2284" s="228"/>
      <c r="E2284" s="216"/>
      <c r="F2284" s="273"/>
      <c r="G2284" s="9"/>
      <c r="H2284" s="234"/>
      <c r="I2284" s="232"/>
      <c r="J2284" s="9"/>
      <c r="K2284" s="18"/>
      <c r="L2284" s="18"/>
      <c r="M2284" s="18"/>
      <c r="N2284" s="18"/>
      <c r="O2284" s="18"/>
      <c r="P2284" s="18"/>
      <c r="Q2284" s="18"/>
      <c r="R2284" s="18"/>
      <c r="S2284" s="18"/>
      <c r="T2284" s="18"/>
      <c r="U2284" s="18"/>
      <c r="V2284" s="18"/>
      <c r="W2284" s="18"/>
      <c r="X2284" s="18"/>
      <c r="Y2284" s="18"/>
      <c r="Z2284" s="18"/>
    </row>
    <row r="2285" ht="22.5" customHeight="1">
      <c r="A2285" s="250"/>
      <c r="B2285" s="218"/>
      <c r="C2285" s="9"/>
      <c r="D2285" s="228"/>
      <c r="E2285" s="216"/>
      <c r="F2285" s="273"/>
      <c r="G2285" s="9"/>
      <c r="H2285" s="234"/>
      <c r="I2285" s="232"/>
      <c r="J2285" s="9"/>
      <c r="K2285" s="18"/>
      <c r="L2285" s="18"/>
      <c r="M2285" s="18"/>
      <c r="N2285" s="18"/>
      <c r="O2285" s="18"/>
      <c r="P2285" s="18"/>
      <c r="Q2285" s="18"/>
      <c r="R2285" s="18"/>
      <c r="S2285" s="18"/>
      <c r="T2285" s="18"/>
      <c r="U2285" s="18"/>
      <c r="V2285" s="18"/>
      <c r="W2285" s="18"/>
      <c r="X2285" s="18"/>
      <c r="Y2285" s="18"/>
      <c r="Z2285" s="18"/>
    </row>
    <row r="2286" ht="22.5" customHeight="1">
      <c r="A2286" s="250"/>
      <c r="B2286" s="218"/>
      <c r="C2286" s="9"/>
      <c r="D2286" s="228"/>
      <c r="E2286" s="216"/>
      <c r="F2286" s="273"/>
      <c r="G2286" s="9"/>
      <c r="H2286" s="234"/>
      <c r="I2286" s="232"/>
      <c r="J2286" s="9"/>
      <c r="K2286" s="18"/>
      <c r="L2286" s="18"/>
      <c r="M2286" s="18"/>
      <c r="N2286" s="18"/>
      <c r="O2286" s="18"/>
      <c r="P2286" s="18"/>
      <c r="Q2286" s="18"/>
      <c r="R2286" s="18"/>
      <c r="S2286" s="18"/>
      <c r="T2286" s="18"/>
      <c r="U2286" s="18"/>
      <c r="V2286" s="18"/>
      <c r="W2286" s="18"/>
      <c r="X2286" s="18"/>
      <c r="Y2286" s="18"/>
      <c r="Z2286" s="18"/>
    </row>
    <row r="2287" ht="22.5" customHeight="1">
      <c r="A2287" s="250"/>
      <c r="B2287" s="218"/>
      <c r="C2287" s="9"/>
      <c r="D2287" s="228"/>
      <c r="E2287" s="216"/>
      <c r="F2287" s="273"/>
      <c r="G2287" s="9"/>
      <c r="H2287" s="234"/>
      <c r="I2287" s="232"/>
      <c r="J2287" s="9"/>
      <c r="K2287" s="18"/>
      <c r="L2287" s="18"/>
      <c r="M2287" s="18"/>
      <c r="N2287" s="18"/>
      <c r="O2287" s="18"/>
      <c r="P2287" s="18"/>
      <c r="Q2287" s="18"/>
      <c r="R2287" s="18"/>
      <c r="S2287" s="18"/>
      <c r="T2287" s="18"/>
      <c r="U2287" s="18"/>
      <c r="V2287" s="18"/>
      <c r="W2287" s="18"/>
      <c r="X2287" s="18"/>
      <c r="Y2287" s="18"/>
      <c r="Z2287" s="18"/>
    </row>
    <row r="2288" ht="22.5" customHeight="1">
      <c r="A2288" s="250"/>
      <c r="B2288" s="218"/>
      <c r="C2288" s="9"/>
      <c r="D2288" s="228"/>
      <c r="E2288" s="216"/>
      <c r="F2288" s="273"/>
      <c r="G2288" s="9"/>
      <c r="H2288" s="234"/>
      <c r="I2288" s="232"/>
      <c r="J2288" s="9"/>
      <c r="K2288" s="18"/>
      <c r="L2288" s="18"/>
      <c r="M2288" s="18"/>
      <c r="N2288" s="18"/>
      <c r="O2288" s="18"/>
      <c r="P2288" s="18"/>
      <c r="Q2288" s="18"/>
      <c r="R2288" s="18"/>
      <c r="S2288" s="18"/>
      <c r="T2288" s="18"/>
      <c r="U2288" s="18"/>
      <c r="V2288" s="18"/>
      <c r="W2288" s="18"/>
      <c r="X2288" s="18"/>
      <c r="Y2288" s="18"/>
      <c r="Z2288" s="18"/>
    </row>
    <row r="2289" ht="22.5" customHeight="1">
      <c r="A2289" s="250"/>
      <c r="B2289" s="218"/>
      <c r="C2289" s="9"/>
      <c r="D2289" s="228"/>
      <c r="E2289" s="216"/>
      <c r="F2289" s="273"/>
      <c r="G2289" s="9"/>
      <c r="H2289" s="234"/>
      <c r="I2289" s="232"/>
      <c r="J2289" s="9"/>
      <c r="K2289" s="18"/>
      <c r="L2289" s="18"/>
      <c r="M2289" s="18"/>
      <c r="N2289" s="18"/>
      <c r="O2289" s="18"/>
      <c r="P2289" s="18"/>
      <c r="Q2289" s="18"/>
      <c r="R2289" s="18"/>
      <c r="S2289" s="18"/>
      <c r="T2289" s="18"/>
      <c r="U2289" s="18"/>
      <c r="V2289" s="18"/>
      <c r="W2289" s="18"/>
      <c r="X2289" s="18"/>
      <c r="Y2289" s="18"/>
      <c r="Z2289" s="18"/>
    </row>
    <row r="2290" ht="22.5" customHeight="1">
      <c r="A2290" s="250"/>
      <c r="B2290" s="218"/>
      <c r="C2290" s="9"/>
      <c r="D2290" s="228"/>
      <c r="E2290" s="216"/>
      <c r="F2290" s="273"/>
      <c r="G2290" s="9"/>
      <c r="H2290" s="234"/>
      <c r="I2290" s="232"/>
      <c r="J2290" s="9"/>
      <c r="K2290" s="18"/>
      <c r="L2290" s="18"/>
      <c r="M2290" s="18"/>
      <c r="N2290" s="18"/>
      <c r="O2290" s="18"/>
      <c r="P2290" s="18"/>
      <c r="Q2290" s="18"/>
      <c r="R2290" s="18"/>
      <c r="S2290" s="18"/>
      <c r="T2290" s="18"/>
      <c r="U2290" s="18"/>
      <c r="V2290" s="18"/>
      <c r="W2290" s="18"/>
      <c r="X2290" s="18"/>
      <c r="Y2290" s="18"/>
      <c r="Z2290" s="18"/>
    </row>
    <row r="2291" ht="22.5" customHeight="1">
      <c r="A2291" s="250"/>
      <c r="B2291" s="218"/>
      <c r="C2291" s="9"/>
      <c r="D2291" s="228"/>
      <c r="E2291" s="216"/>
      <c r="F2291" s="273"/>
      <c r="G2291" s="9"/>
      <c r="H2291" s="234"/>
      <c r="I2291" s="232"/>
      <c r="J2291" s="9"/>
      <c r="K2291" s="18"/>
      <c r="L2291" s="18"/>
      <c r="M2291" s="18"/>
      <c r="N2291" s="18"/>
      <c r="O2291" s="18"/>
      <c r="P2291" s="18"/>
      <c r="Q2291" s="18"/>
      <c r="R2291" s="18"/>
      <c r="S2291" s="18"/>
      <c r="T2291" s="18"/>
      <c r="U2291" s="18"/>
      <c r="V2291" s="18"/>
      <c r="W2291" s="18"/>
      <c r="X2291" s="18"/>
      <c r="Y2291" s="18"/>
      <c r="Z2291" s="18"/>
    </row>
    <row r="2292" ht="22.5" customHeight="1">
      <c r="A2292" s="250"/>
      <c r="B2292" s="218"/>
      <c r="C2292" s="9"/>
      <c r="D2292" s="228"/>
      <c r="E2292" s="216"/>
      <c r="F2292" s="273"/>
      <c r="G2292" s="9"/>
      <c r="H2292" s="234"/>
      <c r="I2292" s="232"/>
      <c r="J2292" s="9"/>
      <c r="K2292" s="18"/>
      <c r="L2292" s="18"/>
      <c r="M2292" s="18"/>
      <c r="N2292" s="18"/>
      <c r="O2292" s="18"/>
      <c r="P2292" s="18"/>
      <c r="Q2292" s="18"/>
      <c r="R2292" s="18"/>
      <c r="S2292" s="18"/>
      <c r="T2292" s="18"/>
      <c r="U2292" s="18"/>
      <c r="V2292" s="18"/>
      <c r="W2292" s="18"/>
      <c r="X2292" s="18"/>
      <c r="Y2292" s="18"/>
      <c r="Z2292" s="18"/>
    </row>
    <row r="2293" ht="22.5" customHeight="1">
      <c r="A2293" s="250"/>
      <c r="B2293" s="218"/>
      <c r="C2293" s="9"/>
      <c r="D2293" s="228"/>
      <c r="E2293" s="216"/>
      <c r="F2293" s="273"/>
      <c r="G2293" s="9"/>
      <c r="H2293" s="234"/>
      <c r="I2293" s="232"/>
      <c r="J2293" s="9"/>
      <c r="K2293" s="18"/>
      <c r="L2293" s="18"/>
      <c r="M2293" s="18"/>
      <c r="N2293" s="18"/>
      <c r="O2293" s="18"/>
      <c r="P2293" s="18"/>
      <c r="Q2293" s="18"/>
      <c r="R2293" s="18"/>
      <c r="S2293" s="18"/>
      <c r="T2293" s="18"/>
      <c r="U2293" s="18"/>
      <c r="V2293" s="18"/>
      <c r="W2293" s="18"/>
      <c r="X2293" s="18"/>
      <c r="Y2293" s="18"/>
      <c r="Z2293" s="18"/>
    </row>
    <row r="2294" ht="22.5" customHeight="1">
      <c r="A2294" s="250"/>
      <c r="B2294" s="218"/>
      <c r="C2294" s="9"/>
      <c r="D2294" s="228"/>
      <c r="E2294" s="216"/>
      <c r="F2294" s="273"/>
      <c r="G2294" s="9"/>
      <c r="H2294" s="234"/>
      <c r="I2294" s="232"/>
      <c r="J2294" s="9"/>
      <c r="K2294" s="18"/>
      <c r="L2294" s="18"/>
      <c r="M2294" s="18"/>
      <c r="N2294" s="18"/>
      <c r="O2294" s="18"/>
      <c r="P2294" s="18"/>
      <c r="Q2294" s="18"/>
      <c r="R2294" s="18"/>
      <c r="S2294" s="18"/>
      <c r="T2294" s="18"/>
      <c r="U2294" s="18"/>
      <c r="V2294" s="18"/>
      <c r="W2294" s="18"/>
      <c r="X2294" s="18"/>
      <c r="Y2294" s="18"/>
      <c r="Z2294" s="18"/>
    </row>
    <row r="2295" ht="22.5" customHeight="1">
      <c r="A2295" s="250"/>
      <c r="B2295" s="218"/>
      <c r="C2295" s="9"/>
      <c r="D2295" s="228"/>
      <c r="E2295" s="216"/>
      <c r="F2295" s="273"/>
      <c r="G2295" s="9"/>
      <c r="H2295" s="234"/>
      <c r="I2295" s="232"/>
      <c r="J2295" s="9"/>
      <c r="K2295" s="18"/>
      <c r="L2295" s="18"/>
      <c r="M2295" s="18"/>
      <c r="N2295" s="18"/>
      <c r="O2295" s="18"/>
      <c r="P2295" s="18"/>
      <c r="Q2295" s="18"/>
      <c r="R2295" s="18"/>
      <c r="S2295" s="18"/>
      <c r="T2295" s="18"/>
      <c r="U2295" s="18"/>
      <c r="V2295" s="18"/>
      <c r="W2295" s="18"/>
      <c r="X2295" s="18"/>
      <c r="Y2295" s="18"/>
      <c r="Z2295" s="18"/>
    </row>
    <row r="2296" ht="22.5" customHeight="1">
      <c r="A2296" s="250"/>
      <c r="B2296" s="218"/>
      <c r="C2296" s="9"/>
      <c r="D2296" s="228"/>
      <c r="E2296" s="216"/>
      <c r="F2296" s="273"/>
      <c r="G2296" s="9"/>
      <c r="H2296" s="234"/>
      <c r="I2296" s="232"/>
      <c r="J2296" s="9"/>
      <c r="K2296" s="18"/>
      <c r="L2296" s="18"/>
      <c r="M2296" s="18"/>
      <c r="N2296" s="18"/>
      <c r="O2296" s="18"/>
      <c r="P2296" s="18"/>
      <c r="Q2296" s="18"/>
      <c r="R2296" s="18"/>
      <c r="S2296" s="18"/>
      <c r="T2296" s="18"/>
      <c r="U2296" s="18"/>
      <c r="V2296" s="18"/>
      <c r="W2296" s="18"/>
      <c r="X2296" s="18"/>
      <c r="Y2296" s="18"/>
      <c r="Z2296" s="18"/>
    </row>
    <row r="2297" ht="22.5" customHeight="1">
      <c r="A2297" s="250"/>
      <c r="B2297" s="218"/>
      <c r="C2297" s="9"/>
      <c r="D2297" s="228"/>
      <c r="E2297" s="216"/>
      <c r="F2297" s="273"/>
      <c r="G2297" s="9"/>
      <c r="H2297" s="234"/>
      <c r="I2297" s="232"/>
      <c r="J2297" s="9"/>
      <c r="K2297" s="18"/>
      <c r="L2297" s="18"/>
      <c r="M2297" s="18"/>
      <c r="N2297" s="18"/>
      <c r="O2297" s="18"/>
      <c r="P2297" s="18"/>
      <c r="Q2297" s="18"/>
      <c r="R2297" s="18"/>
      <c r="S2297" s="18"/>
      <c r="T2297" s="18"/>
      <c r="U2297" s="18"/>
      <c r="V2297" s="18"/>
      <c r="W2297" s="18"/>
      <c r="X2297" s="18"/>
      <c r="Y2297" s="18"/>
      <c r="Z2297" s="18"/>
    </row>
    <row r="2298" ht="22.5" customHeight="1">
      <c r="A2298" s="250"/>
      <c r="B2298" s="218"/>
      <c r="C2298" s="9"/>
      <c r="D2298" s="228"/>
      <c r="E2298" s="216"/>
      <c r="F2298" s="273"/>
      <c r="G2298" s="9"/>
      <c r="H2298" s="234"/>
      <c r="I2298" s="232"/>
      <c r="J2298" s="9"/>
      <c r="K2298" s="18"/>
      <c r="L2298" s="18"/>
      <c r="M2298" s="18"/>
      <c r="N2298" s="18"/>
      <c r="O2298" s="18"/>
      <c r="P2298" s="18"/>
      <c r="Q2298" s="18"/>
      <c r="R2298" s="18"/>
      <c r="S2298" s="18"/>
      <c r="T2298" s="18"/>
      <c r="U2298" s="18"/>
      <c r="V2298" s="18"/>
      <c r="W2298" s="18"/>
      <c r="X2298" s="18"/>
      <c r="Y2298" s="18"/>
      <c r="Z2298" s="18"/>
    </row>
    <row r="2299" ht="22.5" customHeight="1">
      <c r="A2299" s="250"/>
      <c r="B2299" s="218"/>
      <c r="C2299" s="9"/>
      <c r="D2299" s="228"/>
      <c r="E2299" s="216"/>
      <c r="F2299" s="273"/>
      <c r="G2299" s="9"/>
      <c r="H2299" s="234"/>
      <c r="I2299" s="232"/>
      <c r="J2299" s="9"/>
      <c r="K2299" s="18"/>
      <c r="L2299" s="18"/>
      <c r="M2299" s="18"/>
      <c r="N2299" s="18"/>
      <c r="O2299" s="18"/>
      <c r="P2299" s="18"/>
      <c r="Q2299" s="18"/>
      <c r="R2299" s="18"/>
      <c r="S2299" s="18"/>
      <c r="T2299" s="18"/>
      <c r="U2299" s="18"/>
      <c r="V2299" s="18"/>
      <c r="W2299" s="18"/>
      <c r="X2299" s="18"/>
      <c r="Y2299" s="18"/>
      <c r="Z2299" s="18"/>
    </row>
    <row r="2300" ht="22.5" customHeight="1">
      <c r="A2300" s="250"/>
      <c r="B2300" s="218"/>
      <c r="C2300" s="9"/>
      <c r="D2300" s="228"/>
      <c r="E2300" s="216"/>
      <c r="F2300" s="273"/>
      <c r="G2300" s="9"/>
      <c r="H2300" s="234"/>
      <c r="I2300" s="232"/>
      <c r="J2300" s="9"/>
      <c r="K2300" s="18"/>
      <c r="L2300" s="18"/>
      <c r="M2300" s="18"/>
      <c r="N2300" s="18"/>
      <c r="O2300" s="18"/>
      <c r="P2300" s="18"/>
      <c r="Q2300" s="18"/>
      <c r="R2300" s="18"/>
      <c r="S2300" s="18"/>
      <c r="T2300" s="18"/>
      <c r="U2300" s="18"/>
      <c r="V2300" s="18"/>
      <c r="W2300" s="18"/>
      <c r="X2300" s="18"/>
      <c r="Y2300" s="18"/>
      <c r="Z2300" s="18"/>
    </row>
    <row r="2301" ht="22.5" customHeight="1">
      <c r="A2301" s="250"/>
      <c r="B2301" s="218"/>
      <c r="C2301" s="9"/>
      <c r="D2301" s="228"/>
      <c r="E2301" s="216"/>
      <c r="F2301" s="273"/>
      <c r="G2301" s="9"/>
      <c r="H2301" s="234"/>
      <c r="I2301" s="232"/>
      <c r="J2301" s="9"/>
      <c r="K2301" s="18"/>
      <c r="L2301" s="18"/>
      <c r="M2301" s="18"/>
      <c r="N2301" s="18"/>
      <c r="O2301" s="18"/>
      <c r="P2301" s="18"/>
      <c r="Q2301" s="18"/>
      <c r="R2301" s="18"/>
      <c r="S2301" s="18"/>
      <c r="T2301" s="18"/>
      <c r="U2301" s="18"/>
      <c r="V2301" s="18"/>
      <c r="W2301" s="18"/>
      <c r="X2301" s="18"/>
      <c r="Y2301" s="18"/>
      <c r="Z2301" s="18"/>
    </row>
    <row r="2302" ht="22.5" customHeight="1">
      <c r="A2302" s="250"/>
      <c r="B2302" s="218"/>
      <c r="C2302" s="9"/>
      <c r="D2302" s="228"/>
      <c r="E2302" s="216"/>
      <c r="F2302" s="273"/>
      <c r="G2302" s="9"/>
      <c r="H2302" s="234"/>
      <c r="I2302" s="232"/>
      <c r="J2302" s="9"/>
      <c r="K2302" s="18"/>
      <c r="L2302" s="18"/>
      <c r="M2302" s="18"/>
      <c r="N2302" s="18"/>
      <c r="O2302" s="18"/>
      <c r="P2302" s="18"/>
      <c r="Q2302" s="18"/>
      <c r="R2302" s="18"/>
      <c r="S2302" s="18"/>
      <c r="T2302" s="18"/>
      <c r="U2302" s="18"/>
      <c r="V2302" s="18"/>
      <c r="W2302" s="18"/>
      <c r="X2302" s="18"/>
      <c r="Y2302" s="18"/>
      <c r="Z2302" s="18"/>
    </row>
    <row r="2303" ht="22.5" customHeight="1">
      <c r="A2303" s="250"/>
      <c r="B2303" s="218"/>
      <c r="C2303" s="9"/>
      <c r="D2303" s="228"/>
      <c r="E2303" s="216"/>
      <c r="F2303" s="273"/>
      <c r="G2303" s="9"/>
      <c r="H2303" s="234"/>
      <c r="I2303" s="232"/>
      <c r="J2303" s="9"/>
      <c r="K2303" s="18"/>
      <c r="L2303" s="18"/>
      <c r="M2303" s="18"/>
      <c r="N2303" s="18"/>
      <c r="O2303" s="18"/>
      <c r="P2303" s="18"/>
      <c r="Q2303" s="18"/>
      <c r="R2303" s="18"/>
      <c r="S2303" s="18"/>
      <c r="T2303" s="18"/>
      <c r="U2303" s="18"/>
      <c r="V2303" s="18"/>
      <c r="W2303" s="18"/>
      <c r="X2303" s="18"/>
      <c r="Y2303" s="18"/>
      <c r="Z2303" s="18"/>
    </row>
    <row r="2304" ht="22.5" customHeight="1">
      <c r="A2304" s="250"/>
      <c r="B2304" s="218"/>
      <c r="C2304" s="9"/>
      <c r="D2304" s="228"/>
      <c r="E2304" s="216"/>
      <c r="F2304" s="273"/>
      <c r="G2304" s="9"/>
      <c r="H2304" s="234"/>
      <c r="I2304" s="232"/>
      <c r="J2304" s="9"/>
      <c r="K2304" s="18"/>
      <c r="L2304" s="18"/>
      <c r="M2304" s="18"/>
      <c r="N2304" s="18"/>
      <c r="O2304" s="18"/>
      <c r="P2304" s="18"/>
      <c r="Q2304" s="18"/>
      <c r="R2304" s="18"/>
      <c r="S2304" s="18"/>
      <c r="T2304" s="18"/>
      <c r="U2304" s="18"/>
      <c r="V2304" s="18"/>
      <c r="W2304" s="18"/>
      <c r="X2304" s="18"/>
      <c r="Y2304" s="18"/>
      <c r="Z2304" s="18"/>
    </row>
    <row r="2305" ht="22.5" customHeight="1">
      <c r="A2305" s="250"/>
      <c r="B2305" s="218"/>
      <c r="C2305" s="9"/>
      <c r="D2305" s="228"/>
      <c r="E2305" s="216"/>
      <c r="F2305" s="273"/>
      <c r="G2305" s="9"/>
      <c r="H2305" s="234"/>
      <c r="I2305" s="232"/>
      <c r="J2305" s="9"/>
      <c r="K2305" s="18"/>
      <c r="L2305" s="18"/>
      <c r="M2305" s="18"/>
      <c r="N2305" s="18"/>
      <c r="O2305" s="18"/>
      <c r="P2305" s="18"/>
      <c r="Q2305" s="18"/>
      <c r="R2305" s="18"/>
      <c r="S2305" s="18"/>
      <c r="T2305" s="18"/>
      <c r="U2305" s="18"/>
      <c r="V2305" s="18"/>
      <c r="W2305" s="18"/>
      <c r="X2305" s="18"/>
      <c r="Y2305" s="18"/>
      <c r="Z2305" s="18"/>
    </row>
    <row r="2306" ht="22.5" customHeight="1">
      <c r="A2306" s="250"/>
      <c r="B2306" s="218"/>
      <c r="C2306" s="9"/>
      <c r="D2306" s="228"/>
      <c r="E2306" s="216"/>
      <c r="F2306" s="273"/>
      <c r="G2306" s="9"/>
      <c r="H2306" s="234"/>
      <c r="I2306" s="232"/>
      <c r="J2306" s="9"/>
      <c r="K2306" s="18"/>
      <c r="L2306" s="18"/>
      <c r="M2306" s="18"/>
      <c r="N2306" s="18"/>
      <c r="O2306" s="18"/>
      <c r="P2306" s="18"/>
      <c r="Q2306" s="18"/>
      <c r="R2306" s="18"/>
      <c r="S2306" s="18"/>
      <c r="T2306" s="18"/>
      <c r="U2306" s="18"/>
      <c r="V2306" s="18"/>
      <c r="W2306" s="18"/>
      <c r="X2306" s="18"/>
      <c r="Y2306" s="18"/>
      <c r="Z2306" s="18"/>
    </row>
    <row r="2307" ht="22.5" customHeight="1">
      <c r="A2307" s="250"/>
      <c r="B2307" s="218"/>
      <c r="C2307" s="9"/>
      <c r="D2307" s="228"/>
      <c r="E2307" s="216"/>
      <c r="F2307" s="273"/>
      <c r="G2307" s="9"/>
      <c r="H2307" s="234"/>
      <c r="I2307" s="232"/>
      <c r="J2307" s="9"/>
      <c r="K2307" s="18"/>
      <c r="L2307" s="18"/>
      <c r="M2307" s="18"/>
      <c r="N2307" s="18"/>
      <c r="O2307" s="18"/>
      <c r="P2307" s="18"/>
      <c r="Q2307" s="18"/>
      <c r="R2307" s="18"/>
      <c r="S2307" s="18"/>
      <c r="T2307" s="18"/>
      <c r="U2307" s="18"/>
      <c r="V2307" s="18"/>
      <c r="W2307" s="18"/>
      <c r="X2307" s="18"/>
      <c r="Y2307" s="18"/>
      <c r="Z2307" s="18"/>
    </row>
    <row r="2308" ht="22.5" customHeight="1">
      <c r="A2308" s="250"/>
      <c r="B2308" s="218"/>
      <c r="C2308" s="9"/>
      <c r="D2308" s="228"/>
      <c r="E2308" s="216"/>
      <c r="F2308" s="273"/>
      <c r="G2308" s="9"/>
      <c r="H2308" s="234"/>
      <c r="I2308" s="232"/>
      <c r="J2308" s="9"/>
      <c r="K2308" s="18"/>
      <c r="L2308" s="18"/>
      <c r="M2308" s="18"/>
      <c r="N2308" s="18"/>
      <c r="O2308" s="18"/>
      <c r="P2308" s="18"/>
      <c r="Q2308" s="18"/>
      <c r="R2308" s="18"/>
      <c r="S2308" s="18"/>
      <c r="T2308" s="18"/>
      <c r="U2308" s="18"/>
      <c r="V2308" s="18"/>
      <c r="W2308" s="18"/>
      <c r="X2308" s="18"/>
      <c r="Y2308" s="18"/>
      <c r="Z2308" s="18"/>
    </row>
    <row r="2309" ht="22.5" customHeight="1">
      <c r="A2309" s="250"/>
      <c r="B2309" s="218"/>
      <c r="C2309" s="9"/>
      <c r="D2309" s="228"/>
      <c r="E2309" s="216"/>
      <c r="F2309" s="273"/>
      <c r="G2309" s="9"/>
      <c r="H2309" s="234"/>
      <c r="I2309" s="232"/>
      <c r="J2309" s="9"/>
      <c r="K2309" s="18"/>
      <c r="L2309" s="18"/>
      <c r="M2309" s="18"/>
      <c r="N2309" s="18"/>
      <c r="O2309" s="18"/>
      <c r="P2309" s="18"/>
      <c r="Q2309" s="18"/>
      <c r="R2309" s="18"/>
      <c r="S2309" s="18"/>
      <c r="T2309" s="18"/>
      <c r="U2309" s="18"/>
      <c r="V2309" s="18"/>
      <c r="W2309" s="18"/>
      <c r="X2309" s="18"/>
      <c r="Y2309" s="18"/>
      <c r="Z2309" s="18"/>
    </row>
    <row r="2310" ht="22.5" customHeight="1">
      <c r="A2310" s="250"/>
      <c r="B2310" s="218"/>
      <c r="C2310" s="9"/>
      <c r="D2310" s="228"/>
      <c r="E2310" s="216"/>
      <c r="F2310" s="273"/>
      <c r="G2310" s="9"/>
      <c r="H2310" s="234"/>
      <c r="I2310" s="232"/>
      <c r="J2310" s="9"/>
      <c r="K2310" s="18"/>
      <c r="L2310" s="18"/>
      <c r="M2310" s="18"/>
      <c r="N2310" s="18"/>
      <c r="O2310" s="18"/>
      <c r="P2310" s="18"/>
      <c r="Q2310" s="18"/>
      <c r="R2310" s="18"/>
      <c r="S2310" s="18"/>
      <c r="T2310" s="18"/>
      <c r="U2310" s="18"/>
      <c r="V2310" s="18"/>
      <c r="W2310" s="18"/>
      <c r="X2310" s="18"/>
      <c r="Y2310" s="18"/>
      <c r="Z2310" s="18"/>
    </row>
    <row r="2311" ht="22.5" customHeight="1">
      <c r="A2311" s="250"/>
      <c r="B2311" s="218"/>
      <c r="C2311" s="9"/>
      <c r="D2311" s="228"/>
      <c r="E2311" s="216"/>
      <c r="F2311" s="273"/>
      <c r="G2311" s="9"/>
      <c r="H2311" s="234"/>
      <c r="I2311" s="232"/>
      <c r="J2311" s="9"/>
      <c r="K2311" s="18"/>
      <c r="L2311" s="18"/>
      <c r="M2311" s="18"/>
      <c r="N2311" s="18"/>
      <c r="O2311" s="18"/>
      <c r="P2311" s="18"/>
      <c r="Q2311" s="18"/>
      <c r="R2311" s="18"/>
      <c r="S2311" s="18"/>
      <c r="T2311" s="18"/>
      <c r="U2311" s="18"/>
      <c r="V2311" s="18"/>
      <c r="W2311" s="18"/>
      <c r="X2311" s="18"/>
      <c r="Y2311" s="18"/>
      <c r="Z2311" s="18"/>
    </row>
    <row r="2312" ht="22.5" customHeight="1">
      <c r="A2312" s="250"/>
      <c r="B2312" s="218"/>
      <c r="C2312" s="9"/>
      <c r="D2312" s="228"/>
      <c r="E2312" s="216"/>
      <c r="F2312" s="273"/>
      <c r="G2312" s="9"/>
      <c r="H2312" s="234"/>
      <c r="I2312" s="232"/>
      <c r="J2312" s="9"/>
      <c r="K2312" s="18"/>
      <c r="L2312" s="18"/>
      <c r="M2312" s="18"/>
      <c r="N2312" s="18"/>
      <c r="O2312" s="18"/>
      <c r="P2312" s="18"/>
      <c r="Q2312" s="18"/>
      <c r="R2312" s="18"/>
      <c r="S2312" s="18"/>
      <c r="T2312" s="18"/>
      <c r="U2312" s="18"/>
      <c r="V2312" s="18"/>
      <c r="W2312" s="18"/>
      <c r="X2312" s="18"/>
      <c r="Y2312" s="18"/>
      <c r="Z2312" s="18"/>
    </row>
    <row r="2313" ht="22.5" customHeight="1">
      <c r="A2313" s="250"/>
      <c r="B2313" s="218"/>
      <c r="C2313" s="9"/>
      <c r="D2313" s="228"/>
      <c r="E2313" s="216"/>
      <c r="F2313" s="273"/>
      <c r="G2313" s="9"/>
      <c r="H2313" s="234"/>
      <c r="I2313" s="232"/>
      <c r="J2313" s="9"/>
      <c r="K2313" s="18"/>
      <c r="L2313" s="18"/>
      <c r="M2313" s="18"/>
      <c r="N2313" s="18"/>
      <c r="O2313" s="18"/>
      <c r="P2313" s="18"/>
      <c r="Q2313" s="18"/>
      <c r="R2313" s="18"/>
      <c r="S2313" s="18"/>
      <c r="T2313" s="18"/>
      <c r="U2313" s="18"/>
      <c r="V2313" s="18"/>
      <c r="W2313" s="18"/>
      <c r="X2313" s="18"/>
      <c r="Y2313" s="18"/>
      <c r="Z2313" s="18"/>
    </row>
    <row r="2314" ht="22.5" customHeight="1">
      <c r="A2314" s="250"/>
      <c r="B2314" s="218"/>
      <c r="C2314" s="9"/>
      <c r="D2314" s="228"/>
      <c r="E2314" s="216"/>
      <c r="F2314" s="273"/>
      <c r="G2314" s="9"/>
      <c r="H2314" s="234"/>
      <c r="I2314" s="232"/>
      <c r="J2314" s="9"/>
      <c r="K2314" s="18"/>
      <c r="L2314" s="18"/>
      <c r="M2314" s="18"/>
      <c r="N2314" s="18"/>
      <c r="O2314" s="18"/>
      <c r="P2314" s="18"/>
      <c r="Q2314" s="18"/>
      <c r="R2314" s="18"/>
      <c r="S2314" s="18"/>
      <c r="T2314" s="18"/>
      <c r="U2314" s="18"/>
      <c r="V2314" s="18"/>
      <c r="W2314" s="18"/>
      <c r="X2314" s="18"/>
      <c r="Y2314" s="18"/>
      <c r="Z2314" s="18"/>
    </row>
    <row r="2315" ht="22.5" customHeight="1">
      <c r="A2315" s="250"/>
      <c r="B2315" s="218"/>
      <c r="C2315" s="9"/>
      <c r="D2315" s="228"/>
      <c r="E2315" s="216"/>
      <c r="F2315" s="273"/>
      <c r="G2315" s="9"/>
      <c r="H2315" s="234"/>
      <c r="I2315" s="232"/>
      <c r="J2315" s="9"/>
      <c r="K2315" s="18"/>
      <c r="L2315" s="18"/>
      <c r="M2315" s="18"/>
      <c r="N2315" s="18"/>
      <c r="O2315" s="18"/>
      <c r="P2315" s="18"/>
      <c r="Q2315" s="18"/>
      <c r="R2315" s="18"/>
      <c r="S2315" s="18"/>
      <c r="T2315" s="18"/>
      <c r="U2315" s="18"/>
      <c r="V2315" s="18"/>
      <c r="W2315" s="18"/>
      <c r="X2315" s="18"/>
      <c r="Y2315" s="18"/>
      <c r="Z2315" s="18"/>
    </row>
    <row r="2316" ht="22.5" customHeight="1">
      <c r="A2316" s="250"/>
      <c r="B2316" s="218"/>
      <c r="C2316" s="9"/>
      <c r="D2316" s="228"/>
      <c r="E2316" s="216"/>
      <c r="F2316" s="273"/>
      <c r="G2316" s="9"/>
      <c r="H2316" s="234"/>
      <c r="I2316" s="232"/>
      <c r="J2316" s="9"/>
      <c r="K2316" s="18"/>
      <c r="L2316" s="18"/>
      <c r="M2316" s="18"/>
      <c r="N2316" s="18"/>
      <c r="O2316" s="18"/>
      <c r="P2316" s="18"/>
      <c r="Q2316" s="18"/>
      <c r="R2316" s="18"/>
      <c r="S2316" s="18"/>
      <c r="T2316" s="18"/>
      <c r="U2316" s="18"/>
      <c r="V2316" s="18"/>
      <c r="W2316" s="18"/>
      <c r="X2316" s="18"/>
      <c r="Y2316" s="18"/>
      <c r="Z2316" s="18"/>
    </row>
    <row r="2317" ht="22.5" customHeight="1">
      <c r="A2317" s="250"/>
      <c r="B2317" s="218"/>
      <c r="C2317" s="9"/>
      <c r="D2317" s="228"/>
      <c r="E2317" s="216"/>
      <c r="F2317" s="273"/>
      <c r="G2317" s="9"/>
      <c r="H2317" s="234"/>
      <c r="I2317" s="232"/>
      <c r="J2317" s="9"/>
      <c r="K2317" s="18"/>
      <c r="L2317" s="18"/>
      <c r="M2317" s="18"/>
      <c r="N2317" s="18"/>
      <c r="O2317" s="18"/>
      <c r="P2317" s="18"/>
      <c r="Q2317" s="18"/>
      <c r="R2317" s="18"/>
      <c r="S2317" s="18"/>
      <c r="T2317" s="18"/>
      <c r="U2317" s="18"/>
      <c r="V2317" s="18"/>
      <c r="W2317" s="18"/>
      <c r="X2317" s="18"/>
      <c r="Y2317" s="18"/>
      <c r="Z2317" s="18"/>
    </row>
    <row r="2318" ht="22.5" customHeight="1">
      <c r="A2318" s="250"/>
      <c r="B2318" s="218"/>
      <c r="C2318" s="9"/>
      <c r="D2318" s="228"/>
      <c r="E2318" s="216"/>
      <c r="F2318" s="273"/>
      <c r="G2318" s="9"/>
      <c r="H2318" s="234"/>
      <c r="I2318" s="232"/>
      <c r="J2318" s="9"/>
      <c r="K2318" s="18"/>
      <c r="L2318" s="18"/>
      <c r="M2318" s="18"/>
      <c r="N2318" s="18"/>
      <c r="O2318" s="18"/>
      <c r="P2318" s="18"/>
      <c r="Q2318" s="18"/>
      <c r="R2318" s="18"/>
      <c r="S2318" s="18"/>
      <c r="T2318" s="18"/>
      <c r="U2318" s="18"/>
      <c r="V2318" s="18"/>
      <c r="W2318" s="18"/>
      <c r="X2318" s="18"/>
      <c r="Y2318" s="18"/>
      <c r="Z2318" s="18"/>
    </row>
    <row r="2319" ht="22.5" customHeight="1">
      <c r="A2319" s="250"/>
      <c r="B2319" s="218"/>
      <c r="C2319" s="9"/>
      <c r="D2319" s="228"/>
      <c r="E2319" s="216"/>
      <c r="F2319" s="273"/>
      <c r="G2319" s="9"/>
      <c r="H2319" s="234"/>
      <c r="I2319" s="232"/>
      <c r="J2319" s="9"/>
      <c r="K2319" s="18"/>
      <c r="L2319" s="18"/>
      <c r="M2319" s="18"/>
      <c r="N2319" s="18"/>
      <c r="O2319" s="18"/>
      <c r="P2319" s="18"/>
      <c r="Q2319" s="18"/>
      <c r="R2319" s="18"/>
      <c r="S2319" s="18"/>
      <c r="T2319" s="18"/>
      <c r="U2319" s="18"/>
      <c r="V2319" s="18"/>
      <c r="W2319" s="18"/>
      <c r="X2319" s="18"/>
      <c r="Y2319" s="18"/>
      <c r="Z2319" s="18"/>
    </row>
    <row r="2320" ht="22.5" customHeight="1">
      <c r="A2320" s="250"/>
      <c r="B2320" s="218"/>
      <c r="C2320" s="9"/>
      <c r="D2320" s="228"/>
      <c r="E2320" s="216"/>
      <c r="F2320" s="273"/>
      <c r="G2320" s="9"/>
      <c r="H2320" s="234"/>
      <c r="I2320" s="232"/>
      <c r="J2320" s="9"/>
      <c r="K2320" s="18"/>
      <c r="L2320" s="18"/>
      <c r="M2320" s="18"/>
      <c r="N2320" s="18"/>
      <c r="O2320" s="18"/>
      <c r="P2320" s="18"/>
      <c r="Q2320" s="18"/>
      <c r="R2320" s="18"/>
      <c r="S2320" s="18"/>
      <c r="T2320" s="18"/>
      <c r="U2320" s="18"/>
      <c r="V2320" s="18"/>
      <c r="W2320" s="18"/>
      <c r="X2320" s="18"/>
      <c r="Y2320" s="18"/>
      <c r="Z2320" s="18"/>
    </row>
    <row r="2321" ht="22.5" customHeight="1">
      <c r="A2321" s="250"/>
      <c r="B2321" s="218"/>
      <c r="C2321" s="9"/>
      <c r="D2321" s="228"/>
      <c r="E2321" s="216"/>
      <c r="F2321" s="273"/>
      <c r="G2321" s="9"/>
      <c r="H2321" s="234"/>
      <c r="I2321" s="232"/>
      <c r="J2321" s="9"/>
      <c r="K2321" s="18"/>
      <c r="L2321" s="18"/>
      <c r="M2321" s="18"/>
      <c r="N2321" s="18"/>
      <c r="O2321" s="18"/>
      <c r="P2321" s="18"/>
      <c r="Q2321" s="18"/>
      <c r="R2321" s="18"/>
      <c r="S2321" s="18"/>
      <c r="T2321" s="18"/>
      <c r="U2321" s="18"/>
      <c r="V2321" s="18"/>
      <c r="W2321" s="18"/>
      <c r="X2321" s="18"/>
      <c r="Y2321" s="18"/>
      <c r="Z2321" s="18"/>
    </row>
    <row r="2322" ht="22.5" customHeight="1">
      <c r="A2322" s="250"/>
      <c r="B2322" s="218"/>
      <c r="C2322" s="9"/>
      <c r="D2322" s="228"/>
      <c r="E2322" s="216"/>
      <c r="F2322" s="273"/>
      <c r="G2322" s="9"/>
      <c r="H2322" s="234"/>
      <c r="I2322" s="232"/>
      <c r="J2322" s="9"/>
      <c r="K2322" s="18"/>
      <c r="L2322" s="18"/>
      <c r="M2322" s="18"/>
      <c r="N2322" s="18"/>
      <c r="O2322" s="18"/>
      <c r="P2322" s="18"/>
      <c r="Q2322" s="18"/>
      <c r="R2322" s="18"/>
      <c r="S2322" s="18"/>
      <c r="T2322" s="18"/>
      <c r="U2322" s="18"/>
      <c r="V2322" s="18"/>
      <c r="W2322" s="18"/>
      <c r="X2322" s="18"/>
      <c r="Y2322" s="18"/>
      <c r="Z2322" s="18"/>
    </row>
    <row r="2323" ht="22.5" customHeight="1">
      <c r="A2323" s="250"/>
      <c r="B2323" s="218"/>
      <c r="C2323" s="9"/>
      <c r="D2323" s="228"/>
      <c r="E2323" s="216"/>
      <c r="F2323" s="273"/>
      <c r="G2323" s="9"/>
      <c r="H2323" s="234"/>
      <c r="I2323" s="232"/>
      <c r="J2323" s="9"/>
      <c r="K2323" s="18"/>
      <c r="L2323" s="18"/>
      <c r="M2323" s="18"/>
      <c r="N2323" s="18"/>
      <c r="O2323" s="18"/>
      <c r="P2323" s="18"/>
      <c r="Q2323" s="18"/>
      <c r="R2323" s="18"/>
      <c r="S2323" s="18"/>
      <c r="T2323" s="18"/>
      <c r="U2323" s="18"/>
      <c r="V2323" s="18"/>
      <c r="W2323" s="18"/>
      <c r="X2323" s="18"/>
      <c r="Y2323" s="18"/>
      <c r="Z2323" s="18"/>
    </row>
    <row r="2324" ht="22.5" customHeight="1">
      <c r="A2324" s="250"/>
      <c r="B2324" s="218"/>
      <c r="C2324" s="9"/>
      <c r="D2324" s="228"/>
      <c r="E2324" s="216"/>
      <c r="F2324" s="273"/>
      <c r="G2324" s="9"/>
      <c r="H2324" s="234"/>
      <c r="I2324" s="232"/>
      <c r="J2324" s="9"/>
      <c r="K2324" s="18"/>
      <c r="L2324" s="18"/>
      <c r="M2324" s="18"/>
      <c r="N2324" s="18"/>
      <c r="O2324" s="18"/>
      <c r="P2324" s="18"/>
      <c r="Q2324" s="18"/>
      <c r="R2324" s="18"/>
      <c r="S2324" s="18"/>
      <c r="T2324" s="18"/>
      <c r="U2324" s="18"/>
      <c r="V2324" s="18"/>
      <c r="W2324" s="18"/>
      <c r="X2324" s="18"/>
      <c r="Y2324" s="18"/>
      <c r="Z2324" s="18"/>
    </row>
    <row r="2325" ht="22.5" customHeight="1">
      <c r="A2325" s="250"/>
      <c r="B2325" s="218"/>
      <c r="C2325" s="9"/>
      <c r="D2325" s="228"/>
      <c r="E2325" s="216"/>
      <c r="F2325" s="273"/>
      <c r="G2325" s="9"/>
      <c r="H2325" s="234"/>
      <c r="I2325" s="232"/>
      <c r="J2325" s="9"/>
      <c r="K2325" s="18"/>
      <c r="L2325" s="18"/>
      <c r="M2325" s="18"/>
      <c r="N2325" s="18"/>
      <c r="O2325" s="18"/>
      <c r="P2325" s="18"/>
      <c r="Q2325" s="18"/>
      <c r="R2325" s="18"/>
      <c r="S2325" s="18"/>
      <c r="T2325" s="18"/>
      <c r="U2325" s="18"/>
      <c r="V2325" s="18"/>
      <c r="W2325" s="18"/>
      <c r="X2325" s="18"/>
      <c r="Y2325" s="18"/>
      <c r="Z2325" s="18"/>
    </row>
    <row r="2326" ht="22.5" customHeight="1">
      <c r="A2326" s="250"/>
      <c r="B2326" s="218"/>
      <c r="C2326" s="9"/>
      <c r="D2326" s="228"/>
      <c r="E2326" s="216"/>
      <c r="F2326" s="273"/>
      <c r="G2326" s="9"/>
      <c r="H2326" s="234"/>
      <c r="I2326" s="232"/>
      <c r="J2326" s="9"/>
      <c r="K2326" s="18"/>
      <c r="L2326" s="18"/>
      <c r="M2326" s="18"/>
      <c r="N2326" s="18"/>
      <c r="O2326" s="18"/>
      <c r="P2326" s="18"/>
      <c r="Q2326" s="18"/>
      <c r="R2326" s="18"/>
      <c r="S2326" s="18"/>
      <c r="T2326" s="18"/>
      <c r="U2326" s="18"/>
      <c r="V2326" s="18"/>
      <c r="W2326" s="18"/>
      <c r="X2326" s="18"/>
      <c r="Y2326" s="18"/>
      <c r="Z2326" s="18"/>
    </row>
    <row r="2327" ht="22.5" customHeight="1">
      <c r="A2327" s="250"/>
      <c r="B2327" s="218"/>
      <c r="C2327" s="9"/>
      <c r="D2327" s="228"/>
      <c r="E2327" s="216"/>
      <c r="F2327" s="273"/>
      <c r="G2327" s="9"/>
      <c r="H2327" s="234"/>
      <c r="I2327" s="232"/>
      <c r="J2327" s="9"/>
      <c r="K2327" s="18"/>
      <c r="L2327" s="18"/>
      <c r="M2327" s="18"/>
      <c r="N2327" s="18"/>
      <c r="O2327" s="18"/>
      <c r="P2327" s="18"/>
      <c r="Q2327" s="18"/>
      <c r="R2327" s="18"/>
      <c r="S2327" s="18"/>
      <c r="T2327" s="18"/>
      <c r="U2327" s="18"/>
      <c r="V2327" s="18"/>
      <c r="W2327" s="18"/>
      <c r="X2327" s="18"/>
      <c r="Y2327" s="18"/>
      <c r="Z2327" s="18"/>
    </row>
    <row r="2328" ht="22.5" customHeight="1">
      <c r="A2328" s="250"/>
      <c r="B2328" s="218"/>
      <c r="C2328" s="9"/>
      <c r="D2328" s="228"/>
      <c r="E2328" s="216"/>
      <c r="F2328" s="273"/>
      <c r="G2328" s="9"/>
      <c r="H2328" s="234"/>
      <c r="I2328" s="232"/>
      <c r="J2328" s="9"/>
      <c r="K2328" s="18"/>
      <c r="L2328" s="18"/>
      <c r="M2328" s="18"/>
      <c r="N2328" s="18"/>
      <c r="O2328" s="18"/>
      <c r="P2328" s="18"/>
      <c r="Q2328" s="18"/>
      <c r="R2328" s="18"/>
      <c r="S2328" s="18"/>
      <c r="T2328" s="18"/>
      <c r="U2328" s="18"/>
      <c r="V2328" s="18"/>
      <c r="W2328" s="18"/>
      <c r="X2328" s="18"/>
      <c r="Y2328" s="18"/>
      <c r="Z2328" s="18"/>
    </row>
    <row r="2329" ht="22.5" customHeight="1">
      <c r="A2329" s="250"/>
      <c r="B2329" s="218"/>
      <c r="C2329" s="9"/>
      <c r="D2329" s="228"/>
      <c r="E2329" s="216"/>
      <c r="F2329" s="273"/>
      <c r="G2329" s="9"/>
      <c r="H2329" s="234"/>
      <c r="I2329" s="232"/>
      <c r="J2329" s="9"/>
      <c r="K2329" s="18"/>
      <c r="L2329" s="18"/>
      <c r="M2329" s="18"/>
      <c r="N2329" s="18"/>
      <c r="O2329" s="18"/>
      <c r="P2329" s="18"/>
      <c r="Q2329" s="18"/>
      <c r="R2329" s="18"/>
      <c r="S2329" s="18"/>
      <c r="T2329" s="18"/>
      <c r="U2329" s="18"/>
      <c r="V2329" s="18"/>
      <c r="W2329" s="18"/>
      <c r="X2329" s="18"/>
      <c r="Y2329" s="18"/>
      <c r="Z2329" s="18"/>
    </row>
    <row r="2330" ht="22.5" customHeight="1">
      <c r="A2330" s="250"/>
      <c r="B2330" s="218"/>
      <c r="C2330" s="9"/>
      <c r="D2330" s="228"/>
      <c r="E2330" s="216"/>
      <c r="F2330" s="273"/>
      <c r="G2330" s="9"/>
      <c r="H2330" s="234"/>
      <c r="I2330" s="232"/>
      <c r="J2330" s="9"/>
      <c r="K2330" s="18"/>
      <c r="L2330" s="18"/>
      <c r="M2330" s="18"/>
      <c r="N2330" s="18"/>
      <c r="O2330" s="18"/>
      <c r="P2330" s="18"/>
      <c r="Q2330" s="18"/>
      <c r="R2330" s="18"/>
      <c r="S2330" s="18"/>
      <c r="T2330" s="18"/>
      <c r="U2330" s="18"/>
      <c r="V2330" s="18"/>
      <c r="W2330" s="18"/>
      <c r="X2330" s="18"/>
      <c r="Y2330" s="18"/>
      <c r="Z2330" s="18"/>
    </row>
    <row r="2331" ht="22.5" customHeight="1">
      <c r="A2331" s="250"/>
      <c r="B2331" s="218"/>
      <c r="C2331" s="9"/>
      <c r="D2331" s="228"/>
      <c r="E2331" s="216"/>
      <c r="F2331" s="273"/>
      <c r="G2331" s="9"/>
      <c r="H2331" s="234"/>
      <c r="I2331" s="232"/>
      <c r="J2331" s="9"/>
      <c r="K2331" s="18"/>
      <c r="L2331" s="18"/>
      <c r="M2331" s="18"/>
      <c r="N2331" s="18"/>
      <c r="O2331" s="18"/>
      <c r="P2331" s="18"/>
      <c r="Q2331" s="18"/>
      <c r="R2331" s="18"/>
      <c r="S2331" s="18"/>
      <c r="T2331" s="18"/>
      <c r="U2331" s="18"/>
      <c r="V2331" s="18"/>
      <c r="W2331" s="18"/>
      <c r="X2331" s="18"/>
      <c r="Y2331" s="18"/>
      <c r="Z2331" s="18"/>
    </row>
    <row r="2332" ht="22.5" customHeight="1">
      <c r="A2332" s="250"/>
      <c r="B2332" s="218"/>
      <c r="C2332" s="9"/>
      <c r="D2332" s="228"/>
      <c r="E2332" s="216"/>
      <c r="F2332" s="273"/>
      <c r="G2332" s="9"/>
      <c r="H2332" s="234"/>
      <c r="I2332" s="232"/>
      <c r="J2332" s="9"/>
      <c r="K2332" s="18"/>
      <c r="L2332" s="18"/>
      <c r="M2332" s="18"/>
      <c r="N2332" s="18"/>
      <c r="O2332" s="18"/>
      <c r="P2332" s="18"/>
      <c r="Q2332" s="18"/>
      <c r="R2332" s="18"/>
      <c r="S2332" s="18"/>
      <c r="T2332" s="18"/>
      <c r="U2332" s="18"/>
      <c r="V2332" s="18"/>
      <c r="W2332" s="18"/>
      <c r="X2332" s="18"/>
      <c r="Y2332" s="18"/>
      <c r="Z2332" s="18"/>
    </row>
    <row r="2333" ht="22.5" customHeight="1">
      <c r="A2333" s="250"/>
      <c r="B2333" s="218"/>
      <c r="C2333" s="9"/>
      <c r="D2333" s="228"/>
      <c r="E2333" s="216"/>
      <c r="F2333" s="273"/>
      <c r="G2333" s="9"/>
      <c r="H2333" s="234"/>
      <c r="I2333" s="232"/>
      <c r="J2333" s="9"/>
      <c r="K2333" s="18"/>
      <c r="L2333" s="18"/>
      <c r="M2333" s="18"/>
      <c r="N2333" s="18"/>
      <c r="O2333" s="18"/>
      <c r="P2333" s="18"/>
      <c r="Q2333" s="18"/>
      <c r="R2333" s="18"/>
      <c r="S2333" s="18"/>
      <c r="T2333" s="18"/>
      <c r="U2333" s="18"/>
      <c r="V2333" s="18"/>
      <c r="W2333" s="18"/>
      <c r="X2333" s="18"/>
      <c r="Y2333" s="18"/>
      <c r="Z2333" s="18"/>
    </row>
    <row r="2334" ht="22.5" customHeight="1">
      <c r="A2334" s="250"/>
      <c r="B2334" s="218"/>
      <c r="C2334" s="9"/>
      <c r="D2334" s="228"/>
      <c r="E2334" s="216"/>
      <c r="F2334" s="273"/>
      <c r="G2334" s="9"/>
      <c r="H2334" s="234"/>
      <c r="I2334" s="232"/>
      <c r="J2334" s="9"/>
      <c r="K2334" s="18"/>
      <c r="L2334" s="18"/>
      <c r="M2334" s="18"/>
      <c r="N2334" s="18"/>
      <c r="O2334" s="18"/>
      <c r="P2334" s="18"/>
      <c r="Q2334" s="18"/>
      <c r="R2334" s="18"/>
      <c r="S2334" s="18"/>
      <c r="T2334" s="18"/>
      <c r="U2334" s="18"/>
      <c r="V2334" s="18"/>
      <c r="W2334" s="18"/>
      <c r="X2334" s="18"/>
      <c r="Y2334" s="18"/>
      <c r="Z2334" s="18"/>
    </row>
    <row r="2335" ht="22.5" customHeight="1">
      <c r="A2335" s="250"/>
      <c r="B2335" s="218"/>
      <c r="C2335" s="9"/>
      <c r="D2335" s="228"/>
      <c r="E2335" s="216"/>
      <c r="F2335" s="273"/>
      <c r="G2335" s="9"/>
      <c r="H2335" s="234"/>
      <c r="I2335" s="232"/>
      <c r="J2335" s="9"/>
      <c r="K2335" s="18"/>
      <c r="L2335" s="18"/>
      <c r="M2335" s="18"/>
      <c r="N2335" s="18"/>
      <c r="O2335" s="18"/>
      <c r="P2335" s="18"/>
      <c r="Q2335" s="18"/>
      <c r="R2335" s="18"/>
      <c r="S2335" s="18"/>
      <c r="T2335" s="18"/>
      <c r="U2335" s="18"/>
      <c r="V2335" s="18"/>
      <c r="W2335" s="18"/>
      <c r="X2335" s="18"/>
      <c r="Y2335" s="18"/>
      <c r="Z2335" s="18"/>
    </row>
    <row r="2336" ht="22.5" customHeight="1">
      <c r="A2336" s="250"/>
      <c r="B2336" s="218"/>
      <c r="C2336" s="9"/>
      <c r="D2336" s="228"/>
      <c r="E2336" s="216"/>
      <c r="F2336" s="273"/>
      <c r="G2336" s="9"/>
      <c r="H2336" s="234"/>
      <c r="I2336" s="232"/>
      <c r="J2336" s="9"/>
      <c r="K2336" s="18"/>
      <c r="L2336" s="18"/>
      <c r="M2336" s="18"/>
      <c r="N2336" s="18"/>
      <c r="O2336" s="18"/>
      <c r="P2336" s="18"/>
      <c r="Q2336" s="18"/>
      <c r="R2336" s="18"/>
      <c r="S2336" s="18"/>
      <c r="T2336" s="18"/>
      <c r="U2336" s="18"/>
      <c r="V2336" s="18"/>
      <c r="W2336" s="18"/>
      <c r="X2336" s="18"/>
      <c r="Y2336" s="18"/>
      <c r="Z2336" s="18"/>
    </row>
    <row r="2337" ht="22.5" customHeight="1">
      <c r="A2337" s="250"/>
      <c r="B2337" s="218"/>
      <c r="C2337" s="9"/>
      <c r="D2337" s="228"/>
      <c r="E2337" s="216"/>
      <c r="F2337" s="273"/>
      <c r="G2337" s="9"/>
      <c r="H2337" s="234"/>
      <c r="I2337" s="232"/>
      <c r="J2337" s="9"/>
      <c r="K2337" s="18"/>
      <c r="L2337" s="18"/>
      <c r="M2337" s="18"/>
      <c r="N2337" s="18"/>
      <c r="O2337" s="18"/>
      <c r="P2337" s="18"/>
      <c r="Q2337" s="18"/>
      <c r="R2337" s="18"/>
      <c r="S2337" s="18"/>
      <c r="T2337" s="18"/>
      <c r="U2337" s="18"/>
      <c r="V2337" s="18"/>
      <c r="W2337" s="18"/>
      <c r="X2337" s="18"/>
      <c r="Y2337" s="18"/>
      <c r="Z2337" s="18"/>
    </row>
    <row r="2338" ht="22.5" customHeight="1">
      <c r="A2338" s="250"/>
      <c r="B2338" s="218"/>
      <c r="C2338" s="9"/>
      <c r="D2338" s="228"/>
      <c r="E2338" s="216"/>
      <c r="F2338" s="273"/>
      <c r="G2338" s="9"/>
      <c r="H2338" s="234"/>
      <c r="I2338" s="232"/>
      <c r="J2338" s="9"/>
      <c r="K2338" s="18"/>
      <c r="L2338" s="18"/>
      <c r="M2338" s="18"/>
      <c r="N2338" s="18"/>
      <c r="O2338" s="18"/>
      <c r="P2338" s="18"/>
      <c r="Q2338" s="18"/>
      <c r="R2338" s="18"/>
      <c r="S2338" s="18"/>
      <c r="T2338" s="18"/>
      <c r="U2338" s="18"/>
      <c r="V2338" s="18"/>
      <c r="W2338" s="18"/>
      <c r="X2338" s="18"/>
      <c r="Y2338" s="18"/>
      <c r="Z2338" s="18"/>
    </row>
    <row r="2339" ht="22.5" customHeight="1">
      <c r="A2339" s="250"/>
      <c r="B2339" s="218"/>
      <c r="C2339" s="9"/>
      <c r="D2339" s="228"/>
      <c r="E2339" s="216"/>
      <c r="F2339" s="273"/>
      <c r="G2339" s="9"/>
      <c r="H2339" s="234"/>
      <c r="I2339" s="232"/>
      <c r="J2339" s="9"/>
      <c r="K2339" s="18"/>
      <c r="L2339" s="18"/>
      <c r="M2339" s="18"/>
      <c r="N2339" s="18"/>
      <c r="O2339" s="18"/>
      <c r="P2339" s="18"/>
      <c r="Q2339" s="18"/>
      <c r="R2339" s="18"/>
      <c r="S2339" s="18"/>
      <c r="T2339" s="18"/>
      <c r="U2339" s="18"/>
      <c r="V2339" s="18"/>
      <c r="W2339" s="18"/>
      <c r="X2339" s="18"/>
      <c r="Y2339" s="18"/>
      <c r="Z2339" s="18"/>
    </row>
    <row r="2340" ht="22.5" customHeight="1">
      <c r="A2340" s="250"/>
      <c r="B2340" s="218"/>
      <c r="C2340" s="9"/>
      <c r="D2340" s="228"/>
      <c r="E2340" s="216"/>
      <c r="F2340" s="273"/>
      <c r="G2340" s="9"/>
      <c r="H2340" s="234"/>
      <c r="I2340" s="232"/>
      <c r="J2340" s="9"/>
      <c r="K2340" s="18"/>
      <c r="L2340" s="18"/>
      <c r="M2340" s="18"/>
      <c r="N2340" s="18"/>
      <c r="O2340" s="18"/>
      <c r="P2340" s="18"/>
      <c r="Q2340" s="18"/>
      <c r="R2340" s="18"/>
      <c r="S2340" s="18"/>
      <c r="T2340" s="18"/>
      <c r="U2340" s="18"/>
      <c r="V2340" s="18"/>
      <c r="W2340" s="18"/>
      <c r="X2340" s="18"/>
      <c r="Y2340" s="18"/>
      <c r="Z2340" s="18"/>
    </row>
    <row r="2341" ht="22.5" customHeight="1">
      <c r="A2341" s="250"/>
      <c r="B2341" s="218"/>
      <c r="C2341" s="9"/>
      <c r="D2341" s="228"/>
      <c r="E2341" s="216"/>
      <c r="F2341" s="273"/>
      <c r="G2341" s="9"/>
      <c r="H2341" s="234"/>
      <c r="I2341" s="232"/>
      <c r="J2341" s="9"/>
      <c r="K2341" s="18"/>
      <c r="L2341" s="18"/>
      <c r="M2341" s="18"/>
      <c r="N2341" s="18"/>
      <c r="O2341" s="18"/>
      <c r="P2341" s="18"/>
      <c r="Q2341" s="18"/>
      <c r="R2341" s="18"/>
      <c r="S2341" s="18"/>
      <c r="T2341" s="18"/>
      <c r="U2341" s="18"/>
      <c r="V2341" s="18"/>
      <c r="W2341" s="18"/>
      <c r="X2341" s="18"/>
      <c r="Y2341" s="18"/>
      <c r="Z2341" s="18"/>
    </row>
    <row r="2342" ht="22.5" customHeight="1">
      <c r="A2342" s="250"/>
      <c r="B2342" s="218"/>
      <c r="C2342" s="9"/>
      <c r="D2342" s="228"/>
      <c r="E2342" s="216"/>
      <c r="F2342" s="273"/>
      <c r="G2342" s="9"/>
      <c r="H2342" s="234"/>
      <c r="I2342" s="232"/>
      <c r="J2342" s="9"/>
      <c r="K2342" s="18"/>
      <c r="L2342" s="18"/>
      <c r="M2342" s="18"/>
      <c r="N2342" s="18"/>
      <c r="O2342" s="18"/>
      <c r="P2342" s="18"/>
      <c r="Q2342" s="18"/>
      <c r="R2342" s="18"/>
      <c r="S2342" s="18"/>
      <c r="T2342" s="18"/>
      <c r="U2342" s="18"/>
      <c r="V2342" s="18"/>
      <c r="W2342" s="18"/>
      <c r="X2342" s="18"/>
      <c r="Y2342" s="18"/>
      <c r="Z2342" s="18"/>
    </row>
    <row r="2343" ht="22.5" customHeight="1">
      <c r="A2343" s="250"/>
      <c r="B2343" s="218"/>
      <c r="C2343" s="9"/>
      <c r="D2343" s="228"/>
      <c r="E2343" s="216"/>
      <c r="F2343" s="273"/>
      <c r="G2343" s="9"/>
      <c r="H2343" s="234"/>
      <c r="I2343" s="232"/>
      <c r="J2343" s="9"/>
      <c r="K2343" s="18"/>
      <c r="L2343" s="18"/>
      <c r="M2343" s="18"/>
      <c r="N2343" s="18"/>
      <c r="O2343" s="18"/>
      <c r="P2343" s="18"/>
      <c r="Q2343" s="18"/>
      <c r="R2343" s="18"/>
      <c r="S2343" s="18"/>
      <c r="T2343" s="18"/>
      <c r="U2343" s="18"/>
      <c r="V2343" s="18"/>
      <c r="W2343" s="18"/>
      <c r="X2343" s="18"/>
      <c r="Y2343" s="18"/>
      <c r="Z2343" s="18"/>
    </row>
    <row r="2344" ht="22.5" customHeight="1">
      <c r="A2344" s="250"/>
      <c r="B2344" s="218"/>
      <c r="C2344" s="9"/>
      <c r="D2344" s="228"/>
      <c r="E2344" s="216"/>
      <c r="F2344" s="273"/>
      <c r="G2344" s="9"/>
      <c r="H2344" s="234"/>
      <c r="I2344" s="232"/>
      <c r="J2344" s="9"/>
      <c r="K2344" s="18"/>
      <c r="L2344" s="18"/>
      <c r="M2344" s="18"/>
      <c r="N2344" s="18"/>
      <c r="O2344" s="18"/>
      <c r="P2344" s="18"/>
      <c r="Q2344" s="18"/>
      <c r="R2344" s="18"/>
      <c r="S2344" s="18"/>
      <c r="T2344" s="18"/>
      <c r="U2344" s="18"/>
      <c r="V2344" s="18"/>
      <c r="W2344" s="18"/>
      <c r="X2344" s="18"/>
      <c r="Y2344" s="18"/>
      <c r="Z2344" s="18"/>
    </row>
    <row r="2345" ht="22.5" customHeight="1">
      <c r="A2345" s="250"/>
      <c r="B2345" s="218"/>
      <c r="C2345" s="9"/>
      <c r="D2345" s="228"/>
      <c r="E2345" s="216"/>
      <c r="F2345" s="273"/>
      <c r="G2345" s="9"/>
      <c r="H2345" s="234"/>
      <c r="I2345" s="232"/>
      <c r="J2345" s="9"/>
      <c r="K2345" s="18"/>
      <c r="L2345" s="18"/>
      <c r="M2345" s="18"/>
      <c r="N2345" s="18"/>
      <c r="O2345" s="18"/>
      <c r="P2345" s="18"/>
      <c r="Q2345" s="18"/>
      <c r="R2345" s="18"/>
      <c r="S2345" s="18"/>
      <c r="T2345" s="18"/>
      <c r="U2345" s="18"/>
      <c r="V2345" s="18"/>
      <c r="W2345" s="18"/>
      <c r="X2345" s="18"/>
      <c r="Y2345" s="18"/>
      <c r="Z2345" s="18"/>
    </row>
    <row r="2346" ht="22.5" customHeight="1">
      <c r="A2346" s="250"/>
      <c r="B2346" s="218"/>
      <c r="C2346" s="9"/>
      <c r="D2346" s="228"/>
      <c r="E2346" s="216"/>
      <c r="F2346" s="273"/>
      <c r="G2346" s="9"/>
      <c r="H2346" s="234"/>
      <c r="I2346" s="232"/>
      <c r="J2346" s="9"/>
      <c r="K2346" s="18"/>
      <c r="L2346" s="18"/>
      <c r="M2346" s="18"/>
      <c r="N2346" s="18"/>
      <c r="O2346" s="18"/>
      <c r="P2346" s="18"/>
      <c r="Q2346" s="18"/>
      <c r="R2346" s="18"/>
      <c r="S2346" s="18"/>
      <c r="T2346" s="18"/>
      <c r="U2346" s="18"/>
      <c r="V2346" s="18"/>
      <c r="W2346" s="18"/>
      <c r="X2346" s="18"/>
      <c r="Y2346" s="18"/>
      <c r="Z2346" s="18"/>
    </row>
    <row r="2347" ht="22.5" customHeight="1">
      <c r="A2347" s="250"/>
      <c r="B2347" s="218"/>
      <c r="C2347" s="9"/>
      <c r="D2347" s="228"/>
      <c r="E2347" s="216"/>
      <c r="F2347" s="273"/>
      <c r="G2347" s="9"/>
      <c r="H2347" s="234"/>
      <c r="I2347" s="232"/>
      <c r="J2347" s="9"/>
      <c r="K2347" s="18"/>
      <c r="L2347" s="18"/>
      <c r="M2347" s="18"/>
      <c r="N2347" s="18"/>
      <c r="O2347" s="18"/>
      <c r="P2347" s="18"/>
      <c r="Q2347" s="18"/>
      <c r="R2347" s="18"/>
      <c r="S2347" s="18"/>
      <c r="T2347" s="18"/>
      <c r="U2347" s="18"/>
      <c r="V2347" s="18"/>
      <c r="W2347" s="18"/>
      <c r="X2347" s="18"/>
      <c r="Y2347" s="18"/>
      <c r="Z2347" s="18"/>
    </row>
    <row r="2348" ht="22.5" customHeight="1">
      <c r="A2348" s="250"/>
      <c r="B2348" s="218"/>
      <c r="C2348" s="9"/>
      <c r="D2348" s="228"/>
      <c r="E2348" s="216"/>
      <c r="F2348" s="273"/>
      <c r="G2348" s="9"/>
      <c r="H2348" s="234"/>
      <c r="I2348" s="232"/>
      <c r="J2348" s="9"/>
      <c r="K2348" s="18"/>
      <c r="L2348" s="18"/>
      <c r="M2348" s="18"/>
      <c r="N2348" s="18"/>
      <c r="O2348" s="18"/>
      <c r="P2348" s="18"/>
      <c r="Q2348" s="18"/>
      <c r="R2348" s="18"/>
      <c r="S2348" s="18"/>
      <c r="T2348" s="18"/>
      <c r="U2348" s="18"/>
      <c r="V2348" s="18"/>
      <c r="W2348" s="18"/>
      <c r="X2348" s="18"/>
      <c r="Y2348" s="18"/>
      <c r="Z2348" s="18"/>
    </row>
    <row r="2349" ht="22.5" customHeight="1">
      <c r="A2349" s="250"/>
      <c r="B2349" s="218"/>
      <c r="C2349" s="9"/>
      <c r="D2349" s="228"/>
      <c r="E2349" s="216"/>
      <c r="F2349" s="273"/>
      <c r="G2349" s="9"/>
      <c r="H2349" s="234"/>
      <c r="I2349" s="232"/>
      <c r="J2349" s="9"/>
      <c r="K2349" s="18"/>
      <c r="L2349" s="18"/>
      <c r="M2349" s="18"/>
      <c r="N2349" s="18"/>
      <c r="O2349" s="18"/>
      <c r="P2349" s="18"/>
      <c r="Q2349" s="18"/>
      <c r="R2349" s="18"/>
      <c r="S2349" s="18"/>
      <c r="T2349" s="18"/>
      <c r="U2349" s="18"/>
      <c r="V2349" s="18"/>
      <c r="W2349" s="18"/>
      <c r="X2349" s="18"/>
      <c r="Y2349" s="18"/>
      <c r="Z2349" s="18"/>
    </row>
    <row r="2350" ht="22.5" customHeight="1">
      <c r="A2350" s="250"/>
      <c r="B2350" s="218"/>
      <c r="C2350" s="9"/>
      <c r="D2350" s="228"/>
      <c r="E2350" s="216"/>
      <c r="F2350" s="273"/>
      <c r="G2350" s="9"/>
      <c r="H2350" s="234"/>
      <c r="I2350" s="232"/>
      <c r="J2350" s="9"/>
      <c r="K2350" s="18"/>
      <c r="L2350" s="18"/>
      <c r="M2350" s="18"/>
      <c r="N2350" s="18"/>
      <c r="O2350" s="18"/>
      <c r="P2350" s="18"/>
      <c r="Q2350" s="18"/>
      <c r="R2350" s="18"/>
      <c r="S2350" s="18"/>
      <c r="T2350" s="18"/>
      <c r="U2350" s="18"/>
      <c r="V2350" s="18"/>
      <c r="W2350" s="18"/>
      <c r="X2350" s="18"/>
      <c r="Y2350" s="18"/>
      <c r="Z2350" s="18"/>
    </row>
    <row r="2351" ht="22.5" customHeight="1">
      <c r="A2351" s="250"/>
      <c r="B2351" s="218"/>
      <c r="C2351" s="9"/>
      <c r="D2351" s="228"/>
      <c r="E2351" s="216"/>
      <c r="F2351" s="273"/>
      <c r="G2351" s="9"/>
      <c r="H2351" s="234"/>
      <c r="I2351" s="232"/>
      <c r="J2351" s="9"/>
      <c r="K2351" s="18"/>
      <c r="L2351" s="18"/>
      <c r="M2351" s="18"/>
      <c r="N2351" s="18"/>
      <c r="O2351" s="18"/>
      <c r="P2351" s="18"/>
      <c r="Q2351" s="18"/>
      <c r="R2351" s="18"/>
      <c r="S2351" s="18"/>
      <c r="T2351" s="18"/>
      <c r="U2351" s="18"/>
      <c r="V2351" s="18"/>
      <c r="W2351" s="18"/>
      <c r="X2351" s="18"/>
      <c r="Y2351" s="18"/>
      <c r="Z2351" s="18"/>
    </row>
    <row r="2352" ht="22.5" customHeight="1">
      <c r="A2352" s="250"/>
      <c r="B2352" s="218"/>
      <c r="C2352" s="9"/>
      <c r="D2352" s="228"/>
      <c r="E2352" s="216"/>
      <c r="F2352" s="273"/>
      <c r="G2352" s="9"/>
      <c r="H2352" s="234"/>
      <c r="I2352" s="232"/>
      <c r="J2352" s="9"/>
      <c r="K2352" s="18"/>
      <c r="L2352" s="18"/>
      <c r="M2352" s="18"/>
      <c r="N2352" s="18"/>
      <c r="O2352" s="18"/>
      <c r="P2352" s="18"/>
      <c r="Q2352" s="18"/>
      <c r="R2352" s="18"/>
      <c r="S2352" s="18"/>
      <c r="T2352" s="18"/>
      <c r="U2352" s="18"/>
      <c r="V2352" s="18"/>
      <c r="W2352" s="18"/>
      <c r="X2352" s="18"/>
      <c r="Y2352" s="18"/>
      <c r="Z2352" s="18"/>
    </row>
    <row r="2353" ht="22.5" customHeight="1">
      <c r="A2353" s="250"/>
      <c r="B2353" s="218"/>
      <c r="C2353" s="9"/>
      <c r="D2353" s="228"/>
      <c r="E2353" s="216"/>
      <c r="F2353" s="273"/>
      <c r="G2353" s="9"/>
      <c r="H2353" s="234"/>
      <c r="I2353" s="232"/>
      <c r="J2353" s="9"/>
      <c r="K2353" s="18"/>
      <c r="L2353" s="18"/>
      <c r="M2353" s="18"/>
      <c r="N2353" s="18"/>
      <c r="O2353" s="18"/>
      <c r="P2353" s="18"/>
      <c r="Q2353" s="18"/>
      <c r="R2353" s="18"/>
      <c r="S2353" s="18"/>
      <c r="T2353" s="18"/>
      <c r="U2353" s="18"/>
      <c r="V2353" s="18"/>
      <c r="W2353" s="18"/>
      <c r="X2353" s="18"/>
      <c r="Y2353" s="18"/>
      <c r="Z2353" s="18"/>
    </row>
    <row r="2354" ht="22.5" customHeight="1">
      <c r="A2354" s="250"/>
      <c r="B2354" s="218"/>
      <c r="C2354" s="9"/>
      <c r="D2354" s="228"/>
      <c r="E2354" s="216"/>
      <c r="F2354" s="273"/>
      <c r="G2354" s="9"/>
      <c r="H2354" s="234"/>
      <c r="I2354" s="232"/>
      <c r="J2354" s="9"/>
      <c r="K2354" s="18"/>
      <c r="L2354" s="18"/>
      <c r="M2354" s="18"/>
      <c r="N2354" s="18"/>
      <c r="O2354" s="18"/>
      <c r="P2354" s="18"/>
      <c r="Q2354" s="18"/>
      <c r="R2354" s="18"/>
      <c r="S2354" s="18"/>
      <c r="T2354" s="18"/>
      <c r="U2354" s="18"/>
      <c r="V2354" s="18"/>
      <c r="W2354" s="18"/>
      <c r="X2354" s="18"/>
      <c r="Y2354" s="18"/>
      <c r="Z2354" s="18"/>
    </row>
    <row r="2355" ht="22.5" customHeight="1">
      <c r="A2355" s="250"/>
      <c r="B2355" s="218"/>
      <c r="C2355" s="9"/>
      <c r="D2355" s="228"/>
      <c r="E2355" s="216"/>
      <c r="F2355" s="273"/>
      <c r="G2355" s="9"/>
      <c r="H2355" s="234"/>
      <c r="I2355" s="232"/>
      <c r="J2355" s="9"/>
      <c r="K2355" s="18"/>
      <c r="L2355" s="18"/>
      <c r="M2355" s="18"/>
      <c r="N2355" s="18"/>
      <c r="O2355" s="18"/>
      <c r="P2355" s="18"/>
      <c r="Q2355" s="18"/>
      <c r="R2355" s="18"/>
      <c r="S2355" s="18"/>
      <c r="T2355" s="18"/>
      <c r="U2355" s="18"/>
      <c r="V2355" s="18"/>
      <c r="W2355" s="18"/>
      <c r="X2355" s="18"/>
      <c r="Y2355" s="18"/>
      <c r="Z2355" s="18"/>
    </row>
    <row r="2356" ht="22.5" customHeight="1">
      <c r="A2356" s="250"/>
      <c r="B2356" s="218"/>
      <c r="C2356" s="9"/>
      <c r="D2356" s="228"/>
      <c r="E2356" s="216"/>
      <c r="F2356" s="273"/>
      <c r="G2356" s="9"/>
      <c r="H2356" s="234"/>
      <c r="I2356" s="232"/>
      <c r="J2356" s="9"/>
      <c r="K2356" s="18"/>
      <c r="L2356" s="18"/>
      <c r="M2356" s="18"/>
      <c r="N2356" s="18"/>
      <c r="O2356" s="18"/>
      <c r="P2356" s="18"/>
      <c r="Q2356" s="18"/>
      <c r="R2356" s="18"/>
      <c r="S2356" s="18"/>
      <c r="T2356" s="18"/>
      <c r="U2356" s="18"/>
      <c r="V2356" s="18"/>
      <c r="W2356" s="18"/>
      <c r="X2356" s="18"/>
      <c r="Y2356" s="18"/>
      <c r="Z2356" s="18"/>
    </row>
    <row r="2357" ht="22.5" customHeight="1">
      <c r="A2357" s="250"/>
      <c r="B2357" s="218"/>
      <c r="C2357" s="9"/>
      <c r="D2357" s="228"/>
      <c r="E2357" s="216"/>
      <c r="F2357" s="273"/>
      <c r="G2357" s="9"/>
      <c r="H2357" s="234"/>
      <c r="I2357" s="232"/>
      <c r="J2357" s="9"/>
      <c r="K2357" s="18"/>
      <c r="L2357" s="18"/>
      <c r="M2357" s="18"/>
      <c r="N2357" s="18"/>
      <c r="O2357" s="18"/>
      <c r="P2357" s="18"/>
      <c r="Q2357" s="18"/>
      <c r="R2357" s="18"/>
      <c r="S2357" s="18"/>
      <c r="T2357" s="18"/>
      <c r="U2357" s="18"/>
      <c r="V2357" s="18"/>
      <c r="W2357" s="18"/>
      <c r="X2357" s="18"/>
      <c r="Y2357" s="18"/>
      <c r="Z2357" s="18"/>
    </row>
    <row r="2358" ht="22.5" customHeight="1">
      <c r="A2358" s="250"/>
      <c r="B2358" s="218"/>
      <c r="C2358" s="9"/>
      <c r="D2358" s="228"/>
      <c r="E2358" s="216"/>
      <c r="F2358" s="273"/>
      <c r="G2358" s="9"/>
      <c r="H2358" s="234"/>
      <c r="I2358" s="232"/>
      <c r="J2358" s="9"/>
      <c r="K2358" s="18"/>
      <c r="L2358" s="18"/>
      <c r="M2358" s="18"/>
      <c r="N2358" s="18"/>
      <c r="O2358" s="18"/>
      <c r="P2358" s="18"/>
      <c r="Q2358" s="18"/>
      <c r="R2358" s="18"/>
      <c r="S2358" s="18"/>
      <c r="T2358" s="18"/>
      <c r="U2358" s="18"/>
      <c r="V2358" s="18"/>
      <c r="W2358" s="18"/>
      <c r="X2358" s="18"/>
      <c r="Y2358" s="18"/>
      <c r="Z2358" s="18"/>
    </row>
    <row r="2359" ht="22.5" customHeight="1">
      <c r="A2359" s="250"/>
      <c r="B2359" s="218"/>
      <c r="C2359" s="9"/>
      <c r="D2359" s="228"/>
      <c r="E2359" s="216"/>
      <c r="F2359" s="273"/>
      <c r="G2359" s="9"/>
      <c r="H2359" s="234"/>
      <c r="I2359" s="232"/>
      <c r="J2359" s="9"/>
      <c r="K2359" s="18"/>
      <c r="L2359" s="18"/>
      <c r="M2359" s="18"/>
      <c r="N2359" s="18"/>
      <c r="O2359" s="18"/>
      <c r="P2359" s="18"/>
      <c r="Q2359" s="18"/>
      <c r="R2359" s="18"/>
      <c r="S2359" s="18"/>
      <c r="T2359" s="18"/>
      <c r="U2359" s="18"/>
      <c r="V2359" s="18"/>
      <c r="W2359" s="18"/>
      <c r="X2359" s="18"/>
      <c r="Y2359" s="18"/>
      <c r="Z2359" s="18"/>
    </row>
    <row r="2360" ht="22.5" customHeight="1">
      <c r="A2360" s="250"/>
      <c r="B2360" s="218"/>
      <c r="C2360" s="9"/>
      <c r="D2360" s="228"/>
      <c r="E2360" s="216"/>
      <c r="F2360" s="273"/>
      <c r="G2360" s="9"/>
      <c r="H2360" s="234"/>
      <c r="I2360" s="232"/>
      <c r="J2360" s="9"/>
      <c r="K2360" s="18"/>
      <c r="L2360" s="18"/>
      <c r="M2360" s="18"/>
      <c r="N2360" s="18"/>
      <c r="O2360" s="18"/>
      <c r="P2360" s="18"/>
      <c r="Q2360" s="18"/>
      <c r="R2360" s="18"/>
      <c r="S2360" s="18"/>
      <c r="T2360" s="18"/>
      <c r="U2360" s="18"/>
      <c r="V2360" s="18"/>
      <c r="W2360" s="18"/>
      <c r="X2360" s="18"/>
      <c r="Y2360" s="18"/>
      <c r="Z2360" s="18"/>
    </row>
    <row r="2361" ht="22.5" customHeight="1">
      <c r="A2361" s="250"/>
      <c r="B2361" s="218"/>
      <c r="C2361" s="9"/>
      <c r="D2361" s="228"/>
      <c r="E2361" s="216"/>
      <c r="F2361" s="273"/>
      <c r="G2361" s="9"/>
      <c r="H2361" s="234"/>
      <c r="I2361" s="232"/>
      <c r="J2361" s="9"/>
      <c r="K2361" s="18"/>
      <c r="L2361" s="18"/>
      <c r="M2361" s="18"/>
      <c r="N2361" s="18"/>
      <c r="O2361" s="18"/>
      <c r="P2361" s="18"/>
      <c r="Q2361" s="18"/>
      <c r="R2361" s="18"/>
      <c r="S2361" s="18"/>
      <c r="T2361" s="18"/>
      <c r="U2361" s="18"/>
      <c r="V2361" s="18"/>
      <c r="W2361" s="18"/>
      <c r="X2361" s="18"/>
      <c r="Y2361" s="18"/>
      <c r="Z2361" s="18"/>
    </row>
    <row r="2362" ht="22.5" customHeight="1">
      <c r="A2362" s="250"/>
      <c r="B2362" s="218"/>
      <c r="C2362" s="9"/>
      <c r="D2362" s="228"/>
      <c r="E2362" s="216"/>
      <c r="F2362" s="273"/>
      <c r="G2362" s="9"/>
      <c r="H2362" s="234"/>
      <c r="I2362" s="232"/>
      <c r="J2362" s="9"/>
      <c r="K2362" s="18"/>
      <c r="L2362" s="18"/>
      <c r="M2362" s="18"/>
      <c r="N2362" s="18"/>
      <c r="O2362" s="18"/>
      <c r="P2362" s="18"/>
      <c r="Q2362" s="18"/>
      <c r="R2362" s="18"/>
      <c r="S2362" s="18"/>
      <c r="T2362" s="18"/>
      <c r="U2362" s="18"/>
      <c r="V2362" s="18"/>
      <c r="W2362" s="18"/>
      <c r="X2362" s="18"/>
      <c r="Y2362" s="18"/>
      <c r="Z2362" s="18"/>
    </row>
    <row r="2363" ht="22.5" customHeight="1">
      <c r="A2363" s="250"/>
      <c r="B2363" s="218"/>
      <c r="C2363" s="9"/>
      <c r="D2363" s="228"/>
      <c r="E2363" s="216"/>
      <c r="F2363" s="273"/>
      <c r="G2363" s="9"/>
      <c r="H2363" s="234"/>
      <c r="I2363" s="232"/>
      <c r="J2363" s="9"/>
      <c r="K2363" s="18"/>
      <c r="L2363" s="18"/>
      <c r="M2363" s="18"/>
      <c r="N2363" s="18"/>
      <c r="O2363" s="18"/>
      <c r="P2363" s="18"/>
      <c r="Q2363" s="18"/>
      <c r="R2363" s="18"/>
      <c r="S2363" s="18"/>
      <c r="T2363" s="18"/>
      <c r="U2363" s="18"/>
      <c r="V2363" s="18"/>
      <c r="W2363" s="18"/>
      <c r="X2363" s="18"/>
      <c r="Y2363" s="18"/>
      <c r="Z2363" s="18"/>
    </row>
    <row r="2364" ht="22.5" customHeight="1">
      <c r="A2364" s="250"/>
      <c r="B2364" s="218"/>
      <c r="C2364" s="9"/>
      <c r="D2364" s="228"/>
      <c r="E2364" s="216"/>
      <c r="F2364" s="273"/>
      <c r="G2364" s="9"/>
      <c r="H2364" s="234"/>
      <c r="I2364" s="232"/>
      <c r="J2364" s="9"/>
      <c r="K2364" s="18"/>
      <c r="L2364" s="18"/>
      <c r="M2364" s="18"/>
      <c r="N2364" s="18"/>
      <c r="O2364" s="18"/>
      <c r="P2364" s="18"/>
      <c r="Q2364" s="18"/>
      <c r="R2364" s="18"/>
      <c r="S2364" s="18"/>
      <c r="T2364" s="18"/>
      <c r="U2364" s="18"/>
      <c r="V2364" s="18"/>
      <c r="W2364" s="18"/>
      <c r="X2364" s="18"/>
      <c r="Y2364" s="18"/>
      <c r="Z2364" s="18"/>
    </row>
    <row r="2365" ht="22.5" customHeight="1">
      <c r="A2365" s="250"/>
      <c r="B2365" s="218"/>
      <c r="C2365" s="9"/>
      <c r="D2365" s="228"/>
      <c r="E2365" s="216"/>
      <c r="F2365" s="273"/>
      <c r="G2365" s="9"/>
      <c r="H2365" s="234"/>
      <c r="I2365" s="232"/>
      <c r="J2365" s="9"/>
      <c r="K2365" s="18"/>
      <c r="L2365" s="18"/>
      <c r="M2365" s="18"/>
      <c r="N2365" s="18"/>
      <c r="O2365" s="18"/>
      <c r="P2365" s="18"/>
      <c r="Q2365" s="18"/>
      <c r="R2365" s="18"/>
      <c r="S2365" s="18"/>
      <c r="T2365" s="18"/>
      <c r="U2365" s="18"/>
      <c r="V2365" s="18"/>
      <c r="W2365" s="18"/>
      <c r="X2365" s="18"/>
      <c r="Y2365" s="18"/>
      <c r="Z2365" s="18"/>
    </row>
    <row r="2366" ht="22.5" customHeight="1">
      <c r="A2366" s="250"/>
      <c r="B2366" s="218"/>
      <c r="C2366" s="9"/>
      <c r="D2366" s="228"/>
      <c r="E2366" s="216"/>
      <c r="F2366" s="273"/>
      <c r="G2366" s="9"/>
      <c r="H2366" s="234"/>
      <c r="I2366" s="232"/>
      <c r="J2366" s="9"/>
      <c r="K2366" s="18"/>
      <c r="L2366" s="18"/>
      <c r="M2366" s="18"/>
      <c r="N2366" s="18"/>
      <c r="O2366" s="18"/>
      <c r="P2366" s="18"/>
      <c r="Q2366" s="18"/>
      <c r="R2366" s="18"/>
      <c r="S2366" s="18"/>
      <c r="T2366" s="18"/>
      <c r="U2366" s="18"/>
      <c r="V2366" s="18"/>
      <c r="W2366" s="18"/>
      <c r="X2366" s="18"/>
      <c r="Y2366" s="18"/>
      <c r="Z2366" s="18"/>
    </row>
    <row r="2367" ht="22.5" customHeight="1">
      <c r="A2367" s="250"/>
      <c r="B2367" s="218"/>
      <c r="C2367" s="9"/>
      <c r="D2367" s="228"/>
      <c r="E2367" s="216"/>
      <c r="F2367" s="273"/>
      <c r="G2367" s="9"/>
      <c r="H2367" s="234"/>
      <c r="I2367" s="232"/>
      <c r="J2367" s="9"/>
      <c r="K2367" s="18"/>
      <c r="L2367" s="18"/>
      <c r="M2367" s="18"/>
      <c r="N2367" s="18"/>
      <c r="O2367" s="18"/>
      <c r="P2367" s="18"/>
      <c r="Q2367" s="18"/>
      <c r="R2367" s="18"/>
      <c r="S2367" s="18"/>
      <c r="T2367" s="18"/>
      <c r="U2367" s="18"/>
      <c r="V2367" s="18"/>
      <c r="W2367" s="18"/>
      <c r="X2367" s="18"/>
      <c r="Y2367" s="18"/>
      <c r="Z2367" s="18"/>
    </row>
    <row r="2368" ht="22.5" customHeight="1">
      <c r="A2368" s="250"/>
      <c r="B2368" s="218"/>
      <c r="C2368" s="9"/>
      <c r="D2368" s="228"/>
      <c r="E2368" s="216"/>
      <c r="F2368" s="273"/>
      <c r="G2368" s="9"/>
      <c r="H2368" s="234"/>
      <c r="I2368" s="232"/>
      <c r="J2368" s="9"/>
      <c r="K2368" s="18"/>
      <c r="L2368" s="18"/>
      <c r="M2368" s="18"/>
      <c r="N2368" s="18"/>
      <c r="O2368" s="18"/>
      <c r="P2368" s="18"/>
      <c r="Q2368" s="18"/>
      <c r="R2368" s="18"/>
      <c r="S2368" s="18"/>
      <c r="T2368" s="18"/>
      <c r="U2368" s="18"/>
      <c r="V2368" s="18"/>
      <c r="W2368" s="18"/>
      <c r="X2368" s="18"/>
      <c r="Y2368" s="18"/>
      <c r="Z2368" s="18"/>
    </row>
    <row r="2369" ht="22.5" customHeight="1">
      <c r="A2369" s="250"/>
      <c r="B2369" s="218"/>
      <c r="C2369" s="9"/>
      <c r="D2369" s="228"/>
      <c r="E2369" s="216"/>
      <c r="F2369" s="273"/>
      <c r="G2369" s="9"/>
      <c r="H2369" s="234"/>
      <c r="I2369" s="232"/>
      <c r="J2369" s="9"/>
      <c r="K2369" s="18"/>
      <c r="L2369" s="18"/>
      <c r="M2369" s="18"/>
      <c r="N2369" s="18"/>
      <c r="O2369" s="18"/>
      <c r="P2369" s="18"/>
      <c r="Q2369" s="18"/>
      <c r="R2369" s="18"/>
      <c r="S2369" s="18"/>
      <c r="T2369" s="18"/>
      <c r="U2369" s="18"/>
      <c r="V2369" s="18"/>
      <c r="W2369" s="18"/>
      <c r="X2369" s="18"/>
      <c r="Y2369" s="18"/>
      <c r="Z2369" s="18"/>
    </row>
    <row r="2370" ht="22.5" customHeight="1">
      <c r="A2370" s="250"/>
      <c r="B2370" s="218"/>
      <c r="C2370" s="9"/>
      <c r="D2370" s="228"/>
      <c r="E2370" s="216"/>
      <c r="F2370" s="273"/>
      <c r="G2370" s="9"/>
      <c r="H2370" s="234"/>
      <c r="I2370" s="232"/>
      <c r="J2370" s="9"/>
      <c r="K2370" s="18"/>
      <c r="L2370" s="18"/>
      <c r="M2370" s="18"/>
      <c r="N2370" s="18"/>
      <c r="O2370" s="18"/>
      <c r="P2370" s="18"/>
      <c r="Q2370" s="18"/>
      <c r="R2370" s="18"/>
      <c r="S2370" s="18"/>
      <c r="T2370" s="18"/>
      <c r="U2370" s="18"/>
      <c r="V2370" s="18"/>
      <c r="W2370" s="18"/>
      <c r="X2370" s="18"/>
      <c r="Y2370" s="18"/>
      <c r="Z2370" s="18"/>
    </row>
    <row r="2371" ht="22.5" customHeight="1">
      <c r="A2371" s="250"/>
      <c r="B2371" s="218"/>
      <c r="C2371" s="9"/>
      <c r="D2371" s="228"/>
      <c r="E2371" s="216"/>
      <c r="F2371" s="273"/>
      <c r="G2371" s="9"/>
      <c r="H2371" s="234"/>
      <c r="I2371" s="232"/>
      <c r="J2371" s="9"/>
      <c r="K2371" s="18"/>
      <c r="L2371" s="18"/>
      <c r="M2371" s="18"/>
      <c r="N2371" s="18"/>
      <c r="O2371" s="18"/>
      <c r="P2371" s="18"/>
      <c r="Q2371" s="18"/>
      <c r="R2371" s="18"/>
      <c r="S2371" s="18"/>
      <c r="T2371" s="18"/>
      <c r="U2371" s="18"/>
      <c r="V2371" s="18"/>
      <c r="W2371" s="18"/>
      <c r="X2371" s="18"/>
      <c r="Y2371" s="18"/>
      <c r="Z2371" s="18"/>
    </row>
    <row r="2372" ht="22.5" customHeight="1">
      <c r="A2372" s="250"/>
      <c r="B2372" s="218"/>
      <c r="C2372" s="9"/>
      <c r="D2372" s="228"/>
      <c r="E2372" s="216"/>
      <c r="F2372" s="273"/>
      <c r="G2372" s="9"/>
      <c r="H2372" s="234"/>
      <c r="I2372" s="232"/>
      <c r="J2372" s="9"/>
      <c r="K2372" s="18"/>
      <c r="L2372" s="18"/>
      <c r="M2372" s="18"/>
      <c r="N2372" s="18"/>
      <c r="O2372" s="18"/>
      <c r="P2372" s="18"/>
      <c r="Q2372" s="18"/>
      <c r="R2372" s="18"/>
      <c r="S2372" s="18"/>
      <c r="T2372" s="18"/>
      <c r="U2372" s="18"/>
      <c r="V2372" s="18"/>
      <c r="W2372" s="18"/>
      <c r="X2372" s="18"/>
      <c r="Y2372" s="18"/>
      <c r="Z2372" s="18"/>
    </row>
    <row r="2373" ht="22.5" customHeight="1">
      <c r="A2373" s="250"/>
      <c r="B2373" s="218"/>
      <c r="C2373" s="9"/>
      <c r="D2373" s="228"/>
      <c r="E2373" s="216"/>
      <c r="F2373" s="273"/>
      <c r="G2373" s="9"/>
      <c r="H2373" s="234"/>
      <c r="I2373" s="232"/>
      <c r="J2373" s="9"/>
      <c r="K2373" s="18"/>
      <c r="L2373" s="18"/>
      <c r="M2373" s="18"/>
      <c r="N2373" s="18"/>
      <c r="O2373" s="18"/>
      <c r="P2373" s="18"/>
      <c r="Q2373" s="18"/>
      <c r="R2373" s="18"/>
      <c r="S2373" s="18"/>
      <c r="T2373" s="18"/>
      <c r="U2373" s="18"/>
      <c r="V2373" s="18"/>
      <c r="W2373" s="18"/>
      <c r="X2373" s="18"/>
      <c r="Y2373" s="18"/>
      <c r="Z2373" s="18"/>
    </row>
    <row r="2374" ht="22.5" customHeight="1">
      <c r="A2374" s="250"/>
      <c r="B2374" s="218"/>
      <c r="C2374" s="9"/>
      <c r="D2374" s="228"/>
      <c r="E2374" s="216"/>
      <c r="F2374" s="273"/>
      <c r="G2374" s="9"/>
      <c r="H2374" s="234"/>
      <c r="I2374" s="232"/>
      <c r="J2374" s="9"/>
      <c r="K2374" s="18"/>
      <c r="L2374" s="18"/>
      <c r="M2374" s="18"/>
      <c r="N2374" s="18"/>
      <c r="O2374" s="18"/>
      <c r="P2374" s="18"/>
      <c r="Q2374" s="18"/>
      <c r="R2374" s="18"/>
      <c r="S2374" s="18"/>
      <c r="T2374" s="18"/>
      <c r="U2374" s="18"/>
      <c r="V2374" s="18"/>
      <c r="W2374" s="18"/>
      <c r="X2374" s="18"/>
      <c r="Y2374" s="18"/>
      <c r="Z2374" s="18"/>
    </row>
    <row r="2375" ht="22.5" customHeight="1">
      <c r="A2375" s="250"/>
      <c r="B2375" s="218"/>
      <c r="C2375" s="9"/>
      <c r="D2375" s="228"/>
      <c r="E2375" s="216"/>
      <c r="F2375" s="273"/>
      <c r="G2375" s="9"/>
      <c r="H2375" s="234"/>
      <c r="I2375" s="232"/>
      <c r="J2375" s="9"/>
      <c r="K2375" s="18"/>
      <c r="L2375" s="18"/>
      <c r="M2375" s="18"/>
      <c r="N2375" s="18"/>
      <c r="O2375" s="18"/>
      <c r="P2375" s="18"/>
      <c r="Q2375" s="18"/>
      <c r="R2375" s="18"/>
      <c r="S2375" s="18"/>
      <c r="T2375" s="18"/>
      <c r="U2375" s="18"/>
      <c r="V2375" s="18"/>
      <c r="W2375" s="18"/>
      <c r="X2375" s="18"/>
      <c r="Y2375" s="18"/>
      <c r="Z2375" s="18"/>
    </row>
    <row r="2376" ht="22.5" customHeight="1">
      <c r="A2376" s="250"/>
      <c r="B2376" s="218"/>
      <c r="C2376" s="9"/>
      <c r="D2376" s="228"/>
      <c r="E2376" s="216"/>
      <c r="F2376" s="273"/>
      <c r="G2376" s="9"/>
      <c r="H2376" s="234"/>
      <c r="I2376" s="232"/>
      <c r="J2376" s="9"/>
      <c r="K2376" s="18"/>
      <c r="L2376" s="18"/>
      <c r="M2376" s="18"/>
      <c r="N2376" s="18"/>
      <c r="O2376" s="18"/>
      <c r="P2376" s="18"/>
      <c r="Q2376" s="18"/>
      <c r="R2376" s="18"/>
      <c r="S2376" s="18"/>
      <c r="T2376" s="18"/>
      <c r="U2376" s="18"/>
      <c r="V2376" s="18"/>
      <c r="W2376" s="18"/>
      <c r="X2376" s="18"/>
      <c r="Y2376" s="18"/>
      <c r="Z2376" s="18"/>
    </row>
    <row r="2377" ht="22.5" customHeight="1">
      <c r="A2377" s="250"/>
      <c r="B2377" s="218"/>
      <c r="C2377" s="9"/>
      <c r="D2377" s="228"/>
      <c r="E2377" s="216"/>
      <c r="F2377" s="273"/>
      <c r="G2377" s="9"/>
      <c r="H2377" s="234"/>
      <c r="I2377" s="232"/>
      <c r="J2377" s="9"/>
      <c r="K2377" s="18"/>
      <c r="L2377" s="18"/>
      <c r="M2377" s="18"/>
      <c r="N2377" s="18"/>
      <c r="O2377" s="18"/>
      <c r="P2377" s="18"/>
      <c r="Q2377" s="18"/>
      <c r="R2377" s="18"/>
      <c r="S2377" s="18"/>
      <c r="T2377" s="18"/>
      <c r="U2377" s="18"/>
      <c r="V2377" s="18"/>
      <c r="W2377" s="18"/>
      <c r="X2377" s="18"/>
      <c r="Y2377" s="18"/>
      <c r="Z2377" s="18"/>
    </row>
    <row r="2378" ht="22.5" customHeight="1">
      <c r="A2378" s="250"/>
      <c r="B2378" s="218"/>
      <c r="C2378" s="9"/>
      <c r="D2378" s="228"/>
      <c r="E2378" s="216"/>
      <c r="F2378" s="273"/>
      <c r="G2378" s="9"/>
      <c r="H2378" s="234"/>
      <c r="I2378" s="232"/>
      <c r="J2378" s="9"/>
      <c r="K2378" s="18"/>
      <c r="L2378" s="18"/>
      <c r="M2378" s="18"/>
      <c r="N2378" s="18"/>
      <c r="O2378" s="18"/>
      <c r="P2378" s="18"/>
      <c r="Q2378" s="18"/>
      <c r="R2378" s="18"/>
      <c r="S2378" s="18"/>
      <c r="T2378" s="18"/>
      <c r="U2378" s="18"/>
      <c r="V2378" s="18"/>
      <c r="W2378" s="18"/>
      <c r="X2378" s="18"/>
      <c r="Y2378" s="18"/>
      <c r="Z2378" s="18"/>
    </row>
    <row r="2379" ht="22.5" customHeight="1">
      <c r="A2379" s="250"/>
      <c r="B2379" s="218"/>
      <c r="C2379" s="9"/>
      <c r="D2379" s="228"/>
      <c r="E2379" s="216"/>
      <c r="F2379" s="273"/>
      <c r="G2379" s="9"/>
      <c r="H2379" s="234"/>
      <c r="I2379" s="232"/>
      <c r="J2379" s="9"/>
      <c r="K2379" s="18"/>
      <c r="L2379" s="18"/>
      <c r="M2379" s="18"/>
      <c r="N2379" s="18"/>
      <c r="O2379" s="18"/>
      <c r="P2379" s="18"/>
      <c r="Q2379" s="18"/>
      <c r="R2379" s="18"/>
      <c r="S2379" s="18"/>
      <c r="T2379" s="18"/>
      <c r="U2379" s="18"/>
      <c r="V2379" s="18"/>
      <c r="W2379" s="18"/>
      <c r="X2379" s="18"/>
      <c r="Y2379" s="18"/>
      <c r="Z2379" s="18"/>
    </row>
    <row r="2380" ht="22.5" customHeight="1">
      <c r="A2380" s="250"/>
      <c r="B2380" s="218"/>
      <c r="C2380" s="9"/>
      <c r="D2380" s="228"/>
      <c r="E2380" s="216"/>
      <c r="F2380" s="273"/>
      <c r="G2380" s="9"/>
      <c r="H2380" s="234"/>
      <c r="I2380" s="232"/>
      <c r="J2380" s="9"/>
      <c r="K2380" s="18"/>
      <c r="L2380" s="18"/>
      <c r="M2380" s="18"/>
      <c r="N2380" s="18"/>
      <c r="O2380" s="18"/>
      <c r="P2380" s="18"/>
      <c r="Q2380" s="18"/>
      <c r="R2380" s="18"/>
      <c r="S2380" s="18"/>
      <c r="T2380" s="18"/>
      <c r="U2380" s="18"/>
      <c r="V2380" s="18"/>
      <c r="W2380" s="18"/>
      <c r="X2380" s="18"/>
      <c r="Y2380" s="18"/>
      <c r="Z2380" s="18"/>
    </row>
    <row r="2381" ht="22.5" customHeight="1">
      <c r="A2381" s="250"/>
      <c r="B2381" s="218"/>
      <c r="C2381" s="9"/>
      <c r="D2381" s="228"/>
      <c r="E2381" s="216"/>
      <c r="F2381" s="273"/>
      <c r="G2381" s="9"/>
      <c r="H2381" s="234"/>
      <c r="I2381" s="232"/>
      <c r="J2381" s="9"/>
      <c r="K2381" s="18"/>
      <c r="L2381" s="18"/>
      <c r="M2381" s="18"/>
      <c r="N2381" s="18"/>
      <c r="O2381" s="18"/>
      <c r="P2381" s="18"/>
      <c r="Q2381" s="18"/>
      <c r="R2381" s="18"/>
      <c r="S2381" s="18"/>
      <c r="T2381" s="18"/>
      <c r="U2381" s="18"/>
      <c r="V2381" s="18"/>
      <c r="W2381" s="18"/>
      <c r="X2381" s="18"/>
      <c r="Y2381" s="18"/>
      <c r="Z2381" s="18"/>
    </row>
    <row r="2382" ht="22.5" customHeight="1">
      <c r="A2382" s="250"/>
      <c r="B2382" s="218"/>
      <c r="C2382" s="9"/>
      <c r="D2382" s="228"/>
      <c r="E2382" s="216"/>
      <c r="F2382" s="273"/>
      <c r="G2382" s="9"/>
      <c r="H2382" s="234"/>
      <c r="I2382" s="232"/>
      <c r="J2382" s="9"/>
      <c r="K2382" s="18"/>
      <c r="L2382" s="18"/>
      <c r="M2382" s="18"/>
      <c r="N2382" s="18"/>
      <c r="O2382" s="18"/>
      <c r="P2382" s="18"/>
      <c r="Q2382" s="18"/>
      <c r="R2382" s="18"/>
      <c r="S2382" s="18"/>
      <c r="T2382" s="18"/>
      <c r="U2382" s="18"/>
      <c r="V2382" s="18"/>
      <c r="W2382" s="18"/>
      <c r="X2382" s="18"/>
      <c r="Y2382" s="18"/>
      <c r="Z2382" s="18"/>
    </row>
    <row r="2383" ht="22.5" customHeight="1">
      <c r="A2383" s="250"/>
      <c r="B2383" s="218"/>
      <c r="C2383" s="9"/>
      <c r="D2383" s="228"/>
      <c r="E2383" s="216"/>
      <c r="F2383" s="273"/>
      <c r="G2383" s="9"/>
      <c r="H2383" s="234"/>
      <c r="I2383" s="232"/>
      <c r="J2383" s="9"/>
      <c r="K2383" s="18"/>
      <c r="L2383" s="18"/>
      <c r="M2383" s="18"/>
      <c r="N2383" s="18"/>
      <c r="O2383" s="18"/>
      <c r="P2383" s="18"/>
      <c r="Q2383" s="18"/>
      <c r="R2383" s="18"/>
      <c r="S2383" s="18"/>
      <c r="T2383" s="18"/>
      <c r="U2383" s="18"/>
      <c r="V2383" s="18"/>
      <c r="W2383" s="18"/>
      <c r="X2383" s="18"/>
      <c r="Y2383" s="18"/>
      <c r="Z2383" s="18"/>
    </row>
    <row r="2384" ht="22.5" customHeight="1">
      <c r="A2384" s="250"/>
      <c r="B2384" s="218"/>
      <c r="C2384" s="9"/>
      <c r="D2384" s="228"/>
      <c r="E2384" s="216"/>
      <c r="F2384" s="273"/>
      <c r="G2384" s="9"/>
      <c r="H2384" s="234"/>
      <c r="I2384" s="232"/>
      <c r="J2384" s="9"/>
      <c r="K2384" s="18"/>
      <c r="L2384" s="18"/>
      <c r="M2384" s="18"/>
      <c r="N2384" s="18"/>
      <c r="O2384" s="18"/>
      <c r="P2384" s="18"/>
      <c r="Q2384" s="18"/>
      <c r="R2384" s="18"/>
      <c r="S2384" s="18"/>
      <c r="T2384" s="18"/>
      <c r="U2384" s="18"/>
      <c r="V2384" s="18"/>
      <c r="W2384" s="18"/>
      <c r="X2384" s="18"/>
      <c r="Y2384" s="18"/>
      <c r="Z2384" s="18"/>
    </row>
    <row r="2385" ht="22.5" customHeight="1">
      <c r="A2385" s="250"/>
      <c r="B2385" s="218"/>
      <c r="C2385" s="9"/>
      <c r="D2385" s="228"/>
      <c r="E2385" s="216"/>
      <c r="F2385" s="273"/>
      <c r="G2385" s="9"/>
      <c r="H2385" s="234"/>
      <c r="I2385" s="232"/>
      <c r="J2385" s="9"/>
      <c r="K2385" s="18"/>
      <c r="L2385" s="18"/>
      <c r="M2385" s="18"/>
      <c r="N2385" s="18"/>
      <c r="O2385" s="18"/>
      <c r="P2385" s="18"/>
      <c r="Q2385" s="18"/>
      <c r="R2385" s="18"/>
      <c r="S2385" s="18"/>
      <c r="T2385" s="18"/>
      <c r="U2385" s="18"/>
      <c r="V2385" s="18"/>
      <c r="W2385" s="18"/>
      <c r="X2385" s="18"/>
      <c r="Y2385" s="18"/>
      <c r="Z2385" s="18"/>
    </row>
    <row r="2386" ht="22.5" customHeight="1">
      <c r="A2386" s="250"/>
      <c r="B2386" s="218"/>
      <c r="C2386" s="9"/>
      <c r="D2386" s="228"/>
      <c r="E2386" s="216"/>
      <c r="F2386" s="273"/>
      <c r="G2386" s="9"/>
      <c r="H2386" s="234"/>
      <c r="I2386" s="232"/>
      <c r="J2386" s="9"/>
      <c r="K2386" s="18"/>
      <c r="L2386" s="18"/>
      <c r="M2386" s="18"/>
      <c r="N2386" s="18"/>
      <c r="O2386" s="18"/>
      <c r="P2386" s="18"/>
      <c r="Q2386" s="18"/>
      <c r="R2386" s="18"/>
      <c r="S2386" s="18"/>
      <c r="T2386" s="18"/>
      <c r="U2386" s="18"/>
      <c r="V2386" s="18"/>
      <c r="W2386" s="18"/>
      <c r="X2386" s="18"/>
      <c r="Y2386" s="18"/>
      <c r="Z2386" s="18"/>
    </row>
    <row r="2387" ht="22.5" customHeight="1">
      <c r="A2387" s="250"/>
      <c r="B2387" s="218"/>
      <c r="C2387" s="9"/>
      <c r="D2387" s="228"/>
      <c r="E2387" s="216"/>
      <c r="F2387" s="273"/>
      <c r="G2387" s="9"/>
      <c r="H2387" s="234"/>
      <c r="I2387" s="232"/>
      <c r="J2387" s="9"/>
      <c r="K2387" s="18"/>
      <c r="L2387" s="18"/>
      <c r="M2387" s="18"/>
      <c r="N2387" s="18"/>
      <c r="O2387" s="18"/>
      <c r="P2387" s="18"/>
      <c r="Q2387" s="18"/>
      <c r="R2387" s="18"/>
      <c r="S2387" s="18"/>
      <c r="T2387" s="18"/>
      <c r="U2387" s="18"/>
      <c r="V2387" s="18"/>
      <c r="W2387" s="18"/>
      <c r="X2387" s="18"/>
      <c r="Y2387" s="18"/>
      <c r="Z2387" s="18"/>
    </row>
    <row r="2388" ht="22.5" customHeight="1">
      <c r="A2388" s="250"/>
      <c r="B2388" s="218"/>
      <c r="C2388" s="9"/>
      <c r="D2388" s="228"/>
      <c r="E2388" s="216"/>
      <c r="F2388" s="273"/>
      <c r="G2388" s="9"/>
      <c r="H2388" s="234"/>
      <c r="I2388" s="232"/>
      <c r="J2388" s="9"/>
      <c r="K2388" s="18"/>
      <c r="L2388" s="18"/>
      <c r="M2388" s="18"/>
      <c r="N2388" s="18"/>
      <c r="O2388" s="18"/>
      <c r="P2388" s="18"/>
      <c r="Q2388" s="18"/>
      <c r="R2388" s="18"/>
      <c r="S2388" s="18"/>
      <c r="T2388" s="18"/>
      <c r="U2388" s="18"/>
      <c r="V2388" s="18"/>
      <c r="W2388" s="18"/>
      <c r="X2388" s="18"/>
      <c r="Y2388" s="18"/>
      <c r="Z2388" s="18"/>
    </row>
    <row r="2389" ht="22.5" customHeight="1">
      <c r="A2389" s="250"/>
      <c r="B2389" s="218"/>
      <c r="C2389" s="9"/>
      <c r="D2389" s="228"/>
      <c r="E2389" s="216"/>
      <c r="F2389" s="273"/>
      <c r="G2389" s="9"/>
      <c r="H2389" s="234"/>
      <c r="I2389" s="232"/>
      <c r="J2389" s="9"/>
      <c r="K2389" s="18"/>
      <c r="L2389" s="18"/>
      <c r="M2389" s="18"/>
      <c r="N2389" s="18"/>
      <c r="O2389" s="18"/>
      <c r="P2389" s="18"/>
      <c r="Q2389" s="18"/>
      <c r="R2389" s="18"/>
      <c r="S2389" s="18"/>
      <c r="T2389" s="18"/>
      <c r="U2389" s="18"/>
      <c r="V2389" s="18"/>
      <c r="W2389" s="18"/>
      <c r="X2389" s="18"/>
      <c r="Y2389" s="18"/>
      <c r="Z2389" s="18"/>
    </row>
    <row r="2390" ht="22.5" customHeight="1">
      <c r="A2390" s="250"/>
      <c r="B2390" s="218"/>
      <c r="C2390" s="9"/>
      <c r="D2390" s="228"/>
      <c r="E2390" s="216"/>
      <c r="F2390" s="273"/>
      <c r="G2390" s="9"/>
      <c r="H2390" s="234"/>
      <c r="I2390" s="232"/>
      <c r="J2390" s="9"/>
      <c r="K2390" s="18"/>
      <c r="L2390" s="18"/>
      <c r="M2390" s="18"/>
      <c r="N2390" s="18"/>
      <c r="O2390" s="18"/>
      <c r="P2390" s="18"/>
      <c r="Q2390" s="18"/>
      <c r="R2390" s="18"/>
      <c r="S2390" s="18"/>
      <c r="T2390" s="18"/>
      <c r="U2390" s="18"/>
      <c r="V2390" s="18"/>
      <c r="W2390" s="18"/>
      <c r="X2390" s="18"/>
      <c r="Y2390" s="18"/>
      <c r="Z2390" s="18"/>
    </row>
    <row r="2391" ht="22.5" customHeight="1">
      <c r="A2391" s="250"/>
      <c r="B2391" s="218"/>
      <c r="C2391" s="9"/>
      <c r="D2391" s="228"/>
      <c r="E2391" s="216"/>
      <c r="F2391" s="273"/>
      <c r="G2391" s="9"/>
      <c r="H2391" s="234"/>
      <c r="I2391" s="232"/>
      <c r="J2391" s="9"/>
      <c r="K2391" s="18"/>
      <c r="L2391" s="18"/>
      <c r="M2391" s="18"/>
      <c r="N2391" s="18"/>
      <c r="O2391" s="18"/>
      <c r="P2391" s="18"/>
      <c r="Q2391" s="18"/>
      <c r="R2391" s="18"/>
      <c r="S2391" s="18"/>
      <c r="T2391" s="18"/>
      <c r="U2391" s="18"/>
      <c r="V2391" s="18"/>
      <c r="W2391" s="18"/>
      <c r="X2391" s="18"/>
      <c r="Y2391" s="18"/>
      <c r="Z2391" s="18"/>
    </row>
    <row r="2392" ht="22.5" customHeight="1">
      <c r="A2392" s="250"/>
      <c r="B2392" s="218"/>
      <c r="C2392" s="9"/>
      <c r="D2392" s="228"/>
      <c r="E2392" s="216"/>
      <c r="F2392" s="273"/>
      <c r="G2392" s="9"/>
      <c r="H2392" s="234"/>
      <c r="I2392" s="232"/>
      <c r="J2392" s="9"/>
      <c r="K2392" s="18"/>
      <c r="L2392" s="18"/>
      <c r="M2392" s="18"/>
      <c r="N2392" s="18"/>
      <c r="O2392" s="18"/>
      <c r="P2392" s="18"/>
      <c r="Q2392" s="18"/>
      <c r="R2392" s="18"/>
      <c r="S2392" s="18"/>
      <c r="T2392" s="18"/>
      <c r="U2392" s="18"/>
      <c r="V2392" s="18"/>
      <c r="W2392" s="18"/>
      <c r="X2392" s="18"/>
      <c r="Y2392" s="18"/>
      <c r="Z2392" s="18"/>
    </row>
    <row r="2393" ht="22.5" customHeight="1">
      <c r="A2393" s="250"/>
      <c r="B2393" s="218"/>
      <c r="C2393" s="9"/>
      <c r="D2393" s="228"/>
      <c r="E2393" s="216"/>
      <c r="F2393" s="273"/>
      <c r="G2393" s="9"/>
      <c r="H2393" s="234"/>
      <c r="I2393" s="232"/>
      <c r="J2393" s="9"/>
      <c r="K2393" s="18"/>
      <c r="L2393" s="18"/>
      <c r="M2393" s="18"/>
      <c r="N2393" s="18"/>
      <c r="O2393" s="18"/>
      <c r="P2393" s="18"/>
      <c r="Q2393" s="18"/>
      <c r="R2393" s="18"/>
      <c r="S2393" s="18"/>
      <c r="T2393" s="18"/>
      <c r="U2393" s="18"/>
      <c r="V2393" s="18"/>
      <c r="W2393" s="18"/>
      <c r="X2393" s="18"/>
      <c r="Y2393" s="18"/>
      <c r="Z2393" s="18"/>
    </row>
    <row r="2394" ht="22.5" customHeight="1">
      <c r="A2394" s="250"/>
      <c r="B2394" s="218"/>
      <c r="C2394" s="9"/>
      <c r="D2394" s="228"/>
      <c r="E2394" s="216"/>
      <c r="F2394" s="273"/>
      <c r="G2394" s="9"/>
      <c r="H2394" s="234"/>
      <c r="I2394" s="232"/>
      <c r="J2394" s="9"/>
      <c r="K2394" s="18"/>
      <c r="L2394" s="18"/>
      <c r="M2394" s="18"/>
      <c r="N2394" s="18"/>
      <c r="O2394" s="18"/>
      <c r="P2394" s="18"/>
      <c r="Q2394" s="18"/>
      <c r="R2394" s="18"/>
      <c r="S2394" s="18"/>
      <c r="T2394" s="18"/>
      <c r="U2394" s="18"/>
      <c r="V2394" s="18"/>
      <c r="W2394" s="18"/>
      <c r="X2394" s="18"/>
      <c r="Y2394" s="18"/>
      <c r="Z2394" s="18"/>
    </row>
    <row r="2395" ht="22.5" customHeight="1">
      <c r="A2395" s="250"/>
      <c r="B2395" s="218"/>
      <c r="C2395" s="9"/>
      <c r="D2395" s="228"/>
      <c r="E2395" s="216"/>
      <c r="F2395" s="273"/>
      <c r="G2395" s="9"/>
      <c r="H2395" s="234"/>
      <c r="I2395" s="232"/>
      <c r="J2395" s="9"/>
      <c r="K2395" s="18"/>
      <c r="L2395" s="18"/>
      <c r="M2395" s="18"/>
      <c r="N2395" s="18"/>
      <c r="O2395" s="18"/>
      <c r="P2395" s="18"/>
      <c r="Q2395" s="18"/>
      <c r="R2395" s="18"/>
      <c r="S2395" s="18"/>
      <c r="T2395" s="18"/>
      <c r="U2395" s="18"/>
      <c r="V2395" s="18"/>
      <c r="W2395" s="18"/>
      <c r="X2395" s="18"/>
      <c r="Y2395" s="18"/>
      <c r="Z2395" s="18"/>
    </row>
    <row r="2396" ht="22.5" customHeight="1">
      <c r="A2396" s="250"/>
      <c r="B2396" s="218"/>
      <c r="C2396" s="9"/>
      <c r="D2396" s="228"/>
      <c r="E2396" s="216"/>
      <c r="F2396" s="273"/>
      <c r="G2396" s="9"/>
      <c r="H2396" s="234"/>
      <c r="I2396" s="232"/>
      <c r="J2396" s="9"/>
      <c r="K2396" s="18"/>
      <c r="L2396" s="18"/>
      <c r="M2396" s="18"/>
      <c r="N2396" s="18"/>
      <c r="O2396" s="18"/>
      <c r="P2396" s="18"/>
      <c r="Q2396" s="18"/>
      <c r="R2396" s="18"/>
      <c r="S2396" s="18"/>
      <c r="T2396" s="18"/>
      <c r="U2396" s="18"/>
      <c r="V2396" s="18"/>
      <c r="W2396" s="18"/>
      <c r="X2396" s="18"/>
      <c r="Y2396" s="18"/>
      <c r="Z2396" s="18"/>
    </row>
    <row r="2397" ht="22.5" customHeight="1">
      <c r="A2397" s="250"/>
      <c r="B2397" s="218"/>
      <c r="C2397" s="9"/>
      <c r="D2397" s="228"/>
      <c r="E2397" s="216"/>
      <c r="F2397" s="273"/>
      <c r="G2397" s="9"/>
      <c r="H2397" s="234"/>
      <c r="I2397" s="232"/>
      <c r="J2397" s="9"/>
      <c r="K2397" s="18"/>
      <c r="L2397" s="18"/>
      <c r="M2397" s="18"/>
      <c r="N2397" s="18"/>
      <c r="O2397" s="18"/>
      <c r="P2397" s="18"/>
      <c r="Q2397" s="18"/>
      <c r="R2397" s="18"/>
      <c r="S2397" s="18"/>
      <c r="T2397" s="18"/>
      <c r="U2397" s="18"/>
      <c r="V2397" s="18"/>
      <c r="W2397" s="18"/>
      <c r="X2397" s="18"/>
      <c r="Y2397" s="18"/>
      <c r="Z2397" s="18"/>
    </row>
    <row r="2398" ht="22.5" customHeight="1">
      <c r="A2398" s="250"/>
      <c r="B2398" s="218"/>
      <c r="C2398" s="9"/>
      <c r="D2398" s="228"/>
      <c r="E2398" s="216"/>
      <c r="F2398" s="273"/>
      <c r="G2398" s="9"/>
      <c r="H2398" s="234"/>
      <c r="I2398" s="232"/>
      <c r="J2398" s="9"/>
      <c r="K2398" s="18"/>
      <c r="L2398" s="18"/>
      <c r="M2398" s="18"/>
      <c r="N2398" s="18"/>
      <c r="O2398" s="18"/>
      <c r="P2398" s="18"/>
      <c r="Q2398" s="18"/>
      <c r="R2398" s="18"/>
      <c r="S2398" s="18"/>
      <c r="T2398" s="18"/>
      <c r="U2398" s="18"/>
      <c r="V2398" s="18"/>
      <c r="W2398" s="18"/>
      <c r="X2398" s="18"/>
      <c r="Y2398" s="18"/>
      <c r="Z2398" s="18"/>
    </row>
    <row r="2399" ht="22.5" customHeight="1">
      <c r="A2399" s="250"/>
      <c r="B2399" s="218"/>
      <c r="C2399" s="9"/>
      <c r="D2399" s="228"/>
      <c r="E2399" s="216"/>
      <c r="F2399" s="273"/>
      <c r="G2399" s="9"/>
      <c r="H2399" s="234"/>
      <c r="I2399" s="232"/>
      <c r="J2399" s="9"/>
      <c r="K2399" s="18"/>
      <c r="L2399" s="18"/>
      <c r="M2399" s="18"/>
      <c r="N2399" s="18"/>
      <c r="O2399" s="18"/>
      <c r="P2399" s="18"/>
      <c r="Q2399" s="18"/>
      <c r="R2399" s="18"/>
      <c r="S2399" s="18"/>
      <c r="T2399" s="18"/>
      <c r="U2399" s="18"/>
      <c r="V2399" s="18"/>
      <c r="W2399" s="18"/>
      <c r="X2399" s="18"/>
      <c r="Y2399" s="18"/>
      <c r="Z2399" s="18"/>
    </row>
    <row r="2400" ht="22.5" customHeight="1">
      <c r="A2400" s="250"/>
      <c r="B2400" s="218"/>
      <c r="C2400" s="9"/>
      <c r="D2400" s="228"/>
      <c r="E2400" s="216"/>
      <c r="F2400" s="273"/>
      <c r="G2400" s="9"/>
      <c r="H2400" s="234"/>
      <c r="I2400" s="232"/>
      <c r="J2400" s="9"/>
      <c r="K2400" s="18"/>
      <c r="L2400" s="18"/>
      <c r="M2400" s="18"/>
      <c r="N2400" s="18"/>
      <c r="O2400" s="18"/>
      <c r="P2400" s="18"/>
      <c r="Q2400" s="18"/>
      <c r="R2400" s="18"/>
      <c r="S2400" s="18"/>
      <c r="T2400" s="18"/>
      <c r="U2400" s="18"/>
      <c r="V2400" s="18"/>
      <c r="W2400" s="18"/>
      <c r="X2400" s="18"/>
      <c r="Y2400" s="18"/>
      <c r="Z2400" s="18"/>
    </row>
    <row r="2401" ht="22.5" customHeight="1">
      <c r="A2401" s="250"/>
      <c r="B2401" s="218"/>
      <c r="C2401" s="9"/>
      <c r="D2401" s="228"/>
      <c r="E2401" s="216"/>
      <c r="F2401" s="273"/>
      <c r="G2401" s="9"/>
      <c r="H2401" s="234"/>
      <c r="I2401" s="232"/>
      <c r="J2401" s="9"/>
      <c r="K2401" s="18"/>
      <c r="L2401" s="18"/>
      <c r="M2401" s="18"/>
      <c r="N2401" s="18"/>
      <c r="O2401" s="18"/>
      <c r="P2401" s="18"/>
      <c r="Q2401" s="18"/>
      <c r="R2401" s="18"/>
      <c r="S2401" s="18"/>
      <c r="T2401" s="18"/>
      <c r="U2401" s="18"/>
      <c r="V2401" s="18"/>
      <c r="W2401" s="18"/>
      <c r="X2401" s="18"/>
      <c r="Y2401" s="18"/>
      <c r="Z2401" s="18"/>
    </row>
    <row r="2402" ht="22.5" customHeight="1">
      <c r="A2402" s="250"/>
      <c r="B2402" s="218"/>
      <c r="C2402" s="9"/>
      <c r="D2402" s="228"/>
      <c r="E2402" s="216"/>
      <c r="F2402" s="273"/>
      <c r="G2402" s="9"/>
      <c r="H2402" s="234"/>
      <c r="I2402" s="232"/>
      <c r="J2402" s="9"/>
      <c r="K2402" s="18"/>
      <c r="L2402" s="18"/>
      <c r="M2402" s="18"/>
      <c r="N2402" s="18"/>
      <c r="O2402" s="18"/>
      <c r="P2402" s="18"/>
      <c r="Q2402" s="18"/>
      <c r="R2402" s="18"/>
      <c r="S2402" s="18"/>
      <c r="T2402" s="18"/>
      <c r="U2402" s="18"/>
      <c r="V2402" s="18"/>
      <c r="W2402" s="18"/>
      <c r="X2402" s="18"/>
      <c r="Y2402" s="18"/>
      <c r="Z2402" s="18"/>
    </row>
    <row r="2403" ht="22.5" customHeight="1">
      <c r="A2403" s="250"/>
      <c r="B2403" s="218"/>
      <c r="C2403" s="9"/>
      <c r="D2403" s="228"/>
      <c r="E2403" s="216"/>
      <c r="F2403" s="273"/>
      <c r="G2403" s="9"/>
      <c r="H2403" s="234"/>
      <c r="I2403" s="232"/>
      <c r="J2403" s="9"/>
      <c r="K2403" s="18"/>
      <c r="L2403" s="18"/>
      <c r="M2403" s="18"/>
      <c r="N2403" s="18"/>
      <c r="O2403" s="18"/>
      <c r="P2403" s="18"/>
      <c r="Q2403" s="18"/>
      <c r="R2403" s="18"/>
      <c r="S2403" s="18"/>
      <c r="T2403" s="18"/>
      <c r="U2403" s="18"/>
      <c r="V2403" s="18"/>
      <c r="W2403" s="18"/>
      <c r="X2403" s="18"/>
      <c r="Y2403" s="18"/>
      <c r="Z2403" s="18"/>
    </row>
    <row r="2404" ht="22.5" customHeight="1">
      <c r="A2404" s="250"/>
      <c r="B2404" s="218"/>
      <c r="C2404" s="9"/>
      <c r="D2404" s="228"/>
      <c r="E2404" s="216"/>
      <c r="F2404" s="273"/>
      <c r="G2404" s="9"/>
      <c r="H2404" s="234"/>
      <c r="I2404" s="232"/>
      <c r="J2404" s="9"/>
      <c r="K2404" s="18"/>
      <c r="L2404" s="18"/>
      <c r="M2404" s="18"/>
      <c r="N2404" s="18"/>
      <c r="O2404" s="18"/>
      <c r="P2404" s="18"/>
      <c r="Q2404" s="18"/>
      <c r="R2404" s="18"/>
      <c r="S2404" s="18"/>
      <c r="T2404" s="18"/>
      <c r="U2404" s="18"/>
      <c r="V2404" s="18"/>
      <c r="W2404" s="18"/>
      <c r="X2404" s="18"/>
      <c r="Y2404" s="18"/>
      <c r="Z2404" s="18"/>
    </row>
    <row r="2405" ht="22.5" customHeight="1">
      <c r="A2405" s="250"/>
      <c r="B2405" s="218"/>
      <c r="C2405" s="9"/>
      <c r="D2405" s="228"/>
      <c r="E2405" s="216"/>
      <c r="F2405" s="273"/>
      <c r="G2405" s="9"/>
      <c r="H2405" s="234"/>
      <c r="I2405" s="232"/>
      <c r="J2405" s="9"/>
      <c r="K2405" s="18"/>
      <c r="L2405" s="18"/>
      <c r="M2405" s="18"/>
      <c r="N2405" s="18"/>
      <c r="O2405" s="18"/>
      <c r="P2405" s="18"/>
      <c r="Q2405" s="18"/>
      <c r="R2405" s="18"/>
      <c r="S2405" s="18"/>
      <c r="T2405" s="18"/>
      <c r="U2405" s="18"/>
      <c r="V2405" s="18"/>
      <c r="W2405" s="18"/>
      <c r="X2405" s="18"/>
      <c r="Y2405" s="18"/>
      <c r="Z2405" s="18"/>
    </row>
    <row r="2406" ht="22.5" customHeight="1">
      <c r="A2406" s="250"/>
      <c r="B2406" s="218"/>
      <c r="C2406" s="9"/>
      <c r="D2406" s="228"/>
      <c r="E2406" s="216"/>
      <c r="F2406" s="273"/>
      <c r="G2406" s="9"/>
      <c r="H2406" s="234"/>
      <c r="I2406" s="232"/>
      <c r="J2406" s="9"/>
      <c r="K2406" s="18"/>
      <c r="L2406" s="18"/>
      <c r="M2406" s="18"/>
      <c r="N2406" s="18"/>
      <c r="O2406" s="18"/>
      <c r="P2406" s="18"/>
      <c r="Q2406" s="18"/>
      <c r="R2406" s="18"/>
      <c r="S2406" s="18"/>
      <c r="T2406" s="18"/>
      <c r="U2406" s="18"/>
      <c r="V2406" s="18"/>
      <c r="W2406" s="18"/>
      <c r="X2406" s="18"/>
      <c r="Y2406" s="18"/>
      <c r="Z2406" s="18"/>
    </row>
    <row r="2407" ht="22.5" customHeight="1">
      <c r="A2407" s="250"/>
      <c r="B2407" s="218"/>
      <c r="C2407" s="9"/>
      <c r="D2407" s="228"/>
      <c r="E2407" s="216"/>
      <c r="F2407" s="273"/>
      <c r="G2407" s="9"/>
      <c r="H2407" s="234"/>
      <c r="I2407" s="232"/>
      <c r="J2407" s="9"/>
      <c r="K2407" s="18"/>
      <c r="L2407" s="18"/>
      <c r="M2407" s="18"/>
      <c r="N2407" s="18"/>
      <c r="O2407" s="18"/>
      <c r="P2407" s="18"/>
      <c r="Q2407" s="18"/>
      <c r="R2407" s="18"/>
      <c r="S2407" s="18"/>
      <c r="T2407" s="18"/>
      <c r="U2407" s="18"/>
      <c r="V2407" s="18"/>
      <c r="W2407" s="18"/>
      <c r="X2407" s="18"/>
      <c r="Y2407" s="18"/>
      <c r="Z2407" s="18"/>
    </row>
    <row r="2408" ht="22.5" customHeight="1">
      <c r="A2408" s="250"/>
      <c r="B2408" s="218"/>
      <c r="C2408" s="9"/>
      <c r="D2408" s="228"/>
      <c r="E2408" s="216"/>
      <c r="F2408" s="273"/>
      <c r="G2408" s="9"/>
      <c r="H2408" s="234"/>
      <c r="I2408" s="232"/>
      <c r="J2408" s="9"/>
      <c r="K2408" s="18"/>
      <c r="L2408" s="18"/>
      <c r="M2408" s="18"/>
      <c r="N2408" s="18"/>
      <c r="O2408" s="18"/>
      <c r="P2408" s="18"/>
      <c r="Q2408" s="18"/>
      <c r="R2408" s="18"/>
      <c r="S2408" s="18"/>
      <c r="T2408" s="18"/>
      <c r="U2408" s="18"/>
      <c r="V2408" s="18"/>
      <c r="W2408" s="18"/>
      <c r="X2408" s="18"/>
      <c r="Y2408" s="18"/>
      <c r="Z2408" s="18"/>
    </row>
    <row r="2409" ht="22.5" customHeight="1">
      <c r="A2409" s="250"/>
      <c r="B2409" s="218"/>
      <c r="C2409" s="9"/>
      <c r="D2409" s="228"/>
      <c r="E2409" s="216"/>
      <c r="F2409" s="273"/>
      <c r="G2409" s="9"/>
      <c r="H2409" s="234"/>
      <c r="I2409" s="232"/>
      <c r="J2409" s="9"/>
      <c r="K2409" s="18"/>
      <c r="L2409" s="18"/>
      <c r="M2409" s="18"/>
      <c r="N2409" s="18"/>
      <c r="O2409" s="18"/>
      <c r="P2409" s="18"/>
      <c r="Q2409" s="18"/>
      <c r="R2409" s="18"/>
      <c r="S2409" s="18"/>
      <c r="T2409" s="18"/>
      <c r="U2409" s="18"/>
      <c r="V2409" s="18"/>
      <c r="W2409" s="18"/>
      <c r="X2409" s="18"/>
      <c r="Y2409" s="18"/>
      <c r="Z2409" s="18"/>
    </row>
    <row r="2410" ht="22.5" customHeight="1">
      <c r="A2410" s="250"/>
      <c r="B2410" s="218"/>
      <c r="C2410" s="9"/>
      <c r="D2410" s="228"/>
      <c r="E2410" s="216"/>
      <c r="F2410" s="273"/>
      <c r="G2410" s="9"/>
      <c r="H2410" s="234"/>
      <c r="I2410" s="232"/>
      <c r="J2410" s="9"/>
      <c r="K2410" s="18"/>
      <c r="L2410" s="18"/>
      <c r="M2410" s="18"/>
      <c r="N2410" s="18"/>
      <c r="O2410" s="18"/>
      <c r="P2410" s="18"/>
      <c r="Q2410" s="18"/>
      <c r="R2410" s="18"/>
      <c r="S2410" s="18"/>
      <c r="T2410" s="18"/>
      <c r="U2410" s="18"/>
      <c r="V2410" s="18"/>
      <c r="W2410" s="18"/>
      <c r="X2410" s="18"/>
      <c r="Y2410" s="18"/>
      <c r="Z2410" s="18"/>
    </row>
    <row r="2411" ht="22.5" customHeight="1">
      <c r="A2411" s="250"/>
      <c r="B2411" s="218"/>
      <c r="C2411" s="9"/>
      <c r="D2411" s="228"/>
      <c r="E2411" s="216"/>
      <c r="F2411" s="273"/>
      <c r="G2411" s="9"/>
      <c r="H2411" s="234"/>
      <c r="I2411" s="232"/>
      <c r="J2411" s="9"/>
      <c r="K2411" s="18"/>
      <c r="L2411" s="18"/>
      <c r="M2411" s="18"/>
      <c r="N2411" s="18"/>
      <c r="O2411" s="18"/>
      <c r="P2411" s="18"/>
      <c r="Q2411" s="18"/>
      <c r="R2411" s="18"/>
      <c r="S2411" s="18"/>
      <c r="T2411" s="18"/>
      <c r="U2411" s="18"/>
      <c r="V2411" s="18"/>
      <c r="W2411" s="18"/>
      <c r="X2411" s="18"/>
      <c r="Y2411" s="18"/>
      <c r="Z2411" s="18"/>
    </row>
    <row r="2412" ht="22.5" customHeight="1">
      <c r="A2412" s="250"/>
      <c r="B2412" s="218"/>
      <c r="C2412" s="9"/>
      <c r="D2412" s="228"/>
      <c r="E2412" s="216"/>
      <c r="F2412" s="273"/>
      <c r="G2412" s="9"/>
      <c r="H2412" s="234"/>
      <c r="I2412" s="232"/>
      <c r="J2412" s="9"/>
      <c r="K2412" s="18"/>
      <c r="L2412" s="18"/>
      <c r="M2412" s="18"/>
      <c r="N2412" s="18"/>
      <c r="O2412" s="18"/>
      <c r="P2412" s="18"/>
      <c r="Q2412" s="18"/>
      <c r="R2412" s="18"/>
      <c r="S2412" s="18"/>
      <c r="T2412" s="18"/>
      <c r="U2412" s="18"/>
      <c r="V2412" s="18"/>
      <c r="W2412" s="18"/>
      <c r="X2412" s="18"/>
      <c r="Y2412" s="18"/>
      <c r="Z2412" s="18"/>
    </row>
    <row r="2413" ht="22.5" customHeight="1">
      <c r="A2413" s="250"/>
      <c r="B2413" s="218"/>
      <c r="C2413" s="9"/>
      <c r="D2413" s="228"/>
      <c r="E2413" s="216"/>
      <c r="F2413" s="273"/>
      <c r="G2413" s="9"/>
      <c r="H2413" s="234"/>
      <c r="I2413" s="232"/>
      <c r="J2413" s="9"/>
      <c r="K2413" s="18"/>
      <c r="L2413" s="18"/>
      <c r="M2413" s="18"/>
      <c r="N2413" s="18"/>
      <c r="O2413" s="18"/>
      <c r="P2413" s="18"/>
      <c r="Q2413" s="18"/>
      <c r="R2413" s="18"/>
      <c r="S2413" s="18"/>
      <c r="T2413" s="18"/>
      <c r="U2413" s="18"/>
      <c r="V2413" s="18"/>
      <c r="W2413" s="18"/>
      <c r="X2413" s="18"/>
      <c r="Y2413" s="18"/>
      <c r="Z2413" s="18"/>
    </row>
    <row r="2414" ht="22.5" customHeight="1">
      <c r="A2414" s="250"/>
      <c r="B2414" s="218"/>
      <c r="C2414" s="9"/>
      <c r="D2414" s="228"/>
      <c r="E2414" s="216"/>
      <c r="F2414" s="273"/>
      <c r="G2414" s="9"/>
      <c r="H2414" s="234"/>
      <c r="I2414" s="232"/>
      <c r="J2414" s="9"/>
      <c r="K2414" s="18"/>
      <c r="L2414" s="18"/>
      <c r="M2414" s="18"/>
      <c r="N2414" s="18"/>
      <c r="O2414" s="18"/>
      <c r="P2414" s="18"/>
      <c r="Q2414" s="18"/>
      <c r="R2414" s="18"/>
      <c r="S2414" s="18"/>
      <c r="T2414" s="18"/>
      <c r="U2414" s="18"/>
      <c r="V2414" s="18"/>
      <c r="W2414" s="18"/>
      <c r="X2414" s="18"/>
      <c r="Y2414" s="18"/>
      <c r="Z2414" s="18"/>
    </row>
    <row r="2415" ht="22.5" customHeight="1">
      <c r="A2415" s="250"/>
      <c r="B2415" s="218"/>
      <c r="C2415" s="9"/>
      <c r="D2415" s="228"/>
      <c r="E2415" s="216"/>
      <c r="F2415" s="273"/>
      <c r="G2415" s="9"/>
      <c r="H2415" s="234"/>
      <c r="I2415" s="232"/>
      <c r="J2415" s="9"/>
      <c r="K2415" s="18"/>
      <c r="L2415" s="18"/>
      <c r="M2415" s="18"/>
      <c r="N2415" s="18"/>
      <c r="O2415" s="18"/>
      <c r="P2415" s="18"/>
      <c r="Q2415" s="18"/>
      <c r="R2415" s="18"/>
      <c r="S2415" s="18"/>
      <c r="T2415" s="18"/>
      <c r="U2415" s="18"/>
      <c r="V2415" s="18"/>
      <c r="W2415" s="18"/>
      <c r="X2415" s="18"/>
      <c r="Y2415" s="18"/>
      <c r="Z2415" s="18"/>
    </row>
    <row r="2416" ht="22.5" customHeight="1">
      <c r="A2416" s="250"/>
      <c r="B2416" s="218"/>
      <c r="C2416" s="9"/>
      <c r="D2416" s="228"/>
      <c r="E2416" s="216"/>
      <c r="F2416" s="273"/>
      <c r="G2416" s="9"/>
      <c r="H2416" s="234"/>
      <c r="I2416" s="232"/>
      <c r="J2416" s="9"/>
      <c r="K2416" s="18"/>
      <c r="L2416" s="18"/>
      <c r="M2416" s="18"/>
      <c r="N2416" s="18"/>
      <c r="O2416" s="18"/>
      <c r="P2416" s="18"/>
      <c r="Q2416" s="18"/>
      <c r="R2416" s="18"/>
      <c r="S2416" s="18"/>
      <c r="T2416" s="18"/>
      <c r="U2416" s="18"/>
      <c r="V2416" s="18"/>
      <c r="W2416" s="18"/>
      <c r="X2416" s="18"/>
      <c r="Y2416" s="18"/>
      <c r="Z2416" s="18"/>
    </row>
    <row r="2417" ht="22.5" customHeight="1">
      <c r="A2417" s="250"/>
      <c r="B2417" s="218"/>
      <c r="C2417" s="9"/>
      <c r="D2417" s="228"/>
      <c r="E2417" s="216"/>
      <c r="F2417" s="273"/>
      <c r="G2417" s="9"/>
      <c r="H2417" s="234"/>
      <c r="I2417" s="232"/>
      <c r="J2417" s="9"/>
      <c r="K2417" s="18"/>
      <c r="L2417" s="18"/>
      <c r="M2417" s="18"/>
      <c r="N2417" s="18"/>
      <c r="O2417" s="18"/>
      <c r="P2417" s="18"/>
      <c r="Q2417" s="18"/>
      <c r="R2417" s="18"/>
      <c r="S2417" s="18"/>
      <c r="T2417" s="18"/>
      <c r="U2417" s="18"/>
      <c r="V2417" s="18"/>
      <c r="W2417" s="18"/>
      <c r="X2417" s="18"/>
      <c r="Y2417" s="18"/>
      <c r="Z2417" s="18"/>
    </row>
    <row r="2418" ht="22.5" customHeight="1">
      <c r="A2418" s="250"/>
      <c r="B2418" s="218"/>
      <c r="C2418" s="9"/>
      <c r="D2418" s="228"/>
      <c r="E2418" s="216"/>
      <c r="F2418" s="273"/>
      <c r="G2418" s="9"/>
      <c r="H2418" s="234"/>
      <c r="I2418" s="232"/>
      <c r="J2418" s="9"/>
      <c r="K2418" s="18"/>
      <c r="L2418" s="18"/>
      <c r="M2418" s="18"/>
      <c r="N2418" s="18"/>
      <c r="O2418" s="18"/>
      <c r="P2418" s="18"/>
      <c r="Q2418" s="18"/>
      <c r="R2418" s="18"/>
      <c r="S2418" s="18"/>
      <c r="T2418" s="18"/>
      <c r="U2418" s="18"/>
      <c r="V2418" s="18"/>
      <c r="W2418" s="18"/>
      <c r="X2418" s="18"/>
      <c r="Y2418" s="18"/>
      <c r="Z2418" s="18"/>
    </row>
    <row r="2419" ht="22.5" customHeight="1">
      <c r="A2419" s="250"/>
      <c r="B2419" s="218"/>
      <c r="C2419" s="9"/>
      <c r="D2419" s="228"/>
      <c r="E2419" s="216"/>
      <c r="F2419" s="273"/>
      <c r="G2419" s="9"/>
      <c r="H2419" s="234"/>
      <c r="I2419" s="232"/>
      <c r="J2419" s="9"/>
      <c r="K2419" s="18"/>
      <c r="L2419" s="18"/>
      <c r="M2419" s="18"/>
      <c r="N2419" s="18"/>
      <c r="O2419" s="18"/>
      <c r="P2419" s="18"/>
      <c r="Q2419" s="18"/>
      <c r="R2419" s="18"/>
      <c r="S2419" s="18"/>
      <c r="T2419" s="18"/>
      <c r="U2419" s="18"/>
      <c r="V2419" s="18"/>
      <c r="W2419" s="18"/>
      <c r="X2419" s="18"/>
      <c r="Y2419" s="18"/>
      <c r="Z2419" s="18"/>
    </row>
    <row r="2420" ht="22.5" customHeight="1">
      <c r="A2420" s="250"/>
      <c r="B2420" s="218"/>
      <c r="C2420" s="9"/>
      <c r="D2420" s="228"/>
      <c r="E2420" s="216"/>
      <c r="F2420" s="273"/>
      <c r="G2420" s="9"/>
      <c r="H2420" s="234"/>
      <c r="I2420" s="232"/>
      <c r="J2420" s="9"/>
      <c r="K2420" s="18"/>
      <c r="L2420" s="18"/>
      <c r="M2420" s="18"/>
      <c r="N2420" s="18"/>
      <c r="O2420" s="18"/>
      <c r="P2420" s="18"/>
      <c r="Q2420" s="18"/>
      <c r="R2420" s="18"/>
      <c r="S2420" s="18"/>
      <c r="T2420" s="18"/>
      <c r="U2420" s="18"/>
      <c r="V2420" s="18"/>
      <c r="W2420" s="18"/>
      <c r="X2420" s="18"/>
      <c r="Y2420" s="18"/>
      <c r="Z2420" s="18"/>
    </row>
    <row r="2421" ht="22.5" customHeight="1">
      <c r="A2421" s="250"/>
      <c r="B2421" s="218"/>
      <c r="C2421" s="9"/>
      <c r="D2421" s="228"/>
      <c r="E2421" s="216"/>
      <c r="F2421" s="273"/>
      <c r="G2421" s="9"/>
      <c r="H2421" s="234"/>
      <c r="I2421" s="232"/>
      <c r="J2421" s="9"/>
      <c r="K2421" s="18"/>
      <c r="L2421" s="18"/>
      <c r="M2421" s="18"/>
      <c r="N2421" s="18"/>
      <c r="O2421" s="18"/>
      <c r="P2421" s="18"/>
      <c r="Q2421" s="18"/>
      <c r="R2421" s="18"/>
      <c r="S2421" s="18"/>
      <c r="T2421" s="18"/>
      <c r="U2421" s="18"/>
      <c r="V2421" s="18"/>
      <c r="W2421" s="18"/>
      <c r="X2421" s="18"/>
      <c r="Y2421" s="18"/>
      <c r="Z2421" s="18"/>
    </row>
    <row r="2422" ht="22.5" customHeight="1">
      <c r="A2422" s="250"/>
      <c r="B2422" s="218"/>
      <c r="C2422" s="9"/>
      <c r="D2422" s="228"/>
      <c r="E2422" s="216"/>
      <c r="F2422" s="273"/>
      <c r="G2422" s="9"/>
      <c r="H2422" s="234"/>
      <c r="I2422" s="232"/>
      <c r="J2422" s="9"/>
      <c r="K2422" s="18"/>
      <c r="L2422" s="18"/>
      <c r="M2422" s="18"/>
      <c r="N2422" s="18"/>
      <c r="O2422" s="18"/>
      <c r="P2422" s="18"/>
      <c r="Q2422" s="18"/>
      <c r="R2422" s="18"/>
      <c r="S2422" s="18"/>
      <c r="T2422" s="18"/>
      <c r="U2422" s="18"/>
      <c r="V2422" s="18"/>
      <c r="W2422" s="18"/>
      <c r="X2422" s="18"/>
      <c r="Y2422" s="18"/>
      <c r="Z2422" s="18"/>
    </row>
    <row r="2423" ht="22.5" customHeight="1">
      <c r="A2423" s="250"/>
      <c r="B2423" s="218"/>
      <c r="C2423" s="9"/>
      <c r="D2423" s="228"/>
      <c r="E2423" s="216"/>
      <c r="F2423" s="273"/>
      <c r="G2423" s="9"/>
      <c r="H2423" s="234"/>
      <c r="I2423" s="232"/>
      <c r="J2423" s="9"/>
      <c r="K2423" s="18"/>
      <c r="L2423" s="18"/>
      <c r="M2423" s="18"/>
      <c r="N2423" s="18"/>
      <c r="O2423" s="18"/>
      <c r="P2423" s="18"/>
      <c r="Q2423" s="18"/>
      <c r="R2423" s="18"/>
      <c r="S2423" s="18"/>
      <c r="T2423" s="18"/>
      <c r="U2423" s="18"/>
      <c r="V2423" s="18"/>
      <c r="W2423" s="18"/>
      <c r="X2423" s="18"/>
      <c r="Y2423" s="18"/>
      <c r="Z2423" s="18"/>
    </row>
    <row r="2424" ht="22.5" customHeight="1">
      <c r="A2424" s="250"/>
      <c r="B2424" s="218"/>
      <c r="C2424" s="9"/>
      <c r="D2424" s="228"/>
      <c r="E2424" s="216"/>
      <c r="F2424" s="273"/>
      <c r="G2424" s="9"/>
      <c r="H2424" s="234"/>
      <c r="I2424" s="232"/>
      <c r="J2424" s="9"/>
      <c r="K2424" s="18"/>
      <c r="L2424" s="18"/>
      <c r="M2424" s="18"/>
      <c r="N2424" s="18"/>
      <c r="O2424" s="18"/>
      <c r="P2424" s="18"/>
      <c r="Q2424" s="18"/>
      <c r="R2424" s="18"/>
      <c r="S2424" s="18"/>
      <c r="T2424" s="18"/>
      <c r="U2424" s="18"/>
      <c r="V2424" s="18"/>
      <c r="W2424" s="18"/>
      <c r="X2424" s="18"/>
      <c r="Y2424" s="18"/>
      <c r="Z2424" s="18"/>
    </row>
    <row r="2425" ht="22.5" customHeight="1">
      <c r="A2425" s="250"/>
      <c r="B2425" s="218"/>
      <c r="C2425" s="9"/>
      <c r="D2425" s="228"/>
      <c r="E2425" s="216"/>
      <c r="F2425" s="273"/>
      <c r="G2425" s="9"/>
      <c r="H2425" s="234"/>
      <c r="I2425" s="232"/>
      <c r="J2425" s="9"/>
      <c r="K2425" s="18"/>
      <c r="L2425" s="18"/>
      <c r="M2425" s="18"/>
      <c r="N2425" s="18"/>
      <c r="O2425" s="18"/>
      <c r="P2425" s="18"/>
      <c r="Q2425" s="18"/>
      <c r="R2425" s="18"/>
      <c r="S2425" s="18"/>
      <c r="T2425" s="18"/>
      <c r="U2425" s="18"/>
      <c r="V2425" s="18"/>
      <c r="W2425" s="18"/>
      <c r="X2425" s="18"/>
      <c r="Y2425" s="18"/>
      <c r="Z2425" s="18"/>
    </row>
    <row r="2426" ht="22.5" customHeight="1">
      <c r="A2426" s="250"/>
      <c r="B2426" s="218"/>
      <c r="C2426" s="9"/>
      <c r="D2426" s="228"/>
      <c r="E2426" s="216"/>
      <c r="F2426" s="273"/>
      <c r="G2426" s="9"/>
      <c r="H2426" s="234"/>
      <c r="I2426" s="232"/>
      <c r="J2426" s="9"/>
      <c r="K2426" s="18"/>
      <c r="L2426" s="18"/>
      <c r="M2426" s="18"/>
      <c r="N2426" s="18"/>
      <c r="O2426" s="18"/>
      <c r="P2426" s="18"/>
      <c r="Q2426" s="18"/>
      <c r="R2426" s="18"/>
      <c r="S2426" s="18"/>
      <c r="T2426" s="18"/>
      <c r="U2426" s="18"/>
      <c r="V2426" s="18"/>
      <c r="W2426" s="18"/>
      <c r="X2426" s="18"/>
      <c r="Y2426" s="18"/>
      <c r="Z2426" s="18"/>
    </row>
    <row r="2427" ht="22.5" customHeight="1">
      <c r="A2427" s="250"/>
      <c r="B2427" s="218"/>
      <c r="C2427" s="9"/>
      <c r="D2427" s="228"/>
      <c r="E2427" s="216"/>
      <c r="F2427" s="273"/>
      <c r="G2427" s="9"/>
      <c r="H2427" s="234"/>
      <c r="I2427" s="232"/>
      <c r="J2427" s="9"/>
      <c r="K2427" s="18"/>
      <c r="L2427" s="18"/>
      <c r="M2427" s="18"/>
      <c r="N2427" s="18"/>
      <c r="O2427" s="18"/>
      <c r="P2427" s="18"/>
      <c r="Q2427" s="18"/>
      <c r="R2427" s="18"/>
      <c r="S2427" s="18"/>
      <c r="T2427" s="18"/>
      <c r="U2427" s="18"/>
      <c r="V2427" s="18"/>
      <c r="W2427" s="18"/>
      <c r="X2427" s="18"/>
      <c r="Y2427" s="18"/>
      <c r="Z2427" s="18"/>
    </row>
    <row r="2428" ht="22.5" customHeight="1">
      <c r="A2428" s="250"/>
      <c r="B2428" s="218"/>
      <c r="C2428" s="9"/>
      <c r="D2428" s="228"/>
      <c r="E2428" s="216"/>
      <c r="F2428" s="273"/>
      <c r="G2428" s="9"/>
      <c r="H2428" s="234"/>
      <c r="I2428" s="232"/>
      <c r="J2428" s="9"/>
      <c r="K2428" s="18"/>
      <c r="L2428" s="18"/>
      <c r="M2428" s="18"/>
      <c r="N2428" s="18"/>
      <c r="O2428" s="18"/>
      <c r="P2428" s="18"/>
      <c r="Q2428" s="18"/>
      <c r="R2428" s="18"/>
      <c r="S2428" s="18"/>
      <c r="T2428" s="18"/>
      <c r="U2428" s="18"/>
      <c r="V2428" s="18"/>
      <c r="W2428" s="18"/>
      <c r="X2428" s="18"/>
      <c r="Y2428" s="18"/>
      <c r="Z2428" s="18"/>
    </row>
    <row r="2429" ht="22.5" customHeight="1">
      <c r="A2429" s="250"/>
      <c r="B2429" s="218"/>
      <c r="C2429" s="9"/>
      <c r="D2429" s="228"/>
      <c r="E2429" s="216"/>
      <c r="F2429" s="273"/>
      <c r="G2429" s="9"/>
      <c r="H2429" s="234"/>
      <c r="I2429" s="232"/>
      <c r="J2429" s="9"/>
      <c r="K2429" s="18"/>
      <c r="L2429" s="18"/>
      <c r="M2429" s="18"/>
      <c r="N2429" s="18"/>
      <c r="O2429" s="18"/>
      <c r="P2429" s="18"/>
      <c r="Q2429" s="18"/>
      <c r="R2429" s="18"/>
      <c r="S2429" s="18"/>
      <c r="T2429" s="18"/>
      <c r="U2429" s="18"/>
      <c r="V2429" s="18"/>
      <c r="W2429" s="18"/>
      <c r="X2429" s="18"/>
      <c r="Y2429" s="18"/>
      <c r="Z2429" s="18"/>
    </row>
    <row r="2430" ht="22.5" customHeight="1">
      <c r="A2430" s="250"/>
      <c r="B2430" s="218"/>
      <c r="C2430" s="9"/>
      <c r="D2430" s="228"/>
      <c r="E2430" s="216"/>
      <c r="F2430" s="273"/>
      <c r="G2430" s="9"/>
      <c r="H2430" s="234"/>
      <c r="I2430" s="232"/>
      <c r="J2430" s="9"/>
      <c r="K2430" s="18"/>
      <c r="L2430" s="18"/>
      <c r="M2430" s="18"/>
      <c r="N2430" s="18"/>
      <c r="O2430" s="18"/>
      <c r="P2430" s="18"/>
      <c r="Q2430" s="18"/>
      <c r="R2430" s="18"/>
      <c r="S2430" s="18"/>
      <c r="T2430" s="18"/>
      <c r="U2430" s="18"/>
      <c r="V2430" s="18"/>
      <c r="W2430" s="18"/>
      <c r="X2430" s="18"/>
      <c r="Y2430" s="18"/>
      <c r="Z2430" s="18"/>
    </row>
    <row r="2431" ht="22.5" customHeight="1">
      <c r="A2431" s="250"/>
      <c r="B2431" s="218"/>
      <c r="C2431" s="9"/>
      <c r="D2431" s="228"/>
      <c r="E2431" s="216"/>
      <c r="F2431" s="273"/>
      <c r="G2431" s="9"/>
      <c r="H2431" s="234"/>
      <c r="I2431" s="232"/>
      <c r="J2431" s="9"/>
      <c r="K2431" s="18"/>
      <c r="L2431" s="18"/>
      <c r="M2431" s="18"/>
      <c r="N2431" s="18"/>
      <c r="O2431" s="18"/>
      <c r="P2431" s="18"/>
      <c r="Q2431" s="18"/>
      <c r="R2431" s="18"/>
      <c r="S2431" s="18"/>
      <c r="T2431" s="18"/>
      <c r="U2431" s="18"/>
      <c r="V2431" s="18"/>
      <c r="W2431" s="18"/>
      <c r="X2431" s="18"/>
      <c r="Y2431" s="18"/>
      <c r="Z2431" s="18"/>
    </row>
    <row r="2432" ht="22.5" customHeight="1">
      <c r="A2432" s="250"/>
      <c r="B2432" s="218"/>
      <c r="C2432" s="9"/>
      <c r="D2432" s="228"/>
      <c r="E2432" s="216"/>
      <c r="F2432" s="273"/>
      <c r="G2432" s="9"/>
      <c r="H2432" s="234"/>
      <c r="I2432" s="232"/>
      <c r="J2432" s="9"/>
      <c r="K2432" s="18"/>
      <c r="L2432" s="18"/>
      <c r="M2432" s="18"/>
      <c r="N2432" s="18"/>
      <c r="O2432" s="18"/>
      <c r="P2432" s="18"/>
      <c r="Q2432" s="18"/>
      <c r="R2432" s="18"/>
      <c r="S2432" s="18"/>
      <c r="T2432" s="18"/>
      <c r="U2432" s="18"/>
      <c r="V2432" s="18"/>
      <c r="W2432" s="18"/>
      <c r="X2432" s="18"/>
      <c r="Y2432" s="18"/>
      <c r="Z2432" s="18"/>
    </row>
    <row r="2433" ht="22.5" customHeight="1">
      <c r="A2433" s="250"/>
      <c r="B2433" s="218"/>
      <c r="C2433" s="9"/>
      <c r="D2433" s="228"/>
      <c r="E2433" s="216"/>
      <c r="F2433" s="273"/>
      <c r="G2433" s="9"/>
      <c r="H2433" s="234"/>
      <c r="I2433" s="232"/>
      <c r="J2433" s="9"/>
      <c r="K2433" s="18"/>
      <c r="L2433" s="18"/>
      <c r="M2433" s="18"/>
      <c r="N2433" s="18"/>
      <c r="O2433" s="18"/>
      <c r="P2433" s="18"/>
      <c r="Q2433" s="18"/>
      <c r="R2433" s="18"/>
      <c r="S2433" s="18"/>
      <c r="T2433" s="18"/>
      <c r="U2433" s="18"/>
      <c r="V2433" s="18"/>
      <c r="W2433" s="18"/>
      <c r="X2433" s="18"/>
      <c r="Y2433" s="18"/>
      <c r="Z2433" s="18"/>
    </row>
    <row r="2434" ht="22.5" customHeight="1">
      <c r="A2434" s="250"/>
      <c r="B2434" s="218"/>
      <c r="C2434" s="9"/>
      <c r="D2434" s="228"/>
      <c r="E2434" s="216"/>
      <c r="F2434" s="273"/>
      <c r="G2434" s="9"/>
      <c r="H2434" s="234"/>
      <c r="I2434" s="232"/>
      <c r="J2434" s="9"/>
      <c r="K2434" s="18"/>
      <c r="L2434" s="18"/>
      <c r="M2434" s="18"/>
      <c r="N2434" s="18"/>
      <c r="O2434" s="18"/>
      <c r="P2434" s="18"/>
      <c r="Q2434" s="18"/>
      <c r="R2434" s="18"/>
      <c r="S2434" s="18"/>
      <c r="T2434" s="18"/>
      <c r="U2434" s="18"/>
      <c r="V2434" s="18"/>
      <c r="W2434" s="18"/>
      <c r="X2434" s="18"/>
      <c r="Y2434" s="18"/>
      <c r="Z2434" s="18"/>
    </row>
    <row r="2435" ht="22.5" customHeight="1">
      <c r="A2435" s="250"/>
      <c r="B2435" s="218"/>
      <c r="C2435" s="9"/>
      <c r="D2435" s="228"/>
      <c r="E2435" s="216"/>
      <c r="F2435" s="273"/>
      <c r="G2435" s="9"/>
      <c r="H2435" s="234"/>
      <c r="I2435" s="232"/>
      <c r="J2435" s="9"/>
      <c r="K2435" s="18"/>
      <c r="L2435" s="18"/>
      <c r="M2435" s="18"/>
      <c r="N2435" s="18"/>
      <c r="O2435" s="18"/>
      <c r="P2435" s="18"/>
      <c r="Q2435" s="18"/>
      <c r="R2435" s="18"/>
      <c r="S2435" s="18"/>
      <c r="T2435" s="18"/>
      <c r="U2435" s="18"/>
      <c r="V2435" s="18"/>
      <c r="W2435" s="18"/>
      <c r="X2435" s="18"/>
      <c r="Y2435" s="18"/>
      <c r="Z2435" s="18"/>
    </row>
    <row r="2436" ht="22.5" customHeight="1">
      <c r="A2436" s="250"/>
      <c r="B2436" s="218"/>
      <c r="C2436" s="9"/>
      <c r="D2436" s="228"/>
      <c r="E2436" s="216"/>
      <c r="F2436" s="273"/>
      <c r="G2436" s="9"/>
      <c r="H2436" s="234"/>
      <c r="I2436" s="232"/>
      <c r="J2436" s="9"/>
      <c r="K2436" s="18"/>
      <c r="L2436" s="18"/>
      <c r="M2436" s="18"/>
      <c r="N2436" s="18"/>
      <c r="O2436" s="18"/>
      <c r="P2436" s="18"/>
      <c r="Q2436" s="18"/>
      <c r="R2436" s="18"/>
      <c r="S2436" s="18"/>
      <c r="T2436" s="18"/>
      <c r="U2436" s="18"/>
      <c r="V2436" s="18"/>
      <c r="W2436" s="18"/>
      <c r="X2436" s="18"/>
      <c r="Y2436" s="18"/>
      <c r="Z2436" s="18"/>
    </row>
    <row r="2437" ht="22.5" customHeight="1">
      <c r="A2437" s="250"/>
      <c r="B2437" s="218"/>
      <c r="C2437" s="9"/>
      <c r="D2437" s="228"/>
      <c r="E2437" s="216"/>
      <c r="F2437" s="273"/>
      <c r="G2437" s="9"/>
      <c r="H2437" s="234"/>
      <c r="I2437" s="232"/>
      <c r="J2437" s="9"/>
      <c r="K2437" s="18"/>
      <c r="L2437" s="18"/>
      <c r="M2437" s="18"/>
      <c r="N2437" s="18"/>
      <c r="O2437" s="18"/>
      <c r="P2437" s="18"/>
      <c r="Q2437" s="18"/>
      <c r="R2437" s="18"/>
      <c r="S2437" s="18"/>
      <c r="T2437" s="18"/>
      <c r="U2437" s="18"/>
      <c r="V2437" s="18"/>
      <c r="W2437" s="18"/>
      <c r="X2437" s="18"/>
      <c r="Y2437" s="18"/>
      <c r="Z2437" s="18"/>
    </row>
    <row r="2438" ht="22.5" customHeight="1">
      <c r="A2438" s="250"/>
      <c r="B2438" s="218"/>
      <c r="C2438" s="9"/>
      <c r="D2438" s="228"/>
      <c r="E2438" s="216"/>
      <c r="F2438" s="273"/>
      <c r="G2438" s="9"/>
      <c r="H2438" s="234"/>
      <c r="I2438" s="232"/>
      <c r="J2438" s="9"/>
      <c r="K2438" s="18"/>
      <c r="L2438" s="18"/>
      <c r="M2438" s="18"/>
      <c r="N2438" s="18"/>
      <c r="O2438" s="18"/>
      <c r="P2438" s="18"/>
      <c r="Q2438" s="18"/>
      <c r="R2438" s="18"/>
      <c r="S2438" s="18"/>
      <c r="T2438" s="18"/>
      <c r="U2438" s="18"/>
      <c r="V2438" s="18"/>
      <c r="W2438" s="18"/>
      <c r="X2438" s="18"/>
      <c r="Y2438" s="18"/>
      <c r="Z2438" s="18"/>
    </row>
    <row r="2439" ht="22.5" customHeight="1">
      <c r="A2439" s="250"/>
      <c r="B2439" s="218"/>
      <c r="C2439" s="9"/>
      <c r="D2439" s="228"/>
      <c r="E2439" s="216"/>
      <c r="F2439" s="273"/>
      <c r="G2439" s="9"/>
      <c r="H2439" s="234"/>
      <c r="I2439" s="232"/>
      <c r="J2439" s="9"/>
      <c r="K2439" s="18"/>
      <c r="L2439" s="18"/>
      <c r="M2439" s="18"/>
      <c r="N2439" s="18"/>
      <c r="O2439" s="18"/>
      <c r="P2439" s="18"/>
      <c r="Q2439" s="18"/>
      <c r="R2439" s="18"/>
      <c r="S2439" s="18"/>
      <c r="T2439" s="18"/>
      <c r="U2439" s="18"/>
      <c r="V2439" s="18"/>
      <c r="W2439" s="18"/>
      <c r="X2439" s="18"/>
      <c r="Y2439" s="18"/>
      <c r="Z2439" s="18"/>
    </row>
    <row r="2440" ht="22.5" customHeight="1">
      <c r="A2440" s="250"/>
      <c r="B2440" s="218"/>
      <c r="C2440" s="9"/>
      <c r="D2440" s="228"/>
      <c r="E2440" s="216"/>
      <c r="F2440" s="273"/>
      <c r="G2440" s="9"/>
      <c r="H2440" s="234"/>
      <c r="I2440" s="232"/>
      <c r="J2440" s="9"/>
      <c r="K2440" s="18"/>
      <c r="L2440" s="18"/>
      <c r="M2440" s="18"/>
      <c r="N2440" s="18"/>
      <c r="O2440" s="18"/>
      <c r="P2440" s="18"/>
      <c r="Q2440" s="18"/>
      <c r="R2440" s="18"/>
      <c r="S2440" s="18"/>
      <c r="T2440" s="18"/>
      <c r="U2440" s="18"/>
      <c r="V2440" s="18"/>
      <c r="W2440" s="18"/>
      <c r="X2440" s="18"/>
      <c r="Y2440" s="18"/>
      <c r="Z2440" s="18"/>
    </row>
    <row r="2441" ht="22.5" customHeight="1">
      <c r="A2441" s="250"/>
      <c r="B2441" s="218"/>
      <c r="C2441" s="9"/>
      <c r="D2441" s="228"/>
      <c r="E2441" s="216"/>
      <c r="F2441" s="273"/>
      <c r="G2441" s="9"/>
      <c r="H2441" s="234"/>
      <c r="I2441" s="232"/>
      <c r="J2441" s="9"/>
      <c r="K2441" s="18"/>
      <c r="L2441" s="18"/>
      <c r="M2441" s="18"/>
      <c r="N2441" s="18"/>
      <c r="O2441" s="18"/>
      <c r="P2441" s="18"/>
      <c r="Q2441" s="18"/>
      <c r="R2441" s="18"/>
      <c r="S2441" s="18"/>
      <c r="T2441" s="18"/>
      <c r="U2441" s="18"/>
      <c r="V2441" s="18"/>
      <c r="W2441" s="18"/>
      <c r="X2441" s="18"/>
      <c r="Y2441" s="18"/>
      <c r="Z2441" s="18"/>
    </row>
    <row r="2442" ht="22.5" customHeight="1">
      <c r="A2442" s="250"/>
      <c r="B2442" s="218"/>
      <c r="C2442" s="9"/>
      <c r="D2442" s="228"/>
      <c r="E2442" s="216"/>
      <c r="F2442" s="273"/>
      <c r="G2442" s="9"/>
      <c r="H2442" s="234"/>
      <c r="I2442" s="232"/>
      <c r="J2442" s="9"/>
      <c r="K2442" s="18"/>
      <c r="L2442" s="18"/>
      <c r="M2442" s="18"/>
      <c r="N2442" s="18"/>
      <c r="O2442" s="18"/>
      <c r="P2442" s="18"/>
      <c r="Q2442" s="18"/>
      <c r="R2442" s="18"/>
      <c r="S2442" s="18"/>
      <c r="T2442" s="18"/>
      <c r="U2442" s="18"/>
      <c r="V2442" s="18"/>
      <c r="W2442" s="18"/>
      <c r="X2442" s="18"/>
      <c r="Y2442" s="18"/>
      <c r="Z2442" s="18"/>
    </row>
    <row r="2443" ht="22.5" customHeight="1">
      <c r="A2443" s="250"/>
      <c r="B2443" s="218"/>
      <c r="C2443" s="9"/>
      <c r="D2443" s="228"/>
      <c r="E2443" s="216"/>
      <c r="F2443" s="273"/>
      <c r="G2443" s="9"/>
      <c r="H2443" s="234"/>
      <c r="I2443" s="232"/>
      <c r="J2443" s="9"/>
      <c r="K2443" s="18"/>
      <c r="L2443" s="18"/>
      <c r="M2443" s="18"/>
      <c r="N2443" s="18"/>
      <c r="O2443" s="18"/>
      <c r="P2443" s="18"/>
      <c r="Q2443" s="18"/>
      <c r="R2443" s="18"/>
      <c r="S2443" s="18"/>
      <c r="T2443" s="18"/>
      <c r="U2443" s="18"/>
      <c r="V2443" s="18"/>
      <c r="W2443" s="18"/>
      <c r="X2443" s="18"/>
      <c r="Y2443" s="18"/>
      <c r="Z2443" s="18"/>
    </row>
    <row r="2444" ht="22.5" customHeight="1">
      <c r="A2444" s="250"/>
      <c r="B2444" s="218"/>
      <c r="C2444" s="9"/>
      <c r="D2444" s="228"/>
      <c r="E2444" s="216"/>
      <c r="F2444" s="273"/>
      <c r="G2444" s="9"/>
      <c r="H2444" s="234"/>
      <c r="I2444" s="232"/>
      <c r="J2444" s="9"/>
      <c r="K2444" s="18"/>
      <c r="L2444" s="18"/>
      <c r="M2444" s="18"/>
      <c r="N2444" s="18"/>
      <c r="O2444" s="18"/>
      <c r="P2444" s="18"/>
      <c r="Q2444" s="18"/>
      <c r="R2444" s="18"/>
      <c r="S2444" s="18"/>
      <c r="T2444" s="18"/>
      <c r="U2444" s="18"/>
      <c r="V2444" s="18"/>
      <c r="W2444" s="18"/>
      <c r="X2444" s="18"/>
      <c r="Y2444" s="18"/>
      <c r="Z2444" s="18"/>
    </row>
    <row r="2445" ht="22.5" customHeight="1">
      <c r="A2445" s="250"/>
      <c r="B2445" s="218"/>
      <c r="C2445" s="9"/>
      <c r="D2445" s="228"/>
      <c r="E2445" s="216"/>
      <c r="F2445" s="273"/>
      <c r="G2445" s="9"/>
      <c r="H2445" s="234"/>
      <c r="I2445" s="232"/>
      <c r="J2445" s="9"/>
      <c r="K2445" s="18"/>
      <c r="L2445" s="18"/>
      <c r="M2445" s="18"/>
      <c r="N2445" s="18"/>
      <c r="O2445" s="18"/>
      <c r="P2445" s="18"/>
      <c r="Q2445" s="18"/>
      <c r="R2445" s="18"/>
      <c r="S2445" s="18"/>
      <c r="T2445" s="18"/>
      <c r="U2445" s="18"/>
      <c r="V2445" s="18"/>
      <c r="W2445" s="18"/>
      <c r="X2445" s="18"/>
      <c r="Y2445" s="18"/>
      <c r="Z2445" s="18"/>
    </row>
    <row r="2446" ht="22.5" customHeight="1">
      <c r="A2446" s="250"/>
      <c r="B2446" s="218"/>
      <c r="C2446" s="9"/>
      <c r="D2446" s="228"/>
      <c r="E2446" s="216"/>
      <c r="F2446" s="273"/>
      <c r="G2446" s="9"/>
      <c r="H2446" s="234"/>
      <c r="I2446" s="232"/>
      <c r="J2446" s="9"/>
      <c r="K2446" s="18"/>
      <c r="L2446" s="18"/>
      <c r="M2446" s="18"/>
      <c r="N2446" s="18"/>
      <c r="O2446" s="18"/>
      <c r="P2446" s="18"/>
      <c r="Q2446" s="18"/>
      <c r="R2446" s="18"/>
      <c r="S2446" s="18"/>
      <c r="T2446" s="18"/>
      <c r="U2446" s="18"/>
      <c r="V2446" s="18"/>
      <c r="W2446" s="18"/>
      <c r="X2446" s="18"/>
      <c r="Y2446" s="18"/>
      <c r="Z2446" s="18"/>
    </row>
    <row r="2447" ht="22.5" customHeight="1">
      <c r="A2447" s="250"/>
      <c r="B2447" s="218"/>
      <c r="C2447" s="9"/>
      <c r="D2447" s="228"/>
      <c r="E2447" s="216"/>
      <c r="F2447" s="273"/>
      <c r="G2447" s="9"/>
      <c r="H2447" s="234"/>
      <c r="I2447" s="232"/>
      <c r="J2447" s="9"/>
      <c r="K2447" s="18"/>
      <c r="L2447" s="18"/>
      <c r="M2447" s="18"/>
      <c r="N2447" s="18"/>
      <c r="O2447" s="18"/>
      <c r="P2447" s="18"/>
      <c r="Q2447" s="18"/>
      <c r="R2447" s="18"/>
      <c r="S2447" s="18"/>
      <c r="T2447" s="18"/>
      <c r="U2447" s="18"/>
      <c r="V2447" s="18"/>
      <c r="W2447" s="18"/>
      <c r="X2447" s="18"/>
      <c r="Y2447" s="18"/>
      <c r="Z2447" s="18"/>
    </row>
    <row r="2448" ht="22.5" customHeight="1">
      <c r="A2448" s="250"/>
      <c r="B2448" s="218"/>
      <c r="C2448" s="9"/>
      <c r="D2448" s="228"/>
      <c r="E2448" s="216"/>
      <c r="F2448" s="273"/>
      <c r="G2448" s="9"/>
      <c r="H2448" s="234"/>
      <c r="I2448" s="232"/>
      <c r="J2448" s="9"/>
      <c r="K2448" s="18"/>
      <c r="L2448" s="18"/>
      <c r="M2448" s="18"/>
      <c r="N2448" s="18"/>
      <c r="O2448" s="18"/>
      <c r="P2448" s="18"/>
      <c r="Q2448" s="18"/>
      <c r="R2448" s="18"/>
      <c r="S2448" s="18"/>
      <c r="T2448" s="18"/>
      <c r="U2448" s="18"/>
      <c r="V2448" s="18"/>
      <c r="W2448" s="18"/>
      <c r="X2448" s="18"/>
      <c r="Y2448" s="18"/>
      <c r="Z2448" s="18"/>
    </row>
    <row r="2449" ht="22.5" customHeight="1">
      <c r="A2449" s="250"/>
      <c r="B2449" s="218"/>
      <c r="C2449" s="9"/>
      <c r="D2449" s="228"/>
      <c r="E2449" s="216"/>
      <c r="F2449" s="273"/>
      <c r="G2449" s="9"/>
      <c r="H2449" s="234"/>
      <c r="I2449" s="232"/>
      <c r="J2449" s="9"/>
      <c r="K2449" s="18"/>
      <c r="L2449" s="18"/>
      <c r="M2449" s="18"/>
      <c r="N2449" s="18"/>
      <c r="O2449" s="18"/>
      <c r="P2449" s="18"/>
      <c r="Q2449" s="18"/>
      <c r="R2449" s="18"/>
      <c r="S2449" s="18"/>
      <c r="T2449" s="18"/>
      <c r="U2449" s="18"/>
      <c r="V2449" s="18"/>
      <c r="W2449" s="18"/>
      <c r="X2449" s="18"/>
      <c r="Y2449" s="18"/>
      <c r="Z2449" s="18"/>
    </row>
    <row r="2450" ht="22.5" customHeight="1">
      <c r="A2450" s="250"/>
      <c r="B2450" s="218"/>
      <c r="C2450" s="9"/>
      <c r="D2450" s="228"/>
      <c r="E2450" s="216"/>
      <c r="F2450" s="273"/>
      <c r="G2450" s="9"/>
      <c r="H2450" s="234"/>
      <c r="I2450" s="232"/>
      <c r="J2450" s="9"/>
      <c r="K2450" s="18"/>
      <c r="L2450" s="18"/>
      <c r="M2450" s="18"/>
      <c r="N2450" s="18"/>
      <c r="O2450" s="18"/>
      <c r="P2450" s="18"/>
      <c r="Q2450" s="18"/>
      <c r="R2450" s="18"/>
      <c r="S2450" s="18"/>
      <c r="T2450" s="18"/>
      <c r="U2450" s="18"/>
      <c r="V2450" s="18"/>
      <c r="W2450" s="18"/>
      <c r="X2450" s="18"/>
      <c r="Y2450" s="18"/>
      <c r="Z2450" s="18"/>
    </row>
    <row r="2451" ht="22.5" customHeight="1">
      <c r="A2451" s="250"/>
      <c r="B2451" s="218"/>
      <c r="C2451" s="9"/>
      <c r="D2451" s="228"/>
      <c r="E2451" s="216"/>
      <c r="F2451" s="273"/>
      <c r="G2451" s="9"/>
      <c r="H2451" s="234"/>
      <c r="I2451" s="232"/>
      <c r="J2451" s="9"/>
      <c r="K2451" s="18"/>
      <c r="L2451" s="18"/>
      <c r="M2451" s="18"/>
      <c r="N2451" s="18"/>
      <c r="O2451" s="18"/>
      <c r="P2451" s="18"/>
      <c r="Q2451" s="18"/>
      <c r="R2451" s="18"/>
      <c r="S2451" s="18"/>
      <c r="T2451" s="18"/>
      <c r="U2451" s="18"/>
      <c r="V2451" s="18"/>
      <c r="W2451" s="18"/>
      <c r="X2451" s="18"/>
      <c r="Y2451" s="18"/>
      <c r="Z2451" s="18"/>
    </row>
    <row r="2452" ht="22.5" customHeight="1">
      <c r="A2452" s="250"/>
      <c r="B2452" s="218"/>
      <c r="C2452" s="9"/>
      <c r="D2452" s="228"/>
      <c r="E2452" s="216"/>
      <c r="F2452" s="273"/>
      <c r="G2452" s="9"/>
      <c r="H2452" s="234"/>
      <c r="I2452" s="232"/>
      <c r="J2452" s="9"/>
      <c r="K2452" s="18"/>
      <c r="L2452" s="18"/>
      <c r="M2452" s="18"/>
      <c r="N2452" s="18"/>
      <c r="O2452" s="18"/>
      <c r="P2452" s="18"/>
      <c r="Q2452" s="18"/>
      <c r="R2452" s="18"/>
      <c r="S2452" s="18"/>
      <c r="T2452" s="18"/>
      <c r="U2452" s="18"/>
      <c r="V2452" s="18"/>
      <c r="W2452" s="18"/>
      <c r="X2452" s="18"/>
      <c r="Y2452" s="18"/>
      <c r="Z2452" s="18"/>
    </row>
    <row r="2453" ht="22.5" customHeight="1">
      <c r="A2453" s="250"/>
      <c r="B2453" s="218"/>
      <c r="C2453" s="9"/>
      <c r="D2453" s="228"/>
      <c r="E2453" s="216"/>
      <c r="F2453" s="273"/>
      <c r="G2453" s="9"/>
      <c r="H2453" s="234"/>
      <c r="I2453" s="232"/>
      <c r="J2453" s="9"/>
      <c r="K2453" s="18"/>
      <c r="L2453" s="18"/>
      <c r="M2453" s="18"/>
      <c r="N2453" s="18"/>
      <c r="O2453" s="18"/>
      <c r="P2453" s="18"/>
      <c r="Q2453" s="18"/>
      <c r="R2453" s="18"/>
      <c r="S2453" s="18"/>
      <c r="T2453" s="18"/>
      <c r="U2453" s="18"/>
      <c r="V2453" s="18"/>
      <c r="W2453" s="18"/>
      <c r="X2453" s="18"/>
      <c r="Y2453" s="18"/>
      <c r="Z2453" s="18"/>
    </row>
    <row r="2454" ht="22.5" customHeight="1">
      <c r="A2454" s="250"/>
      <c r="B2454" s="218"/>
      <c r="C2454" s="9"/>
      <c r="D2454" s="228"/>
      <c r="E2454" s="216"/>
      <c r="F2454" s="273"/>
      <c r="G2454" s="9"/>
      <c r="H2454" s="234"/>
      <c r="I2454" s="232"/>
      <c r="J2454" s="9"/>
      <c r="K2454" s="18"/>
      <c r="L2454" s="18"/>
      <c r="M2454" s="18"/>
      <c r="N2454" s="18"/>
      <c r="O2454" s="18"/>
      <c r="P2454" s="18"/>
      <c r="Q2454" s="18"/>
      <c r="R2454" s="18"/>
      <c r="S2454" s="18"/>
      <c r="T2454" s="18"/>
      <c r="U2454" s="18"/>
      <c r="V2454" s="18"/>
      <c r="W2454" s="18"/>
      <c r="X2454" s="18"/>
      <c r="Y2454" s="18"/>
      <c r="Z2454" s="18"/>
    </row>
    <row r="2455" ht="22.5" customHeight="1">
      <c r="A2455" s="250"/>
      <c r="B2455" s="218"/>
      <c r="C2455" s="9"/>
      <c r="D2455" s="228"/>
      <c r="E2455" s="216"/>
      <c r="F2455" s="273"/>
      <c r="G2455" s="9"/>
      <c r="H2455" s="234"/>
      <c r="I2455" s="232"/>
      <c r="J2455" s="9"/>
      <c r="K2455" s="18"/>
      <c r="L2455" s="18"/>
      <c r="M2455" s="18"/>
      <c r="N2455" s="18"/>
      <c r="O2455" s="18"/>
      <c r="P2455" s="18"/>
      <c r="Q2455" s="18"/>
      <c r="R2455" s="18"/>
      <c r="S2455" s="18"/>
      <c r="T2455" s="18"/>
      <c r="U2455" s="18"/>
      <c r="V2455" s="18"/>
      <c r="W2455" s="18"/>
      <c r="X2455" s="18"/>
      <c r="Y2455" s="18"/>
      <c r="Z2455" s="18"/>
    </row>
    <row r="2456" ht="22.5" customHeight="1">
      <c r="A2456" s="250"/>
      <c r="B2456" s="218"/>
      <c r="C2456" s="9"/>
      <c r="D2456" s="228"/>
      <c r="E2456" s="216"/>
      <c r="F2456" s="273"/>
      <c r="G2456" s="9"/>
      <c r="H2456" s="234"/>
      <c r="I2456" s="232"/>
      <c r="J2456" s="9"/>
      <c r="K2456" s="18"/>
      <c r="L2456" s="18"/>
      <c r="M2456" s="18"/>
      <c r="N2456" s="18"/>
      <c r="O2456" s="18"/>
      <c r="P2456" s="18"/>
      <c r="Q2456" s="18"/>
      <c r="R2456" s="18"/>
      <c r="S2456" s="18"/>
      <c r="T2456" s="18"/>
      <c r="U2456" s="18"/>
      <c r="V2456" s="18"/>
      <c r="W2456" s="18"/>
      <c r="X2456" s="18"/>
      <c r="Y2456" s="18"/>
      <c r="Z2456" s="18"/>
    </row>
    <row r="2457" ht="22.5" customHeight="1">
      <c r="A2457" s="250"/>
      <c r="B2457" s="218"/>
      <c r="C2457" s="9"/>
      <c r="D2457" s="228"/>
      <c r="E2457" s="216"/>
      <c r="F2457" s="273"/>
      <c r="G2457" s="9"/>
      <c r="H2457" s="234"/>
      <c r="I2457" s="232"/>
      <c r="J2457" s="9"/>
      <c r="K2457" s="18"/>
      <c r="L2457" s="18"/>
      <c r="M2457" s="18"/>
      <c r="N2457" s="18"/>
      <c r="O2457" s="18"/>
      <c r="P2457" s="18"/>
      <c r="Q2457" s="18"/>
      <c r="R2457" s="18"/>
      <c r="S2457" s="18"/>
      <c r="T2457" s="18"/>
      <c r="U2457" s="18"/>
      <c r="V2457" s="18"/>
      <c r="W2457" s="18"/>
      <c r="X2457" s="18"/>
      <c r="Y2457" s="18"/>
      <c r="Z2457" s="18"/>
    </row>
    <row r="2458" ht="22.5" customHeight="1">
      <c r="A2458" s="250"/>
      <c r="B2458" s="218"/>
      <c r="C2458" s="9"/>
      <c r="D2458" s="228"/>
      <c r="E2458" s="216"/>
      <c r="F2458" s="273"/>
      <c r="G2458" s="9"/>
      <c r="H2458" s="234"/>
      <c r="I2458" s="232"/>
      <c r="J2458" s="9"/>
      <c r="K2458" s="18"/>
      <c r="L2458" s="18"/>
      <c r="M2458" s="18"/>
      <c r="N2458" s="18"/>
      <c r="O2458" s="18"/>
      <c r="P2458" s="18"/>
      <c r="Q2458" s="18"/>
      <c r="R2458" s="18"/>
      <c r="S2458" s="18"/>
      <c r="T2458" s="18"/>
      <c r="U2458" s="18"/>
      <c r="V2458" s="18"/>
      <c r="W2458" s="18"/>
      <c r="X2458" s="18"/>
      <c r="Y2458" s="18"/>
      <c r="Z2458" s="18"/>
    </row>
    <row r="2459" ht="22.5" customHeight="1">
      <c r="A2459" s="250"/>
      <c r="B2459" s="218"/>
      <c r="C2459" s="9"/>
      <c r="D2459" s="228"/>
      <c r="E2459" s="216"/>
      <c r="F2459" s="273"/>
      <c r="G2459" s="9"/>
      <c r="H2459" s="234"/>
      <c r="I2459" s="232"/>
      <c r="J2459" s="9"/>
      <c r="K2459" s="18"/>
      <c r="L2459" s="18"/>
      <c r="M2459" s="18"/>
      <c r="N2459" s="18"/>
      <c r="O2459" s="18"/>
      <c r="P2459" s="18"/>
      <c r="Q2459" s="18"/>
      <c r="R2459" s="18"/>
      <c r="S2459" s="18"/>
      <c r="T2459" s="18"/>
      <c r="U2459" s="18"/>
      <c r="V2459" s="18"/>
      <c r="W2459" s="18"/>
      <c r="X2459" s="18"/>
      <c r="Y2459" s="18"/>
      <c r="Z2459" s="18"/>
    </row>
    <row r="2460" ht="22.5" customHeight="1">
      <c r="A2460" s="250"/>
      <c r="B2460" s="218"/>
      <c r="C2460" s="9"/>
      <c r="D2460" s="228"/>
      <c r="E2460" s="216"/>
      <c r="F2460" s="273"/>
      <c r="G2460" s="9"/>
      <c r="H2460" s="234"/>
      <c r="I2460" s="232"/>
      <c r="J2460" s="9"/>
      <c r="K2460" s="18"/>
      <c r="L2460" s="18"/>
      <c r="M2460" s="18"/>
      <c r="N2460" s="18"/>
      <c r="O2460" s="18"/>
      <c r="P2460" s="18"/>
      <c r="Q2460" s="18"/>
      <c r="R2460" s="18"/>
      <c r="S2460" s="18"/>
      <c r="T2460" s="18"/>
      <c r="U2460" s="18"/>
      <c r="V2460" s="18"/>
      <c r="W2460" s="18"/>
      <c r="X2460" s="18"/>
      <c r="Y2460" s="18"/>
      <c r="Z2460" s="18"/>
    </row>
    <row r="2461" ht="22.5" customHeight="1">
      <c r="A2461" s="250"/>
      <c r="B2461" s="218"/>
      <c r="C2461" s="9"/>
      <c r="D2461" s="228"/>
      <c r="E2461" s="216"/>
      <c r="F2461" s="273"/>
      <c r="G2461" s="9"/>
      <c r="H2461" s="234"/>
      <c r="I2461" s="232"/>
      <c r="J2461" s="9"/>
      <c r="K2461" s="18"/>
      <c r="L2461" s="18"/>
      <c r="M2461" s="18"/>
      <c r="N2461" s="18"/>
      <c r="O2461" s="18"/>
      <c r="P2461" s="18"/>
      <c r="Q2461" s="18"/>
      <c r="R2461" s="18"/>
      <c r="S2461" s="18"/>
      <c r="T2461" s="18"/>
      <c r="U2461" s="18"/>
      <c r="V2461" s="18"/>
      <c r="W2461" s="18"/>
      <c r="X2461" s="18"/>
      <c r="Y2461" s="18"/>
      <c r="Z2461" s="18"/>
    </row>
    <row r="2462" ht="22.5" customHeight="1">
      <c r="A2462" s="250"/>
      <c r="B2462" s="218"/>
      <c r="C2462" s="9"/>
      <c r="D2462" s="228"/>
      <c r="E2462" s="216"/>
      <c r="F2462" s="273"/>
      <c r="G2462" s="9"/>
      <c r="H2462" s="234"/>
      <c r="I2462" s="232"/>
      <c r="J2462" s="9"/>
      <c r="K2462" s="18"/>
      <c r="L2462" s="18"/>
      <c r="M2462" s="18"/>
      <c r="N2462" s="18"/>
      <c r="O2462" s="18"/>
      <c r="P2462" s="18"/>
      <c r="Q2462" s="18"/>
      <c r="R2462" s="18"/>
      <c r="S2462" s="18"/>
      <c r="T2462" s="18"/>
      <c r="U2462" s="18"/>
      <c r="V2462" s="18"/>
      <c r="W2462" s="18"/>
      <c r="X2462" s="18"/>
      <c r="Y2462" s="18"/>
      <c r="Z2462" s="18"/>
    </row>
    <row r="2463" ht="22.5" customHeight="1">
      <c r="A2463" s="250"/>
      <c r="B2463" s="218"/>
      <c r="C2463" s="9"/>
      <c r="D2463" s="228"/>
      <c r="E2463" s="216"/>
      <c r="F2463" s="273"/>
      <c r="G2463" s="9"/>
      <c r="H2463" s="234"/>
      <c r="I2463" s="232"/>
      <c r="J2463" s="9"/>
      <c r="K2463" s="18"/>
      <c r="L2463" s="18"/>
      <c r="M2463" s="18"/>
      <c r="N2463" s="18"/>
      <c r="O2463" s="18"/>
      <c r="P2463" s="18"/>
      <c r="Q2463" s="18"/>
      <c r="R2463" s="18"/>
      <c r="S2463" s="18"/>
      <c r="T2463" s="18"/>
      <c r="U2463" s="18"/>
      <c r="V2463" s="18"/>
      <c r="W2463" s="18"/>
      <c r="X2463" s="18"/>
      <c r="Y2463" s="18"/>
      <c r="Z2463" s="18"/>
    </row>
    <row r="2464" ht="22.5" customHeight="1">
      <c r="A2464" s="250"/>
      <c r="B2464" s="218"/>
      <c r="C2464" s="9"/>
      <c r="D2464" s="228"/>
      <c r="E2464" s="216"/>
      <c r="F2464" s="273"/>
      <c r="G2464" s="9"/>
      <c r="H2464" s="234"/>
      <c r="I2464" s="232"/>
      <c r="J2464" s="9"/>
      <c r="K2464" s="18"/>
      <c r="L2464" s="18"/>
      <c r="M2464" s="18"/>
      <c r="N2464" s="18"/>
      <c r="O2464" s="18"/>
      <c r="P2464" s="18"/>
      <c r="Q2464" s="18"/>
      <c r="R2464" s="18"/>
      <c r="S2464" s="18"/>
      <c r="T2464" s="18"/>
      <c r="U2464" s="18"/>
      <c r="V2464" s="18"/>
      <c r="W2464" s="18"/>
      <c r="X2464" s="18"/>
      <c r="Y2464" s="18"/>
      <c r="Z2464" s="18"/>
    </row>
    <row r="2465" ht="22.5" customHeight="1">
      <c r="A2465" s="250"/>
      <c r="B2465" s="218"/>
      <c r="C2465" s="9"/>
      <c r="D2465" s="228"/>
      <c r="E2465" s="216"/>
      <c r="F2465" s="273"/>
      <c r="G2465" s="9"/>
      <c r="H2465" s="234"/>
      <c r="I2465" s="232"/>
      <c r="J2465" s="9"/>
      <c r="K2465" s="18"/>
      <c r="L2465" s="18"/>
      <c r="M2465" s="18"/>
      <c r="N2465" s="18"/>
      <c r="O2465" s="18"/>
      <c r="P2465" s="18"/>
      <c r="Q2465" s="18"/>
      <c r="R2465" s="18"/>
      <c r="S2465" s="18"/>
      <c r="T2465" s="18"/>
      <c r="U2465" s="18"/>
      <c r="V2465" s="18"/>
      <c r="W2465" s="18"/>
      <c r="X2465" s="18"/>
      <c r="Y2465" s="18"/>
      <c r="Z2465" s="18"/>
    </row>
    <row r="2466" ht="22.5" customHeight="1">
      <c r="A2466" s="250"/>
      <c r="B2466" s="218"/>
      <c r="C2466" s="9"/>
      <c r="D2466" s="228"/>
      <c r="E2466" s="216"/>
      <c r="F2466" s="273"/>
      <c r="G2466" s="9"/>
      <c r="H2466" s="234"/>
      <c r="I2466" s="232"/>
      <c r="J2466" s="9"/>
      <c r="K2466" s="18"/>
      <c r="L2466" s="18"/>
      <c r="M2466" s="18"/>
      <c r="N2466" s="18"/>
      <c r="O2466" s="18"/>
      <c r="P2466" s="18"/>
      <c r="Q2466" s="18"/>
      <c r="R2466" s="18"/>
      <c r="S2466" s="18"/>
      <c r="T2466" s="18"/>
      <c r="U2466" s="18"/>
      <c r="V2466" s="18"/>
      <c r="W2466" s="18"/>
      <c r="X2466" s="18"/>
      <c r="Y2466" s="18"/>
      <c r="Z2466" s="18"/>
    </row>
    <row r="2467" ht="22.5" customHeight="1">
      <c r="A2467" s="250"/>
      <c r="B2467" s="218"/>
      <c r="C2467" s="9"/>
      <c r="D2467" s="228"/>
      <c r="E2467" s="216"/>
      <c r="F2467" s="273"/>
      <c r="G2467" s="9"/>
      <c r="H2467" s="234"/>
      <c r="I2467" s="232"/>
      <c r="J2467" s="9"/>
      <c r="K2467" s="18"/>
      <c r="L2467" s="18"/>
      <c r="M2467" s="18"/>
      <c r="N2467" s="18"/>
      <c r="O2467" s="18"/>
      <c r="P2467" s="18"/>
      <c r="Q2467" s="18"/>
      <c r="R2467" s="18"/>
      <c r="S2467" s="18"/>
      <c r="T2467" s="18"/>
      <c r="U2467" s="18"/>
      <c r="V2467" s="18"/>
      <c r="W2467" s="18"/>
      <c r="X2467" s="18"/>
      <c r="Y2467" s="18"/>
      <c r="Z2467" s="18"/>
    </row>
    <row r="2468" ht="22.5" customHeight="1">
      <c r="A2468" s="250"/>
      <c r="B2468" s="218"/>
      <c r="C2468" s="9"/>
      <c r="D2468" s="228"/>
      <c r="E2468" s="216"/>
      <c r="F2468" s="273"/>
      <c r="G2468" s="9"/>
      <c r="H2468" s="234"/>
      <c r="I2468" s="232"/>
      <c r="J2468" s="9"/>
      <c r="K2468" s="18"/>
      <c r="L2468" s="18"/>
      <c r="M2468" s="18"/>
      <c r="N2468" s="18"/>
      <c r="O2468" s="18"/>
      <c r="P2468" s="18"/>
      <c r="Q2468" s="18"/>
      <c r="R2468" s="18"/>
      <c r="S2468" s="18"/>
      <c r="T2468" s="18"/>
      <c r="U2468" s="18"/>
      <c r="V2468" s="18"/>
      <c r="W2468" s="18"/>
      <c r="X2468" s="18"/>
      <c r="Y2468" s="18"/>
      <c r="Z2468" s="18"/>
    </row>
    <row r="2469" ht="22.5" customHeight="1">
      <c r="A2469" s="250"/>
      <c r="B2469" s="218"/>
      <c r="C2469" s="9"/>
      <c r="D2469" s="228"/>
      <c r="E2469" s="216"/>
      <c r="F2469" s="273"/>
      <c r="G2469" s="9"/>
      <c r="H2469" s="234"/>
      <c r="I2469" s="232"/>
      <c r="J2469" s="9"/>
      <c r="K2469" s="18"/>
      <c r="L2469" s="18"/>
      <c r="M2469" s="18"/>
      <c r="N2469" s="18"/>
      <c r="O2469" s="18"/>
      <c r="P2469" s="18"/>
      <c r="Q2469" s="18"/>
      <c r="R2469" s="18"/>
      <c r="S2469" s="18"/>
      <c r="T2469" s="18"/>
      <c r="U2469" s="18"/>
      <c r="V2469" s="18"/>
      <c r="W2469" s="18"/>
      <c r="X2469" s="18"/>
      <c r="Y2469" s="18"/>
      <c r="Z2469" s="18"/>
    </row>
    <row r="2470" ht="22.5" customHeight="1">
      <c r="A2470" s="250"/>
      <c r="B2470" s="218"/>
      <c r="C2470" s="9"/>
      <c r="D2470" s="228"/>
      <c r="E2470" s="216"/>
      <c r="F2470" s="273"/>
      <c r="G2470" s="9"/>
      <c r="H2470" s="234"/>
      <c r="I2470" s="232"/>
      <c r="J2470" s="9"/>
      <c r="K2470" s="18"/>
      <c r="L2470" s="18"/>
      <c r="M2470" s="18"/>
      <c r="N2470" s="18"/>
      <c r="O2470" s="18"/>
      <c r="P2470" s="18"/>
      <c r="Q2470" s="18"/>
      <c r="R2470" s="18"/>
      <c r="S2470" s="18"/>
      <c r="T2470" s="18"/>
      <c r="U2470" s="18"/>
      <c r="V2470" s="18"/>
      <c r="W2470" s="18"/>
      <c r="X2470" s="18"/>
      <c r="Y2470" s="18"/>
      <c r="Z2470" s="18"/>
    </row>
    <row r="2471" ht="22.5" customHeight="1">
      <c r="A2471" s="250"/>
      <c r="B2471" s="218"/>
      <c r="C2471" s="9"/>
      <c r="D2471" s="228"/>
      <c r="E2471" s="216"/>
      <c r="F2471" s="273"/>
      <c r="G2471" s="9"/>
      <c r="H2471" s="234"/>
      <c r="I2471" s="232"/>
      <c r="J2471" s="9"/>
      <c r="K2471" s="18"/>
      <c r="L2471" s="18"/>
      <c r="M2471" s="18"/>
      <c r="N2471" s="18"/>
      <c r="O2471" s="18"/>
      <c r="P2471" s="18"/>
      <c r="Q2471" s="18"/>
      <c r="R2471" s="18"/>
      <c r="S2471" s="18"/>
      <c r="T2471" s="18"/>
      <c r="U2471" s="18"/>
      <c r="V2471" s="18"/>
      <c r="W2471" s="18"/>
      <c r="X2471" s="18"/>
      <c r="Y2471" s="18"/>
      <c r="Z2471" s="18"/>
    </row>
    <row r="2472" ht="22.5" customHeight="1">
      <c r="A2472" s="250"/>
      <c r="B2472" s="218"/>
      <c r="C2472" s="9"/>
      <c r="D2472" s="228"/>
      <c r="E2472" s="216"/>
      <c r="F2472" s="273"/>
      <c r="G2472" s="9"/>
      <c r="H2472" s="234"/>
      <c r="I2472" s="232"/>
      <c r="J2472" s="9"/>
      <c r="K2472" s="18"/>
      <c r="L2472" s="18"/>
      <c r="M2472" s="18"/>
      <c r="N2472" s="18"/>
      <c r="O2472" s="18"/>
      <c r="P2472" s="18"/>
      <c r="Q2472" s="18"/>
      <c r="R2472" s="18"/>
      <c r="S2472" s="18"/>
      <c r="T2472" s="18"/>
      <c r="U2472" s="18"/>
      <c r="V2472" s="18"/>
      <c r="W2472" s="18"/>
      <c r="X2472" s="18"/>
      <c r="Y2472" s="18"/>
      <c r="Z2472" s="18"/>
    </row>
    <row r="2473" ht="22.5" customHeight="1">
      <c r="A2473" s="250"/>
      <c r="B2473" s="218"/>
      <c r="C2473" s="9"/>
      <c r="D2473" s="228"/>
      <c r="E2473" s="216"/>
      <c r="F2473" s="273"/>
      <c r="G2473" s="9"/>
      <c r="H2473" s="234"/>
      <c r="I2473" s="232"/>
      <c r="J2473" s="9"/>
      <c r="K2473" s="18"/>
      <c r="L2473" s="18"/>
      <c r="M2473" s="18"/>
      <c r="N2473" s="18"/>
      <c r="O2473" s="18"/>
      <c r="P2473" s="18"/>
      <c r="Q2473" s="18"/>
      <c r="R2473" s="18"/>
      <c r="S2473" s="18"/>
      <c r="T2473" s="18"/>
      <c r="U2473" s="18"/>
      <c r="V2473" s="18"/>
      <c r="W2473" s="18"/>
      <c r="X2473" s="18"/>
      <c r="Y2473" s="18"/>
      <c r="Z2473" s="18"/>
    </row>
    <row r="2474" ht="22.5" customHeight="1">
      <c r="A2474" s="250"/>
      <c r="B2474" s="218"/>
      <c r="C2474" s="9"/>
      <c r="D2474" s="228"/>
      <c r="E2474" s="216"/>
      <c r="F2474" s="273"/>
      <c r="G2474" s="9"/>
      <c r="H2474" s="234"/>
      <c r="I2474" s="232"/>
      <c r="J2474" s="9"/>
      <c r="K2474" s="18"/>
      <c r="L2474" s="18"/>
      <c r="M2474" s="18"/>
      <c r="N2474" s="18"/>
      <c r="O2474" s="18"/>
      <c r="P2474" s="18"/>
      <c r="Q2474" s="18"/>
      <c r="R2474" s="18"/>
      <c r="S2474" s="18"/>
      <c r="T2474" s="18"/>
      <c r="U2474" s="18"/>
      <c r="V2474" s="18"/>
      <c r="W2474" s="18"/>
      <c r="X2474" s="18"/>
      <c r="Y2474" s="18"/>
      <c r="Z2474" s="18"/>
    </row>
    <row r="2475" ht="22.5" customHeight="1">
      <c r="A2475" s="250"/>
      <c r="B2475" s="218"/>
      <c r="C2475" s="9"/>
      <c r="D2475" s="228"/>
      <c r="E2475" s="216"/>
      <c r="F2475" s="273"/>
      <c r="G2475" s="9"/>
      <c r="H2475" s="234"/>
      <c r="I2475" s="232"/>
      <c r="J2475" s="9"/>
      <c r="K2475" s="18"/>
      <c r="L2475" s="18"/>
      <c r="M2475" s="18"/>
      <c r="N2475" s="18"/>
      <c r="O2475" s="18"/>
      <c r="P2475" s="18"/>
      <c r="Q2475" s="18"/>
      <c r="R2475" s="18"/>
      <c r="S2475" s="18"/>
      <c r="T2475" s="18"/>
      <c r="U2475" s="18"/>
      <c r="V2475" s="18"/>
      <c r="W2475" s="18"/>
      <c r="X2475" s="18"/>
      <c r="Y2475" s="18"/>
      <c r="Z2475" s="18"/>
    </row>
    <row r="2476" ht="22.5" customHeight="1">
      <c r="A2476" s="250"/>
      <c r="B2476" s="218"/>
      <c r="C2476" s="9"/>
      <c r="D2476" s="228"/>
      <c r="E2476" s="216"/>
      <c r="F2476" s="273"/>
      <c r="G2476" s="9"/>
      <c r="H2476" s="234"/>
      <c r="I2476" s="232"/>
      <c r="J2476" s="9"/>
      <c r="K2476" s="18"/>
      <c r="L2476" s="18"/>
      <c r="M2476" s="18"/>
      <c r="N2476" s="18"/>
      <c r="O2476" s="18"/>
      <c r="P2476" s="18"/>
      <c r="Q2476" s="18"/>
      <c r="R2476" s="18"/>
      <c r="S2476" s="18"/>
      <c r="T2476" s="18"/>
      <c r="U2476" s="18"/>
      <c r="V2476" s="18"/>
      <c r="W2476" s="18"/>
      <c r="X2476" s="18"/>
      <c r="Y2476" s="18"/>
      <c r="Z2476" s="18"/>
    </row>
    <row r="2477" ht="22.5" customHeight="1">
      <c r="A2477" s="250"/>
      <c r="B2477" s="218"/>
      <c r="C2477" s="9"/>
      <c r="D2477" s="228"/>
      <c r="E2477" s="216"/>
      <c r="F2477" s="273"/>
      <c r="G2477" s="9"/>
      <c r="H2477" s="234"/>
      <c r="I2477" s="232"/>
      <c r="J2477" s="9"/>
      <c r="K2477" s="18"/>
      <c r="L2477" s="18"/>
      <c r="M2477" s="18"/>
      <c r="N2477" s="18"/>
      <c r="O2477" s="18"/>
      <c r="P2477" s="18"/>
      <c r="Q2477" s="18"/>
      <c r="R2477" s="18"/>
      <c r="S2477" s="18"/>
      <c r="T2477" s="18"/>
      <c r="U2477" s="18"/>
      <c r="V2477" s="18"/>
      <c r="W2477" s="18"/>
      <c r="X2477" s="18"/>
      <c r="Y2477" s="18"/>
      <c r="Z2477" s="18"/>
    </row>
    <row r="2478" ht="22.5" customHeight="1">
      <c r="A2478" s="250"/>
      <c r="B2478" s="218"/>
      <c r="C2478" s="9"/>
      <c r="D2478" s="228"/>
      <c r="E2478" s="216"/>
      <c r="F2478" s="273"/>
      <c r="G2478" s="9"/>
      <c r="H2478" s="234"/>
      <c r="I2478" s="232"/>
      <c r="J2478" s="9"/>
      <c r="K2478" s="18"/>
      <c r="L2478" s="18"/>
      <c r="M2478" s="18"/>
      <c r="N2478" s="18"/>
      <c r="O2478" s="18"/>
      <c r="P2478" s="18"/>
      <c r="Q2478" s="18"/>
      <c r="R2478" s="18"/>
      <c r="S2478" s="18"/>
      <c r="T2478" s="18"/>
      <c r="U2478" s="18"/>
      <c r="V2478" s="18"/>
      <c r="W2478" s="18"/>
      <c r="X2478" s="18"/>
      <c r="Y2478" s="18"/>
      <c r="Z2478" s="18"/>
    </row>
    <row r="2479" ht="22.5" customHeight="1">
      <c r="A2479" s="250"/>
      <c r="B2479" s="218"/>
      <c r="C2479" s="9"/>
      <c r="D2479" s="228"/>
      <c r="E2479" s="216"/>
      <c r="F2479" s="273"/>
      <c r="G2479" s="9"/>
      <c r="H2479" s="234"/>
      <c r="I2479" s="232"/>
      <c r="J2479" s="9"/>
      <c r="K2479" s="18"/>
      <c r="L2479" s="18"/>
      <c r="M2479" s="18"/>
      <c r="N2479" s="18"/>
      <c r="O2479" s="18"/>
      <c r="P2479" s="18"/>
      <c r="Q2479" s="18"/>
      <c r="R2479" s="18"/>
      <c r="S2479" s="18"/>
      <c r="T2479" s="18"/>
      <c r="U2479" s="18"/>
      <c r="V2479" s="18"/>
      <c r="W2479" s="18"/>
      <c r="X2479" s="18"/>
      <c r="Y2479" s="18"/>
      <c r="Z2479" s="18"/>
    </row>
    <row r="2480" ht="22.5" customHeight="1">
      <c r="A2480" s="250"/>
      <c r="B2480" s="218"/>
      <c r="C2480" s="9"/>
      <c r="D2480" s="228"/>
      <c r="E2480" s="216"/>
      <c r="F2480" s="273"/>
      <c r="G2480" s="9"/>
      <c r="H2480" s="234"/>
      <c r="I2480" s="232"/>
      <c r="J2480" s="9"/>
      <c r="K2480" s="18"/>
      <c r="L2480" s="18"/>
      <c r="M2480" s="18"/>
      <c r="N2480" s="18"/>
      <c r="O2480" s="18"/>
      <c r="P2480" s="18"/>
      <c r="Q2480" s="18"/>
      <c r="R2480" s="18"/>
      <c r="S2480" s="18"/>
      <c r="T2480" s="18"/>
      <c r="U2480" s="18"/>
      <c r="V2480" s="18"/>
      <c r="W2480" s="18"/>
      <c r="X2480" s="18"/>
      <c r="Y2480" s="18"/>
      <c r="Z2480" s="18"/>
    </row>
    <row r="2481" ht="22.5" customHeight="1">
      <c r="A2481" s="250"/>
      <c r="B2481" s="218"/>
      <c r="C2481" s="9"/>
      <c r="D2481" s="228"/>
      <c r="E2481" s="216"/>
      <c r="F2481" s="273"/>
      <c r="G2481" s="9"/>
      <c r="H2481" s="234"/>
      <c r="I2481" s="232"/>
      <c r="J2481" s="9"/>
      <c r="K2481" s="18"/>
      <c r="L2481" s="18"/>
      <c r="M2481" s="18"/>
      <c r="N2481" s="18"/>
      <c r="O2481" s="18"/>
      <c r="P2481" s="18"/>
      <c r="Q2481" s="18"/>
      <c r="R2481" s="18"/>
      <c r="S2481" s="18"/>
      <c r="T2481" s="18"/>
      <c r="U2481" s="18"/>
      <c r="V2481" s="18"/>
      <c r="W2481" s="18"/>
      <c r="X2481" s="18"/>
      <c r="Y2481" s="18"/>
      <c r="Z2481" s="18"/>
    </row>
    <row r="2482" ht="22.5" customHeight="1">
      <c r="A2482" s="250"/>
      <c r="B2482" s="218"/>
      <c r="C2482" s="9"/>
      <c r="D2482" s="228"/>
      <c r="E2482" s="216"/>
      <c r="F2482" s="273"/>
      <c r="G2482" s="9"/>
      <c r="H2482" s="234"/>
      <c r="I2482" s="232"/>
      <c r="J2482" s="9"/>
      <c r="K2482" s="18"/>
      <c r="L2482" s="18"/>
      <c r="M2482" s="18"/>
      <c r="N2482" s="18"/>
      <c r="O2482" s="18"/>
      <c r="P2482" s="18"/>
      <c r="Q2482" s="18"/>
      <c r="R2482" s="18"/>
      <c r="S2482" s="18"/>
      <c r="T2482" s="18"/>
      <c r="U2482" s="18"/>
      <c r="V2482" s="18"/>
      <c r="W2482" s="18"/>
      <c r="X2482" s="18"/>
      <c r="Y2482" s="18"/>
      <c r="Z2482" s="18"/>
    </row>
    <row r="2483" ht="22.5" customHeight="1">
      <c r="A2483" s="250"/>
      <c r="B2483" s="218"/>
      <c r="C2483" s="9"/>
      <c r="D2483" s="228"/>
      <c r="E2483" s="216"/>
      <c r="F2483" s="273"/>
      <c r="G2483" s="9"/>
      <c r="H2483" s="234"/>
      <c r="I2483" s="232"/>
      <c r="J2483" s="9"/>
      <c r="K2483" s="18"/>
      <c r="L2483" s="18"/>
      <c r="M2483" s="18"/>
      <c r="N2483" s="18"/>
      <c r="O2483" s="18"/>
      <c r="P2483" s="18"/>
      <c r="Q2483" s="18"/>
      <c r="R2483" s="18"/>
      <c r="S2483" s="18"/>
      <c r="T2483" s="18"/>
      <c r="U2483" s="18"/>
      <c r="V2483" s="18"/>
      <c r="W2483" s="18"/>
      <c r="X2483" s="18"/>
      <c r="Y2483" s="18"/>
      <c r="Z2483" s="18"/>
    </row>
    <row r="2484" ht="22.5" customHeight="1">
      <c r="A2484" s="250"/>
      <c r="B2484" s="218"/>
      <c r="C2484" s="9"/>
      <c r="D2484" s="228"/>
      <c r="E2484" s="216"/>
      <c r="F2484" s="273"/>
      <c r="G2484" s="9"/>
      <c r="H2484" s="234"/>
      <c r="I2484" s="232"/>
      <c r="J2484" s="9"/>
      <c r="K2484" s="18"/>
      <c r="L2484" s="18"/>
      <c r="M2484" s="18"/>
      <c r="N2484" s="18"/>
      <c r="O2484" s="18"/>
      <c r="P2484" s="18"/>
      <c r="Q2484" s="18"/>
      <c r="R2484" s="18"/>
      <c r="S2484" s="18"/>
      <c r="T2484" s="18"/>
      <c r="U2484" s="18"/>
      <c r="V2484" s="18"/>
      <c r="W2484" s="18"/>
      <c r="X2484" s="18"/>
      <c r="Y2484" s="18"/>
      <c r="Z2484" s="18"/>
    </row>
    <row r="2485" ht="22.5" customHeight="1">
      <c r="A2485" s="250"/>
      <c r="B2485" s="218"/>
      <c r="C2485" s="9"/>
      <c r="D2485" s="228"/>
      <c r="E2485" s="216"/>
      <c r="F2485" s="273"/>
      <c r="G2485" s="9"/>
      <c r="H2485" s="234"/>
      <c r="I2485" s="232"/>
      <c r="J2485" s="9"/>
      <c r="K2485" s="18"/>
      <c r="L2485" s="18"/>
      <c r="M2485" s="18"/>
      <c r="N2485" s="18"/>
      <c r="O2485" s="18"/>
      <c r="P2485" s="18"/>
      <c r="Q2485" s="18"/>
      <c r="R2485" s="18"/>
      <c r="S2485" s="18"/>
      <c r="T2485" s="18"/>
      <c r="U2485" s="18"/>
      <c r="V2485" s="18"/>
      <c r="W2485" s="18"/>
      <c r="X2485" s="18"/>
      <c r="Y2485" s="18"/>
      <c r="Z2485" s="18"/>
    </row>
    <row r="2486" ht="22.5" customHeight="1">
      <c r="A2486" s="250"/>
      <c r="B2486" s="218"/>
      <c r="C2486" s="9"/>
      <c r="D2486" s="228"/>
      <c r="E2486" s="216"/>
      <c r="F2486" s="273"/>
      <c r="G2486" s="9"/>
      <c r="H2486" s="234"/>
      <c r="I2486" s="232"/>
      <c r="J2486" s="9"/>
      <c r="K2486" s="18"/>
      <c r="L2486" s="18"/>
      <c r="M2486" s="18"/>
      <c r="N2486" s="18"/>
      <c r="O2486" s="18"/>
      <c r="P2486" s="18"/>
      <c r="Q2486" s="18"/>
      <c r="R2486" s="18"/>
      <c r="S2486" s="18"/>
      <c r="T2486" s="18"/>
      <c r="U2486" s="18"/>
      <c r="V2486" s="18"/>
      <c r="W2486" s="18"/>
      <c r="X2486" s="18"/>
      <c r="Y2486" s="18"/>
      <c r="Z2486" s="18"/>
    </row>
    <row r="2487" ht="22.5" customHeight="1">
      <c r="A2487" s="250"/>
      <c r="B2487" s="218"/>
      <c r="C2487" s="9"/>
      <c r="D2487" s="228"/>
      <c r="E2487" s="216"/>
      <c r="F2487" s="273"/>
      <c r="G2487" s="9"/>
      <c r="H2487" s="234"/>
      <c r="I2487" s="232"/>
      <c r="J2487" s="9"/>
      <c r="K2487" s="18"/>
      <c r="L2487" s="18"/>
      <c r="M2487" s="18"/>
      <c r="N2487" s="18"/>
      <c r="O2487" s="18"/>
      <c r="P2487" s="18"/>
      <c r="Q2487" s="18"/>
      <c r="R2487" s="18"/>
      <c r="S2487" s="18"/>
      <c r="T2487" s="18"/>
      <c r="U2487" s="18"/>
      <c r="V2487" s="18"/>
      <c r="W2487" s="18"/>
      <c r="X2487" s="18"/>
      <c r="Y2487" s="18"/>
      <c r="Z2487" s="18"/>
    </row>
    <row r="2488" ht="22.5" customHeight="1">
      <c r="A2488" s="250"/>
      <c r="B2488" s="218"/>
      <c r="C2488" s="9"/>
      <c r="D2488" s="228"/>
      <c r="E2488" s="216"/>
      <c r="F2488" s="273"/>
      <c r="G2488" s="9"/>
      <c r="H2488" s="234"/>
      <c r="I2488" s="232"/>
      <c r="J2488" s="9"/>
      <c r="K2488" s="18"/>
      <c r="L2488" s="18"/>
      <c r="M2488" s="18"/>
      <c r="N2488" s="18"/>
      <c r="O2488" s="18"/>
      <c r="P2488" s="18"/>
      <c r="Q2488" s="18"/>
      <c r="R2488" s="18"/>
      <c r="S2488" s="18"/>
      <c r="T2488" s="18"/>
      <c r="U2488" s="18"/>
      <c r="V2488" s="18"/>
      <c r="W2488" s="18"/>
      <c r="X2488" s="18"/>
      <c r="Y2488" s="18"/>
      <c r="Z2488" s="18"/>
    </row>
    <row r="2489" ht="22.5" customHeight="1">
      <c r="A2489" s="250"/>
      <c r="B2489" s="218"/>
      <c r="C2489" s="9"/>
      <c r="D2489" s="228"/>
      <c r="E2489" s="216"/>
      <c r="F2489" s="273"/>
      <c r="G2489" s="9"/>
      <c r="H2489" s="234"/>
      <c r="I2489" s="232"/>
      <c r="J2489" s="9"/>
      <c r="K2489" s="18"/>
      <c r="L2489" s="18"/>
      <c r="M2489" s="18"/>
      <c r="N2489" s="18"/>
      <c r="O2489" s="18"/>
      <c r="P2489" s="18"/>
      <c r="Q2489" s="18"/>
      <c r="R2489" s="18"/>
      <c r="S2489" s="18"/>
      <c r="T2489" s="18"/>
      <c r="U2489" s="18"/>
      <c r="V2489" s="18"/>
      <c r="W2489" s="18"/>
      <c r="X2489" s="18"/>
      <c r="Y2489" s="18"/>
      <c r="Z2489" s="18"/>
    </row>
    <row r="2490" ht="22.5" customHeight="1">
      <c r="A2490" s="250"/>
      <c r="B2490" s="218"/>
      <c r="C2490" s="9"/>
      <c r="D2490" s="228"/>
      <c r="E2490" s="216"/>
      <c r="F2490" s="273"/>
      <c r="G2490" s="9"/>
      <c r="H2490" s="234"/>
      <c r="I2490" s="232"/>
      <c r="J2490" s="9"/>
      <c r="K2490" s="18"/>
      <c r="L2490" s="18"/>
      <c r="M2490" s="18"/>
      <c r="N2490" s="18"/>
      <c r="O2490" s="18"/>
      <c r="P2490" s="18"/>
      <c r="Q2490" s="18"/>
      <c r="R2490" s="18"/>
      <c r="S2490" s="18"/>
      <c r="T2490" s="18"/>
      <c r="U2490" s="18"/>
      <c r="V2490" s="18"/>
      <c r="W2490" s="18"/>
      <c r="X2490" s="18"/>
      <c r="Y2490" s="18"/>
      <c r="Z2490" s="18"/>
    </row>
    <row r="2491" ht="22.5" customHeight="1">
      <c r="A2491" s="250"/>
      <c r="B2491" s="218"/>
      <c r="C2491" s="9"/>
      <c r="D2491" s="228"/>
      <c r="E2491" s="216"/>
      <c r="F2491" s="273"/>
      <c r="G2491" s="9"/>
      <c r="H2491" s="234"/>
      <c r="I2491" s="232"/>
      <c r="J2491" s="9"/>
      <c r="K2491" s="18"/>
      <c r="L2491" s="18"/>
      <c r="M2491" s="18"/>
      <c r="N2491" s="18"/>
      <c r="O2491" s="18"/>
      <c r="P2491" s="18"/>
      <c r="Q2491" s="18"/>
      <c r="R2491" s="18"/>
      <c r="S2491" s="18"/>
      <c r="T2491" s="18"/>
      <c r="U2491" s="18"/>
      <c r="V2491" s="18"/>
      <c r="W2491" s="18"/>
      <c r="X2491" s="18"/>
      <c r="Y2491" s="18"/>
      <c r="Z2491" s="18"/>
    </row>
    <row r="2492" ht="22.5" customHeight="1">
      <c r="A2492" s="250"/>
      <c r="B2492" s="218"/>
      <c r="C2492" s="9"/>
      <c r="D2492" s="228"/>
      <c r="E2492" s="216"/>
      <c r="F2492" s="273"/>
      <c r="G2492" s="9"/>
      <c r="H2492" s="234"/>
      <c r="I2492" s="232"/>
      <c r="J2492" s="9"/>
      <c r="K2492" s="18"/>
      <c r="L2492" s="18"/>
      <c r="M2492" s="18"/>
      <c r="N2492" s="18"/>
      <c r="O2492" s="18"/>
      <c r="P2492" s="18"/>
      <c r="Q2492" s="18"/>
      <c r="R2492" s="18"/>
      <c r="S2492" s="18"/>
      <c r="T2492" s="18"/>
      <c r="U2492" s="18"/>
      <c r="V2492" s="18"/>
      <c r="W2492" s="18"/>
      <c r="X2492" s="18"/>
      <c r="Y2492" s="18"/>
      <c r="Z2492" s="18"/>
    </row>
    <row r="2493" ht="22.5" customHeight="1">
      <c r="A2493" s="250"/>
      <c r="B2493" s="218"/>
      <c r="C2493" s="9"/>
      <c r="D2493" s="228"/>
      <c r="E2493" s="216"/>
      <c r="F2493" s="273"/>
      <c r="G2493" s="9"/>
      <c r="H2493" s="234"/>
      <c r="I2493" s="232"/>
      <c r="J2493" s="9"/>
      <c r="K2493" s="18"/>
      <c r="L2493" s="18"/>
      <c r="M2493" s="18"/>
      <c r="N2493" s="18"/>
      <c r="O2493" s="18"/>
      <c r="P2493" s="18"/>
      <c r="Q2493" s="18"/>
      <c r="R2493" s="18"/>
      <c r="S2493" s="18"/>
      <c r="T2493" s="18"/>
      <c r="U2493" s="18"/>
      <c r="V2493" s="18"/>
      <c r="W2493" s="18"/>
      <c r="X2493" s="18"/>
      <c r="Y2493" s="18"/>
      <c r="Z2493" s="18"/>
    </row>
    <row r="2494" ht="22.5" customHeight="1">
      <c r="A2494" s="250"/>
      <c r="B2494" s="218"/>
      <c r="C2494" s="9"/>
      <c r="D2494" s="228"/>
      <c r="E2494" s="216"/>
      <c r="F2494" s="273"/>
      <c r="G2494" s="9"/>
      <c r="H2494" s="234"/>
      <c r="I2494" s="232"/>
      <c r="J2494" s="9"/>
      <c r="K2494" s="18"/>
      <c r="L2494" s="18"/>
      <c r="M2494" s="18"/>
      <c r="N2494" s="18"/>
      <c r="O2494" s="18"/>
      <c r="P2494" s="18"/>
      <c r="Q2494" s="18"/>
      <c r="R2494" s="18"/>
      <c r="S2494" s="18"/>
      <c r="T2494" s="18"/>
      <c r="U2494" s="18"/>
      <c r="V2494" s="18"/>
      <c r="W2494" s="18"/>
      <c r="X2494" s="18"/>
      <c r="Y2494" s="18"/>
      <c r="Z2494" s="18"/>
    </row>
    <row r="2495" ht="22.5" customHeight="1">
      <c r="A2495" s="250"/>
      <c r="B2495" s="218"/>
      <c r="C2495" s="9"/>
      <c r="D2495" s="228"/>
      <c r="E2495" s="216"/>
      <c r="F2495" s="273"/>
      <c r="G2495" s="9"/>
      <c r="H2495" s="234"/>
      <c r="I2495" s="232"/>
      <c r="J2495" s="9"/>
      <c r="K2495" s="18"/>
      <c r="L2495" s="18"/>
      <c r="M2495" s="18"/>
      <c r="N2495" s="18"/>
      <c r="O2495" s="18"/>
      <c r="P2495" s="18"/>
      <c r="Q2495" s="18"/>
      <c r="R2495" s="18"/>
      <c r="S2495" s="18"/>
      <c r="T2495" s="18"/>
      <c r="U2495" s="18"/>
      <c r="V2495" s="18"/>
      <c r="W2495" s="18"/>
      <c r="X2495" s="18"/>
      <c r="Y2495" s="18"/>
      <c r="Z2495" s="18"/>
    </row>
    <row r="2496" ht="22.5" customHeight="1">
      <c r="A2496" s="250"/>
      <c r="B2496" s="218"/>
      <c r="C2496" s="9"/>
      <c r="D2496" s="228"/>
      <c r="E2496" s="216"/>
      <c r="F2496" s="273"/>
      <c r="G2496" s="9"/>
      <c r="H2496" s="234"/>
      <c r="I2496" s="232"/>
      <c r="J2496" s="9"/>
      <c r="K2496" s="18"/>
      <c r="L2496" s="18"/>
      <c r="M2496" s="18"/>
      <c r="N2496" s="18"/>
      <c r="O2496" s="18"/>
      <c r="P2496" s="18"/>
      <c r="Q2496" s="18"/>
      <c r="R2496" s="18"/>
      <c r="S2496" s="18"/>
      <c r="T2496" s="18"/>
      <c r="U2496" s="18"/>
      <c r="V2496" s="18"/>
      <c r="W2496" s="18"/>
      <c r="X2496" s="18"/>
      <c r="Y2496" s="18"/>
      <c r="Z2496" s="18"/>
    </row>
    <row r="2497" ht="22.5" customHeight="1">
      <c r="A2497" s="250"/>
      <c r="B2497" s="218"/>
      <c r="C2497" s="9"/>
      <c r="D2497" s="228"/>
      <c r="E2497" s="216"/>
      <c r="F2497" s="273"/>
      <c r="G2497" s="9"/>
      <c r="H2497" s="234"/>
      <c r="I2497" s="232"/>
      <c r="J2497" s="9"/>
      <c r="K2497" s="18"/>
      <c r="L2497" s="18"/>
      <c r="M2497" s="18"/>
      <c r="N2497" s="18"/>
      <c r="O2497" s="18"/>
      <c r="P2497" s="18"/>
      <c r="Q2497" s="18"/>
      <c r="R2497" s="18"/>
      <c r="S2497" s="18"/>
      <c r="T2497" s="18"/>
      <c r="U2497" s="18"/>
      <c r="V2497" s="18"/>
      <c r="W2497" s="18"/>
      <c r="X2497" s="18"/>
      <c r="Y2497" s="18"/>
      <c r="Z2497" s="18"/>
    </row>
    <row r="2498" ht="22.5" customHeight="1">
      <c r="A2498" s="250"/>
      <c r="B2498" s="218"/>
      <c r="C2498" s="9"/>
      <c r="D2498" s="228"/>
      <c r="E2498" s="216"/>
      <c r="F2498" s="273"/>
      <c r="G2498" s="9"/>
      <c r="H2498" s="234"/>
      <c r="I2498" s="232"/>
      <c r="J2498" s="9"/>
      <c r="K2498" s="18"/>
      <c r="L2498" s="18"/>
      <c r="M2498" s="18"/>
      <c r="N2498" s="18"/>
      <c r="O2498" s="18"/>
      <c r="P2498" s="18"/>
      <c r="Q2498" s="18"/>
      <c r="R2498" s="18"/>
      <c r="S2498" s="18"/>
      <c r="T2498" s="18"/>
      <c r="U2498" s="18"/>
      <c r="V2498" s="18"/>
      <c r="W2498" s="18"/>
      <c r="X2498" s="18"/>
      <c r="Y2498" s="18"/>
      <c r="Z2498" s="18"/>
    </row>
    <row r="2499" ht="22.5" customHeight="1">
      <c r="A2499" s="250"/>
      <c r="B2499" s="218"/>
      <c r="C2499" s="9"/>
      <c r="D2499" s="228"/>
      <c r="E2499" s="216"/>
      <c r="F2499" s="273"/>
      <c r="G2499" s="9"/>
      <c r="H2499" s="234"/>
      <c r="I2499" s="232"/>
      <c r="J2499" s="9"/>
      <c r="K2499" s="18"/>
      <c r="L2499" s="18"/>
      <c r="M2499" s="18"/>
      <c r="N2499" s="18"/>
      <c r="O2499" s="18"/>
      <c r="P2499" s="18"/>
      <c r="Q2499" s="18"/>
      <c r="R2499" s="18"/>
      <c r="S2499" s="18"/>
      <c r="T2499" s="18"/>
      <c r="U2499" s="18"/>
      <c r="V2499" s="18"/>
      <c r="W2499" s="18"/>
      <c r="X2499" s="18"/>
      <c r="Y2499" s="18"/>
      <c r="Z2499" s="18"/>
    </row>
    <row r="2500" ht="22.5" customHeight="1">
      <c r="A2500" s="250"/>
      <c r="B2500" s="218"/>
      <c r="C2500" s="9"/>
      <c r="D2500" s="228"/>
      <c r="E2500" s="216"/>
      <c r="F2500" s="273"/>
      <c r="G2500" s="9"/>
      <c r="H2500" s="234"/>
      <c r="I2500" s="232"/>
      <c r="J2500" s="9"/>
      <c r="K2500" s="18"/>
      <c r="L2500" s="18"/>
      <c r="M2500" s="18"/>
      <c r="N2500" s="18"/>
      <c r="O2500" s="18"/>
      <c r="P2500" s="18"/>
      <c r="Q2500" s="18"/>
      <c r="R2500" s="18"/>
      <c r="S2500" s="18"/>
      <c r="T2500" s="18"/>
      <c r="U2500" s="18"/>
      <c r="V2500" s="18"/>
      <c r="W2500" s="18"/>
      <c r="X2500" s="18"/>
      <c r="Y2500" s="18"/>
      <c r="Z2500" s="18"/>
    </row>
    <row r="2501" ht="22.5" customHeight="1">
      <c r="A2501" s="250"/>
      <c r="B2501" s="218"/>
      <c r="C2501" s="9"/>
      <c r="D2501" s="228"/>
      <c r="E2501" s="216"/>
      <c r="F2501" s="273"/>
      <c r="G2501" s="9"/>
      <c r="H2501" s="234"/>
      <c r="I2501" s="232"/>
      <c r="J2501" s="9"/>
      <c r="K2501" s="18"/>
      <c r="L2501" s="18"/>
      <c r="M2501" s="18"/>
      <c r="N2501" s="18"/>
      <c r="O2501" s="18"/>
      <c r="P2501" s="18"/>
      <c r="Q2501" s="18"/>
      <c r="R2501" s="18"/>
      <c r="S2501" s="18"/>
      <c r="T2501" s="18"/>
      <c r="U2501" s="18"/>
      <c r="V2501" s="18"/>
      <c r="W2501" s="18"/>
      <c r="X2501" s="18"/>
      <c r="Y2501" s="18"/>
      <c r="Z2501" s="18"/>
    </row>
    <row r="2502" ht="22.5" customHeight="1">
      <c r="A2502" s="250"/>
      <c r="B2502" s="218"/>
      <c r="C2502" s="9"/>
      <c r="D2502" s="228"/>
      <c r="E2502" s="216"/>
      <c r="F2502" s="273"/>
      <c r="G2502" s="9"/>
      <c r="H2502" s="234"/>
      <c r="I2502" s="232"/>
      <c r="J2502" s="9"/>
      <c r="K2502" s="18"/>
      <c r="L2502" s="18"/>
      <c r="M2502" s="18"/>
      <c r="N2502" s="18"/>
      <c r="O2502" s="18"/>
      <c r="P2502" s="18"/>
      <c r="Q2502" s="18"/>
      <c r="R2502" s="18"/>
      <c r="S2502" s="18"/>
      <c r="T2502" s="18"/>
      <c r="U2502" s="18"/>
      <c r="V2502" s="18"/>
      <c r="W2502" s="18"/>
      <c r="X2502" s="18"/>
      <c r="Y2502" s="18"/>
      <c r="Z2502" s="18"/>
    </row>
    <row r="2503" ht="22.5" customHeight="1">
      <c r="A2503" s="250"/>
      <c r="B2503" s="218"/>
      <c r="C2503" s="9"/>
      <c r="D2503" s="228"/>
      <c r="E2503" s="216"/>
      <c r="F2503" s="273"/>
      <c r="G2503" s="9"/>
      <c r="H2503" s="234"/>
      <c r="I2503" s="232"/>
      <c r="J2503" s="9"/>
      <c r="K2503" s="18"/>
      <c r="L2503" s="18"/>
      <c r="M2503" s="18"/>
      <c r="N2503" s="18"/>
      <c r="O2503" s="18"/>
      <c r="P2503" s="18"/>
      <c r="Q2503" s="18"/>
      <c r="R2503" s="18"/>
      <c r="S2503" s="18"/>
      <c r="T2503" s="18"/>
      <c r="U2503" s="18"/>
      <c r="V2503" s="18"/>
      <c r="W2503" s="18"/>
      <c r="X2503" s="18"/>
      <c r="Y2503" s="18"/>
      <c r="Z2503" s="18"/>
    </row>
    <row r="2504" ht="22.5" customHeight="1">
      <c r="A2504" s="250"/>
      <c r="B2504" s="218"/>
      <c r="C2504" s="9"/>
      <c r="D2504" s="228"/>
      <c r="E2504" s="216"/>
      <c r="F2504" s="273"/>
      <c r="G2504" s="9"/>
      <c r="H2504" s="234"/>
      <c r="I2504" s="232"/>
      <c r="J2504" s="9"/>
      <c r="K2504" s="18"/>
      <c r="L2504" s="18"/>
      <c r="M2504" s="18"/>
      <c r="N2504" s="18"/>
      <c r="O2504" s="18"/>
      <c r="P2504" s="18"/>
      <c r="Q2504" s="18"/>
      <c r="R2504" s="18"/>
      <c r="S2504" s="18"/>
      <c r="T2504" s="18"/>
      <c r="U2504" s="18"/>
      <c r="V2504" s="18"/>
      <c r="W2504" s="18"/>
      <c r="X2504" s="18"/>
      <c r="Y2504" s="18"/>
      <c r="Z2504" s="18"/>
    </row>
    <row r="2505" ht="22.5" customHeight="1">
      <c r="A2505" s="250"/>
      <c r="B2505" s="218"/>
      <c r="C2505" s="9"/>
      <c r="D2505" s="228"/>
      <c r="E2505" s="216"/>
      <c r="F2505" s="273"/>
      <c r="G2505" s="9"/>
      <c r="H2505" s="234"/>
      <c r="I2505" s="232"/>
      <c r="J2505" s="9"/>
      <c r="K2505" s="18"/>
      <c r="L2505" s="18"/>
      <c r="M2505" s="18"/>
      <c r="N2505" s="18"/>
      <c r="O2505" s="18"/>
      <c r="P2505" s="18"/>
      <c r="Q2505" s="18"/>
      <c r="R2505" s="18"/>
      <c r="S2505" s="18"/>
      <c r="T2505" s="18"/>
      <c r="U2505" s="18"/>
      <c r="V2505" s="18"/>
      <c r="W2505" s="18"/>
      <c r="X2505" s="18"/>
      <c r="Y2505" s="18"/>
      <c r="Z2505" s="18"/>
    </row>
    <row r="2506" ht="22.5" customHeight="1">
      <c r="A2506" s="250"/>
      <c r="B2506" s="218"/>
      <c r="C2506" s="9"/>
      <c r="D2506" s="228"/>
      <c r="E2506" s="216"/>
      <c r="F2506" s="273"/>
      <c r="G2506" s="9"/>
      <c r="H2506" s="234"/>
      <c r="I2506" s="232"/>
      <c r="J2506" s="9"/>
      <c r="K2506" s="18"/>
      <c r="L2506" s="18"/>
      <c r="M2506" s="18"/>
      <c r="N2506" s="18"/>
      <c r="O2506" s="18"/>
      <c r="P2506" s="18"/>
      <c r="Q2506" s="18"/>
      <c r="R2506" s="18"/>
      <c r="S2506" s="18"/>
      <c r="T2506" s="18"/>
      <c r="U2506" s="18"/>
      <c r="V2506" s="18"/>
      <c r="W2506" s="18"/>
      <c r="X2506" s="18"/>
      <c r="Y2506" s="18"/>
      <c r="Z2506" s="18"/>
    </row>
    <row r="2507" ht="22.5" customHeight="1">
      <c r="A2507" s="250"/>
      <c r="B2507" s="218"/>
      <c r="C2507" s="9"/>
      <c r="D2507" s="228"/>
      <c r="E2507" s="216"/>
      <c r="F2507" s="273"/>
      <c r="G2507" s="9"/>
      <c r="H2507" s="234"/>
      <c r="I2507" s="232"/>
      <c r="J2507" s="9"/>
      <c r="K2507" s="18"/>
      <c r="L2507" s="18"/>
      <c r="M2507" s="18"/>
      <c r="N2507" s="18"/>
      <c r="O2507" s="18"/>
      <c r="P2507" s="18"/>
      <c r="Q2507" s="18"/>
      <c r="R2507" s="18"/>
      <c r="S2507" s="18"/>
      <c r="T2507" s="18"/>
      <c r="U2507" s="18"/>
      <c r="V2507" s="18"/>
      <c r="W2507" s="18"/>
      <c r="X2507" s="18"/>
      <c r="Y2507" s="18"/>
      <c r="Z2507" s="18"/>
    </row>
    <row r="2508" ht="22.5" customHeight="1">
      <c r="A2508" s="250"/>
      <c r="B2508" s="218"/>
      <c r="C2508" s="9"/>
      <c r="D2508" s="228"/>
      <c r="E2508" s="216"/>
      <c r="F2508" s="273"/>
      <c r="G2508" s="9"/>
      <c r="H2508" s="234"/>
      <c r="I2508" s="232"/>
      <c r="J2508" s="9"/>
      <c r="K2508" s="18"/>
      <c r="L2508" s="18"/>
      <c r="M2508" s="18"/>
      <c r="N2508" s="18"/>
      <c r="O2508" s="18"/>
      <c r="P2508" s="18"/>
      <c r="Q2508" s="18"/>
      <c r="R2508" s="18"/>
      <c r="S2508" s="18"/>
      <c r="T2508" s="18"/>
      <c r="U2508" s="18"/>
      <c r="V2508" s="18"/>
      <c r="W2508" s="18"/>
      <c r="X2508" s="18"/>
      <c r="Y2508" s="18"/>
      <c r="Z2508" s="18"/>
    </row>
    <row r="2509" ht="22.5" customHeight="1">
      <c r="A2509" s="250"/>
      <c r="B2509" s="218"/>
      <c r="C2509" s="9"/>
      <c r="D2509" s="228"/>
      <c r="E2509" s="216"/>
      <c r="F2509" s="273"/>
      <c r="G2509" s="9"/>
      <c r="H2509" s="234"/>
      <c r="I2509" s="232"/>
      <c r="J2509" s="9"/>
      <c r="K2509" s="18"/>
      <c r="L2509" s="18"/>
      <c r="M2509" s="18"/>
      <c r="N2509" s="18"/>
      <c r="O2509" s="18"/>
      <c r="P2509" s="18"/>
      <c r="Q2509" s="18"/>
      <c r="R2509" s="18"/>
      <c r="S2509" s="18"/>
      <c r="T2509" s="18"/>
      <c r="U2509" s="18"/>
      <c r="V2509" s="18"/>
      <c r="W2509" s="18"/>
      <c r="X2509" s="18"/>
      <c r="Y2509" s="18"/>
      <c r="Z2509" s="18"/>
    </row>
    <row r="2510" ht="22.5" customHeight="1">
      <c r="A2510" s="250"/>
      <c r="B2510" s="218"/>
      <c r="C2510" s="9"/>
      <c r="D2510" s="228"/>
      <c r="E2510" s="216"/>
      <c r="F2510" s="273"/>
      <c r="G2510" s="9"/>
      <c r="H2510" s="234"/>
      <c r="I2510" s="232"/>
      <c r="J2510" s="9"/>
      <c r="K2510" s="18"/>
      <c r="L2510" s="18"/>
      <c r="M2510" s="18"/>
      <c r="N2510" s="18"/>
      <c r="O2510" s="18"/>
      <c r="P2510" s="18"/>
      <c r="Q2510" s="18"/>
      <c r="R2510" s="18"/>
      <c r="S2510" s="18"/>
      <c r="T2510" s="18"/>
      <c r="U2510" s="18"/>
      <c r="V2510" s="18"/>
      <c r="W2510" s="18"/>
      <c r="X2510" s="18"/>
      <c r="Y2510" s="18"/>
      <c r="Z2510" s="18"/>
    </row>
    <row r="2511" ht="22.5" customHeight="1">
      <c r="A2511" s="250"/>
      <c r="B2511" s="218"/>
      <c r="C2511" s="9"/>
      <c r="D2511" s="228"/>
      <c r="E2511" s="216"/>
      <c r="F2511" s="273"/>
      <c r="G2511" s="9"/>
      <c r="H2511" s="234"/>
      <c r="I2511" s="232"/>
      <c r="J2511" s="9"/>
      <c r="K2511" s="18"/>
      <c r="L2511" s="18"/>
      <c r="M2511" s="18"/>
      <c r="N2511" s="18"/>
      <c r="O2511" s="18"/>
      <c r="P2511" s="18"/>
      <c r="Q2511" s="18"/>
      <c r="R2511" s="18"/>
      <c r="S2511" s="18"/>
      <c r="T2511" s="18"/>
      <c r="U2511" s="18"/>
      <c r="V2511" s="18"/>
      <c r="W2511" s="18"/>
      <c r="X2511" s="18"/>
      <c r="Y2511" s="18"/>
      <c r="Z2511" s="18"/>
    </row>
    <row r="2512" ht="22.5" customHeight="1">
      <c r="A2512" s="250"/>
      <c r="B2512" s="218"/>
      <c r="C2512" s="9"/>
      <c r="D2512" s="228"/>
      <c r="E2512" s="216"/>
      <c r="F2512" s="273"/>
      <c r="G2512" s="9"/>
      <c r="H2512" s="234"/>
      <c r="I2512" s="232"/>
      <c r="J2512" s="9"/>
      <c r="K2512" s="18"/>
      <c r="L2512" s="18"/>
      <c r="M2512" s="18"/>
      <c r="N2512" s="18"/>
      <c r="O2512" s="18"/>
      <c r="P2512" s="18"/>
      <c r="Q2512" s="18"/>
      <c r="R2512" s="18"/>
      <c r="S2512" s="18"/>
      <c r="T2512" s="18"/>
      <c r="U2512" s="18"/>
      <c r="V2512" s="18"/>
      <c r="W2512" s="18"/>
      <c r="X2512" s="18"/>
      <c r="Y2512" s="18"/>
      <c r="Z2512" s="18"/>
    </row>
    <row r="2513" ht="22.5" customHeight="1">
      <c r="A2513" s="250"/>
      <c r="B2513" s="218"/>
      <c r="C2513" s="9"/>
      <c r="D2513" s="228"/>
      <c r="E2513" s="216"/>
      <c r="F2513" s="273"/>
      <c r="G2513" s="9"/>
      <c r="H2513" s="234"/>
      <c r="I2513" s="232"/>
      <c r="J2513" s="9"/>
      <c r="K2513" s="18"/>
      <c r="L2513" s="18"/>
      <c r="M2513" s="18"/>
      <c r="N2513" s="18"/>
      <c r="O2513" s="18"/>
      <c r="P2513" s="18"/>
      <c r="Q2513" s="18"/>
      <c r="R2513" s="18"/>
      <c r="S2513" s="18"/>
      <c r="T2513" s="18"/>
      <c r="U2513" s="18"/>
      <c r="V2513" s="18"/>
      <c r="W2513" s="18"/>
      <c r="X2513" s="18"/>
      <c r="Y2513" s="18"/>
      <c r="Z2513" s="18"/>
    </row>
    <row r="2514" ht="22.5" customHeight="1">
      <c r="A2514" s="250"/>
      <c r="B2514" s="218"/>
      <c r="C2514" s="9"/>
      <c r="D2514" s="228"/>
      <c r="E2514" s="216"/>
      <c r="F2514" s="273"/>
      <c r="G2514" s="9"/>
      <c r="H2514" s="234"/>
      <c r="I2514" s="232"/>
      <c r="J2514" s="9"/>
      <c r="K2514" s="18"/>
      <c r="L2514" s="18"/>
      <c r="M2514" s="18"/>
      <c r="N2514" s="18"/>
      <c r="O2514" s="18"/>
      <c r="P2514" s="18"/>
      <c r="Q2514" s="18"/>
      <c r="R2514" s="18"/>
      <c r="S2514" s="18"/>
      <c r="T2514" s="18"/>
      <c r="U2514" s="18"/>
      <c r="V2514" s="18"/>
      <c r="W2514" s="18"/>
      <c r="X2514" s="18"/>
      <c r="Y2514" s="18"/>
      <c r="Z2514" s="18"/>
    </row>
    <row r="2515" ht="22.5" customHeight="1">
      <c r="A2515" s="250"/>
      <c r="B2515" s="218"/>
      <c r="C2515" s="9"/>
      <c r="D2515" s="228"/>
      <c r="E2515" s="216"/>
      <c r="F2515" s="273"/>
      <c r="G2515" s="9"/>
      <c r="H2515" s="234"/>
      <c r="I2515" s="232"/>
      <c r="J2515" s="9"/>
      <c r="K2515" s="18"/>
      <c r="L2515" s="18"/>
      <c r="M2515" s="18"/>
      <c r="N2515" s="18"/>
      <c r="O2515" s="18"/>
      <c r="P2515" s="18"/>
      <c r="Q2515" s="18"/>
      <c r="R2515" s="18"/>
      <c r="S2515" s="18"/>
      <c r="T2515" s="18"/>
      <c r="U2515" s="18"/>
      <c r="V2515" s="18"/>
      <c r="W2515" s="18"/>
      <c r="X2515" s="18"/>
      <c r="Y2515" s="18"/>
      <c r="Z2515" s="18"/>
    </row>
    <row r="2516" ht="22.5" customHeight="1">
      <c r="A2516" s="250"/>
      <c r="B2516" s="218"/>
      <c r="C2516" s="9"/>
      <c r="D2516" s="228"/>
      <c r="E2516" s="216"/>
      <c r="F2516" s="273"/>
      <c r="G2516" s="9"/>
      <c r="H2516" s="234"/>
      <c r="I2516" s="232"/>
      <c r="J2516" s="9"/>
      <c r="K2516" s="18"/>
      <c r="L2516" s="18"/>
      <c r="M2516" s="18"/>
      <c r="N2516" s="18"/>
      <c r="O2516" s="18"/>
      <c r="P2516" s="18"/>
      <c r="Q2516" s="18"/>
      <c r="R2516" s="18"/>
      <c r="S2516" s="18"/>
      <c r="T2516" s="18"/>
      <c r="U2516" s="18"/>
      <c r="V2516" s="18"/>
      <c r="W2516" s="18"/>
      <c r="X2516" s="18"/>
      <c r="Y2516" s="18"/>
      <c r="Z2516" s="18"/>
    </row>
    <row r="2517" ht="22.5" customHeight="1">
      <c r="A2517" s="250"/>
      <c r="B2517" s="218"/>
      <c r="C2517" s="9"/>
      <c r="D2517" s="228"/>
      <c r="E2517" s="216"/>
      <c r="F2517" s="273"/>
      <c r="G2517" s="9"/>
      <c r="H2517" s="234"/>
      <c r="I2517" s="232"/>
      <c r="J2517" s="9"/>
      <c r="K2517" s="18"/>
      <c r="L2517" s="18"/>
      <c r="M2517" s="18"/>
      <c r="N2517" s="18"/>
      <c r="O2517" s="18"/>
      <c r="P2517" s="18"/>
      <c r="Q2517" s="18"/>
      <c r="R2517" s="18"/>
      <c r="S2517" s="18"/>
      <c r="T2517" s="18"/>
      <c r="U2517" s="18"/>
      <c r="V2517" s="18"/>
      <c r="W2517" s="18"/>
      <c r="X2517" s="18"/>
      <c r="Y2517" s="18"/>
      <c r="Z2517" s="18"/>
    </row>
    <row r="2518" ht="22.5" customHeight="1">
      <c r="A2518" s="250"/>
      <c r="B2518" s="218"/>
      <c r="C2518" s="9"/>
      <c r="D2518" s="228"/>
      <c r="E2518" s="216"/>
      <c r="F2518" s="273"/>
      <c r="G2518" s="9"/>
      <c r="H2518" s="234"/>
      <c r="I2518" s="232"/>
      <c r="J2518" s="9"/>
      <c r="K2518" s="18"/>
      <c r="L2518" s="18"/>
      <c r="M2518" s="18"/>
      <c r="N2518" s="18"/>
      <c r="O2518" s="18"/>
      <c r="P2518" s="18"/>
      <c r="Q2518" s="18"/>
      <c r="R2518" s="18"/>
      <c r="S2518" s="18"/>
      <c r="T2518" s="18"/>
      <c r="U2518" s="18"/>
      <c r="V2518" s="18"/>
      <c r="W2518" s="18"/>
      <c r="X2518" s="18"/>
      <c r="Y2518" s="18"/>
      <c r="Z2518" s="18"/>
    </row>
    <row r="2519" ht="22.5" customHeight="1">
      <c r="A2519" s="250"/>
      <c r="B2519" s="218"/>
      <c r="C2519" s="9"/>
      <c r="D2519" s="228"/>
      <c r="E2519" s="216"/>
      <c r="F2519" s="273"/>
      <c r="G2519" s="9"/>
      <c r="H2519" s="234"/>
      <c r="I2519" s="232"/>
      <c r="J2519" s="9"/>
      <c r="K2519" s="18"/>
      <c r="L2519" s="18"/>
      <c r="M2519" s="18"/>
      <c r="N2519" s="18"/>
      <c r="O2519" s="18"/>
      <c r="P2519" s="18"/>
      <c r="Q2519" s="18"/>
      <c r="R2519" s="18"/>
      <c r="S2519" s="18"/>
      <c r="T2519" s="18"/>
      <c r="U2519" s="18"/>
      <c r="V2519" s="18"/>
      <c r="W2519" s="18"/>
      <c r="X2519" s="18"/>
      <c r="Y2519" s="18"/>
      <c r="Z2519" s="18"/>
    </row>
    <row r="2520" ht="22.5" customHeight="1">
      <c r="A2520" s="250"/>
      <c r="B2520" s="218"/>
      <c r="C2520" s="9"/>
      <c r="D2520" s="228"/>
      <c r="E2520" s="216"/>
      <c r="F2520" s="273"/>
      <c r="G2520" s="9"/>
      <c r="H2520" s="234"/>
      <c r="I2520" s="232"/>
      <c r="J2520" s="9"/>
      <c r="K2520" s="18"/>
      <c r="L2520" s="18"/>
      <c r="M2520" s="18"/>
      <c r="N2520" s="18"/>
      <c r="O2520" s="18"/>
      <c r="P2520" s="18"/>
      <c r="Q2520" s="18"/>
      <c r="R2520" s="18"/>
      <c r="S2520" s="18"/>
      <c r="T2520" s="18"/>
      <c r="U2520" s="18"/>
      <c r="V2520" s="18"/>
      <c r="W2520" s="18"/>
      <c r="X2520" s="18"/>
      <c r="Y2520" s="18"/>
      <c r="Z2520" s="18"/>
    </row>
    <row r="2521" ht="22.5" customHeight="1">
      <c r="A2521" s="250"/>
      <c r="B2521" s="218"/>
      <c r="C2521" s="9"/>
      <c r="D2521" s="228"/>
      <c r="E2521" s="216"/>
      <c r="F2521" s="273"/>
      <c r="G2521" s="9"/>
      <c r="H2521" s="234"/>
      <c r="I2521" s="232"/>
      <c r="J2521" s="9"/>
      <c r="K2521" s="18"/>
      <c r="L2521" s="18"/>
      <c r="M2521" s="18"/>
      <c r="N2521" s="18"/>
      <c r="O2521" s="18"/>
      <c r="P2521" s="18"/>
      <c r="Q2521" s="18"/>
      <c r="R2521" s="18"/>
      <c r="S2521" s="18"/>
      <c r="T2521" s="18"/>
      <c r="U2521" s="18"/>
      <c r="V2521" s="18"/>
      <c r="W2521" s="18"/>
      <c r="X2521" s="18"/>
      <c r="Y2521" s="18"/>
      <c r="Z2521" s="18"/>
    </row>
    <row r="2522" ht="22.5" customHeight="1">
      <c r="A2522" s="250"/>
      <c r="B2522" s="218"/>
      <c r="C2522" s="9"/>
      <c r="D2522" s="228"/>
      <c r="E2522" s="216"/>
      <c r="F2522" s="273"/>
      <c r="G2522" s="9"/>
      <c r="H2522" s="234"/>
      <c r="I2522" s="232"/>
      <c r="J2522" s="9"/>
      <c r="K2522" s="18"/>
      <c r="L2522" s="18"/>
      <c r="M2522" s="18"/>
      <c r="N2522" s="18"/>
      <c r="O2522" s="18"/>
      <c r="P2522" s="18"/>
      <c r="Q2522" s="18"/>
      <c r="R2522" s="18"/>
      <c r="S2522" s="18"/>
      <c r="T2522" s="18"/>
      <c r="U2522" s="18"/>
      <c r="V2522" s="18"/>
      <c r="W2522" s="18"/>
      <c r="X2522" s="18"/>
      <c r="Y2522" s="18"/>
      <c r="Z2522" s="18"/>
    </row>
    <row r="2523" ht="22.5" customHeight="1">
      <c r="A2523" s="250"/>
      <c r="B2523" s="218"/>
      <c r="C2523" s="9"/>
      <c r="D2523" s="228"/>
      <c r="E2523" s="216"/>
      <c r="F2523" s="273"/>
      <c r="G2523" s="9"/>
      <c r="H2523" s="234"/>
      <c r="I2523" s="232"/>
      <c r="J2523" s="9"/>
      <c r="K2523" s="18"/>
      <c r="L2523" s="18"/>
      <c r="M2523" s="18"/>
      <c r="N2523" s="18"/>
      <c r="O2523" s="18"/>
      <c r="P2523" s="18"/>
      <c r="Q2523" s="18"/>
      <c r="R2523" s="18"/>
      <c r="S2523" s="18"/>
      <c r="T2523" s="18"/>
      <c r="U2523" s="18"/>
      <c r="V2523" s="18"/>
      <c r="W2523" s="18"/>
      <c r="X2523" s="18"/>
      <c r="Y2523" s="18"/>
      <c r="Z2523" s="18"/>
    </row>
    <row r="2524" ht="22.5" customHeight="1">
      <c r="A2524" s="250"/>
      <c r="B2524" s="218"/>
      <c r="C2524" s="9"/>
      <c r="D2524" s="228"/>
      <c r="E2524" s="216"/>
      <c r="F2524" s="273"/>
      <c r="G2524" s="9"/>
      <c r="H2524" s="234"/>
      <c r="I2524" s="232"/>
      <c r="J2524" s="9"/>
      <c r="K2524" s="18"/>
      <c r="L2524" s="18"/>
      <c r="M2524" s="18"/>
      <c r="N2524" s="18"/>
      <c r="O2524" s="18"/>
      <c r="P2524" s="18"/>
      <c r="Q2524" s="18"/>
      <c r="R2524" s="18"/>
      <c r="S2524" s="18"/>
      <c r="T2524" s="18"/>
      <c r="U2524" s="18"/>
      <c r="V2524" s="18"/>
      <c r="W2524" s="18"/>
      <c r="X2524" s="18"/>
      <c r="Y2524" s="18"/>
      <c r="Z2524" s="18"/>
    </row>
    <row r="2525" ht="22.5" customHeight="1">
      <c r="A2525" s="250"/>
      <c r="B2525" s="218"/>
      <c r="C2525" s="9"/>
      <c r="D2525" s="228"/>
      <c r="E2525" s="216"/>
      <c r="F2525" s="273"/>
      <c r="G2525" s="9"/>
      <c r="H2525" s="234"/>
      <c r="I2525" s="232"/>
      <c r="J2525" s="9"/>
      <c r="K2525" s="18"/>
      <c r="L2525" s="18"/>
      <c r="M2525" s="18"/>
      <c r="N2525" s="18"/>
      <c r="O2525" s="18"/>
      <c r="P2525" s="18"/>
      <c r="Q2525" s="18"/>
      <c r="R2525" s="18"/>
      <c r="S2525" s="18"/>
      <c r="T2525" s="18"/>
      <c r="U2525" s="18"/>
      <c r="V2525" s="18"/>
      <c r="W2525" s="18"/>
      <c r="X2525" s="18"/>
      <c r="Y2525" s="18"/>
      <c r="Z2525" s="18"/>
    </row>
    <row r="2526" ht="22.5" customHeight="1">
      <c r="A2526" s="250"/>
      <c r="B2526" s="218"/>
      <c r="C2526" s="9"/>
      <c r="D2526" s="228"/>
      <c r="E2526" s="216"/>
      <c r="F2526" s="273"/>
      <c r="G2526" s="9"/>
      <c r="H2526" s="234"/>
      <c r="I2526" s="232"/>
      <c r="J2526" s="9"/>
      <c r="K2526" s="18"/>
      <c r="L2526" s="18"/>
      <c r="M2526" s="18"/>
      <c r="N2526" s="18"/>
      <c r="O2526" s="18"/>
      <c r="P2526" s="18"/>
      <c r="Q2526" s="18"/>
      <c r="R2526" s="18"/>
      <c r="S2526" s="18"/>
      <c r="T2526" s="18"/>
      <c r="U2526" s="18"/>
      <c r="V2526" s="18"/>
      <c r="W2526" s="18"/>
      <c r="X2526" s="18"/>
      <c r="Y2526" s="18"/>
      <c r="Z2526" s="18"/>
    </row>
    <row r="2527" ht="22.5" customHeight="1">
      <c r="A2527" s="250"/>
      <c r="B2527" s="218"/>
      <c r="C2527" s="9"/>
      <c r="D2527" s="228"/>
      <c r="E2527" s="216"/>
      <c r="F2527" s="273"/>
      <c r="G2527" s="9"/>
      <c r="H2527" s="234"/>
      <c r="I2527" s="232"/>
      <c r="J2527" s="9"/>
      <c r="K2527" s="18"/>
      <c r="L2527" s="18"/>
      <c r="M2527" s="18"/>
      <c r="N2527" s="18"/>
      <c r="O2527" s="18"/>
      <c r="P2527" s="18"/>
      <c r="Q2527" s="18"/>
      <c r="R2527" s="18"/>
      <c r="S2527" s="18"/>
      <c r="T2527" s="18"/>
      <c r="U2527" s="18"/>
      <c r="V2527" s="18"/>
      <c r="W2527" s="18"/>
      <c r="X2527" s="18"/>
      <c r="Y2527" s="18"/>
      <c r="Z2527" s="18"/>
    </row>
    <row r="2528" ht="22.5" customHeight="1">
      <c r="A2528" s="250"/>
      <c r="B2528" s="218"/>
      <c r="C2528" s="9"/>
      <c r="D2528" s="228"/>
      <c r="E2528" s="216"/>
      <c r="F2528" s="273"/>
      <c r="G2528" s="9"/>
      <c r="H2528" s="234"/>
      <c r="I2528" s="232"/>
      <c r="J2528" s="9"/>
      <c r="K2528" s="18"/>
      <c r="L2528" s="18"/>
      <c r="M2528" s="18"/>
      <c r="N2528" s="18"/>
      <c r="O2528" s="18"/>
      <c r="P2528" s="18"/>
      <c r="Q2528" s="18"/>
      <c r="R2528" s="18"/>
      <c r="S2528" s="18"/>
      <c r="T2528" s="18"/>
      <c r="U2528" s="18"/>
      <c r="V2528" s="18"/>
      <c r="W2528" s="18"/>
      <c r="X2528" s="18"/>
      <c r="Y2528" s="18"/>
      <c r="Z2528" s="18"/>
    </row>
    <row r="2529" ht="22.5" customHeight="1">
      <c r="A2529" s="250"/>
      <c r="B2529" s="218"/>
      <c r="C2529" s="9"/>
      <c r="D2529" s="228"/>
      <c r="E2529" s="216"/>
      <c r="F2529" s="273"/>
      <c r="G2529" s="9"/>
      <c r="H2529" s="234"/>
      <c r="I2529" s="232"/>
      <c r="J2529" s="9"/>
      <c r="K2529" s="18"/>
      <c r="L2529" s="18"/>
      <c r="M2529" s="18"/>
      <c r="N2529" s="18"/>
      <c r="O2529" s="18"/>
      <c r="P2529" s="18"/>
      <c r="Q2529" s="18"/>
      <c r="R2529" s="18"/>
      <c r="S2529" s="18"/>
      <c r="T2529" s="18"/>
      <c r="U2529" s="18"/>
      <c r="V2529" s="18"/>
      <c r="W2529" s="18"/>
      <c r="X2529" s="18"/>
      <c r="Y2529" s="18"/>
      <c r="Z2529" s="18"/>
    </row>
    <row r="2530" ht="22.5" customHeight="1">
      <c r="A2530" s="250"/>
      <c r="B2530" s="218"/>
      <c r="C2530" s="9"/>
      <c r="D2530" s="228"/>
      <c r="E2530" s="216"/>
      <c r="F2530" s="273"/>
      <c r="G2530" s="9"/>
      <c r="H2530" s="234"/>
      <c r="I2530" s="232"/>
      <c r="J2530" s="9"/>
      <c r="K2530" s="18"/>
      <c r="L2530" s="18"/>
      <c r="M2530" s="18"/>
      <c r="N2530" s="18"/>
      <c r="O2530" s="18"/>
      <c r="P2530" s="18"/>
      <c r="Q2530" s="18"/>
      <c r="R2530" s="18"/>
      <c r="S2530" s="18"/>
      <c r="T2530" s="18"/>
      <c r="U2530" s="18"/>
      <c r="V2530" s="18"/>
      <c r="W2530" s="18"/>
      <c r="X2530" s="18"/>
      <c r="Y2530" s="18"/>
      <c r="Z2530" s="18"/>
    </row>
    <row r="2531" ht="22.5" customHeight="1">
      <c r="A2531" s="250"/>
      <c r="B2531" s="218"/>
      <c r="C2531" s="9"/>
      <c r="D2531" s="228"/>
      <c r="E2531" s="216"/>
      <c r="F2531" s="273"/>
      <c r="G2531" s="9"/>
      <c r="H2531" s="234"/>
      <c r="I2531" s="232"/>
      <c r="J2531" s="9"/>
      <c r="K2531" s="18"/>
      <c r="L2531" s="18"/>
      <c r="M2531" s="18"/>
      <c r="N2531" s="18"/>
      <c r="O2531" s="18"/>
      <c r="P2531" s="18"/>
      <c r="Q2531" s="18"/>
      <c r="R2531" s="18"/>
      <c r="S2531" s="18"/>
      <c r="T2531" s="18"/>
      <c r="U2531" s="18"/>
      <c r="V2531" s="18"/>
      <c r="W2531" s="18"/>
      <c r="X2531" s="18"/>
      <c r="Y2531" s="18"/>
      <c r="Z2531" s="18"/>
    </row>
    <row r="2532" ht="22.5" customHeight="1">
      <c r="A2532" s="250"/>
      <c r="B2532" s="218"/>
      <c r="C2532" s="9"/>
      <c r="D2532" s="228"/>
      <c r="E2532" s="216"/>
      <c r="F2532" s="273"/>
      <c r="G2532" s="9"/>
      <c r="H2532" s="234"/>
      <c r="I2532" s="232"/>
      <c r="J2532" s="9"/>
      <c r="K2532" s="18"/>
      <c r="L2532" s="18"/>
      <c r="M2532" s="18"/>
      <c r="N2532" s="18"/>
      <c r="O2532" s="18"/>
      <c r="P2532" s="18"/>
      <c r="Q2532" s="18"/>
      <c r="R2532" s="18"/>
      <c r="S2532" s="18"/>
      <c r="T2532" s="18"/>
      <c r="U2532" s="18"/>
      <c r="V2532" s="18"/>
      <c r="W2532" s="18"/>
      <c r="X2532" s="18"/>
      <c r="Y2532" s="18"/>
      <c r="Z2532" s="18"/>
    </row>
    <row r="2533" ht="22.5" customHeight="1">
      <c r="A2533" s="250"/>
      <c r="B2533" s="218"/>
      <c r="C2533" s="9"/>
      <c r="D2533" s="228"/>
      <c r="E2533" s="216"/>
      <c r="F2533" s="273"/>
      <c r="G2533" s="9"/>
      <c r="H2533" s="234"/>
      <c r="I2533" s="232"/>
      <c r="J2533" s="9"/>
      <c r="K2533" s="18"/>
      <c r="L2533" s="18"/>
      <c r="M2533" s="18"/>
      <c r="N2533" s="18"/>
      <c r="O2533" s="18"/>
      <c r="P2533" s="18"/>
      <c r="Q2533" s="18"/>
      <c r="R2533" s="18"/>
      <c r="S2533" s="18"/>
      <c r="T2533" s="18"/>
      <c r="U2533" s="18"/>
      <c r="V2533" s="18"/>
      <c r="W2533" s="18"/>
      <c r="X2533" s="18"/>
      <c r="Y2533" s="18"/>
      <c r="Z2533" s="18"/>
    </row>
    <row r="2534" ht="22.5" customHeight="1">
      <c r="A2534" s="250"/>
      <c r="B2534" s="218"/>
      <c r="C2534" s="9"/>
      <c r="D2534" s="228"/>
      <c r="E2534" s="216"/>
      <c r="F2534" s="273"/>
      <c r="G2534" s="9"/>
      <c r="H2534" s="234"/>
      <c r="I2534" s="232"/>
      <c r="J2534" s="9"/>
      <c r="K2534" s="18"/>
      <c r="L2534" s="18"/>
      <c r="M2534" s="18"/>
      <c r="N2534" s="18"/>
      <c r="O2534" s="18"/>
      <c r="P2534" s="18"/>
      <c r="Q2534" s="18"/>
      <c r="R2534" s="18"/>
      <c r="S2534" s="18"/>
      <c r="T2534" s="18"/>
      <c r="U2534" s="18"/>
      <c r="V2534" s="18"/>
      <c r="W2534" s="18"/>
      <c r="X2534" s="18"/>
      <c r="Y2534" s="18"/>
      <c r="Z2534" s="18"/>
    </row>
    <row r="2535" ht="22.5" customHeight="1">
      <c r="A2535" s="250"/>
      <c r="B2535" s="218"/>
      <c r="C2535" s="9"/>
      <c r="D2535" s="228"/>
      <c r="E2535" s="216"/>
      <c r="F2535" s="273"/>
      <c r="G2535" s="9"/>
      <c r="H2535" s="234"/>
      <c r="I2535" s="232"/>
      <c r="J2535" s="9"/>
      <c r="K2535" s="18"/>
      <c r="L2535" s="18"/>
      <c r="M2535" s="18"/>
      <c r="N2535" s="18"/>
      <c r="O2535" s="18"/>
      <c r="P2535" s="18"/>
      <c r="Q2535" s="18"/>
      <c r="R2535" s="18"/>
      <c r="S2535" s="18"/>
      <c r="T2535" s="18"/>
      <c r="U2535" s="18"/>
      <c r="V2535" s="18"/>
      <c r="W2535" s="18"/>
      <c r="X2535" s="18"/>
      <c r="Y2535" s="18"/>
      <c r="Z2535" s="18"/>
    </row>
    <row r="2536" ht="22.5" customHeight="1">
      <c r="A2536" s="250"/>
      <c r="B2536" s="218"/>
      <c r="C2536" s="9"/>
      <c r="D2536" s="228"/>
      <c r="E2536" s="216"/>
      <c r="F2536" s="273"/>
      <c r="G2536" s="9"/>
      <c r="H2536" s="234"/>
      <c r="I2536" s="232"/>
      <c r="J2536" s="9"/>
      <c r="K2536" s="18"/>
      <c r="L2536" s="18"/>
      <c r="M2536" s="18"/>
      <c r="N2536" s="18"/>
      <c r="O2536" s="18"/>
      <c r="P2536" s="18"/>
      <c r="Q2536" s="18"/>
      <c r="R2536" s="18"/>
      <c r="S2536" s="18"/>
      <c r="T2536" s="18"/>
      <c r="U2536" s="18"/>
      <c r="V2536" s="18"/>
      <c r="W2536" s="18"/>
      <c r="X2536" s="18"/>
      <c r="Y2536" s="18"/>
      <c r="Z2536" s="18"/>
    </row>
    <row r="2537" ht="22.5" customHeight="1">
      <c r="A2537" s="250"/>
      <c r="B2537" s="218"/>
      <c r="C2537" s="9"/>
      <c r="D2537" s="228"/>
      <c r="E2537" s="216"/>
      <c r="F2537" s="273"/>
      <c r="G2537" s="9"/>
      <c r="H2537" s="234"/>
      <c r="I2537" s="232"/>
      <c r="J2537" s="9"/>
      <c r="K2537" s="18"/>
      <c r="L2537" s="18"/>
      <c r="M2537" s="18"/>
      <c r="N2537" s="18"/>
      <c r="O2537" s="18"/>
      <c r="P2537" s="18"/>
      <c r="Q2537" s="18"/>
      <c r="R2537" s="18"/>
      <c r="S2537" s="18"/>
      <c r="T2537" s="18"/>
      <c r="U2537" s="18"/>
      <c r="V2537" s="18"/>
      <c r="W2537" s="18"/>
      <c r="X2537" s="18"/>
      <c r="Y2537" s="18"/>
      <c r="Z2537" s="18"/>
    </row>
    <row r="2538" ht="22.5" customHeight="1">
      <c r="A2538" s="250"/>
      <c r="B2538" s="218"/>
      <c r="C2538" s="9"/>
      <c r="D2538" s="228"/>
      <c r="E2538" s="216"/>
      <c r="F2538" s="273"/>
      <c r="G2538" s="9"/>
      <c r="H2538" s="234"/>
      <c r="I2538" s="232"/>
      <c r="J2538" s="9"/>
      <c r="K2538" s="18"/>
      <c r="L2538" s="18"/>
      <c r="M2538" s="18"/>
      <c r="N2538" s="18"/>
      <c r="O2538" s="18"/>
      <c r="P2538" s="18"/>
      <c r="Q2538" s="18"/>
      <c r="R2538" s="18"/>
      <c r="S2538" s="18"/>
      <c r="T2538" s="18"/>
      <c r="U2538" s="18"/>
      <c r="V2538" s="18"/>
      <c r="W2538" s="18"/>
      <c r="X2538" s="18"/>
      <c r="Y2538" s="18"/>
      <c r="Z2538" s="18"/>
    </row>
    <row r="2539" ht="22.5" customHeight="1">
      <c r="A2539" s="250"/>
      <c r="B2539" s="218"/>
      <c r="C2539" s="9"/>
      <c r="D2539" s="228"/>
      <c r="E2539" s="216"/>
      <c r="F2539" s="273"/>
      <c r="G2539" s="9"/>
      <c r="H2539" s="234"/>
      <c r="I2539" s="232"/>
      <c r="J2539" s="9"/>
      <c r="K2539" s="18"/>
      <c r="L2539" s="18"/>
      <c r="M2539" s="18"/>
      <c r="N2539" s="18"/>
      <c r="O2539" s="18"/>
      <c r="P2539" s="18"/>
      <c r="Q2539" s="18"/>
      <c r="R2539" s="18"/>
      <c r="S2539" s="18"/>
      <c r="T2539" s="18"/>
      <c r="U2539" s="18"/>
      <c r="V2539" s="18"/>
      <c r="W2539" s="18"/>
      <c r="X2539" s="18"/>
      <c r="Y2539" s="18"/>
      <c r="Z2539" s="18"/>
    </row>
    <row r="2540" ht="22.5" customHeight="1">
      <c r="A2540" s="250"/>
      <c r="B2540" s="218"/>
      <c r="C2540" s="9"/>
      <c r="D2540" s="228"/>
      <c r="E2540" s="216"/>
      <c r="F2540" s="273"/>
      <c r="G2540" s="9"/>
      <c r="H2540" s="234"/>
      <c r="I2540" s="232"/>
      <c r="J2540" s="9"/>
      <c r="K2540" s="18"/>
      <c r="L2540" s="18"/>
      <c r="M2540" s="18"/>
      <c r="N2540" s="18"/>
      <c r="O2540" s="18"/>
      <c r="P2540" s="18"/>
      <c r="Q2540" s="18"/>
      <c r="R2540" s="18"/>
      <c r="S2540" s="18"/>
      <c r="T2540" s="18"/>
      <c r="U2540" s="18"/>
      <c r="V2540" s="18"/>
      <c r="W2540" s="18"/>
      <c r="X2540" s="18"/>
      <c r="Y2540" s="18"/>
      <c r="Z2540" s="18"/>
    </row>
    <row r="2541" ht="22.5" customHeight="1">
      <c r="A2541" s="250"/>
      <c r="B2541" s="218"/>
      <c r="C2541" s="9"/>
      <c r="D2541" s="228"/>
      <c r="E2541" s="216"/>
      <c r="F2541" s="273"/>
      <c r="G2541" s="9"/>
      <c r="H2541" s="234"/>
      <c r="I2541" s="232"/>
      <c r="J2541" s="9"/>
      <c r="K2541" s="18"/>
      <c r="L2541" s="18"/>
      <c r="M2541" s="18"/>
      <c r="N2541" s="18"/>
      <c r="O2541" s="18"/>
      <c r="P2541" s="18"/>
      <c r="Q2541" s="18"/>
      <c r="R2541" s="18"/>
      <c r="S2541" s="18"/>
      <c r="T2541" s="18"/>
      <c r="U2541" s="18"/>
      <c r="V2541" s="18"/>
      <c r="W2541" s="18"/>
      <c r="X2541" s="18"/>
      <c r="Y2541" s="18"/>
      <c r="Z2541" s="18"/>
    </row>
    <row r="2542" ht="22.5" customHeight="1">
      <c r="A2542" s="250"/>
      <c r="B2542" s="218"/>
      <c r="C2542" s="9"/>
      <c r="D2542" s="228"/>
      <c r="E2542" s="216"/>
      <c r="F2542" s="273"/>
      <c r="G2542" s="9"/>
      <c r="H2542" s="234"/>
      <c r="I2542" s="232"/>
      <c r="J2542" s="9"/>
      <c r="K2542" s="18"/>
      <c r="L2542" s="18"/>
      <c r="M2542" s="18"/>
      <c r="N2542" s="18"/>
      <c r="O2542" s="18"/>
      <c r="P2542" s="18"/>
      <c r="Q2542" s="18"/>
      <c r="R2542" s="18"/>
      <c r="S2542" s="18"/>
      <c r="T2542" s="18"/>
      <c r="U2542" s="18"/>
      <c r="V2542" s="18"/>
      <c r="W2542" s="18"/>
      <c r="X2542" s="18"/>
      <c r="Y2542" s="18"/>
      <c r="Z2542" s="18"/>
    </row>
    <row r="2543" ht="22.5" customHeight="1">
      <c r="A2543" s="250"/>
      <c r="B2543" s="218"/>
      <c r="C2543" s="9"/>
      <c r="D2543" s="228"/>
      <c r="E2543" s="216"/>
      <c r="F2543" s="273"/>
      <c r="G2543" s="9"/>
      <c r="H2543" s="234"/>
      <c r="I2543" s="232"/>
      <c r="J2543" s="9"/>
      <c r="K2543" s="18"/>
      <c r="L2543" s="18"/>
      <c r="M2543" s="18"/>
      <c r="N2543" s="18"/>
      <c r="O2543" s="18"/>
      <c r="P2543" s="18"/>
      <c r="Q2543" s="18"/>
      <c r="R2543" s="18"/>
      <c r="S2543" s="18"/>
      <c r="T2543" s="18"/>
      <c r="U2543" s="18"/>
      <c r="V2543" s="18"/>
      <c r="W2543" s="18"/>
      <c r="X2543" s="18"/>
      <c r="Y2543" s="18"/>
      <c r="Z2543" s="18"/>
    </row>
    <row r="2544" ht="22.5" customHeight="1">
      <c r="A2544" s="250"/>
      <c r="B2544" s="218"/>
      <c r="C2544" s="9"/>
      <c r="D2544" s="228"/>
      <c r="E2544" s="216"/>
      <c r="F2544" s="273"/>
      <c r="G2544" s="9"/>
      <c r="H2544" s="234"/>
      <c r="I2544" s="232"/>
      <c r="J2544" s="9"/>
      <c r="K2544" s="18"/>
      <c r="L2544" s="18"/>
      <c r="M2544" s="18"/>
      <c r="N2544" s="18"/>
      <c r="O2544" s="18"/>
      <c r="P2544" s="18"/>
      <c r="Q2544" s="18"/>
      <c r="R2544" s="18"/>
      <c r="S2544" s="18"/>
      <c r="T2544" s="18"/>
      <c r="U2544" s="18"/>
      <c r="V2544" s="18"/>
      <c r="W2544" s="18"/>
      <c r="X2544" s="18"/>
      <c r="Y2544" s="18"/>
      <c r="Z2544" s="18"/>
    </row>
    <row r="2545" ht="22.5" customHeight="1">
      <c r="A2545" s="250"/>
      <c r="B2545" s="218"/>
      <c r="C2545" s="9"/>
      <c r="D2545" s="228"/>
      <c r="E2545" s="216"/>
      <c r="F2545" s="273"/>
      <c r="G2545" s="9"/>
      <c r="H2545" s="234"/>
      <c r="I2545" s="232"/>
      <c r="J2545" s="9"/>
      <c r="K2545" s="18"/>
      <c r="L2545" s="18"/>
      <c r="M2545" s="18"/>
      <c r="N2545" s="18"/>
      <c r="O2545" s="18"/>
      <c r="P2545" s="18"/>
      <c r="Q2545" s="18"/>
      <c r="R2545" s="18"/>
      <c r="S2545" s="18"/>
      <c r="T2545" s="18"/>
      <c r="U2545" s="18"/>
      <c r="V2545" s="18"/>
      <c r="W2545" s="18"/>
      <c r="X2545" s="18"/>
      <c r="Y2545" s="18"/>
      <c r="Z2545" s="18"/>
    </row>
    <row r="2546" ht="22.5" customHeight="1">
      <c r="A2546" s="250"/>
      <c r="B2546" s="218"/>
      <c r="C2546" s="9"/>
      <c r="D2546" s="228"/>
      <c r="E2546" s="216"/>
      <c r="F2546" s="273"/>
      <c r="G2546" s="9"/>
      <c r="H2546" s="234"/>
      <c r="I2546" s="232"/>
      <c r="J2546" s="9"/>
      <c r="K2546" s="18"/>
      <c r="L2546" s="18"/>
      <c r="M2546" s="18"/>
      <c r="N2546" s="18"/>
      <c r="O2546" s="18"/>
      <c r="P2546" s="18"/>
      <c r="Q2546" s="18"/>
      <c r="R2546" s="18"/>
      <c r="S2546" s="18"/>
      <c r="T2546" s="18"/>
      <c r="U2546" s="18"/>
      <c r="V2546" s="18"/>
      <c r="W2546" s="18"/>
      <c r="X2546" s="18"/>
      <c r="Y2546" s="18"/>
      <c r="Z2546" s="18"/>
    </row>
    <row r="2547" ht="22.5" customHeight="1">
      <c r="A2547" s="250"/>
      <c r="B2547" s="218"/>
      <c r="C2547" s="9"/>
      <c r="D2547" s="228"/>
      <c r="E2547" s="216"/>
      <c r="F2547" s="273"/>
      <c r="G2547" s="9"/>
      <c r="H2547" s="234"/>
      <c r="I2547" s="232"/>
      <c r="J2547" s="9"/>
      <c r="K2547" s="18"/>
      <c r="L2547" s="18"/>
      <c r="M2547" s="18"/>
      <c r="N2547" s="18"/>
      <c r="O2547" s="18"/>
      <c r="P2547" s="18"/>
      <c r="Q2547" s="18"/>
      <c r="R2547" s="18"/>
      <c r="S2547" s="18"/>
      <c r="T2547" s="18"/>
      <c r="U2547" s="18"/>
      <c r="V2547" s="18"/>
      <c r="W2547" s="18"/>
      <c r="X2547" s="18"/>
      <c r="Y2547" s="18"/>
      <c r="Z2547" s="18"/>
    </row>
    <row r="2548" ht="22.5" customHeight="1">
      <c r="A2548" s="250"/>
      <c r="B2548" s="218"/>
      <c r="C2548" s="9"/>
      <c r="D2548" s="228"/>
      <c r="E2548" s="216"/>
      <c r="F2548" s="273"/>
      <c r="G2548" s="9"/>
      <c r="H2548" s="234"/>
      <c r="I2548" s="232"/>
      <c r="J2548" s="9"/>
      <c r="K2548" s="18"/>
      <c r="L2548" s="18"/>
      <c r="M2548" s="18"/>
      <c r="N2548" s="18"/>
      <c r="O2548" s="18"/>
      <c r="P2548" s="18"/>
      <c r="Q2548" s="18"/>
      <c r="R2548" s="18"/>
      <c r="S2548" s="18"/>
      <c r="T2548" s="18"/>
      <c r="U2548" s="18"/>
      <c r="V2548" s="18"/>
      <c r="W2548" s="18"/>
      <c r="X2548" s="18"/>
      <c r="Y2548" s="18"/>
      <c r="Z2548" s="18"/>
    </row>
    <row r="2549" ht="22.5" customHeight="1">
      <c r="A2549" s="250"/>
      <c r="B2549" s="218"/>
      <c r="C2549" s="9"/>
      <c r="D2549" s="228"/>
      <c r="E2549" s="216"/>
      <c r="F2549" s="273"/>
      <c r="G2549" s="9"/>
      <c r="H2549" s="234"/>
      <c r="I2549" s="232"/>
      <c r="J2549" s="9"/>
      <c r="K2549" s="18"/>
      <c r="L2549" s="18"/>
      <c r="M2549" s="18"/>
      <c r="N2549" s="18"/>
      <c r="O2549" s="18"/>
      <c r="P2549" s="18"/>
      <c r="Q2549" s="18"/>
      <c r="R2549" s="18"/>
      <c r="S2549" s="18"/>
      <c r="T2549" s="18"/>
      <c r="U2549" s="18"/>
      <c r="V2549" s="18"/>
      <c r="W2549" s="18"/>
      <c r="X2549" s="18"/>
      <c r="Y2549" s="18"/>
      <c r="Z2549" s="18"/>
    </row>
    <row r="2550" ht="22.5" customHeight="1">
      <c r="A2550" s="250"/>
      <c r="B2550" s="218"/>
      <c r="C2550" s="9"/>
      <c r="D2550" s="228"/>
      <c r="E2550" s="216"/>
      <c r="F2550" s="273"/>
      <c r="G2550" s="9"/>
      <c r="H2550" s="234"/>
      <c r="I2550" s="232"/>
      <c r="J2550" s="9"/>
      <c r="K2550" s="18"/>
      <c r="L2550" s="18"/>
      <c r="M2550" s="18"/>
      <c r="N2550" s="18"/>
      <c r="O2550" s="18"/>
      <c r="P2550" s="18"/>
      <c r="Q2550" s="18"/>
      <c r="R2550" s="18"/>
      <c r="S2550" s="18"/>
      <c r="T2550" s="18"/>
      <c r="U2550" s="18"/>
      <c r="V2550" s="18"/>
      <c r="W2550" s="18"/>
      <c r="X2550" s="18"/>
      <c r="Y2550" s="18"/>
      <c r="Z2550" s="18"/>
    </row>
    <row r="2551" ht="22.5" customHeight="1">
      <c r="A2551" s="250"/>
      <c r="B2551" s="218"/>
      <c r="C2551" s="9"/>
      <c r="D2551" s="228"/>
      <c r="E2551" s="216"/>
      <c r="F2551" s="273"/>
      <c r="G2551" s="9"/>
      <c r="H2551" s="234"/>
      <c r="I2551" s="232"/>
      <c r="J2551" s="9"/>
      <c r="K2551" s="18"/>
      <c r="L2551" s="18"/>
      <c r="M2551" s="18"/>
      <c r="N2551" s="18"/>
      <c r="O2551" s="18"/>
      <c r="P2551" s="18"/>
      <c r="Q2551" s="18"/>
      <c r="R2551" s="18"/>
      <c r="S2551" s="18"/>
      <c r="T2551" s="18"/>
      <c r="U2551" s="18"/>
      <c r="V2551" s="18"/>
      <c r="W2551" s="18"/>
      <c r="X2551" s="18"/>
      <c r="Y2551" s="18"/>
      <c r="Z2551" s="18"/>
    </row>
    <row r="2552" ht="22.5" customHeight="1">
      <c r="A2552" s="250"/>
      <c r="B2552" s="218"/>
      <c r="C2552" s="9"/>
      <c r="D2552" s="228"/>
      <c r="E2552" s="216"/>
      <c r="F2552" s="273"/>
      <c r="G2552" s="9"/>
      <c r="H2552" s="234"/>
      <c r="I2552" s="232"/>
      <c r="J2552" s="9"/>
      <c r="K2552" s="18"/>
      <c r="L2552" s="18"/>
      <c r="M2552" s="18"/>
      <c r="N2552" s="18"/>
      <c r="O2552" s="18"/>
      <c r="P2552" s="18"/>
      <c r="Q2552" s="18"/>
      <c r="R2552" s="18"/>
      <c r="S2552" s="18"/>
      <c r="T2552" s="18"/>
      <c r="U2552" s="18"/>
      <c r="V2552" s="18"/>
      <c r="W2552" s="18"/>
      <c r="X2552" s="18"/>
      <c r="Y2552" s="18"/>
      <c r="Z2552" s="18"/>
    </row>
    <row r="2553" ht="22.5" customHeight="1">
      <c r="A2553" s="250"/>
      <c r="B2553" s="218"/>
      <c r="C2553" s="9"/>
      <c r="D2553" s="228"/>
      <c r="E2553" s="216"/>
      <c r="F2553" s="273"/>
      <c r="G2553" s="9"/>
      <c r="H2553" s="234"/>
      <c r="I2553" s="232"/>
      <c r="J2553" s="9"/>
      <c r="K2553" s="18"/>
      <c r="L2553" s="18"/>
      <c r="M2553" s="18"/>
      <c r="N2553" s="18"/>
      <c r="O2553" s="18"/>
      <c r="P2553" s="18"/>
      <c r="Q2553" s="18"/>
      <c r="R2553" s="18"/>
      <c r="S2553" s="18"/>
      <c r="T2553" s="18"/>
      <c r="U2553" s="18"/>
      <c r="V2553" s="18"/>
      <c r="W2553" s="18"/>
      <c r="X2553" s="18"/>
      <c r="Y2553" s="18"/>
      <c r="Z2553" s="18"/>
    </row>
    <row r="2554" ht="22.5" customHeight="1">
      <c r="A2554" s="250"/>
      <c r="B2554" s="218"/>
      <c r="C2554" s="9"/>
      <c r="D2554" s="228"/>
      <c r="E2554" s="216"/>
      <c r="F2554" s="273"/>
      <c r="G2554" s="9"/>
      <c r="H2554" s="234"/>
      <c r="I2554" s="232"/>
      <c r="J2554" s="9"/>
      <c r="K2554" s="18"/>
      <c r="L2554" s="18"/>
      <c r="M2554" s="18"/>
      <c r="N2554" s="18"/>
      <c r="O2554" s="18"/>
      <c r="P2554" s="18"/>
      <c r="Q2554" s="18"/>
      <c r="R2554" s="18"/>
      <c r="S2554" s="18"/>
      <c r="T2554" s="18"/>
      <c r="U2554" s="18"/>
      <c r="V2554" s="18"/>
      <c r="W2554" s="18"/>
      <c r="X2554" s="18"/>
      <c r="Y2554" s="18"/>
      <c r="Z2554" s="18"/>
    </row>
    <row r="2555" ht="22.5" customHeight="1">
      <c r="A2555" s="250"/>
      <c r="B2555" s="218"/>
      <c r="C2555" s="9"/>
      <c r="D2555" s="228"/>
      <c r="E2555" s="216"/>
      <c r="F2555" s="273"/>
      <c r="G2555" s="9"/>
      <c r="H2555" s="234"/>
      <c r="I2555" s="232"/>
      <c r="J2555" s="9"/>
      <c r="K2555" s="18"/>
      <c r="L2555" s="18"/>
      <c r="M2555" s="18"/>
      <c r="N2555" s="18"/>
      <c r="O2555" s="18"/>
      <c r="P2555" s="18"/>
      <c r="Q2555" s="18"/>
      <c r="R2555" s="18"/>
      <c r="S2555" s="18"/>
      <c r="T2555" s="18"/>
      <c r="U2555" s="18"/>
      <c r="V2555" s="18"/>
      <c r="W2555" s="18"/>
      <c r="X2555" s="18"/>
      <c r="Y2555" s="18"/>
      <c r="Z2555" s="18"/>
    </row>
    <row r="2556" ht="22.5" customHeight="1">
      <c r="A2556" s="250"/>
      <c r="B2556" s="218"/>
      <c r="C2556" s="9"/>
      <c r="D2556" s="228"/>
      <c r="E2556" s="216"/>
      <c r="F2556" s="273"/>
      <c r="G2556" s="9"/>
      <c r="H2556" s="234"/>
      <c r="I2556" s="232"/>
      <c r="J2556" s="9"/>
      <c r="K2556" s="18"/>
      <c r="L2556" s="18"/>
      <c r="M2556" s="18"/>
      <c r="N2556" s="18"/>
      <c r="O2556" s="18"/>
      <c r="P2556" s="18"/>
      <c r="Q2556" s="18"/>
      <c r="R2556" s="18"/>
      <c r="S2556" s="18"/>
      <c r="T2556" s="18"/>
      <c r="U2556" s="18"/>
      <c r="V2556" s="18"/>
      <c r="W2556" s="18"/>
      <c r="X2556" s="18"/>
      <c r="Y2556" s="18"/>
      <c r="Z2556" s="18"/>
    </row>
    <row r="2557" ht="22.5" customHeight="1">
      <c r="A2557" s="250"/>
      <c r="B2557" s="218"/>
      <c r="C2557" s="9"/>
      <c r="D2557" s="228"/>
      <c r="E2557" s="216"/>
      <c r="F2557" s="273"/>
      <c r="G2557" s="9"/>
      <c r="H2557" s="234"/>
      <c r="I2557" s="232"/>
      <c r="J2557" s="9"/>
      <c r="K2557" s="18"/>
      <c r="L2557" s="18"/>
      <c r="M2557" s="18"/>
      <c r="N2557" s="18"/>
      <c r="O2557" s="18"/>
      <c r="P2557" s="18"/>
      <c r="Q2557" s="18"/>
      <c r="R2557" s="18"/>
      <c r="S2557" s="18"/>
      <c r="T2557" s="18"/>
      <c r="U2557" s="18"/>
      <c r="V2557" s="18"/>
      <c r="W2557" s="18"/>
      <c r="X2557" s="18"/>
      <c r="Y2557" s="18"/>
      <c r="Z2557" s="18"/>
    </row>
    <row r="2558" ht="22.5" customHeight="1">
      <c r="A2558" s="250"/>
      <c r="B2558" s="218"/>
      <c r="C2558" s="9"/>
      <c r="D2558" s="228"/>
      <c r="E2558" s="216"/>
      <c r="F2558" s="273"/>
      <c r="G2558" s="9"/>
      <c r="H2558" s="234"/>
      <c r="I2558" s="232"/>
      <c r="J2558" s="9"/>
      <c r="K2558" s="18"/>
      <c r="L2558" s="18"/>
      <c r="M2558" s="18"/>
      <c r="N2558" s="18"/>
      <c r="O2558" s="18"/>
      <c r="P2558" s="18"/>
      <c r="Q2558" s="18"/>
      <c r="R2558" s="18"/>
      <c r="S2558" s="18"/>
      <c r="T2558" s="18"/>
      <c r="U2558" s="18"/>
      <c r="V2558" s="18"/>
      <c r="W2558" s="18"/>
      <c r="X2558" s="18"/>
      <c r="Y2558" s="18"/>
      <c r="Z2558" s="18"/>
    </row>
    <row r="2559" ht="22.5" customHeight="1">
      <c r="A2559" s="250"/>
      <c r="B2559" s="218"/>
      <c r="C2559" s="9"/>
      <c r="D2559" s="228"/>
      <c r="E2559" s="216"/>
      <c r="F2559" s="273"/>
      <c r="G2559" s="9"/>
      <c r="H2559" s="234"/>
      <c r="I2559" s="232"/>
      <c r="J2559" s="9"/>
      <c r="K2559" s="18"/>
      <c r="L2559" s="18"/>
      <c r="M2559" s="18"/>
      <c r="N2559" s="18"/>
      <c r="O2559" s="18"/>
      <c r="P2559" s="18"/>
      <c r="Q2559" s="18"/>
      <c r="R2559" s="18"/>
      <c r="S2559" s="18"/>
      <c r="T2559" s="18"/>
      <c r="U2559" s="18"/>
      <c r="V2559" s="18"/>
      <c r="W2559" s="18"/>
      <c r="X2559" s="18"/>
      <c r="Y2559" s="18"/>
      <c r="Z2559" s="18"/>
    </row>
    <row r="2560" ht="22.5" customHeight="1">
      <c r="A2560" s="250"/>
      <c r="B2560" s="218"/>
      <c r="C2560" s="9"/>
      <c r="D2560" s="228"/>
      <c r="E2560" s="216"/>
      <c r="F2560" s="273"/>
      <c r="G2560" s="9"/>
      <c r="H2560" s="234"/>
      <c r="I2560" s="232"/>
      <c r="J2560" s="9"/>
      <c r="K2560" s="18"/>
      <c r="L2560" s="18"/>
      <c r="M2560" s="18"/>
      <c r="N2560" s="18"/>
      <c r="O2560" s="18"/>
      <c r="P2560" s="18"/>
      <c r="Q2560" s="18"/>
      <c r="R2560" s="18"/>
      <c r="S2560" s="18"/>
      <c r="T2560" s="18"/>
      <c r="U2560" s="18"/>
      <c r="V2560" s="18"/>
      <c r="W2560" s="18"/>
      <c r="X2560" s="18"/>
      <c r="Y2560" s="18"/>
      <c r="Z2560" s="18"/>
    </row>
    <row r="2561" ht="22.5" customHeight="1">
      <c r="A2561" s="250"/>
      <c r="B2561" s="218"/>
      <c r="C2561" s="9"/>
      <c r="D2561" s="228"/>
      <c r="E2561" s="216"/>
      <c r="F2561" s="273"/>
      <c r="G2561" s="9"/>
      <c r="H2561" s="234"/>
      <c r="I2561" s="232"/>
      <c r="J2561" s="9"/>
      <c r="K2561" s="18"/>
      <c r="L2561" s="18"/>
      <c r="M2561" s="18"/>
      <c r="N2561" s="18"/>
      <c r="O2561" s="18"/>
      <c r="P2561" s="18"/>
      <c r="Q2561" s="18"/>
      <c r="R2561" s="18"/>
      <c r="S2561" s="18"/>
      <c r="T2561" s="18"/>
      <c r="U2561" s="18"/>
      <c r="V2561" s="18"/>
      <c r="W2561" s="18"/>
      <c r="X2561" s="18"/>
      <c r="Y2561" s="18"/>
      <c r="Z2561" s="18"/>
    </row>
    <row r="2562" ht="22.5" customHeight="1">
      <c r="A2562" s="250"/>
      <c r="B2562" s="218"/>
      <c r="C2562" s="9"/>
      <c r="D2562" s="228"/>
      <c r="E2562" s="216"/>
      <c r="F2562" s="273"/>
      <c r="G2562" s="9"/>
      <c r="H2562" s="234"/>
      <c r="I2562" s="232"/>
      <c r="J2562" s="9"/>
      <c r="K2562" s="18"/>
      <c r="L2562" s="18"/>
      <c r="M2562" s="18"/>
      <c r="N2562" s="18"/>
      <c r="O2562" s="18"/>
      <c r="P2562" s="18"/>
      <c r="Q2562" s="18"/>
      <c r="R2562" s="18"/>
      <c r="S2562" s="18"/>
      <c r="T2562" s="18"/>
      <c r="U2562" s="18"/>
      <c r="V2562" s="18"/>
      <c r="W2562" s="18"/>
      <c r="X2562" s="18"/>
      <c r="Y2562" s="18"/>
      <c r="Z2562" s="18"/>
    </row>
    <row r="2563" ht="22.5" customHeight="1">
      <c r="A2563" s="250"/>
      <c r="B2563" s="218"/>
      <c r="C2563" s="9"/>
      <c r="D2563" s="228"/>
      <c r="E2563" s="216"/>
      <c r="F2563" s="273"/>
      <c r="G2563" s="9"/>
      <c r="H2563" s="234"/>
      <c r="I2563" s="232"/>
      <c r="J2563" s="9"/>
      <c r="K2563" s="18"/>
      <c r="L2563" s="18"/>
      <c r="M2563" s="18"/>
      <c r="N2563" s="18"/>
      <c r="O2563" s="18"/>
      <c r="P2563" s="18"/>
      <c r="Q2563" s="18"/>
      <c r="R2563" s="18"/>
      <c r="S2563" s="18"/>
      <c r="T2563" s="18"/>
      <c r="U2563" s="18"/>
      <c r="V2563" s="18"/>
      <c r="W2563" s="18"/>
      <c r="X2563" s="18"/>
      <c r="Y2563" s="18"/>
      <c r="Z2563" s="18"/>
    </row>
    <row r="2564" ht="22.5" customHeight="1">
      <c r="A2564" s="250"/>
      <c r="B2564" s="218"/>
      <c r="C2564" s="9"/>
      <c r="D2564" s="228"/>
      <c r="E2564" s="216"/>
      <c r="F2564" s="273"/>
      <c r="G2564" s="9"/>
      <c r="H2564" s="234"/>
      <c r="I2564" s="232"/>
      <c r="J2564" s="9"/>
      <c r="K2564" s="18"/>
      <c r="L2564" s="18"/>
      <c r="M2564" s="18"/>
      <c r="N2564" s="18"/>
      <c r="O2564" s="18"/>
      <c r="P2564" s="18"/>
      <c r="Q2564" s="18"/>
      <c r="R2564" s="18"/>
      <c r="S2564" s="18"/>
      <c r="T2564" s="18"/>
      <c r="U2564" s="18"/>
      <c r="V2564" s="18"/>
      <c r="W2564" s="18"/>
      <c r="X2564" s="18"/>
      <c r="Y2564" s="18"/>
      <c r="Z2564" s="18"/>
    </row>
    <row r="2565" ht="22.5" customHeight="1">
      <c r="A2565" s="250"/>
      <c r="B2565" s="218"/>
      <c r="C2565" s="9"/>
      <c r="D2565" s="228"/>
      <c r="E2565" s="216"/>
      <c r="F2565" s="273"/>
      <c r="G2565" s="9"/>
      <c r="H2565" s="234"/>
      <c r="I2565" s="232"/>
      <c r="J2565" s="9"/>
      <c r="K2565" s="18"/>
      <c r="L2565" s="18"/>
      <c r="M2565" s="18"/>
      <c r="N2565" s="18"/>
      <c r="O2565" s="18"/>
      <c r="P2565" s="18"/>
      <c r="Q2565" s="18"/>
      <c r="R2565" s="18"/>
      <c r="S2565" s="18"/>
      <c r="T2565" s="18"/>
      <c r="U2565" s="18"/>
      <c r="V2565" s="18"/>
      <c r="W2565" s="18"/>
      <c r="X2565" s="18"/>
      <c r="Y2565" s="18"/>
      <c r="Z2565" s="18"/>
    </row>
    <row r="2566" ht="22.5" customHeight="1">
      <c r="A2566" s="250"/>
      <c r="B2566" s="218"/>
      <c r="C2566" s="9"/>
      <c r="D2566" s="228"/>
      <c r="E2566" s="216"/>
      <c r="F2566" s="273"/>
      <c r="G2566" s="9"/>
      <c r="H2566" s="234"/>
      <c r="I2566" s="232"/>
      <c r="J2566" s="9"/>
      <c r="K2566" s="18"/>
      <c r="L2566" s="18"/>
      <c r="M2566" s="18"/>
      <c r="N2566" s="18"/>
      <c r="O2566" s="18"/>
      <c r="P2566" s="18"/>
      <c r="Q2566" s="18"/>
      <c r="R2566" s="18"/>
      <c r="S2566" s="18"/>
      <c r="T2566" s="18"/>
      <c r="U2566" s="18"/>
      <c r="V2566" s="18"/>
      <c r="W2566" s="18"/>
      <c r="X2566" s="18"/>
      <c r="Y2566" s="18"/>
      <c r="Z2566" s="18"/>
    </row>
    <row r="2567" ht="22.5" customHeight="1">
      <c r="A2567" s="250"/>
      <c r="B2567" s="218"/>
      <c r="C2567" s="9"/>
      <c r="D2567" s="228"/>
      <c r="E2567" s="216"/>
      <c r="F2567" s="273"/>
      <c r="G2567" s="9"/>
      <c r="H2567" s="234"/>
      <c r="I2567" s="232"/>
      <c r="J2567" s="9"/>
      <c r="K2567" s="18"/>
      <c r="L2567" s="18"/>
      <c r="M2567" s="18"/>
      <c r="N2567" s="18"/>
      <c r="O2567" s="18"/>
      <c r="P2567" s="18"/>
      <c r="Q2567" s="18"/>
      <c r="R2567" s="18"/>
      <c r="S2567" s="18"/>
      <c r="T2567" s="18"/>
      <c r="U2567" s="18"/>
      <c r="V2567" s="18"/>
      <c r="W2567" s="18"/>
      <c r="X2567" s="18"/>
      <c r="Y2567" s="18"/>
      <c r="Z2567" s="18"/>
    </row>
    <row r="2568" ht="22.5" customHeight="1">
      <c r="A2568" s="250"/>
      <c r="B2568" s="218"/>
      <c r="C2568" s="9"/>
      <c r="D2568" s="228"/>
      <c r="E2568" s="216"/>
      <c r="F2568" s="273"/>
      <c r="G2568" s="9"/>
      <c r="H2568" s="234"/>
      <c r="I2568" s="232"/>
      <c r="J2568" s="9"/>
      <c r="K2568" s="18"/>
      <c r="L2568" s="18"/>
      <c r="M2568" s="18"/>
      <c r="N2568" s="18"/>
      <c r="O2568" s="18"/>
      <c r="P2568" s="18"/>
      <c r="Q2568" s="18"/>
      <c r="R2568" s="18"/>
      <c r="S2568" s="18"/>
      <c r="T2568" s="18"/>
      <c r="U2568" s="18"/>
      <c r="V2568" s="18"/>
      <c r="W2568" s="18"/>
      <c r="X2568" s="18"/>
      <c r="Y2568" s="18"/>
      <c r="Z2568" s="18"/>
    </row>
    <row r="2569" ht="22.5" customHeight="1">
      <c r="A2569" s="250"/>
      <c r="B2569" s="218"/>
      <c r="C2569" s="9"/>
      <c r="D2569" s="228"/>
      <c r="E2569" s="216"/>
      <c r="F2569" s="273"/>
      <c r="G2569" s="9"/>
      <c r="H2569" s="234"/>
      <c r="I2569" s="232"/>
      <c r="J2569" s="9"/>
      <c r="K2569" s="18"/>
      <c r="L2569" s="18"/>
      <c r="M2569" s="18"/>
      <c r="N2569" s="18"/>
      <c r="O2569" s="18"/>
      <c r="P2569" s="18"/>
      <c r="Q2569" s="18"/>
      <c r="R2569" s="18"/>
      <c r="S2569" s="18"/>
      <c r="T2569" s="18"/>
      <c r="U2569" s="18"/>
      <c r="V2569" s="18"/>
      <c r="W2569" s="18"/>
      <c r="X2569" s="18"/>
      <c r="Y2569" s="18"/>
      <c r="Z2569" s="18"/>
    </row>
    <row r="2570" ht="22.5" customHeight="1">
      <c r="A2570" s="250"/>
      <c r="B2570" s="218"/>
      <c r="C2570" s="9"/>
      <c r="D2570" s="228"/>
      <c r="E2570" s="216"/>
      <c r="F2570" s="273"/>
      <c r="G2570" s="9"/>
      <c r="H2570" s="234"/>
      <c r="I2570" s="232"/>
      <c r="J2570" s="9"/>
      <c r="K2570" s="18"/>
      <c r="L2570" s="18"/>
      <c r="M2570" s="18"/>
      <c r="N2570" s="18"/>
      <c r="O2570" s="18"/>
      <c r="P2570" s="18"/>
      <c r="Q2570" s="18"/>
      <c r="R2570" s="18"/>
      <c r="S2570" s="18"/>
      <c r="T2570" s="18"/>
      <c r="U2570" s="18"/>
      <c r="V2570" s="18"/>
      <c r="W2570" s="18"/>
      <c r="X2570" s="18"/>
      <c r="Y2570" s="18"/>
      <c r="Z2570" s="18"/>
    </row>
    <row r="2571" ht="22.5" customHeight="1">
      <c r="A2571" s="250"/>
      <c r="B2571" s="218"/>
      <c r="C2571" s="9"/>
      <c r="D2571" s="228"/>
      <c r="E2571" s="216"/>
      <c r="F2571" s="273"/>
      <c r="G2571" s="9"/>
      <c r="H2571" s="234"/>
      <c r="I2571" s="232"/>
      <c r="J2571" s="9"/>
      <c r="K2571" s="18"/>
      <c r="L2571" s="18"/>
      <c r="M2571" s="18"/>
      <c r="N2571" s="18"/>
      <c r="O2571" s="18"/>
      <c r="P2571" s="18"/>
      <c r="Q2571" s="18"/>
      <c r="R2571" s="18"/>
      <c r="S2571" s="18"/>
      <c r="T2571" s="18"/>
      <c r="U2571" s="18"/>
      <c r="V2571" s="18"/>
      <c r="W2571" s="18"/>
      <c r="X2571" s="18"/>
      <c r="Y2571" s="18"/>
      <c r="Z2571" s="18"/>
    </row>
    <row r="2572" ht="22.5" customHeight="1">
      <c r="A2572" s="250"/>
      <c r="B2572" s="218"/>
      <c r="C2572" s="9"/>
      <c r="D2572" s="228"/>
      <c r="E2572" s="216"/>
      <c r="F2572" s="273"/>
      <c r="G2572" s="9"/>
      <c r="H2572" s="234"/>
      <c r="I2572" s="232"/>
      <c r="J2572" s="9"/>
      <c r="K2572" s="18"/>
      <c r="L2572" s="18"/>
      <c r="M2572" s="18"/>
      <c r="N2572" s="18"/>
      <c r="O2572" s="18"/>
      <c r="P2572" s="18"/>
      <c r="Q2572" s="18"/>
      <c r="R2572" s="18"/>
      <c r="S2572" s="18"/>
      <c r="T2572" s="18"/>
      <c r="U2572" s="18"/>
      <c r="V2572" s="18"/>
      <c r="W2572" s="18"/>
      <c r="X2572" s="18"/>
      <c r="Y2572" s="18"/>
      <c r="Z2572" s="18"/>
    </row>
    <row r="2573" ht="22.5" customHeight="1">
      <c r="A2573" s="250"/>
      <c r="B2573" s="218"/>
      <c r="C2573" s="9"/>
      <c r="D2573" s="228"/>
      <c r="E2573" s="216"/>
      <c r="F2573" s="273"/>
      <c r="G2573" s="9"/>
      <c r="H2573" s="234"/>
      <c r="I2573" s="232"/>
      <c r="J2573" s="9"/>
      <c r="K2573" s="18"/>
      <c r="L2573" s="18"/>
      <c r="M2573" s="18"/>
      <c r="N2573" s="18"/>
      <c r="O2573" s="18"/>
      <c r="P2573" s="18"/>
      <c r="Q2573" s="18"/>
      <c r="R2573" s="18"/>
      <c r="S2573" s="18"/>
      <c r="T2573" s="18"/>
      <c r="U2573" s="18"/>
      <c r="V2573" s="18"/>
      <c r="W2573" s="18"/>
      <c r="X2573" s="18"/>
      <c r="Y2573" s="18"/>
      <c r="Z2573" s="18"/>
    </row>
    <row r="2574" ht="22.5" customHeight="1">
      <c r="A2574" s="250"/>
      <c r="B2574" s="218"/>
      <c r="C2574" s="9"/>
      <c r="D2574" s="228"/>
      <c r="E2574" s="216"/>
      <c r="F2574" s="273"/>
      <c r="G2574" s="9"/>
      <c r="H2574" s="234"/>
      <c r="I2574" s="232"/>
      <c r="J2574" s="9"/>
      <c r="K2574" s="18"/>
      <c r="L2574" s="18"/>
      <c r="M2574" s="18"/>
      <c r="N2574" s="18"/>
      <c r="O2574" s="18"/>
      <c r="P2574" s="18"/>
      <c r="Q2574" s="18"/>
      <c r="R2574" s="18"/>
      <c r="S2574" s="18"/>
      <c r="T2574" s="18"/>
      <c r="U2574" s="18"/>
      <c r="V2574" s="18"/>
      <c r="W2574" s="18"/>
      <c r="X2574" s="18"/>
      <c r="Y2574" s="18"/>
      <c r="Z2574" s="18"/>
    </row>
    <row r="2575" ht="22.5" customHeight="1">
      <c r="A2575" s="250"/>
      <c r="B2575" s="218"/>
      <c r="C2575" s="9"/>
      <c r="D2575" s="228"/>
      <c r="E2575" s="216"/>
      <c r="F2575" s="273"/>
      <c r="G2575" s="9"/>
      <c r="H2575" s="234"/>
      <c r="I2575" s="232"/>
      <c r="J2575" s="9"/>
      <c r="K2575" s="18"/>
      <c r="L2575" s="18"/>
      <c r="M2575" s="18"/>
      <c r="N2575" s="18"/>
      <c r="O2575" s="18"/>
      <c r="P2575" s="18"/>
      <c r="Q2575" s="18"/>
      <c r="R2575" s="18"/>
      <c r="S2575" s="18"/>
      <c r="T2575" s="18"/>
      <c r="U2575" s="18"/>
      <c r="V2575" s="18"/>
      <c r="W2575" s="18"/>
      <c r="X2575" s="18"/>
      <c r="Y2575" s="18"/>
      <c r="Z2575" s="18"/>
    </row>
    <row r="2576" ht="22.5" customHeight="1">
      <c r="A2576" s="250"/>
      <c r="B2576" s="218"/>
      <c r="C2576" s="9"/>
      <c r="D2576" s="228"/>
      <c r="E2576" s="216"/>
      <c r="F2576" s="273"/>
      <c r="G2576" s="9"/>
      <c r="H2576" s="234"/>
      <c r="I2576" s="232"/>
      <c r="J2576" s="9"/>
      <c r="K2576" s="18"/>
      <c r="L2576" s="18"/>
      <c r="M2576" s="18"/>
      <c r="N2576" s="18"/>
      <c r="O2576" s="18"/>
      <c r="P2576" s="18"/>
      <c r="Q2576" s="18"/>
      <c r="R2576" s="18"/>
      <c r="S2576" s="18"/>
      <c r="T2576" s="18"/>
      <c r="U2576" s="18"/>
      <c r="V2576" s="18"/>
      <c r="W2576" s="18"/>
      <c r="X2576" s="18"/>
      <c r="Y2576" s="18"/>
      <c r="Z2576" s="18"/>
    </row>
    <row r="2577" ht="22.5" customHeight="1">
      <c r="A2577" s="250"/>
      <c r="B2577" s="218"/>
      <c r="C2577" s="9"/>
      <c r="D2577" s="228"/>
      <c r="E2577" s="216"/>
      <c r="F2577" s="273"/>
      <c r="G2577" s="9"/>
      <c r="H2577" s="234"/>
      <c r="I2577" s="232"/>
      <c r="J2577" s="9"/>
      <c r="K2577" s="18"/>
      <c r="L2577" s="18"/>
      <c r="M2577" s="18"/>
      <c r="N2577" s="18"/>
      <c r="O2577" s="18"/>
      <c r="P2577" s="18"/>
      <c r="Q2577" s="18"/>
      <c r="R2577" s="18"/>
      <c r="S2577" s="18"/>
      <c r="T2577" s="18"/>
      <c r="U2577" s="18"/>
      <c r="V2577" s="18"/>
      <c r="W2577" s="18"/>
      <c r="X2577" s="18"/>
      <c r="Y2577" s="18"/>
      <c r="Z2577" s="18"/>
    </row>
    <row r="2578" ht="22.5" customHeight="1">
      <c r="A2578" s="250"/>
      <c r="B2578" s="218"/>
      <c r="C2578" s="9"/>
      <c r="D2578" s="228"/>
      <c r="E2578" s="216"/>
      <c r="F2578" s="273"/>
      <c r="G2578" s="9"/>
      <c r="H2578" s="234"/>
      <c r="I2578" s="232"/>
      <c r="J2578" s="9"/>
      <c r="K2578" s="18"/>
      <c r="L2578" s="18"/>
      <c r="M2578" s="18"/>
      <c r="N2578" s="18"/>
      <c r="O2578" s="18"/>
      <c r="P2578" s="18"/>
      <c r="Q2578" s="18"/>
      <c r="R2578" s="18"/>
      <c r="S2578" s="18"/>
      <c r="T2578" s="18"/>
      <c r="U2578" s="18"/>
      <c r="V2578" s="18"/>
      <c r="W2578" s="18"/>
      <c r="X2578" s="18"/>
      <c r="Y2578" s="18"/>
      <c r="Z2578" s="18"/>
    </row>
    <row r="2579" ht="22.5" customHeight="1">
      <c r="A2579" s="250"/>
      <c r="B2579" s="218"/>
      <c r="C2579" s="9"/>
      <c r="D2579" s="228"/>
      <c r="E2579" s="216"/>
      <c r="F2579" s="273"/>
      <c r="G2579" s="9"/>
      <c r="H2579" s="234"/>
      <c r="I2579" s="232"/>
      <c r="J2579" s="9"/>
      <c r="K2579" s="18"/>
      <c r="L2579" s="18"/>
      <c r="M2579" s="18"/>
      <c r="N2579" s="18"/>
      <c r="O2579" s="18"/>
      <c r="P2579" s="18"/>
      <c r="Q2579" s="18"/>
      <c r="R2579" s="18"/>
      <c r="S2579" s="18"/>
      <c r="T2579" s="18"/>
      <c r="U2579" s="18"/>
      <c r="V2579" s="18"/>
      <c r="W2579" s="18"/>
      <c r="X2579" s="18"/>
      <c r="Y2579" s="18"/>
      <c r="Z2579" s="18"/>
    </row>
    <row r="2580" ht="22.5" customHeight="1">
      <c r="A2580" s="250"/>
      <c r="B2580" s="218"/>
      <c r="C2580" s="9"/>
      <c r="D2580" s="228"/>
      <c r="E2580" s="216"/>
      <c r="F2580" s="273"/>
      <c r="G2580" s="9"/>
      <c r="H2580" s="234"/>
      <c r="I2580" s="232"/>
      <c r="J2580" s="9"/>
      <c r="K2580" s="18"/>
      <c r="L2580" s="18"/>
      <c r="M2580" s="18"/>
      <c r="N2580" s="18"/>
      <c r="O2580" s="18"/>
      <c r="P2580" s="18"/>
      <c r="Q2580" s="18"/>
      <c r="R2580" s="18"/>
      <c r="S2580" s="18"/>
      <c r="T2580" s="18"/>
      <c r="U2580" s="18"/>
      <c r="V2580" s="18"/>
      <c r="W2580" s="18"/>
      <c r="X2580" s="18"/>
      <c r="Y2580" s="18"/>
      <c r="Z2580" s="18"/>
    </row>
    <row r="2581" ht="22.5" customHeight="1">
      <c r="A2581" s="250"/>
      <c r="B2581" s="218"/>
      <c r="C2581" s="9"/>
      <c r="D2581" s="228"/>
      <c r="E2581" s="216"/>
      <c r="F2581" s="273"/>
      <c r="G2581" s="9"/>
      <c r="H2581" s="234"/>
      <c r="I2581" s="232"/>
      <c r="J2581" s="9"/>
      <c r="K2581" s="18"/>
      <c r="L2581" s="18"/>
      <c r="M2581" s="18"/>
      <c r="N2581" s="18"/>
      <c r="O2581" s="18"/>
      <c r="P2581" s="18"/>
      <c r="Q2581" s="18"/>
      <c r="R2581" s="18"/>
      <c r="S2581" s="18"/>
      <c r="T2581" s="18"/>
      <c r="U2581" s="18"/>
      <c r="V2581" s="18"/>
      <c r="W2581" s="18"/>
      <c r="X2581" s="18"/>
      <c r="Y2581" s="18"/>
      <c r="Z2581" s="18"/>
    </row>
    <row r="2582" ht="22.5" customHeight="1">
      <c r="A2582" s="250"/>
      <c r="B2582" s="218"/>
      <c r="C2582" s="9"/>
      <c r="D2582" s="228"/>
      <c r="E2582" s="216"/>
      <c r="F2582" s="273"/>
      <c r="G2582" s="9"/>
      <c r="H2582" s="234"/>
      <c r="I2582" s="232"/>
      <c r="J2582" s="9"/>
      <c r="K2582" s="18"/>
      <c r="L2582" s="18"/>
      <c r="M2582" s="18"/>
      <c r="N2582" s="18"/>
      <c r="O2582" s="18"/>
      <c r="P2582" s="18"/>
      <c r="Q2582" s="18"/>
      <c r="R2582" s="18"/>
      <c r="S2582" s="18"/>
      <c r="T2582" s="18"/>
      <c r="U2582" s="18"/>
      <c r="V2582" s="18"/>
      <c r="W2582" s="18"/>
      <c r="X2582" s="18"/>
      <c r="Y2582" s="18"/>
      <c r="Z2582" s="18"/>
    </row>
    <row r="2583" ht="22.5" customHeight="1">
      <c r="A2583" s="250"/>
      <c r="B2583" s="218"/>
      <c r="C2583" s="9"/>
      <c r="D2583" s="228"/>
      <c r="E2583" s="216"/>
      <c r="F2583" s="273"/>
      <c r="G2583" s="9"/>
      <c r="H2583" s="234"/>
      <c r="I2583" s="232"/>
      <c r="J2583" s="9"/>
      <c r="K2583" s="18"/>
      <c r="L2583" s="18"/>
      <c r="M2583" s="18"/>
      <c r="N2583" s="18"/>
      <c r="O2583" s="18"/>
      <c r="P2583" s="18"/>
      <c r="Q2583" s="18"/>
      <c r="R2583" s="18"/>
      <c r="S2583" s="18"/>
      <c r="T2583" s="18"/>
      <c r="U2583" s="18"/>
      <c r="V2583" s="18"/>
      <c r="W2583" s="18"/>
      <c r="X2583" s="18"/>
      <c r="Y2583" s="18"/>
      <c r="Z2583" s="18"/>
    </row>
    <row r="2584" ht="22.5" customHeight="1">
      <c r="A2584" s="250"/>
      <c r="B2584" s="218"/>
      <c r="C2584" s="9"/>
      <c r="D2584" s="228"/>
      <c r="E2584" s="216"/>
      <c r="F2584" s="273"/>
      <c r="G2584" s="9"/>
      <c r="H2584" s="234"/>
      <c r="I2584" s="232"/>
      <c r="J2584" s="9"/>
      <c r="K2584" s="18"/>
      <c r="L2584" s="18"/>
      <c r="M2584" s="18"/>
      <c r="N2584" s="18"/>
      <c r="O2584" s="18"/>
      <c r="P2584" s="18"/>
      <c r="Q2584" s="18"/>
      <c r="R2584" s="18"/>
      <c r="S2584" s="18"/>
      <c r="T2584" s="18"/>
      <c r="U2584" s="18"/>
      <c r="V2584" s="18"/>
      <c r="W2584" s="18"/>
      <c r="X2584" s="18"/>
      <c r="Y2584" s="18"/>
      <c r="Z2584" s="18"/>
    </row>
    <row r="2585" ht="22.5" customHeight="1">
      <c r="A2585" s="250"/>
      <c r="B2585" s="218"/>
      <c r="C2585" s="9"/>
      <c r="D2585" s="228"/>
      <c r="E2585" s="216"/>
      <c r="F2585" s="273"/>
      <c r="G2585" s="9"/>
      <c r="H2585" s="234"/>
      <c r="I2585" s="232"/>
      <c r="J2585" s="9"/>
      <c r="K2585" s="18"/>
      <c r="L2585" s="18"/>
      <c r="M2585" s="18"/>
      <c r="N2585" s="18"/>
      <c r="O2585" s="18"/>
      <c r="P2585" s="18"/>
      <c r="Q2585" s="18"/>
      <c r="R2585" s="18"/>
      <c r="S2585" s="18"/>
      <c r="T2585" s="18"/>
      <c r="U2585" s="18"/>
      <c r="V2585" s="18"/>
      <c r="W2585" s="18"/>
      <c r="X2585" s="18"/>
      <c r="Y2585" s="18"/>
      <c r="Z2585" s="18"/>
    </row>
    <row r="2586" ht="22.5" customHeight="1">
      <c r="A2586" s="250"/>
      <c r="B2586" s="218"/>
      <c r="C2586" s="9"/>
      <c r="D2586" s="228"/>
      <c r="E2586" s="216"/>
      <c r="F2586" s="273"/>
      <c r="G2586" s="9"/>
      <c r="H2586" s="234"/>
      <c r="I2586" s="232"/>
      <c r="J2586" s="9"/>
      <c r="K2586" s="18"/>
      <c r="L2586" s="18"/>
      <c r="M2586" s="18"/>
      <c r="N2586" s="18"/>
      <c r="O2586" s="18"/>
      <c r="P2586" s="18"/>
      <c r="Q2586" s="18"/>
      <c r="R2586" s="18"/>
      <c r="S2586" s="18"/>
      <c r="T2586" s="18"/>
      <c r="U2586" s="18"/>
      <c r="V2586" s="18"/>
      <c r="W2586" s="18"/>
      <c r="X2586" s="18"/>
      <c r="Y2586" s="18"/>
      <c r="Z2586" s="18"/>
    </row>
    <row r="2587" ht="22.5" customHeight="1">
      <c r="A2587" s="250"/>
      <c r="B2587" s="218"/>
      <c r="C2587" s="9"/>
      <c r="D2587" s="228"/>
      <c r="E2587" s="216"/>
      <c r="F2587" s="273"/>
      <c r="G2587" s="9"/>
      <c r="H2587" s="234"/>
      <c r="I2587" s="232"/>
      <c r="J2587" s="9"/>
      <c r="K2587" s="18"/>
      <c r="L2587" s="18"/>
      <c r="M2587" s="18"/>
      <c r="N2587" s="18"/>
      <c r="O2587" s="18"/>
      <c r="P2587" s="18"/>
      <c r="Q2587" s="18"/>
      <c r="R2587" s="18"/>
      <c r="S2587" s="18"/>
      <c r="T2587" s="18"/>
      <c r="U2587" s="18"/>
      <c r="V2587" s="18"/>
      <c r="W2587" s="18"/>
      <c r="X2587" s="18"/>
      <c r="Y2587" s="18"/>
      <c r="Z2587" s="18"/>
    </row>
    <row r="2588" ht="22.5" customHeight="1">
      <c r="A2588" s="250"/>
      <c r="B2588" s="218"/>
      <c r="C2588" s="9"/>
      <c r="D2588" s="228"/>
      <c r="E2588" s="216"/>
      <c r="F2588" s="273"/>
      <c r="G2588" s="9"/>
      <c r="H2588" s="234"/>
      <c r="I2588" s="232"/>
      <c r="J2588" s="9"/>
      <c r="K2588" s="18"/>
      <c r="L2588" s="18"/>
      <c r="M2588" s="18"/>
      <c r="N2588" s="18"/>
      <c r="O2588" s="18"/>
      <c r="P2588" s="18"/>
      <c r="Q2588" s="18"/>
      <c r="R2588" s="18"/>
      <c r="S2588" s="18"/>
      <c r="T2588" s="18"/>
      <c r="U2588" s="18"/>
      <c r="V2588" s="18"/>
      <c r="W2588" s="18"/>
      <c r="X2588" s="18"/>
      <c r="Y2588" s="18"/>
      <c r="Z2588" s="18"/>
    </row>
    <row r="2589" ht="22.5" customHeight="1">
      <c r="A2589" s="250"/>
      <c r="B2589" s="218"/>
      <c r="C2589" s="9"/>
      <c r="D2589" s="228"/>
      <c r="E2589" s="216"/>
      <c r="F2589" s="273"/>
      <c r="G2589" s="9"/>
      <c r="H2589" s="234"/>
      <c r="I2589" s="232"/>
      <c r="J2589" s="9"/>
      <c r="K2589" s="18"/>
      <c r="L2589" s="18"/>
      <c r="M2589" s="18"/>
      <c r="N2589" s="18"/>
      <c r="O2589" s="18"/>
      <c r="P2589" s="18"/>
      <c r="Q2589" s="18"/>
      <c r="R2589" s="18"/>
      <c r="S2589" s="18"/>
      <c r="T2589" s="18"/>
      <c r="U2589" s="18"/>
      <c r="V2589" s="18"/>
      <c r="W2589" s="18"/>
      <c r="X2589" s="18"/>
      <c r="Y2589" s="18"/>
      <c r="Z2589" s="18"/>
    </row>
    <row r="2590" ht="22.5" customHeight="1">
      <c r="A2590" s="250"/>
      <c r="B2590" s="218"/>
      <c r="C2590" s="9"/>
      <c r="D2590" s="228"/>
      <c r="E2590" s="216"/>
      <c r="F2590" s="273"/>
      <c r="G2590" s="9"/>
      <c r="H2590" s="234"/>
      <c r="I2590" s="232"/>
      <c r="J2590" s="9"/>
      <c r="K2590" s="18"/>
      <c r="L2590" s="18"/>
      <c r="M2590" s="18"/>
      <c r="N2590" s="18"/>
      <c r="O2590" s="18"/>
      <c r="P2590" s="18"/>
      <c r="Q2590" s="18"/>
      <c r="R2590" s="18"/>
      <c r="S2590" s="18"/>
      <c r="T2590" s="18"/>
      <c r="U2590" s="18"/>
      <c r="V2590" s="18"/>
      <c r="W2590" s="18"/>
      <c r="X2590" s="18"/>
      <c r="Y2590" s="18"/>
      <c r="Z2590" s="18"/>
    </row>
    <row r="2591" ht="22.5" customHeight="1">
      <c r="A2591" s="250"/>
      <c r="B2591" s="218"/>
      <c r="C2591" s="9"/>
      <c r="D2591" s="228"/>
      <c r="E2591" s="216"/>
      <c r="F2591" s="273"/>
      <c r="G2591" s="9"/>
      <c r="H2591" s="234"/>
      <c r="I2591" s="232"/>
      <c r="J2591" s="9"/>
      <c r="K2591" s="18"/>
      <c r="L2591" s="18"/>
      <c r="M2591" s="18"/>
      <c r="N2591" s="18"/>
      <c r="O2591" s="18"/>
      <c r="P2591" s="18"/>
      <c r="Q2591" s="18"/>
      <c r="R2591" s="18"/>
      <c r="S2591" s="18"/>
      <c r="T2591" s="18"/>
      <c r="U2591" s="18"/>
      <c r="V2591" s="18"/>
      <c r="W2591" s="18"/>
      <c r="X2591" s="18"/>
      <c r="Y2591" s="18"/>
      <c r="Z2591" s="18"/>
    </row>
    <row r="2592" ht="22.5" customHeight="1">
      <c r="A2592" s="250"/>
      <c r="B2592" s="218"/>
      <c r="C2592" s="9"/>
      <c r="D2592" s="228"/>
      <c r="E2592" s="216"/>
      <c r="F2592" s="273"/>
      <c r="G2592" s="9"/>
      <c r="H2592" s="234"/>
      <c r="I2592" s="232"/>
      <c r="J2592" s="9"/>
      <c r="K2592" s="18"/>
      <c r="L2592" s="18"/>
      <c r="M2592" s="18"/>
      <c r="N2592" s="18"/>
      <c r="O2592" s="18"/>
      <c r="P2592" s="18"/>
      <c r="Q2592" s="18"/>
      <c r="R2592" s="18"/>
      <c r="S2592" s="18"/>
      <c r="T2592" s="18"/>
      <c r="U2592" s="18"/>
      <c r="V2592" s="18"/>
      <c r="W2592" s="18"/>
      <c r="X2592" s="18"/>
      <c r="Y2592" s="18"/>
      <c r="Z2592" s="18"/>
    </row>
    <row r="2593" ht="22.5" customHeight="1">
      <c r="A2593" s="250"/>
      <c r="B2593" s="218"/>
      <c r="C2593" s="9"/>
      <c r="D2593" s="228"/>
      <c r="E2593" s="216"/>
      <c r="F2593" s="273"/>
      <c r="G2593" s="9"/>
      <c r="H2593" s="234"/>
      <c r="I2593" s="232"/>
      <c r="J2593" s="9"/>
      <c r="K2593" s="18"/>
      <c r="L2593" s="18"/>
      <c r="M2593" s="18"/>
      <c r="N2593" s="18"/>
      <c r="O2593" s="18"/>
      <c r="P2593" s="18"/>
      <c r="Q2593" s="18"/>
      <c r="R2593" s="18"/>
      <c r="S2593" s="18"/>
      <c r="T2593" s="18"/>
      <c r="U2593" s="18"/>
      <c r="V2593" s="18"/>
      <c r="W2593" s="18"/>
      <c r="X2593" s="18"/>
      <c r="Y2593" s="18"/>
      <c r="Z2593" s="18"/>
    </row>
    <row r="2594" ht="22.5" customHeight="1">
      <c r="A2594" s="250"/>
      <c r="B2594" s="218"/>
      <c r="C2594" s="9"/>
      <c r="D2594" s="228"/>
      <c r="E2594" s="216"/>
      <c r="F2594" s="273"/>
      <c r="G2594" s="9"/>
      <c r="H2594" s="234"/>
      <c r="I2594" s="232"/>
      <c r="J2594" s="9"/>
      <c r="K2594" s="18"/>
      <c r="L2594" s="18"/>
      <c r="M2594" s="18"/>
      <c r="N2594" s="18"/>
      <c r="O2594" s="18"/>
      <c r="P2594" s="18"/>
      <c r="Q2594" s="18"/>
      <c r="R2594" s="18"/>
      <c r="S2594" s="18"/>
      <c r="T2594" s="18"/>
      <c r="U2594" s="18"/>
      <c r="V2594" s="18"/>
      <c r="W2594" s="18"/>
      <c r="X2594" s="18"/>
      <c r="Y2594" s="18"/>
      <c r="Z2594" s="18"/>
    </row>
    <row r="2595" ht="22.5" customHeight="1">
      <c r="A2595" s="250"/>
      <c r="B2595" s="218"/>
      <c r="C2595" s="9"/>
      <c r="D2595" s="228"/>
      <c r="E2595" s="216"/>
      <c r="F2595" s="273"/>
      <c r="G2595" s="9"/>
      <c r="H2595" s="234"/>
      <c r="I2595" s="232"/>
      <c r="J2595" s="9"/>
      <c r="K2595" s="18"/>
      <c r="L2595" s="18"/>
      <c r="M2595" s="18"/>
      <c r="N2595" s="18"/>
      <c r="O2595" s="18"/>
      <c r="P2595" s="18"/>
      <c r="Q2595" s="18"/>
      <c r="R2595" s="18"/>
      <c r="S2595" s="18"/>
      <c r="T2595" s="18"/>
      <c r="U2595" s="18"/>
      <c r="V2595" s="18"/>
      <c r="W2595" s="18"/>
      <c r="X2595" s="18"/>
      <c r="Y2595" s="18"/>
      <c r="Z2595" s="18"/>
    </row>
    <row r="2596" ht="22.5" customHeight="1">
      <c r="A2596" s="250"/>
      <c r="B2596" s="218"/>
      <c r="C2596" s="9"/>
      <c r="D2596" s="228"/>
      <c r="E2596" s="216"/>
      <c r="F2596" s="273"/>
      <c r="G2596" s="9"/>
      <c r="H2596" s="234"/>
      <c r="I2596" s="232"/>
      <c r="J2596" s="9"/>
      <c r="K2596" s="18"/>
      <c r="L2596" s="18"/>
      <c r="M2596" s="18"/>
      <c r="N2596" s="18"/>
      <c r="O2596" s="18"/>
      <c r="P2596" s="18"/>
      <c r="Q2596" s="18"/>
      <c r="R2596" s="18"/>
      <c r="S2596" s="18"/>
      <c r="T2596" s="18"/>
      <c r="U2596" s="18"/>
      <c r="V2596" s="18"/>
      <c r="W2596" s="18"/>
      <c r="X2596" s="18"/>
      <c r="Y2596" s="18"/>
      <c r="Z2596" s="18"/>
    </row>
    <row r="2597" ht="22.5" customHeight="1">
      <c r="A2597" s="250"/>
      <c r="B2597" s="218"/>
      <c r="C2597" s="9"/>
      <c r="D2597" s="228"/>
      <c r="E2597" s="216"/>
      <c r="F2597" s="273"/>
      <c r="G2597" s="9"/>
      <c r="H2597" s="234"/>
      <c r="I2597" s="232"/>
      <c r="J2597" s="9"/>
      <c r="K2597" s="18"/>
      <c r="L2597" s="18"/>
      <c r="M2597" s="18"/>
      <c r="N2597" s="18"/>
      <c r="O2597" s="18"/>
      <c r="P2597" s="18"/>
      <c r="Q2597" s="18"/>
      <c r="R2597" s="18"/>
      <c r="S2597" s="18"/>
      <c r="T2597" s="18"/>
      <c r="U2597" s="18"/>
      <c r="V2597" s="18"/>
      <c r="W2597" s="18"/>
      <c r="X2597" s="18"/>
      <c r="Y2597" s="18"/>
      <c r="Z2597" s="18"/>
    </row>
    <row r="2598" ht="22.5" customHeight="1">
      <c r="A2598" s="250"/>
      <c r="B2598" s="218"/>
      <c r="C2598" s="9"/>
      <c r="D2598" s="228"/>
      <c r="E2598" s="216"/>
      <c r="F2598" s="273"/>
      <c r="G2598" s="9"/>
      <c r="H2598" s="234"/>
      <c r="I2598" s="232"/>
      <c r="J2598" s="9"/>
      <c r="K2598" s="18"/>
      <c r="L2598" s="18"/>
      <c r="M2598" s="18"/>
      <c r="N2598" s="18"/>
      <c r="O2598" s="18"/>
      <c r="P2598" s="18"/>
      <c r="Q2598" s="18"/>
      <c r="R2598" s="18"/>
      <c r="S2598" s="18"/>
      <c r="T2598" s="18"/>
      <c r="U2598" s="18"/>
      <c r="V2598" s="18"/>
      <c r="W2598" s="18"/>
      <c r="X2598" s="18"/>
      <c r="Y2598" s="18"/>
      <c r="Z2598" s="18"/>
    </row>
    <row r="2599" ht="22.5" customHeight="1">
      <c r="A2599" s="250"/>
      <c r="B2599" s="218"/>
      <c r="C2599" s="9"/>
      <c r="D2599" s="228"/>
      <c r="E2599" s="216"/>
      <c r="F2599" s="273"/>
      <c r="G2599" s="9"/>
      <c r="H2599" s="234"/>
      <c r="I2599" s="232"/>
      <c r="J2599" s="9"/>
      <c r="K2599" s="18"/>
      <c r="L2599" s="18"/>
      <c r="M2599" s="18"/>
      <c r="N2599" s="18"/>
      <c r="O2599" s="18"/>
      <c r="P2599" s="18"/>
      <c r="Q2599" s="18"/>
      <c r="R2599" s="18"/>
      <c r="S2599" s="18"/>
      <c r="T2599" s="18"/>
      <c r="U2599" s="18"/>
      <c r="V2599" s="18"/>
      <c r="W2599" s="18"/>
      <c r="X2599" s="18"/>
      <c r="Y2599" s="18"/>
      <c r="Z2599" s="18"/>
    </row>
    <row r="2600" ht="22.5" customHeight="1">
      <c r="A2600" s="250"/>
      <c r="B2600" s="218"/>
      <c r="C2600" s="9"/>
      <c r="D2600" s="228"/>
      <c r="E2600" s="216"/>
      <c r="F2600" s="273"/>
      <c r="G2600" s="9"/>
      <c r="H2600" s="234"/>
      <c r="I2600" s="232"/>
      <c r="J2600" s="9"/>
      <c r="K2600" s="18"/>
      <c r="L2600" s="18"/>
      <c r="M2600" s="18"/>
      <c r="N2600" s="18"/>
      <c r="O2600" s="18"/>
      <c r="P2600" s="18"/>
      <c r="Q2600" s="18"/>
      <c r="R2600" s="18"/>
      <c r="S2600" s="18"/>
      <c r="T2600" s="18"/>
      <c r="U2600" s="18"/>
      <c r="V2600" s="18"/>
      <c r="W2600" s="18"/>
      <c r="X2600" s="18"/>
      <c r="Y2600" s="18"/>
      <c r="Z2600" s="18"/>
    </row>
    <row r="2601" ht="22.5" customHeight="1">
      <c r="A2601" s="250"/>
      <c r="B2601" s="218"/>
      <c r="C2601" s="9"/>
      <c r="D2601" s="228"/>
      <c r="E2601" s="216"/>
      <c r="F2601" s="273"/>
      <c r="G2601" s="9"/>
      <c r="H2601" s="234"/>
      <c r="I2601" s="232"/>
      <c r="J2601" s="9"/>
      <c r="K2601" s="18"/>
      <c r="L2601" s="18"/>
      <c r="M2601" s="18"/>
      <c r="N2601" s="18"/>
      <c r="O2601" s="18"/>
      <c r="P2601" s="18"/>
      <c r="Q2601" s="18"/>
      <c r="R2601" s="18"/>
      <c r="S2601" s="18"/>
      <c r="T2601" s="18"/>
      <c r="U2601" s="18"/>
      <c r="V2601" s="18"/>
      <c r="W2601" s="18"/>
      <c r="X2601" s="18"/>
      <c r="Y2601" s="18"/>
      <c r="Z2601" s="18"/>
    </row>
    <row r="2602" ht="22.5" customHeight="1">
      <c r="A2602" s="250"/>
      <c r="B2602" s="218"/>
      <c r="C2602" s="9"/>
      <c r="D2602" s="228"/>
      <c r="E2602" s="216"/>
      <c r="F2602" s="273"/>
      <c r="G2602" s="9"/>
      <c r="H2602" s="234"/>
      <c r="I2602" s="232"/>
      <c r="J2602" s="9"/>
      <c r="K2602" s="18"/>
      <c r="L2602" s="18"/>
      <c r="M2602" s="18"/>
      <c r="N2602" s="18"/>
      <c r="O2602" s="18"/>
      <c r="P2602" s="18"/>
      <c r="Q2602" s="18"/>
      <c r="R2602" s="18"/>
      <c r="S2602" s="18"/>
      <c r="T2602" s="18"/>
      <c r="U2602" s="18"/>
      <c r="V2602" s="18"/>
      <c r="W2602" s="18"/>
      <c r="X2602" s="18"/>
      <c r="Y2602" s="18"/>
      <c r="Z2602" s="18"/>
    </row>
    <row r="2603" ht="22.5" customHeight="1">
      <c r="A2603" s="250"/>
      <c r="B2603" s="218"/>
      <c r="C2603" s="9"/>
      <c r="D2603" s="228"/>
      <c r="E2603" s="216"/>
      <c r="F2603" s="273"/>
      <c r="G2603" s="9"/>
      <c r="H2603" s="234"/>
      <c r="I2603" s="232"/>
      <c r="J2603" s="9"/>
      <c r="K2603" s="18"/>
      <c r="L2603" s="18"/>
      <c r="M2603" s="18"/>
      <c r="N2603" s="18"/>
      <c r="O2603" s="18"/>
      <c r="P2603" s="18"/>
      <c r="Q2603" s="18"/>
      <c r="R2603" s="18"/>
      <c r="S2603" s="18"/>
      <c r="T2603" s="18"/>
      <c r="U2603" s="18"/>
      <c r="V2603" s="18"/>
      <c r="W2603" s="18"/>
      <c r="X2603" s="18"/>
      <c r="Y2603" s="18"/>
      <c r="Z2603" s="18"/>
    </row>
    <row r="2604" ht="22.5" customHeight="1">
      <c r="A2604" s="250"/>
      <c r="B2604" s="218"/>
      <c r="C2604" s="9"/>
      <c r="D2604" s="228"/>
      <c r="E2604" s="216"/>
      <c r="F2604" s="273"/>
      <c r="G2604" s="9"/>
      <c r="H2604" s="234"/>
      <c r="I2604" s="232"/>
      <c r="J2604" s="9"/>
      <c r="K2604" s="18"/>
      <c r="L2604" s="18"/>
      <c r="M2604" s="18"/>
      <c r="N2604" s="18"/>
      <c r="O2604" s="18"/>
      <c r="P2604" s="18"/>
      <c r="Q2604" s="18"/>
      <c r="R2604" s="18"/>
      <c r="S2604" s="18"/>
      <c r="T2604" s="18"/>
      <c r="U2604" s="18"/>
      <c r="V2604" s="18"/>
      <c r="W2604" s="18"/>
      <c r="X2604" s="18"/>
      <c r="Y2604" s="18"/>
      <c r="Z2604" s="18"/>
    </row>
    <row r="2605" ht="22.5" customHeight="1">
      <c r="A2605" s="250"/>
      <c r="B2605" s="218"/>
      <c r="C2605" s="9"/>
      <c r="D2605" s="228"/>
      <c r="E2605" s="216"/>
      <c r="F2605" s="273"/>
      <c r="G2605" s="9"/>
      <c r="H2605" s="234"/>
      <c r="I2605" s="232"/>
      <c r="J2605" s="9"/>
      <c r="K2605" s="18"/>
      <c r="L2605" s="18"/>
      <c r="M2605" s="18"/>
      <c r="N2605" s="18"/>
      <c r="O2605" s="18"/>
      <c r="P2605" s="18"/>
      <c r="Q2605" s="18"/>
      <c r="R2605" s="18"/>
      <c r="S2605" s="18"/>
      <c r="T2605" s="18"/>
      <c r="U2605" s="18"/>
      <c r="V2605" s="18"/>
      <c r="W2605" s="18"/>
      <c r="X2605" s="18"/>
      <c r="Y2605" s="18"/>
      <c r="Z2605" s="18"/>
    </row>
    <row r="2606" ht="22.5" customHeight="1">
      <c r="A2606" s="250"/>
      <c r="B2606" s="218"/>
      <c r="C2606" s="9"/>
      <c r="D2606" s="228"/>
      <c r="E2606" s="216"/>
      <c r="F2606" s="273"/>
      <c r="G2606" s="9"/>
      <c r="H2606" s="234"/>
      <c r="I2606" s="232"/>
      <c r="J2606" s="9"/>
      <c r="K2606" s="18"/>
      <c r="L2606" s="18"/>
      <c r="M2606" s="18"/>
      <c r="N2606" s="18"/>
      <c r="O2606" s="18"/>
      <c r="P2606" s="18"/>
      <c r="Q2606" s="18"/>
      <c r="R2606" s="18"/>
      <c r="S2606" s="18"/>
      <c r="T2606" s="18"/>
      <c r="U2606" s="18"/>
      <c r="V2606" s="18"/>
      <c r="W2606" s="18"/>
      <c r="X2606" s="18"/>
      <c r="Y2606" s="18"/>
      <c r="Z2606" s="18"/>
    </row>
    <row r="2607" ht="22.5" customHeight="1">
      <c r="A2607" s="250"/>
      <c r="B2607" s="218"/>
      <c r="C2607" s="9"/>
      <c r="D2607" s="228"/>
      <c r="E2607" s="216"/>
      <c r="F2607" s="273"/>
      <c r="G2607" s="9"/>
      <c r="H2607" s="234"/>
      <c r="I2607" s="232"/>
      <c r="J2607" s="9"/>
      <c r="K2607" s="18"/>
      <c r="L2607" s="18"/>
      <c r="M2607" s="18"/>
      <c r="N2607" s="18"/>
      <c r="O2607" s="18"/>
      <c r="P2607" s="18"/>
      <c r="Q2607" s="18"/>
      <c r="R2607" s="18"/>
      <c r="S2607" s="18"/>
      <c r="T2607" s="18"/>
      <c r="U2607" s="18"/>
      <c r="V2607" s="18"/>
      <c r="W2607" s="18"/>
      <c r="X2607" s="18"/>
      <c r="Y2607" s="18"/>
      <c r="Z2607" s="18"/>
    </row>
    <row r="2608" ht="22.5" customHeight="1">
      <c r="A2608" s="250"/>
      <c r="B2608" s="218"/>
      <c r="C2608" s="9"/>
      <c r="D2608" s="228"/>
      <c r="E2608" s="216"/>
      <c r="F2608" s="273"/>
      <c r="G2608" s="9"/>
      <c r="H2608" s="234"/>
      <c r="I2608" s="232"/>
      <c r="J2608" s="9"/>
      <c r="K2608" s="18"/>
      <c r="L2608" s="18"/>
      <c r="M2608" s="18"/>
      <c r="N2608" s="18"/>
      <c r="O2608" s="18"/>
      <c r="P2608" s="18"/>
      <c r="Q2608" s="18"/>
      <c r="R2608" s="18"/>
      <c r="S2608" s="18"/>
      <c r="T2608" s="18"/>
      <c r="U2608" s="18"/>
      <c r="V2608" s="18"/>
      <c r="W2608" s="18"/>
      <c r="X2608" s="18"/>
      <c r="Y2608" s="18"/>
      <c r="Z2608" s="18"/>
    </row>
    <row r="2609" ht="22.5" customHeight="1">
      <c r="A2609" s="250"/>
      <c r="B2609" s="218"/>
      <c r="C2609" s="9"/>
      <c r="D2609" s="228"/>
      <c r="E2609" s="216"/>
      <c r="F2609" s="273"/>
      <c r="G2609" s="9"/>
      <c r="H2609" s="234"/>
      <c r="I2609" s="232"/>
      <c r="J2609" s="9"/>
      <c r="K2609" s="18"/>
      <c r="L2609" s="18"/>
      <c r="M2609" s="18"/>
      <c r="N2609" s="18"/>
      <c r="O2609" s="18"/>
      <c r="P2609" s="18"/>
      <c r="Q2609" s="18"/>
      <c r="R2609" s="18"/>
      <c r="S2609" s="18"/>
      <c r="T2609" s="18"/>
      <c r="U2609" s="18"/>
      <c r="V2609" s="18"/>
      <c r="W2609" s="18"/>
      <c r="X2609" s="18"/>
      <c r="Y2609" s="18"/>
      <c r="Z2609" s="18"/>
    </row>
    <row r="2610" ht="22.5" customHeight="1">
      <c r="A2610" s="250"/>
      <c r="B2610" s="218"/>
      <c r="C2610" s="9"/>
      <c r="D2610" s="228"/>
      <c r="E2610" s="216"/>
      <c r="F2610" s="273"/>
      <c r="G2610" s="9"/>
      <c r="H2610" s="234"/>
      <c r="I2610" s="232"/>
      <c r="J2610" s="9"/>
      <c r="K2610" s="18"/>
      <c r="L2610" s="18"/>
      <c r="M2610" s="18"/>
      <c r="N2610" s="18"/>
      <c r="O2610" s="18"/>
      <c r="P2610" s="18"/>
      <c r="Q2610" s="18"/>
      <c r="R2610" s="18"/>
      <c r="S2610" s="18"/>
      <c r="T2610" s="18"/>
      <c r="U2610" s="18"/>
      <c r="V2610" s="18"/>
      <c r="W2610" s="18"/>
      <c r="X2610" s="18"/>
      <c r="Y2610" s="18"/>
      <c r="Z2610" s="18"/>
    </row>
    <row r="2611" ht="22.5" customHeight="1">
      <c r="A2611" s="250"/>
      <c r="B2611" s="218"/>
      <c r="C2611" s="9"/>
      <c r="D2611" s="228"/>
      <c r="E2611" s="216"/>
      <c r="F2611" s="273"/>
      <c r="G2611" s="9"/>
      <c r="H2611" s="234"/>
      <c r="I2611" s="232"/>
      <c r="J2611" s="9"/>
      <c r="K2611" s="18"/>
      <c r="L2611" s="18"/>
      <c r="M2611" s="18"/>
      <c r="N2611" s="18"/>
      <c r="O2611" s="18"/>
      <c r="P2611" s="18"/>
      <c r="Q2611" s="18"/>
      <c r="R2611" s="18"/>
      <c r="S2611" s="18"/>
      <c r="T2611" s="18"/>
      <c r="U2611" s="18"/>
      <c r="V2611" s="18"/>
      <c r="W2611" s="18"/>
      <c r="X2611" s="18"/>
      <c r="Y2611" s="18"/>
      <c r="Z2611" s="18"/>
    </row>
    <row r="2612" ht="22.5" customHeight="1">
      <c r="A2612" s="250"/>
      <c r="B2612" s="218"/>
      <c r="C2612" s="9"/>
      <c r="D2612" s="228"/>
      <c r="E2612" s="216"/>
      <c r="F2612" s="273"/>
      <c r="G2612" s="9"/>
      <c r="H2612" s="234"/>
      <c r="I2612" s="232"/>
      <c r="J2612" s="9"/>
      <c r="K2612" s="18"/>
      <c r="L2612" s="18"/>
      <c r="M2612" s="18"/>
      <c r="N2612" s="18"/>
      <c r="O2612" s="18"/>
      <c r="P2612" s="18"/>
      <c r="Q2612" s="18"/>
      <c r="R2612" s="18"/>
      <c r="S2612" s="18"/>
      <c r="T2612" s="18"/>
      <c r="U2612" s="18"/>
      <c r="V2612" s="18"/>
      <c r="W2612" s="18"/>
      <c r="X2612" s="18"/>
      <c r="Y2612" s="18"/>
      <c r="Z2612" s="18"/>
    </row>
    <row r="2613" ht="22.5" customHeight="1">
      <c r="A2613" s="250"/>
      <c r="B2613" s="218"/>
      <c r="C2613" s="9"/>
      <c r="D2613" s="228"/>
      <c r="E2613" s="216"/>
      <c r="F2613" s="273"/>
      <c r="G2613" s="9"/>
      <c r="H2613" s="234"/>
      <c r="I2613" s="232"/>
      <c r="J2613" s="9"/>
      <c r="K2613" s="18"/>
      <c r="L2613" s="18"/>
      <c r="M2613" s="18"/>
      <c r="N2613" s="18"/>
      <c r="O2613" s="18"/>
      <c r="P2613" s="18"/>
      <c r="Q2613" s="18"/>
      <c r="R2613" s="18"/>
      <c r="S2613" s="18"/>
      <c r="T2613" s="18"/>
      <c r="U2613" s="18"/>
      <c r="V2613" s="18"/>
      <c r="W2613" s="18"/>
      <c r="X2613" s="18"/>
      <c r="Y2613" s="18"/>
      <c r="Z2613" s="18"/>
    </row>
    <row r="2614" ht="22.5" customHeight="1">
      <c r="A2614" s="250"/>
      <c r="B2614" s="218"/>
      <c r="C2614" s="9"/>
      <c r="D2614" s="228"/>
      <c r="E2614" s="216"/>
      <c r="F2614" s="273"/>
      <c r="G2614" s="9"/>
      <c r="H2614" s="234"/>
      <c r="I2614" s="232"/>
      <c r="J2614" s="9"/>
      <c r="K2614" s="18"/>
      <c r="L2614" s="18"/>
      <c r="M2614" s="18"/>
      <c r="N2614" s="18"/>
      <c r="O2614" s="18"/>
      <c r="P2614" s="18"/>
      <c r="Q2614" s="18"/>
      <c r="R2614" s="18"/>
      <c r="S2614" s="18"/>
      <c r="T2614" s="18"/>
      <c r="U2614" s="18"/>
      <c r="V2614" s="18"/>
      <c r="W2614" s="18"/>
      <c r="X2614" s="18"/>
      <c r="Y2614" s="18"/>
      <c r="Z2614" s="18"/>
    </row>
    <row r="2615" ht="22.5" customHeight="1">
      <c r="A2615" s="250"/>
      <c r="B2615" s="218"/>
      <c r="C2615" s="9"/>
      <c r="D2615" s="228"/>
      <c r="E2615" s="216"/>
      <c r="F2615" s="273"/>
      <c r="G2615" s="9"/>
      <c r="H2615" s="234"/>
      <c r="I2615" s="232"/>
      <c r="J2615" s="9"/>
      <c r="K2615" s="18"/>
      <c r="L2615" s="18"/>
      <c r="M2615" s="18"/>
      <c r="N2615" s="18"/>
      <c r="O2615" s="18"/>
      <c r="P2615" s="18"/>
      <c r="Q2615" s="18"/>
      <c r="R2615" s="18"/>
      <c r="S2615" s="18"/>
      <c r="T2615" s="18"/>
      <c r="U2615" s="18"/>
      <c r="V2615" s="18"/>
      <c r="W2615" s="18"/>
      <c r="X2615" s="18"/>
      <c r="Y2615" s="18"/>
      <c r="Z2615" s="18"/>
    </row>
    <row r="2616" ht="22.5" customHeight="1">
      <c r="A2616" s="250"/>
      <c r="B2616" s="218"/>
      <c r="C2616" s="9"/>
      <c r="D2616" s="228"/>
      <c r="E2616" s="216"/>
      <c r="F2616" s="273"/>
      <c r="G2616" s="9"/>
      <c r="H2616" s="234"/>
      <c r="I2616" s="232"/>
      <c r="J2616" s="9"/>
      <c r="K2616" s="18"/>
      <c r="L2616" s="18"/>
      <c r="M2616" s="18"/>
      <c r="N2616" s="18"/>
      <c r="O2616" s="18"/>
      <c r="P2616" s="18"/>
      <c r="Q2616" s="18"/>
      <c r="R2616" s="18"/>
      <c r="S2616" s="18"/>
      <c r="T2616" s="18"/>
      <c r="U2616" s="18"/>
      <c r="V2616" s="18"/>
      <c r="W2616" s="18"/>
      <c r="X2616" s="18"/>
      <c r="Y2616" s="18"/>
      <c r="Z2616" s="18"/>
    </row>
    <row r="2617" ht="22.5" customHeight="1">
      <c r="A2617" s="250"/>
      <c r="B2617" s="218"/>
      <c r="C2617" s="9"/>
      <c r="D2617" s="228"/>
      <c r="E2617" s="216"/>
      <c r="F2617" s="273"/>
      <c r="G2617" s="9"/>
      <c r="H2617" s="234"/>
      <c r="I2617" s="232"/>
      <c r="J2617" s="9"/>
      <c r="K2617" s="18"/>
      <c r="L2617" s="18"/>
      <c r="M2617" s="18"/>
      <c r="N2617" s="18"/>
      <c r="O2617" s="18"/>
      <c r="P2617" s="18"/>
      <c r="Q2617" s="18"/>
      <c r="R2617" s="18"/>
      <c r="S2617" s="18"/>
      <c r="T2617" s="18"/>
      <c r="U2617" s="18"/>
      <c r="V2617" s="18"/>
      <c r="W2617" s="18"/>
      <c r="X2617" s="18"/>
      <c r="Y2617" s="18"/>
      <c r="Z2617" s="18"/>
    </row>
    <row r="2618" ht="22.5" customHeight="1">
      <c r="A2618" s="250"/>
      <c r="B2618" s="218"/>
      <c r="C2618" s="9"/>
      <c r="D2618" s="228"/>
      <c r="E2618" s="216"/>
      <c r="F2618" s="273"/>
      <c r="G2618" s="9"/>
      <c r="H2618" s="234"/>
      <c r="I2618" s="232"/>
      <c r="J2618" s="9"/>
      <c r="K2618" s="18"/>
      <c r="L2618" s="18"/>
      <c r="M2618" s="18"/>
      <c r="N2618" s="18"/>
      <c r="O2618" s="18"/>
      <c r="P2618" s="18"/>
      <c r="Q2618" s="18"/>
      <c r="R2618" s="18"/>
      <c r="S2618" s="18"/>
      <c r="T2618" s="18"/>
      <c r="U2618" s="18"/>
      <c r="V2618" s="18"/>
      <c r="W2618" s="18"/>
      <c r="X2618" s="18"/>
      <c r="Y2618" s="18"/>
      <c r="Z2618" s="18"/>
    </row>
    <row r="2619" ht="22.5" customHeight="1">
      <c r="A2619" s="250"/>
      <c r="B2619" s="218"/>
      <c r="C2619" s="9"/>
      <c r="D2619" s="228"/>
      <c r="E2619" s="216"/>
      <c r="F2619" s="273"/>
      <c r="G2619" s="9"/>
      <c r="H2619" s="234"/>
      <c r="I2619" s="232"/>
      <c r="J2619" s="9"/>
      <c r="K2619" s="18"/>
      <c r="L2619" s="18"/>
      <c r="M2619" s="18"/>
      <c r="N2619" s="18"/>
      <c r="O2619" s="18"/>
      <c r="P2619" s="18"/>
      <c r="Q2619" s="18"/>
      <c r="R2619" s="18"/>
      <c r="S2619" s="18"/>
      <c r="T2619" s="18"/>
      <c r="U2619" s="18"/>
      <c r="V2619" s="18"/>
      <c r="W2619" s="18"/>
      <c r="X2619" s="18"/>
      <c r="Y2619" s="18"/>
      <c r="Z2619" s="18"/>
    </row>
    <row r="2620" ht="22.5" customHeight="1">
      <c r="A2620" s="250"/>
      <c r="B2620" s="218"/>
      <c r="C2620" s="9"/>
      <c r="D2620" s="228"/>
      <c r="E2620" s="216"/>
      <c r="F2620" s="273"/>
      <c r="G2620" s="9"/>
      <c r="H2620" s="234"/>
      <c r="I2620" s="232"/>
      <c r="J2620" s="9"/>
      <c r="K2620" s="18"/>
      <c r="L2620" s="18"/>
      <c r="M2620" s="18"/>
      <c r="N2620" s="18"/>
      <c r="O2620" s="18"/>
      <c r="P2620" s="18"/>
      <c r="Q2620" s="18"/>
      <c r="R2620" s="18"/>
      <c r="S2620" s="18"/>
      <c r="T2620" s="18"/>
      <c r="U2620" s="18"/>
      <c r="V2620" s="18"/>
      <c r="W2620" s="18"/>
      <c r="X2620" s="18"/>
      <c r="Y2620" s="18"/>
      <c r="Z2620" s="18"/>
    </row>
    <row r="2621" ht="22.5" customHeight="1">
      <c r="A2621" s="250"/>
      <c r="B2621" s="218"/>
      <c r="C2621" s="9"/>
      <c r="D2621" s="228"/>
      <c r="E2621" s="216"/>
      <c r="F2621" s="273"/>
      <c r="G2621" s="9"/>
      <c r="H2621" s="234"/>
      <c r="I2621" s="232"/>
      <c r="J2621" s="9"/>
      <c r="K2621" s="18"/>
      <c r="L2621" s="18"/>
      <c r="M2621" s="18"/>
      <c r="N2621" s="18"/>
      <c r="O2621" s="18"/>
      <c r="P2621" s="18"/>
      <c r="Q2621" s="18"/>
      <c r="R2621" s="18"/>
      <c r="S2621" s="18"/>
      <c r="T2621" s="18"/>
      <c r="U2621" s="18"/>
      <c r="V2621" s="18"/>
      <c r="W2621" s="18"/>
      <c r="X2621" s="18"/>
      <c r="Y2621" s="18"/>
      <c r="Z2621" s="18"/>
    </row>
    <row r="2622" ht="22.5" customHeight="1">
      <c r="A2622" s="250"/>
      <c r="B2622" s="218"/>
      <c r="C2622" s="9"/>
      <c r="D2622" s="228"/>
      <c r="E2622" s="216"/>
      <c r="F2622" s="273"/>
      <c r="G2622" s="9"/>
      <c r="H2622" s="234"/>
      <c r="I2622" s="232"/>
      <c r="J2622" s="9"/>
      <c r="K2622" s="18"/>
      <c r="L2622" s="18"/>
      <c r="M2622" s="18"/>
      <c r="N2622" s="18"/>
      <c r="O2622" s="18"/>
      <c r="P2622" s="18"/>
      <c r="Q2622" s="18"/>
      <c r="R2622" s="18"/>
      <c r="S2622" s="18"/>
      <c r="T2622" s="18"/>
      <c r="U2622" s="18"/>
      <c r="V2622" s="18"/>
      <c r="W2622" s="18"/>
      <c r="X2622" s="18"/>
      <c r="Y2622" s="18"/>
      <c r="Z2622" s="18"/>
    </row>
    <row r="2623" ht="22.5" customHeight="1">
      <c r="A2623" s="250"/>
      <c r="B2623" s="218"/>
      <c r="C2623" s="9"/>
      <c r="D2623" s="228"/>
      <c r="E2623" s="216"/>
      <c r="F2623" s="273"/>
      <c r="G2623" s="9"/>
      <c r="H2623" s="234"/>
      <c r="I2623" s="232"/>
      <c r="J2623" s="9"/>
      <c r="K2623" s="18"/>
      <c r="L2623" s="18"/>
      <c r="M2623" s="18"/>
      <c r="N2623" s="18"/>
      <c r="O2623" s="18"/>
      <c r="P2623" s="18"/>
      <c r="Q2623" s="18"/>
      <c r="R2623" s="18"/>
      <c r="S2623" s="18"/>
      <c r="T2623" s="18"/>
      <c r="U2623" s="18"/>
      <c r="V2623" s="18"/>
      <c r="W2623" s="18"/>
      <c r="X2623" s="18"/>
      <c r="Y2623" s="18"/>
      <c r="Z2623" s="18"/>
    </row>
    <row r="2624" ht="22.5" customHeight="1">
      <c r="A2624" s="250"/>
      <c r="B2624" s="218"/>
      <c r="C2624" s="9"/>
      <c r="D2624" s="228"/>
      <c r="E2624" s="216"/>
      <c r="F2624" s="273"/>
      <c r="G2624" s="9"/>
      <c r="H2624" s="234"/>
      <c r="I2624" s="232"/>
      <c r="J2624" s="9"/>
      <c r="K2624" s="18"/>
      <c r="L2624" s="18"/>
      <c r="M2624" s="18"/>
      <c r="N2624" s="18"/>
      <c r="O2624" s="18"/>
      <c r="P2624" s="18"/>
      <c r="Q2624" s="18"/>
      <c r="R2624" s="18"/>
      <c r="S2624" s="18"/>
      <c r="T2624" s="18"/>
      <c r="U2624" s="18"/>
      <c r="V2624" s="18"/>
      <c r="W2624" s="18"/>
      <c r="X2624" s="18"/>
      <c r="Y2624" s="18"/>
      <c r="Z2624" s="18"/>
    </row>
    <row r="2625" ht="22.5" customHeight="1">
      <c r="A2625" s="250"/>
      <c r="B2625" s="218"/>
      <c r="C2625" s="9"/>
      <c r="D2625" s="228"/>
      <c r="E2625" s="216"/>
      <c r="F2625" s="273"/>
      <c r="G2625" s="9"/>
      <c r="H2625" s="234"/>
      <c r="I2625" s="232"/>
      <c r="J2625" s="9"/>
      <c r="K2625" s="18"/>
      <c r="L2625" s="18"/>
      <c r="M2625" s="18"/>
      <c r="N2625" s="18"/>
      <c r="O2625" s="18"/>
      <c r="P2625" s="18"/>
      <c r="Q2625" s="18"/>
      <c r="R2625" s="18"/>
      <c r="S2625" s="18"/>
      <c r="T2625" s="18"/>
      <c r="U2625" s="18"/>
      <c r="V2625" s="18"/>
      <c r="W2625" s="18"/>
      <c r="X2625" s="18"/>
      <c r="Y2625" s="18"/>
      <c r="Z2625" s="18"/>
    </row>
    <row r="2626" ht="22.5" customHeight="1">
      <c r="A2626" s="250"/>
      <c r="B2626" s="218"/>
      <c r="C2626" s="9"/>
      <c r="D2626" s="228"/>
      <c r="E2626" s="216"/>
      <c r="F2626" s="273"/>
      <c r="G2626" s="9"/>
      <c r="H2626" s="234"/>
      <c r="I2626" s="232"/>
      <c r="J2626" s="9"/>
      <c r="K2626" s="18"/>
      <c r="L2626" s="18"/>
      <c r="M2626" s="18"/>
      <c r="N2626" s="18"/>
      <c r="O2626" s="18"/>
      <c r="P2626" s="18"/>
      <c r="Q2626" s="18"/>
      <c r="R2626" s="18"/>
      <c r="S2626" s="18"/>
      <c r="T2626" s="18"/>
      <c r="U2626" s="18"/>
      <c r="V2626" s="18"/>
      <c r="W2626" s="18"/>
      <c r="X2626" s="18"/>
      <c r="Y2626" s="18"/>
      <c r="Z2626" s="18"/>
    </row>
    <row r="2627" ht="22.5" customHeight="1">
      <c r="A2627" s="250"/>
      <c r="B2627" s="218"/>
      <c r="C2627" s="9"/>
      <c r="D2627" s="228"/>
      <c r="E2627" s="216"/>
      <c r="F2627" s="273"/>
      <c r="G2627" s="9"/>
      <c r="H2627" s="234"/>
      <c r="I2627" s="232"/>
      <c r="J2627" s="9"/>
      <c r="K2627" s="18"/>
      <c r="L2627" s="18"/>
      <c r="M2627" s="18"/>
      <c r="N2627" s="18"/>
      <c r="O2627" s="18"/>
      <c r="P2627" s="18"/>
      <c r="Q2627" s="18"/>
      <c r="R2627" s="18"/>
      <c r="S2627" s="18"/>
      <c r="T2627" s="18"/>
      <c r="U2627" s="18"/>
      <c r="V2627" s="18"/>
      <c r="W2627" s="18"/>
      <c r="X2627" s="18"/>
      <c r="Y2627" s="18"/>
      <c r="Z2627" s="18"/>
    </row>
    <row r="2628" ht="22.5" customHeight="1">
      <c r="A2628" s="250"/>
      <c r="B2628" s="218"/>
      <c r="C2628" s="9"/>
      <c r="D2628" s="228"/>
      <c r="E2628" s="216"/>
      <c r="F2628" s="273"/>
      <c r="G2628" s="9"/>
      <c r="H2628" s="234"/>
      <c r="I2628" s="232"/>
      <c r="J2628" s="9"/>
      <c r="K2628" s="18"/>
      <c r="L2628" s="18"/>
      <c r="M2628" s="18"/>
      <c r="N2628" s="18"/>
      <c r="O2628" s="18"/>
      <c r="P2628" s="18"/>
      <c r="Q2628" s="18"/>
      <c r="R2628" s="18"/>
      <c r="S2628" s="18"/>
      <c r="T2628" s="18"/>
      <c r="U2628" s="18"/>
      <c r="V2628" s="18"/>
      <c r="W2628" s="18"/>
      <c r="X2628" s="18"/>
      <c r="Y2628" s="18"/>
      <c r="Z2628" s="18"/>
    </row>
    <row r="2629" ht="22.5" customHeight="1">
      <c r="A2629" s="250"/>
      <c r="B2629" s="218"/>
      <c r="C2629" s="9"/>
      <c r="D2629" s="228"/>
      <c r="E2629" s="216"/>
      <c r="F2629" s="273"/>
      <c r="G2629" s="9"/>
      <c r="H2629" s="234"/>
      <c r="I2629" s="232"/>
      <c r="J2629" s="9"/>
      <c r="K2629" s="18"/>
      <c r="L2629" s="18"/>
      <c r="M2629" s="18"/>
      <c r="N2629" s="18"/>
      <c r="O2629" s="18"/>
      <c r="P2629" s="18"/>
      <c r="Q2629" s="18"/>
      <c r="R2629" s="18"/>
      <c r="S2629" s="18"/>
      <c r="T2629" s="18"/>
      <c r="U2629" s="18"/>
      <c r="V2629" s="18"/>
      <c r="W2629" s="18"/>
      <c r="X2629" s="18"/>
      <c r="Y2629" s="18"/>
      <c r="Z2629" s="18"/>
    </row>
    <row r="2630" ht="22.5" customHeight="1">
      <c r="A2630" s="250"/>
      <c r="B2630" s="218"/>
      <c r="C2630" s="9"/>
      <c r="D2630" s="228"/>
      <c r="E2630" s="216"/>
      <c r="F2630" s="273"/>
      <c r="G2630" s="9"/>
      <c r="H2630" s="234"/>
      <c r="I2630" s="232"/>
      <c r="J2630" s="9"/>
      <c r="K2630" s="18"/>
      <c r="L2630" s="18"/>
      <c r="M2630" s="18"/>
      <c r="N2630" s="18"/>
      <c r="O2630" s="18"/>
      <c r="P2630" s="18"/>
      <c r="Q2630" s="18"/>
      <c r="R2630" s="18"/>
      <c r="S2630" s="18"/>
      <c r="T2630" s="18"/>
      <c r="U2630" s="18"/>
      <c r="V2630" s="18"/>
      <c r="W2630" s="18"/>
      <c r="X2630" s="18"/>
      <c r="Y2630" s="18"/>
      <c r="Z2630" s="18"/>
    </row>
    <row r="2631" ht="22.5" customHeight="1">
      <c r="A2631" s="250"/>
      <c r="B2631" s="218"/>
      <c r="C2631" s="9"/>
      <c r="D2631" s="228"/>
      <c r="E2631" s="216"/>
      <c r="F2631" s="273"/>
      <c r="G2631" s="9"/>
      <c r="H2631" s="234"/>
      <c r="I2631" s="232"/>
      <c r="J2631" s="9"/>
      <c r="K2631" s="18"/>
      <c r="L2631" s="18"/>
      <c r="M2631" s="18"/>
      <c r="N2631" s="18"/>
      <c r="O2631" s="18"/>
      <c r="P2631" s="18"/>
      <c r="Q2631" s="18"/>
      <c r="R2631" s="18"/>
      <c r="S2631" s="18"/>
      <c r="T2631" s="18"/>
      <c r="U2631" s="18"/>
      <c r="V2631" s="18"/>
      <c r="W2631" s="18"/>
      <c r="X2631" s="18"/>
      <c r="Y2631" s="18"/>
      <c r="Z2631" s="18"/>
    </row>
    <row r="2632" ht="22.5" customHeight="1">
      <c r="A2632" s="250"/>
      <c r="B2632" s="218"/>
      <c r="C2632" s="9"/>
      <c r="D2632" s="228"/>
      <c r="E2632" s="216"/>
      <c r="F2632" s="273"/>
      <c r="G2632" s="9"/>
      <c r="H2632" s="234"/>
      <c r="I2632" s="232"/>
      <c r="J2632" s="9"/>
      <c r="K2632" s="18"/>
      <c r="L2632" s="18"/>
      <c r="M2632" s="18"/>
      <c r="N2632" s="18"/>
      <c r="O2632" s="18"/>
      <c r="P2632" s="18"/>
      <c r="Q2632" s="18"/>
      <c r="R2632" s="18"/>
      <c r="S2632" s="18"/>
      <c r="T2632" s="18"/>
      <c r="U2632" s="18"/>
      <c r="V2632" s="18"/>
      <c r="W2632" s="18"/>
      <c r="X2632" s="18"/>
      <c r="Y2632" s="18"/>
      <c r="Z2632" s="18"/>
    </row>
    <row r="2633" ht="22.5" customHeight="1">
      <c r="A2633" s="250"/>
      <c r="B2633" s="218"/>
      <c r="C2633" s="9"/>
      <c r="D2633" s="228"/>
      <c r="E2633" s="216"/>
      <c r="F2633" s="273"/>
      <c r="G2633" s="9"/>
      <c r="H2633" s="234"/>
      <c r="I2633" s="232"/>
      <c r="J2633" s="9"/>
      <c r="K2633" s="18"/>
      <c r="L2633" s="18"/>
      <c r="M2633" s="18"/>
      <c r="N2633" s="18"/>
      <c r="O2633" s="18"/>
      <c r="P2633" s="18"/>
      <c r="Q2633" s="18"/>
      <c r="R2633" s="18"/>
      <c r="S2633" s="18"/>
      <c r="T2633" s="18"/>
      <c r="U2633" s="18"/>
      <c r="V2633" s="18"/>
      <c r="W2633" s="18"/>
      <c r="X2633" s="18"/>
      <c r="Y2633" s="18"/>
      <c r="Z2633" s="18"/>
    </row>
    <row r="2634" ht="22.5" customHeight="1">
      <c r="A2634" s="250"/>
      <c r="B2634" s="218"/>
      <c r="C2634" s="9"/>
      <c r="D2634" s="228"/>
      <c r="E2634" s="216"/>
      <c r="F2634" s="273"/>
      <c r="G2634" s="9"/>
      <c r="H2634" s="234"/>
      <c r="I2634" s="232"/>
      <c r="J2634" s="9"/>
      <c r="K2634" s="18"/>
      <c r="L2634" s="18"/>
      <c r="M2634" s="18"/>
      <c r="N2634" s="18"/>
      <c r="O2634" s="18"/>
      <c r="P2634" s="18"/>
      <c r="Q2634" s="18"/>
      <c r="R2634" s="18"/>
      <c r="S2634" s="18"/>
      <c r="T2634" s="18"/>
      <c r="U2634" s="18"/>
      <c r="V2634" s="18"/>
      <c r="W2634" s="18"/>
      <c r="X2634" s="18"/>
      <c r="Y2634" s="18"/>
      <c r="Z2634" s="18"/>
    </row>
    <row r="2635" ht="22.5" customHeight="1">
      <c r="A2635" s="250"/>
      <c r="B2635" s="218"/>
      <c r="C2635" s="9"/>
      <c r="D2635" s="228"/>
      <c r="E2635" s="216"/>
      <c r="F2635" s="273"/>
      <c r="G2635" s="9"/>
      <c r="H2635" s="234"/>
      <c r="I2635" s="232"/>
      <c r="J2635" s="9"/>
      <c r="K2635" s="18"/>
      <c r="L2635" s="18"/>
      <c r="M2635" s="18"/>
      <c r="N2635" s="18"/>
      <c r="O2635" s="18"/>
      <c r="P2635" s="18"/>
      <c r="Q2635" s="18"/>
      <c r="R2635" s="18"/>
      <c r="S2635" s="18"/>
      <c r="T2635" s="18"/>
      <c r="U2635" s="18"/>
      <c r="V2635" s="18"/>
      <c r="W2635" s="18"/>
      <c r="X2635" s="18"/>
      <c r="Y2635" s="18"/>
      <c r="Z2635" s="18"/>
    </row>
    <row r="2636" ht="22.5" customHeight="1">
      <c r="A2636" s="250"/>
      <c r="B2636" s="218"/>
      <c r="C2636" s="9"/>
      <c r="D2636" s="228"/>
      <c r="E2636" s="216"/>
      <c r="F2636" s="273"/>
      <c r="G2636" s="9"/>
      <c r="H2636" s="234"/>
      <c r="I2636" s="232"/>
      <c r="J2636" s="9"/>
      <c r="K2636" s="18"/>
      <c r="L2636" s="18"/>
      <c r="M2636" s="18"/>
      <c r="N2636" s="18"/>
      <c r="O2636" s="18"/>
      <c r="P2636" s="18"/>
      <c r="Q2636" s="18"/>
      <c r="R2636" s="18"/>
      <c r="S2636" s="18"/>
      <c r="T2636" s="18"/>
      <c r="U2636" s="18"/>
      <c r="V2636" s="18"/>
      <c r="W2636" s="18"/>
      <c r="X2636" s="18"/>
      <c r="Y2636" s="18"/>
      <c r="Z2636" s="18"/>
    </row>
    <row r="2637" ht="22.5" customHeight="1">
      <c r="A2637" s="250"/>
      <c r="B2637" s="218"/>
      <c r="C2637" s="9"/>
      <c r="D2637" s="228"/>
      <c r="E2637" s="216"/>
      <c r="F2637" s="273"/>
      <c r="G2637" s="9"/>
      <c r="H2637" s="234"/>
      <c r="I2637" s="232"/>
      <c r="J2637" s="9"/>
      <c r="K2637" s="18"/>
      <c r="L2637" s="18"/>
      <c r="M2637" s="18"/>
      <c r="N2637" s="18"/>
      <c r="O2637" s="18"/>
      <c r="P2637" s="18"/>
      <c r="Q2637" s="18"/>
      <c r="R2637" s="18"/>
      <c r="S2637" s="18"/>
      <c r="T2637" s="18"/>
      <c r="U2637" s="18"/>
      <c r="V2637" s="18"/>
      <c r="W2637" s="18"/>
      <c r="X2637" s="18"/>
      <c r="Y2637" s="18"/>
      <c r="Z2637" s="18"/>
    </row>
    <row r="2638" ht="22.5" customHeight="1">
      <c r="A2638" s="250"/>
      <c r="B2638" s="218"/>
      <c r="C2638" s="9"/>
      <c r="D2638" s="228"/>
      <c r="E2638" s="216"/>
      <c r="F2638" s="273"/>
      <c r="G2638" s="9"/>
      <c r="H2638" s="234"/>
      <c r="I2638" s="232"/>
      <c r="J2638" s="9"/>
      <c r="K2638" s="18"/>
      <c r="L2638" s="18"/>
      <c r="M2638" s="18"/>
      <c r="N2638" s="18"/>
      <c r="O2638" s="18"/>
      <c r="P2638" s="18"/>
      <c r="Q2638" s="18"/>
      <c r="R2638" s="18"/>
      <c r="S2638" s="18"/>
      <c r="T2638" s="18"/>
      <c r="U2638" s="18"/>
      <c r="V2638" s="18"/>
      <c r="W2638" s="18"/>
      <c r="X2638" s="18"/>
      <c r="Y2638" s="18"/>
      <c r="Z2638" s="18"/>
    </row>
    <row r="2639" ht="22.5" customHeight="1">
      <c r="A2639" s="250"/>
      <c r="B2639" s="218"/>
      <c r="C2639" s="9"/>
      <c r="D2639" s="228"/>
      <c r="E2639" s="216"/>
      <c r="F2639" s="273"/>
      <c r="G2639" s="9"/>
      <c r="H2639" s="234"/>
      <c r="I2639" s="232"/>
      <c r="J2639" s="9"/>
      <c r="K2639" s="18"/>
      <c r="L2639" s="18"/>
      <c r="M2639" s="18"/>
      <c r="N2639" s="18"/>
      <c r="O2639" s="18"/>
      <c r="P2639" s="18"/>
      <c r="Q2639" s="18"/>
      <c r="R2639" s="18"/>
      <c r="S2639" s="18"/>
      <c r="T2639" s="18"/>
      <c r="U2639" s="18"/>
      <c r="V2639" s="18"/>
      <c r="W2639" s="18"/>
      <c r="X2639" s="18"/>
      <c r="Y2639" s="18"/>
      <c r="Z2639" s="18"/>
    </row>
    <row r="2640" ht="22.5" customHeight="1">
      <c r="A2640" s="250"/>
      <c r="B2640" s="218"/>
      <c r="C2640" s="9"/>
      <c r="D2640" s="228"/>
      <c r="E2640" s="216"/>
      <c r="F2640" s="273"/>
      <c r="G2640" s="9"/>
      <c r="H2640" s="234"/>
      <c r="I2640" s="232"/>
      <c r="J2640" s="9"/>
      <c r="K2640" s="18"/>
      <c r="L2640" s="18"/>
      <c r="M2640" s="18"/>
      <c r="N2640" s="18"/>
      <c r="O2640" s="18"/>
      <c r="P2640" s="18"/>
      <c r="Q2640" s="18"/>
      <c r="R2640" s="18"/>
      <c r="S2640" s="18"/>
      <c r="T2640" s="18"/>
      <c r="U2640" s="18"/>
      <c r="V2640" s="18"/>
      <c r="W2640" s="18"/>
      <c r="X2640" s="18"/>
      <c r="Y2640" s="18"/>
      <c r="Z2640" s="18"/>
    </row>
    <row r="2641" ht="22.5" customHeight="1">
      <c r="A2641" s="250"/>
      <c r="B2641" s="218"/>
      <c r="C2641" s="9"/>
      <c r="D2641" s="228"/>
      <c r="E2641" s="216"/>
      <c r="F2641" s="273"/>
      <c r="G2641" s="9"/>
      <c r="H2641" s="234"/>
      <c r="I2641" s="232"/>
      <c r="J2641" s="9"/>
      <c r="K2641" s="18"/>
      <c r="L2641" s="18"/>
      <c r="M2641" s="18"/>
      <c r="N2641" s="18"/>
      <c r="O2641" s="18"/>
      <c r="P2641" s="18"/>
      <c r="Q2641" s="18"/>
      <c r="R2641" s="18"/>
      <c r="S2641" s="18"/>
      <c r="T2641" s="18"/>
      <c r="U2641" s="18"/>
      <c r="V2641" s="18"/>
      <c r="W2641" s="18"/>
      <c r="X2641" s="18"/>
      <c r="Y2641" s="18"/>
      <c r="Z2641" s="18"/>
    </row>
    <row r="2642" ht="22.5" customHeight="1">
      <c r="A2642" s="250"/>
      <c r="B2642" s="218"/>
      <c r="C2642" s="9"/>
      <c r="D2642" s="228"/>
      <c r="E2642" s="216"/>
      <c r="F2642" s="273"/>
      <c r="G2642" s="9"/>
      <c r="H2642" s="234"/>
      <c r="I2642" s="232"/>
      <c r="J2642" s="9"/>
      <c r="K2642" s="18"/>
      <c r="L2642" s="18"/>
      <c r="M2642" s="18"/>
      <c r="N2642" s="18"/>
      <c r="O2642" s="18"/>
      <c r="P2642" s="18"/>
      <c r="Q2642" s="18"/>
      <c r="R2642" s="18"/>
      <c r="S2642" s="18"/>
      <c r="T2642" s="18"/>
      <c r="U2642" s="18"/>
      <c r="V2642" s="18"/>
      <c r="W2642" s="18"/>
      <c r="X2642" s="18"/>
      <c r="Y2642" s="18"/>
      <c r="Z2642" s="18"/>
    </row>
    <row r="2643" ht="22.5" customHeight="1">
      <c r="A2643" s="250"/>
      <c r="B2643" s="218"/>
      <c r="C2643" s="9"/>
      <c r="D2643" s="228"/>
      <c r="E2643" s="216"/>
      <c r="F2643" s="273"/>
      <c r="G2643" s="9"/>
      <c r="H2643" s="234"/>
      <c r="I2643" s="232"/>
      <c r="J2643" s="9"/>
      <c r="K2643" s="18"/>
      <c r="L2643" s="18"/>
      <c r="M2643" s="18"/>
      <c r="N2643" s="18"/>
      <c r="O2643" s="18"/>
      <c r="P2643" s="18"/>
      <c r="Q2643" s="18"/>
      <c r="R2643" s="18"/>
      <c r="S2643" s="18"/>
      <c r="T2643" s="18"/>
      <c r="U2643" s="18"/>
      <c r="V2643" s="18"/>
      <c r="W2643" s="18"/>
      <c r="X2643" s="18"/>
      <c r="Y2643" s="18"/>
      <c r="Z2643" s="18"/>
    </row>
    <row r="2644" ht="22.5" customHeight="1">
      <c r="A2644" s="250"/>
      <c r="B2644" s="218"/>
      <c r="C2644" s="9"/>
      <c r="D2644" s="228"/>
      <c r="E2644" s="216"/>
      <c r="F2644" s="273"/>
      <c r="G2644" s="9"/>
      <c r="H2644" s="234"/>
      <c r="I2644" s="232"/>
      <c r="J2644" s="9"/>
      <c r="K2644" s="18"/>
      <c r="L2644" s="18"/>
      <c r="M2644" s="18"/>
      <c r="N2644" s="18"/>
      <c r="O2644" s="18"/>
      <c r="P2644" s="18"/>
      <c r="Q2644" s="18"/>
      <c r="R2644" s="18"/>
      <c r="S2644" s="18"/>
      <c r="T2644" s="18"/>
      <c r="U2644" s="18"/>
      <c r="V2644" s="18"/>
      <c r="W2644" s="18"/>
      <c r="X2644" s="18"/>
      <c r="Y2644" s="18"/>
      <c r="Z2644" s="18"/>
    </row>
    <row r="2645" ht="22.5" customHeight="1">
      <c r="A2645" s="250"/>
      <c r="B2645" s="218"/>
      <c r="C2645" s="9"/>
      <c r="D2645" s="228"/>
      <c r="E2645" s="216"/>
      <c r="F2645" s="273"/>
      <c r="G2645" s="9"/>
      <c r="H2645" s="234"/>
      <c r="I2645" s="232"/>
      <c r="J2645" s="9"/>
      <c r="K2645" s="18"/>
      <c r="L2645" s="18"/>
      <c r="M2645" s="18"/>
      <c r="N2645" s="18"/>
      <c r="O2645" s="18"/>
      <c r="P2645" s="18"/>
      <c r="Q2645" s="18"/>
      <c r="R2645" s="18"/>
      <c r="S2645" s="18"/>
      <c r="T2645" s="18"/>
      <c r="U2645" s="18"/>
      <c r="V2645" s="18"/>
      <c r="W2645" s="18"/>
      <c r="X2645" s="18"/>
      <c r="Y2645" s="18"/>
      <c r="Z2645" s="18"/>
    </row>
    <row r="2646" ht="22.5" customHeight="1">
      <c r="A2646" s="250"/>
      <c r="B2646" s="218"/>
      <c r="C2646" s="9"/>
      <c r="D2646" s="228"/>
      <c r="E2646" s="216"/>
      <c r="F2646" s="273"/>
      <c r="G2646" s="9"/>
      <c r="H2646" s="234"/>
      <c r="I2646" s="232"/>
      <c r="J2646" s="9"/>
      <c r="K2646" s="18"/>
      <c r="L2646" s="18"/>
      <c r="M2646" s="18"/>
      <c r="N2646" s="18"/>
      <c r="O2646" s="18"/>
      <c r="P2646" s="18"/>
      <c r="Q2646" s="18"/>
      <c r="R2646" s="18"/>
      <c r="S2646" s="18"/>
      <c r="T2646" s="18"/>
      <c r="U2646" s="18"/>
      <c r="V2646" s="18"/>
      <c r="W2646" s="18"/>
      <c r="X2646" s="18"/>
      <c r="Y2646" s="18"/>
      <c r="Z2646" s="18"/>
    </row>
    <row r="2647" ht="22.5" customHeight="1">
      <c r="A2647" s="250"/>
      <c r="B2647" s="218"/>
      <c r="C2647" s="9"/>
      <c r="D2647" s="228"/>
      <c r="E2647" s="216"/>
      <c r="F2647" s="273"/>
      <c r="G2647" s="9"/>
      <c r="H2647" s="234"/>
      <c r="I2647" s="232"/>
      <c r="J2647" s="9"/>
      <c r="K2647" s="18"/>
      <c r="L2647" s="18"/>
      <c r="M2647" s="18"/>
      <c r="N2647" s="18"/>
      <c r="O2647" s="18"/>
      <c r="P2647" s="18"/>
      <c r="Q2647" s="18"/>
      <c r="R2647" s="18"/>
      <c r="S2647" s="18"/>
      <c r="T2647" s="18"/>
      <c r="U2647" s="18"/>
      <c r="V2647" s="18"/>
      <c r="W2647" s="18"/>
      <c r="X2647" s="18"/>
      <c r="Y2647" s="18"/>
      <c r="Z2647" s="18"/>
    </row>
    <row r="2648" ht="22.5" customHeight="1">
      <c r="A2648" s="250"/>
      <c r="B2648" s="218"/>
      <c r="C2648" s="9"/>
      <c r="D2648" s="228"/>
      <c r="E2648" s="216"/>
      <c r="F2648" s="273"/>
      <c r="G2648" s="9"/>
      <c r="H2648" s="234"/>
      <c r="I2648" s="232"/>
      <c r="J2648" s="9"/>
      <c r="K2648" s="18"/>
      <c r="L2648" s="18"/>
      <c r="M2648" s="18"/>
      <c r="N2648" s="18"/>
      <c r="O2648" s="18"/>
      <c r="P2648" s="18"/>
      <c r="Q2648" s="18"/>
      <c r="R2648" s="18"/>
      <c r="S2648" s="18"/>
      <c r="T2648" s="18"/>
      <c r="U2648" s="18"/>
      <c r="V2648" s="18"/>
      <c r="W2648" s="18"/>
      <c r="X2648" s="18"/>
      <c r="Y2648" s="18"/>
      <c r="Z2648" s="18"/>
    </row>
    <row r="2649" ht="22.5" customHeight="1">
      <c r="A2649" s="250"/>
      <c r="B2649" s="218"/>
      <c r="C2649" s="9"/>
      <c r="D2649" s="228"/>
      <c r="E2649" s="216"/>
      <c r="F2649" s="273"/>
      <c r="G2649" s="9"/>
      <c r="H2649" s="234"/>
      <c r="I2649" s="232"/>
      <c r="J2649" s="9"/>
      <c r="K2649" s="18"/>
      <c r="L2649" s="18"/>
      <c r="M2649" s="18"/>
      <c r="N2649" s="18"/>
      <c r="O2649" s="18"/>
      <c r="P2649" s="18"/>
      <c r="Q2649" s="18"/>
      <c r="R2649" s="18"/>
      <c r="S2649" s="18"/>
      <c r="T2649" s="18"/>
      <c r="U2649" s="18"/>
      <c r="V2649" s="18"/>
      <c r="W2649" s="18"/>
      <c r="X2649" s="18"/>
      <c r="Y2649" s="18"/>
      <c r="Z2649" s="18"/>
    </row>
    <row r="2650" ht="22.5" customHeight="1">
      <c r="A2650" s="250"/>
      <c r="B2650" s="218"/>
      <c r="C2650" s="9"/>
      <c r="D2650" s="228"/>
      <c r="E2650" s="216"/>
      <c r="F2650" s="273"/>
      <c r="G2650" s="9"/>
      <c r="H2650" s="234"/>
      <c r="I2650" s="232"/>
      <c r="J2650" s="9"/>
      <c r="K2650" s="18"/>
      <c r="L2650" s="18"/>
      <c r="M2650" s="18"/>
      <c r="N2650" s="18"/>
      <c r="O2650" s="18"/>
      <c r="P2650" s="18"/>
      <c r="Q2650" s="18"/>
      <c r="R2650" s="18"/>
      <c r="S2650" s="18"/>
      <c r="T2650" s="18"/>
      <c r="U2650" s="18"/>
      <c r="V2650" s="18"/>
      <c r="W2650" s="18"/>
      <c r="X2650" s="18"/>
      <c r="Y2650" s="18"/>
      <c r="Z2650" s="18"/>
    </row>
    <row r="2651" ht="22.5" customHeight="1">
      <c r="A2651" s="250"/>
      <c r="B2651" s="218"/>
      <c r="C2651" s="9"/>
      <c r="D2651" s="228"/>
      <c r="E2651" s="216"/>
      <c r="F2651" s="273"/>
      <c r="G2651" s="9"/>
      <c r="H2651" s="234"/>
      <c r="I2651" s="232"/>
      <c r="J2651" s="9"/>
      <c r="K2651" s="18"/>
      <c r="L2651" s="18"/>
      <c r="M2651" s="18"/>
      <c r="N2651" s="18"/>
      <c r="O2651" s="18"/>
      <c r="P2651" s="18"/>
      <c r="Q2651" s="18"/>
      <c r="R2651" s="18"/>
      <c r="S2651" s="18"/>
      <c r="T2651" s="18"/>
      <c r="U2651" s="18"/>
      <c r="V2651" s="18"/>
      <c r="W2651" s="18"/>
      <c r="X2651" s="18"/>
      <c r="Y2651" s="18"/>
      <c r="Z2651" s="18"/>
    </row>
    <row r="2652" ht="22.5" customHeight="1">
      <c r="A2652" s="250"/>
      <c r="B2652" s="218"/>
      <c r="C2652" s="9"/>
      <c r="D2652" s="228"/>
      <c r="E2652" s="216"/>
      <c r="F2652" s="273"/>
      <c r="G2652" s="9"/>
      <c r="H2652" s="234"/>
      <c r="I2652" s="232"/>
      <c r="J2652" s="9"/>
      <c r="K2652" s="18"/>
      <c r="L2652" s="18"/>
      <c r="M2652" s="18"/>
      <c r="N2652" s="18"/>
      <c r="O2652" s="18"/>
      <c r="P2652" s="18"/>
      <c r="Q2652" s="18"/>
      <c r="R2652" s="18"/>
      <c r="S2652" s="18"/>
      <c r="T2652" s="18"/>
      <c r="U2652" s="18"/>
      <c r="V2652" s="18"/>
      <c r="W2652" s="18"/>
      <c r="X2652" s="18"/>
      <c r="Y2652" s="18"/>
      <c r="Z2652" s="18"/>
    </row>
    <row r="2653" ht="22.5" customHeight="1">
      <c r="A2653" s="250"/>
      <c r="B2653" s="218"/>
      <c r="C2653" s="9"/>
      <c r="D2653" s="228"/>
      <c r="E2653" s="216"/>
      <c r="F2653" s="273"/>
      <c r="G2653" s="9"/>
      <c r="H2653" s="234"/>
      <c r="I2653" s="232"/>
      <c r="J2653" s="9"/>
      <c r="K2653" s="18"/>
      <c r="L2653" s="18"/>
      <c r="M2653" s="18"/>
      <c r="N2653" s="18"/>
      <c r="O2653" s="18"/>
      <c r="P2653" s="18"/>
      <c r="Q2653" s="18"/>
      <c r="R2653" s="18"/>
      <c r="S2653" s="18"/>
      <c r="T2653" s="18"/>
      <c r="U2653" s="18"/>
      <c r="V2653" s="18"/>
      <c r="W2653" s="18"/>
      <c r="X2653" s="18"/>
      <c r="Y2653" s="18"/>
      <c r="Z2653" s="18"/>
    </row>
    <row r="2654" ht="22.5" customHeight="1">
      <c r="A2654" s="250"/>
      <c r="B2654" s="218"/>
      <c r="C2654" s="9"/>
      <c r="D2654" s="228"/>
      <c r="E2654" s="216"/>
      <c r="F2654" s="273"/>
      <c r="G2654" s="9"/>
      <c r="H2654" s="234"/>
      <c r="I2654" s="232"/>
      <c r="J2654" s="9"/>
      <c r="K2654" s="18"/>
      <c r="L2654" s="18"/>
      <c r="M2654" s="18"/>
      <c r="N2654" s="18"/>
      <c r="O2654" s="18"/>
      <c r="P2654" s="18"/>
      <c r="Q2654" s="18"/>
      <c r="R2654" s="18"/>
      <c r="S2654" s="18"/>
      <c r="T2654" s="18"/>
      <c r="U2654" s="18"/>
      <c r="V2654" s="18"/>
      <c r="W2654" s="18"/>
      <c r="X2654" s="18"/>
      <c r="Y2654" s="18"/>
      <c r="Z2654" s="18"/>
    </row>
    <row r="2655" ht="22.5" customHeight="1">
      <c r="A2655" s="250"/>
      <c r="B2655" s="218"/>
      <c r="C2655" s="9"/>
      <c r="D2655" s="228"/>
      <c r="E2655" s="216"/>
      <c r="F2655" s="273"/>
      <c r="G2655" s="9"/>
      <c r="H2655" s="234"/>
      <c r="I2655" s="232"/>
      <c r="J2655" s="9"/>
      <c r="K2655" s="18"/>
      <c r="L2655" s="18"/>
      <c r="M2655" s="18"/>
      <c r="N2655" s="18"/>
      <c r="O2655" s="18"/>
      <c r="P2655" s="18"/>
      <c r="Q2655" s="18"/>
      <c r="R2655" s="18"/>
      <c r="S2655" s="18"/>
      <c r="T2655" s="18"/>
      <c r="U2655" s="18"/>
      <c r="V2655" s="18"/>
      <c r="W2655" s="18"/>
      <c r="X2655" s="18"/>
      <c r="Y2655" s="18"/>
      <c r="Z2655" s="18"/>
    </row>
    <row r="2656" ht="22.5" customHeight="1">
      <c r="A2656" s="250"/>
      <c r="B2656" s="218"/>
      <c r="C2656" s="9"/>
      <c r="D2656" s="228"/>
      <c r="E2656" s="216"/>
      <c r="F2656" s="273"/>
      <c r="G2656" s="9"/>
      <c r="H2656" s="234"/>
      <c r="I2656" s="232"/>
      <c r="J2656" s="9"/>
      <c r="K2656" s="18"/>
      <c r="L2656" s="18"/>
      <c r="M2656" s="18"/>
      <c r="N2656" s="18"/>
      <c r="O2656" s="18"/>
      <c r="P2656" s="18"/>
      <c r="Q2656" s="18"/>
      <c r="R2656" s="18"/>
      <c r="S2656" s="18"/>
      <c r="T2656" s="18"/>
      <c r="U2656" s="18"/>
      <c r="V2656" s="18"/>
      <c r="W2656" s="18"/>
      <c r="X2656" s="18"/>
      <c r="Y2656" s="18"/>
      <c r="Z2656" s="18"/>
    </row>
    <row r="2657" ht="22.5" customHeight="1">
      <c r="A2657" s="250"/>
      <c r="B2657" s="218"/>
      <c r="C2657" s="9"/>
      <c r="D2657" s="228"/>
      <c r="E2657" s="216"/>
      <c r="F2657" s="273"/>
      <c r="G2657" s="9"/>
      <c r="H2657" s="234"/>
      <c r="I2657" s="232"/>
      <c r="J2657" s="9"/>
      <c r="K2657" s="18"/>
      <c r="L2657" s="18"/>
      <c r="M2657" s="18"/>
      <c r="N2657" s="18"/>
      <c r="O2657" s="18"/>
      <c r="P2657" s="18"/>
      <c r="Q2657" s="18"/>
      <c r="R2657" s="18"/>
      <c r="S2657" s="18"/>
      <c r="T2657" s="18"/>
      <c r="U2657" s="18"/>
      <c r="V2657" s="18"/>
      <c r="W2657" s="18"/>
      <c r="X2657" s="18"/>
      <c r="Y2657" s="18"/>
      <c r="Z2657" s="18"/>
    </row>
    <row r="2658" ht="22.5" customHeight="1">
      <c r="A2658" s="250"/>
      <c r="B2658" s="218"/>
      <c r="C2658" s="9"/>
      <c r="D2658" s="228"/>
      <c r="E2658" s="216"/>
      <c r="F2658" s="273"/>
      <c r="G2658" s="9"/>
      <c r="H2658" s="234"/>
      <c r="I2658" s="232"/>
      <c r="J2658" s="9"/>
      <c r="K2658" s="18"/>
      <c r="L2658" s="18"/>
      <c r="M2658" s="18"/>
      <c r="N2658" s="18"/>
      <c r="O2658" s="18"/>
      <c r="P2658" s="18"/>
      <c r="Q2658" s="18"/>
      <c r="R2658" s="18"/>
      <c r="S2658" s="18"/>
      <c r="T2658" s="18"/>
      <c r="U2658" s="18"/>
      <c r="V2658" s="18"/>
      <c r="W2658" s="18"/>
      <c r="X2658" s="18"/>
      <c r="Y2658" s="18"/>
      <c r="Z2658" s="18"/>
    </row>
    <row r="2659" ht="22.5" customHeight="1">
      <c r="A2659" s="250"/>
      <c r="B2659" s="218"/>
      <c r="C2659" s="9"/>
      <c r="D2659" s="228"/>
      <c r="E2659" s="216"/>
      <c r="F2659" s="273"/>
      <c r="G2659" s="9"/>
      <c r="H2659" s="234"/>
      <c r="I2659" s="232"/>
      <c r="J2659" s="9"/>
      <c r="K2659" s="18"/>
      <c r="L2659" s="18"/>
      <c r="M2659" s="18"/>
      <c r="N2659" s="18"/>
      <c r="O2659" s="18"/>
      <c r="P2659" s="18"/>
      <c r="Q2659" s="18"/>
      <c r="R2659" s="18"/>
      <c r="S2659" s="18"/>
      <c r="T2659" s="18"/>
      <c r="U2659" s="18"/>
      <c r="V2659" s="18"/>
      <c r="W2659" s="18"/>
      <c r="X2659" s="18"/>
      <c r="Y2659" s="18"/>
      <c r="Z2659" s="18"/>
    </row>
    <row r="2660" ht="22.5" customHeight="1">
      <c r="A2660" s="250"/>
      <c r="B2660" s="218"/>
      <c r="C2660" s="9"/>
      <c r="D2660" s="228"/>
      <c r="E2660" s="216"/>
      <c r="F2660" s="273"/>
      <c r="G2660" s="9"/>
      <c r="H2660" s="234"/>
      <c r="I2660" s="232"/>
      <c r="J2660" s="9"/>
      <c r="K2660" s="18"/>
      <c r="L2660" s="18"/>
      <c r="M2660" s="18"/>
      <c r="N2660" s="18"/>
      <c r="O2660" s="18"/>
      <c r="P2660" s="18"/>
      <c r="Q2660" s="18"/>
      <c r="R2660" s="18"/>
      <c r="S2660" s="18"/>
      <c r="T2660" s="18"/>
      <c r="U2660" s="18"/>
      <c r="V2660" s="18"/>
      <c r="W2660" s="18"/>
      <c r="X2660" s="18"/>
      <c r="Y2660" s="18"/>
      <c r="Z2660" s="18"/>
    </row>
    <row r="2661" ht="22.5" customHeight="1">
      <c r="A2661" s="250"/>
      <c r="B2661" s="218"/>
      <c r="C2661" s="9"/>
      <c r="D2661" s="228"/>
      <c r="E2661" s="216"/>
      <c r="F2661" s="273"/>
      <c r="G2661" s="9"/>
      <c r="H2661" s="234"/>
      <c r="I2661" s="232"/>
      <c r="J2661" s="9"/>
      <c r="K2661" s="18"/>
      <c r="L2661" s="18"/>
      <c r="M2661" s="18"/>
      <c r="N2661" s="18"/>
      <c r="O2661" s="18"/>
      <c r="P2661" s="18"/>
      <c r="Q2661" s="18"/>
      <c r="R2661" s="18"/>
      <c r="S2661" s="18"/>
      <c r="T2661" s="18"/>
      <c r="U2661" s="18"/>
      <c r="V2661" s="18"/>
      <c r="W2661" s="18"/>
      <c r="X2661" s="18"/>
      <c r="Y2661" s="18"/>
      <c r="Z2661" s="18"/>
    </row>
    <row r="2662" ht="22.5" customHeight="1">
      <c r="A2662" s="250"/>
      <c r="B2662" s="218"/>
      <c r="C2662" s="9"/>
      <c r="D2662" s="228"/>
      <c r="E2662" s="216"/>
      <c r="F2662" s="273"/>
      <c r="G2662" s="9"/>
      <c r="H2662" s="234"/>
      <c r="I2662" s="232"/>
      <c r="J2662" s="9"/>
      <c r="K2662" s="18"/>
      <c r="L2662" s="18"/>
      <c r="M2662" s="18"/>
      <c r="N2662" s="18"/>
      <c r="O2662" s="18"/>
      <c r="P2662" s="18"/>
      <c r="Q2662" s="18"/>
      <c r="R2662" s="18"/>
      <c r="S2662" s="18"/>
      <c r="T2662" s="18"/>
      <c r="U2662" s="18"/>
      <c r="V2662" s="18"/>
      <c r="W2662" s="18"/>
      <c r="X2662" s="18"/>
      <c r="Y2662" s="18"/>
      <c r="Z2662" s="18"/>
    </row>
    <row r="2663" ht="22.5" customHeight="1">
      <c r="A2663" s="250"/>
      <c r="B2663" s="218"/>
      <c r="C2663" s="9"/>
      <c r="D2663" s="228"/>
      <c r="E2663" s="216"/>
      <c r="F2663" s="273"/>
      <c r="G2663" s="9"/>
      <c r="H2663" s="234"/>
      <c r="I2663" s="232"/>
      <c r="J2663" s="9"/>
      <c r="K2663" s="18"/>
      <c r="L2663" s="18"/>
      <c r="M2663" s="18"/>
      <c r="N2663" s="18"/>
      <c r="O2663" s="18"/>
      <c r="P2663" s="18"/>
      <c r="Q2663" s="18"/>
      <c r="R2663" s="18"/>
      <c r="S2663" s="18"/>
      <c r="T2663" s="18"/>
      <c r="U2663" s="18"/>
      <c r="V2663" s="18"/>
      <c r="W2663" s="18"/>
      <c r="X2663" s="18"/>
      <c r="Y2663" s="18"/>
      <c r="Z2663" s="18"/>
    </row>
    <row r="2664" ht="22.5" customHeight="1">
      <c r="A2664" s="250"/>
      <c r="B2664" s="218"/>
      <c r="C2664" s="9"/>
      <c r="D2664" s="228"/>
      <c r="E2664" s="216"/>
      <c r="F2664" s="273"/>
      <c r="G2664" s="9"/>
      <c r="H2664" s="234"/>
      <c r="I2664" s="232"/>
      <c r="J2664" s="9"/>
      <c r="K2664" s="18"/>
      <c r="L2664" s="18"/>
      <c r="M2664" s="18"/>
      <c r="N2664" s="18"/>
      <c r="O2664" s="18"/>
      <c r="P2664" s="18"/>
      <c r="Q2664" s="18"/>
      <c r="R2664" s="18"/>
      <c r="S2664" s="18"/>
      <c r="T2664" s="18"/>
      <c r="U2664" s="18"/>
      <c r="V2664" s="18"/>
      <c r="W2664" s="18"/>
      <c r="X2664" s="18"/>
      <c r="Y2664" s="18"/>
      <c r="Z2664" s="18"/>
    </row>
    <row r="2665" ht="22.5" customHeight="1">
      <c r="A2665" s="250"/>
      <c r="B2665" s="218"/>
      <c r="C2665" s="9"/>
      <c r="D2665" s="228"/>
      <c r="E2665" s="216"/>
      <c r="F2665" s="273"/>
      <c r="G2665" s="9"/>
      <c r="H2665" s="234"/>
      <c r="I2665" s="232"/>
      <c r="J2665" s="9"/>
      <c r="K2665" s="18"/>
      <c r="L2665" s="18"/>
      <c r="M2665" s="18"/>
      <c r="N2665" s="18"/>
      <c r="O2665" s="18"/>
      <c r="P2665" s="18"/>
      <c r="Q2665" s="18"/>
      <c r="R2665" s="18"/>
      <c r="S2665" s="18"/>
      <c r="T2665" s="18"/>
      <c r="U2665" s="18"/>
      <c r="V2665" s="18"/>
      <c r="W2665" s="18"/>
      <c r="X2665" s="18"/>
      <c r="Y2665" s="18"/>
      <c r="Z2665" s="18"/>
    </row>
    <row r="2666" ht="22.5" customHeight="1">
      <c r="A2666" s="250"/>
      <c r="B2666" s="218"/>
      <c r="C2666" s="9"/>
      <c r="D2666" s="228"/>
      <c r="E2666" s="216"/>
      <c r="F2666" s="273"/>
      <c r="G2666" s="9"/>
      <c r="H2666" s="234"/>
      <c r="I2666" s="232"/>
      <c r="J2666" s="9"/>
      <c r="K2666" s="18"/>
      <c r="L2666" s="18"/>
      <c r="M2666" s="18"/>
      <c r="N2666" s="18"/>
      <c r="O2666" s="18"/>
      <c r="P2666" s="18"/>
      <c r="Q2666" s="18"/>
      <c r="R2666" s="18"/>
      <c r="S2666" s="18"/>
      <c r="T2666" s="18"/>
      <c r="U2666" s="18"/>
      <c r="V2666" s="18"/>
      <c r="W2666" s="18"/>
      <c r="X2666" s="18"/>
      <c r="Y2666" s="18"/>
      <c r="Z2666" s="18"/>
    </row>
    <row r="2667" ht="22.5" customHeight="1">
      <c r="A2667" s="250"/>
      <c r="B2667" s="218"/>
      <c r="C2667" s="9"/>
      <c r="D2667" s="228"/>
      <c r="E2667" s="216"/>
      <c r="F2667" s="273"/>
      <c r="G2667" s="9"/>
      <c r="H2667" s="234"/>
      <c r="I2667" s="232"/>
      <c r="J2667" s="9"/>
      <c r="K2667" s="18"/>
      <c r="L2667" s="18"/>
      <c r="M2667" s="18"/>
      <c r="N2667" s="18"/>
      <c r="O2667" s="18"/>
      <c r="P2667" s="18"/>
      <c r="Q2667" s="18"/>
      <c r="R2667" s="18"/>
      <c r="S2667" s="18"/>
      <c r="T2667" s="18"/>
      <c r="U2667" s="18"/>
      <c r="V2667" s="18"/>
      <c r="W2667" s="18"/>
      <c r="X2667" s="18"/>
      <c r="Y2667" s="18"/>
      <c r="Z2667" s="18"/>
    </row>
    <row r="2668" ht="22.5" customHeight="1">
      <c r="A2668" s="250"/>
      <c r="B2668" s="218"/>
      <c r="C2668" s="9"/>
      <c r="D2668" s="228"/>
      <c r="E2668" s="216"/>
      <c r="F2668" s="273"/>
      <c r="G2668" s="9"/>
      <c r="H2668" s="234"/>
      <c r="I2668" s="232"/>
      <c r="J2668" s="9"/>
      <c r="K2668" s="18"/>
      <c r="L2668" s="18"/>
      <c r="M2668" s="18"/>
      <c r="N2668" s="18"/>
      <c r="O2668" s="18"/>
      <c r="P2668" s="18"/>
      <c r="Q2668" s="18"/>
      <c r="R2668" s="18"/>
      <c r="S2668" s="18"/>
      <c r="T2668" s="18"/>
      <c r="U2668" s="18"/>
      <c r="V2668" s="18"/>
      <c r="W2668" s="18"/>
      <c r="X2668" s="18"/>
      <c r="Y2668" s="18"/>
      <c r="Z2668" s="18"/>
    </row>
    <row r="2669" ht="22.5" customHeight="1">
      <c r="A2669" s="250"/>
      <c r="B2669" s="218"/>
      <c r="C2669" s="9"/>
      <c r="D2669" s="228"/>
      <c r="E2669" s="216"/>
      <c r="F2669" s="273"/>
      <c r="G2669" s="9"/>
      <c r="H2669" s="234"/>
      <c r="I2669" s="232"/>
      <c r="J2669" s="9"/>
      <c r="K2669" s="18"/>
      <c r="L2669" s="18"/>
      <c r="M2669" s="18"/>
      <c r="N2669" s="18"/>
      <c r="O2669" s="18"/>
      <c r="P2669" s="18"/>
      <c r="Q2669" s="18"/>
      <c r="R2669" s="18"/>
      <c r="S2669" s="18"/>
      <c r="T2669" s="18"/>
      <c r="U2669" s="18"/>
      <c r="V2669" s="18"/>
      <c r="W2669" s="18"/>
      <c r="X2669" s="18"/>
      <c r="Y2669" s="18"/>
      <c r="Z2669" s="18"/>
    </row>
    <row r="2670" ht="22.5" customHeight="1">
      <c r="A2670" s="250"/>
      <c r="B2670" s="218"/>
      <c r="C2670" s="9"/>
      <c r="D2670" s="228"/>
      <c r="E2670" s="216"/>
      <c r="F2670" s="273"/>
      <c r="G2670" s="9"/>
      <c r="H2670" s="234"/>
      <c r="I2670" s="232"/>
      <c r="J2670" s="9"/>
      <c r="K2670" s="18"/>
      <c r="L2670" s="18"/>
      <c r="M2670" s="18"/>
      <c r="N2670" s="18"/>
      <c r="O2670" s="18"/>
      <c r="P2670" s="18"/>
      <c r="Q2670" s="18"/>
      <c r="R2670" s="18"/>
      <c r="S2670" s="18"/>
      <c r="T2670" s="18"/>
      <c r="U2670" s="18"/>
      <c r="V2670" s="18"/>
      <c r="W2670" s="18"/>
      <c r="X2670" s="18"/>
      <c r="Y2670" s="18"/>
      <c r="Z2670" s="18"/>
    </row>
    <row r="2671" ht="22.5" customHeight="1">
      <c r="A2671" s="250"/>
      <c r="B2671" s="218"/>
      <c r="C2671" s="9"/>
      <c r="D2671" s="228"/>
      <c r="E2671" s="216"/>
      <c r="F2671" s="273"/>
      <c r="G2671" s="9"/>
      <c r="H2671" s="234"/>
      <c r="I2671" s="232"/>
      <c r="J2671" s="9"/>
      <c r="K2671" s="18"/>
      <c r="L2671" s="18"/>
      <c r="M2671" s="18"/>
      <c r="N2671" s="18"/>
      <c r="O2671" s="18"/>
      <c r="P2671" s="18"/>
      <c r="Q2671" s="18"/>
      <c r="R2671" s="18"/>
      <c r="S2671" s="18"/>
      <c r="T2671" s="18"/>
      <c r="U2671" s="18"/>
      <c r="V2671" s="18"/>
      <c r="W2671" s="18"/>
      <c r="X2671" s="18"/>
      <c r="Y2671" s="18"/>
      <c r="Z2671" s="18"/>
    </row>
    <row r="2672" ht="22.5" customHeight="1">
      <c r="A2672" s="250"/>
      <c r="B2672" s="218"/>
      <c r="C2672" s="9"/>
      <c r="D2672" s="228"/>
      <c r="E2672" s="216"/>
      <c r="F2672" s="273"/>
      <c r="G2672" s="9"/>
      <c r="H2672" s="234"/>
      <c r="I2672" s="232"/>
      <c r="J2672" s="9"/>
      <c r="K2672" s="18"/>
      <c r="L2672" s="18"/>
      <c r="M2672" s="18"/>
      <c r="N2672" s="18"/>
      <c r="O2672" s="18"/>
      <c r="P2672" s="18"/>
      <c r="Q2672" s="18"/>
      <c r="R2672" s="18"/>
      <c r="S2672" s="18"/>
      <c r="T2672" s="18"/>
      <c r="U2672" s="18"/>
      <c r="V2672" s="18"/>
      <c r="W2672" s="18"/>
      <c r="X2672" s="18"/>
      <c r="Y2672" s="18"/>
      <c r="Z2672" s="18"/>
    </row>
    <row r="2673" ht="22.5" customHeight="1">
      <c r="A2673" s="250"/>
      <c r="B2673" s="218"/>
      <c r="C2673" s="9"/>
      <c r="D2673" s="228"/>
      <c r="E2673" s="216"/>
      <c r="F2673" s="273"/>
      <c r="G2673" s="9"/>
      <c r="H2673" s="234"/>
      <c r="I2673" s="232"/>
      <c r="J2673" s="9"/>
      <c r="K2673" s="18"/>
      <c r="L2673" s="18"/>
      <c r="M2673" s="18"/>
      <c r="N2673" s="18"/>
      <c r="O2673" s="18"/>
      <c r="P2673" s="18"/>
      <c r="Q2673" s="18"/>
      <c r="R2673" s="18"/>
      <c r="S2673" s="18"/>
      <c r="T2673" s="18"/>
      <c r="U2673" s="18"/>
      <c r="V2673" s="18"/>
      <c r="W2673" s="18"/>
      <c r="X2673" s="18"/>
      <c r="Y2673" s="18"/>
      <c r="Z2673" s="18"/>
    </row>
    <row r="2674" ht="22.5" customHeight="1">
      <c r="A2674" s="250"/>
      <c r="B2674" s="218"/>
      <c r="C2674" s="9"/>
      <c r="D2674" s="228"/>
      <c r="E2674" s="216"/>
      <c r="F2674" s="273"/>
      <c r="G2674" s="9"/>
      <c r="H2674" s="234"/>
      <c r="I2674" s="232"/>
      <c r="J2674" s="9"/>
      <c r="K2674" s="18"/>
      <c r="L2674" s="18"/>
      <c r="M2674" s="18"/>
      <c r="N2674" s="18"/>
      <c r="O2674" s="18"/>
      <c r="P2674" s="18"/>
      <c r="Q2674" s="18"/>
      <c r="R2674" s="18"/>
      <c r="S2674" s="18"/>
      <c r="T2674" s="18"/>
      <c r="U2674" s="18"/>
      <c r="V2674" s="18"/>
      <c r="W2674" s="18"/>
      <c r="X2674" s="18"/>
      <c r="Y2674" s="18"/>
      <c r="Z2674" s="18"/>
    </row>
    <row r="2675" ht="22.5" customHeight="1">
      <c r="A2675" s="250"/>
      <c r="B2675" s="218"/>
      <c r="C2675" s="9"/>
      <c r="D2675" s="228"/>
      <c r="E2675" s="216"/>
      <c r="F2675" s="273"/>
      <c r="G2675" s="9"/>
      <c r="H2675" s="234"/>
      <c r="I2675" s="232"/>
      <c r="J2675" s="9"/>
      <c r="K2675" s="18"/>
      <c r="L2675" s="18"/>
      <c r="M2675" s="18"/>
      <c r="N2675" s="18"/>
      <c r="O2675" s="18"/>
      <c r="P2675" s="18"/>
      <c r="Q2675" s="18"/>
      <c r="R2675" s="18"/>
      <c r="S2675" s="18"/>
      <c r="T2675" s="18"/>
      <c r="U2675" s="18"/>
      <c r="V2675" s="18"/>
      <c r="W2675" s="18"/>
      <c r="X2675" s="18"/>
      <c r="Y2675" s="18"/>
      <c r="Z2675" s="18"/>
    </row>
    <row r="2676" ht="22.5" customHeight="1">
      <c r="A2676" s="250"/>
      <c r="B2676" s="218"/>
      <c r="C2676" s="9"/>
      <c r="D2676" s="228"/>
      <c r="E2676" s="216"/>
      <c r="F2676" s="273"/>
      <c r="G2676" s="9"/>
      <c r="H2676" s="234"/>
      <c r="I2676" s="232"/>
      <c r="J2676" s="9"/>
      <c r="K2676" s="18"/>
      <c r="L2676" s="18"/>
      <c r="M2676" s="18"/>
      <c r="N2676" s="18"/>
      <c r="O2676" s="18"/>
      <c r="P2676" s="18"/>
      <c r="Q2676" s="18"/>
      <c r="R2676" s="18"/>
      <c r="S2676" s="18"/>
      <c r="T2676" s="18"/>
      <c r="U2676" s="18"/>
      <c r="V2676" s="18"/>
      <c r="W2676" s="18"/>
      <c r="X2676" s="18"/>
      <c r="Y2676" s="18"/>
      <c r="Z2676" s="18"/>
    </row>
    <row r="2677" ht="22.5" customHeight="1">
      <c r="A2677" s="250"/>
      <c r="B2677" s="218"/>
      <c r="C2677" s="9"/>
      <c r="D2677" s="228"/>
      <c r="E2677" s="216"/>
      <c r="F2677" s="273"/>
      <c r="G2677" s="9"/>
      <c r="H2677" s="234"/>
      <c r="I2677" s="232"/>
      <c r="J2677" s="9"/>
      <c r="K2677" s="18"/>
      <c r="L2677" s="18"/>
      <c r="M2677" s="18"/>
      <c r="N2677" s="18"/>
      <c r="O2677" s="18"/>
      <c r="P2677" s="18"/>
      <c r="Q2677" s="18"/>
      <c r="R2677" s="18"/>
      <c r="S2677" s="18"/>
      <c r="T2677" s="18"/>
      <c r="U2677" s="18"/>
      <c r="V2677" s="18"/>
      <c r="W2677" s="18"/>
      <c r="X2677" s="18"/>
      <c r="Y2677" s="18"/>
      <c r="Z2677" s="18"/>
    </row>
    <row r="2678" ht="22.5" customHeight="1">
      <c r="A2678" s="250"/>
      <c r="B2678" s="218"/>
      <c r="C2678" s="9"/>
      <c r="D2678" s="228"/>
      <c r="E2678" s="216"/>
      <c r="F2678" s="273"/>
      <c r="G2678" s="9"/>
      <c r="H2678" s="234"/>
      <c r="I2678" s="232"/>
      <c r="J2678" s="9"/>
      <c r="K2678" s="18"/>
      <c r="L2678" s="18"/>
      <c r="M2678" s="18"/>
      <c r="N2678" s="18"/>
      <c r="O2678" s="18"/>
      <c r="P2678" s="18"/>
      <c r="Q2678" s="18"/>
      <c r="R2678" s="18"/>
      <c r="S2678" s="18"/>
      <c r="T2678" s="18"/>
      <c r="U2678" s="18"/>
      <c r="V2678" s="18"/>
      <c r="W2678" s="18"/>
      <c r="X2678" s="18"/>
      <c r="Y2678" s="18"/>
      <c r="Z2678" s="18"/>
    </row>
    <row r="2679" ht="22.5" customHeight="1">
      <c r="A2679" s="250"/>
      <c r="B2679" s="218"/>
      <c r="C2679" s="9"/>
      <c r="D2679" s="228"/>
      <c r="E2679" s="216"/>
      <c r="F2679" s="273"/>
      <c r="G2679" s="9"/>
      <c r="H2679" s="234"/>
      <c r="I2679" s="232"/>
      <c r="J2679" s="9"/>
      <c r="K2679" s="18"/>
      <c r="L2679" s="18"/>
      <c r="M2679" s="18"/>
      <c r="N2679" s="18"/>
      <c r="O2679" s="18"/>
      <c r="P2679" s="18"/>
      <c r="Q2679" s="18"/>
      <c r="R2679" s="18"/>
      <c r="S2679" s="18"/>
      <c r="T2679" s="18"/>
      <c r="U2679" s="18"/>
      <c r="V2679" s="18"/>
      <c r="W2679" s="18"/>
      <c r="X2679" s="18"/>
      <c r="Y2679" s="18"/>
      <c r="Z2679" s="18"/>
    </row>
    <row r="2680" ht="22.5" customHeight="1">
      <c r="A2680" s="250"/>
      <c r="B2680" s="218"/>
      <c r="C2680" s="9"/>
      <c r="D2680" s="228"/>
      <c r="E2680" s="216"/>
      <c r="F2680" s="273"/>
      <c r="G2680" s="9"/>
      <c r="H2680" s="234"/>
      <c r="I2680" s="232"/>
      <c r="J2680" s="9"/>
      <c r="K2680" s="18"/>
      <c r="L2680" s="18"/>
      <c r="M2680" s="18"/>
      <c r="N2680" s="18"/>
      <c r="O2680" s="18"/>
      <c r="P2680" s="18"/>
      <c r="Q2680" s="18"/>
      <c r="R2680" s="18"/>
      <c r="S2680" s="18"/>
      <c r="T2680" s="18"/>
      <c r="U2680" s="18"/>
      <c r="V2680" s="18"/>
      <c r="W2680" s="18"/>
      <c r="X2680" s="18"/>
      <c r="Y2680" s="18"/>
      <c r="Z2680" s="18"/>
    </row>
    <row r="2681" ht="22.5" customHeight="1">
      <c r="A2681" s="250"/>
      <c r="B2681" s="218"/>
      <c r="C2681" s="9"/>
      <c r="D2681" s="228"/>
      <c r="E2681" s="216"/>
      <c r="F2681" s="273"/>
      <c r="G2681" s="9"/>
      <c r="H2681" s="234"/>
      <c r="I2681" s="232"/>
      <c r="J2681" s="9"/>
      <c r="K2681" s="18"/>
      <c r="L2681" s="18"/>
      <c r="M2681" s="18"/>
      <c r="N2681" s="18"/>
      <c r="O2681" s="18"/>
      <c r="P2681" s="18"/>
      <c r="Q2681" s="18"/>
      <c r="R2681" s="18"/>
      <c r="S2681" s="18"/>
      <c r="T2681" s="18"/>
      <c r="U2681" s="18"/>
      <c r="V2681" s="18"/>
      <c r="W2681" s="18"/>
      <c r="X2681" s="18"/>
      <c r="Y2681" s="18"/>
      <c r="Z2681" s="18"/>
    </row>
    <row r="2682" ht="22.5" customHeight="1">
      <c r="A2682" s="250"/>
      <c r="B2682" s="218"/>
      <c r="C2682" s="9"/>
      <c r="D2682" s="228"/>
      <c r="E2682" s="216"/>
      <c r="F2682" s="273"/>
      <c r="G2682" s="9"/>
      <c r="H2682" s="234"/>
      <c r="I2682" s="232"/>
      <c r="J2682" s="9"/>
      <c r="K2682" s="18"/>
      <c r="L2682" s="18"/>
      <c r="M2682" s="18"/>
      <c r="N2682" s="18"/>
      <c r="O2682" s="18"/>
      <c r="P2682" s="18"/>
      <c r="Q2682" s="18"/>
      <c r="R2682" s="18"/>
      <c r="S2682" s="18"/>
      <c r="T2682" s="18"/>
      <c r="U2682" s="18"/>
      <c r="V2682" s="18"/>
      <c r="W2682" s="18"/>
      <c r="X2682" s="18"/>
      <c r="Y2682" s="18"/>
      <c r="Z2682" s="18"/>
    </row>
    <row r="2683" ht="22.5" customHeight="1">
      <c r="A2683" s="250"/>
      <c r="B2683" s="218"/>
      <c r="C2683" s="9"/>
      <c r="D2683" s="228"/>
      <c r="E2683" s="216"/>
      <c r="F2683" s="273"/>
      <c r="G2683" s="9"/>
      <c r="H2683" s="234"/>
      <c r="I2683" s="232"/>
      <c r="J2683" s="9"/>
      <c r="K2683" s="18"/>
      <c r="L2683" s="18"/>
      <c r="M2683" s="18"/>
      <c r="N2683" s="18"/>
      <c r="O2683" s="18"/>
      <c r="P2683" s="18"/>
      <c r="Q2683" s="18"/>
      <c r="R2683" s="18"/>
      <c r="S2683" s="18"/>
      <c r="T2683" s="18"/>
      <c r="U2683" s="18"/>
      <c r="V2683" s="18"/>
      <c r="W2683" s="18"/>
      <c r="X2683" s="18"/>
      <c r="Y2683" s="18"/>
      <c r="Z2683" s="18"/>
    </row>
    <row r="2684" ht="22.5" customHeight="1">
      <c r="A2684" s="250"/>
      <c r="B2684" s="218"/>
      <c r="C2684" s="9"/>
      <c r="D2684" s="228"/>
      <c r="E2684" s="216"/>
      <c r="F2684" s="273"/>
      <c r="G2684" s="9"/>
      <c r="H2684" s="234"/>
      <c r="I2684" s="232"/>
      <c r="J2684" s="9"/>
      <c r="K2684" s="18"/>
      <c r="L2684" s="18"/>
      <c r="M2684" s="18"/>
      <c r="N2684" s="18"/>
      <c r="O2684" s="18"/>
      <c r="P2684" s="18"/>
      <c r="Q2684" s="18"/>
      <c r="R2684" s="18"/>
      <c r="S2684" s="18"/>
      <c r="T2684" s="18"/>
      <c r="U2684" s="18"/>
      <c r="V2684" s="18"/>
      <c r="W2684" s="18"/>
      <c r="X2684" s="18"/>
      <c r="Y2684" s="18"/>
      <c r="Z2684" s="18"/>
    </row>
    <row r="2685" ht="22.5" customHeight="1">
      <c r="A2685" s="250"/>
      <c r="B2685" s="218"/>
      <c r="C2685" s="9"/>
      <c r="D2685" s="228"/>
      <c r="E2685" s="216"/>
      <c r="F2685" s="273"/>
      <c r="G2685" s="9"/>
      <c r="H2685" s="234"/>
      <c r="I2685" s="232"/>
      <c r="J2685" s="9"/>
      <c r="K2685" s="18"/>
      <c r="L2685" s="18"/>
      <c r="M2685" s="18"/>
      <c r="N2685" s="18"/>
      <c r="O2685" s="18"/>
      <c r="P2685" s="18"/>
      <c r="Q2685" s="18"/>
      <c r="R2685" s="18"/>
      <c r="S2685" s="18"/>
      <c r="T2685" s="18"/>
      <c r="U2685" s="18"/>
      <c r="V2685" s="18"/>
      <c r="W2685" s="18"/>
      <c r="X2685" s="18"/>
      <c r="Y2685" s="18"/>
      <c r="Z2685" s="18"/>
    </row>
    <row r="2686" ht="22.5" customHeight="1">
      <c r="A2686" s="250"/>
      <c r="B2686" s="218"/>
      <c r="C2686" s="9"/>
      <c r="D2686" s="228"/>
      <c r="E2686" s="216"/>
      <c r="F2686" s="273"/>
      <c r="G2686" s="9"/>
      <c r="H2686" s="234"/>
      <c r="I2686" s="232"/>
      <c r="J2686" s="9"/>
      <c r="K2686" s="18"/>
      <c r="L2686" s="18"/>
      <c r="M2686" s="18"/>
      <c r="N2686" s="18"/>
      <c r="O2686" s="18"/>
      <c r="P2686" s="18"/>
      <c r="Q2686" s="18"/>
      <c r="R2686" s="18"/>
      <c r="S2686" s="18"/>
      <c r="T2686" s="18"/>
      <c r="U2686" s="18"/>
      <c r="V2686" s="18"/>
      <c r="W2686" s="18"/>
      <c r="X2686" s="18"/>
      <c r="Y2686" s="18"/>
      <c r="Z2686" s="18"/>
    </row>
    <row r="2687" ht="22.5" customHeight="1">
      <c r="A2687" s="250"/>
      <c r="B2687" s="218"/>
      <c r="C2687" s="9"/>
      <c r="D2687" s="228"/>
      <c r="E2687" s="216"/>
      <c r="F2687" s="273"/>
      <c r="G2687" s="9"/>
      <c r="H2687" s="234"/>
      <c r="I2687" s="232"/>
      <c r="J2687" s="9"/>
      <c r="K2687" s="18"/>
      <c r="L2687" s="18"/>
      <c r="M2687" s="18"/>
      <c r="N2687" s="18"/>
      <c r="O2687" s="18"/>
      <c r="P2687" s="18"/>
      <c r="Q2687" s="18"/>
      <c r="R2687" s="18"/>
      <c r="S2687" s="18"/>
      <c r="T2687" s="18"/>
      <c r="U2687" s="18"/>
      <c r="V2687" s="18"/>
      <c r="W2687" s="18"/>
      <c r="X2687" s="18"/>
      <c r="Y2687" s="18"/>
      <c r="Z2687" s="18"/>
    </row>
    <row r="2688" ht="22.5" customHeight="1">
      <c r="A2688" s="250"/>
      <c r="B2688" s="218"/>
      <c r="C2688" s="9"/>
      <c r="D2688" s="228"/>
      <c r="E2688" s="216"/>
      <c r="F2688" s="273"/>
      <c r="G2688" s="9"/>
      <c r="H2688" s="234"/>
      <c r="I2688" s="232"/>
      <c r="J2688" s="9"/>
      <c r="K2688" s="18"/>
      <c r="L2688" s="18"/>
      <c r="M2688" s="18"/>
      <c r="N2688" s="18"/>
      <c r="O2688" s="18"/>
      <c r="P2688" s="18"/>
      <c r="Q2688" s="18"/>
      <c r="R2688" s="18"/>
      <c r="S2688" s="18"/>
      <c r="T2688" s="18"/>
      <c r="U2688" s="18"/>
      <c r="V2688" s="18"/>
      <c r="W2688" s="18"/>
      <c r="X2688" s="18"/>
      <c r="Y2688" s="18"/>
      <c r="Z2688" s="18"/>
    </row>
    <row r="2689" ht="22.5" customHeight="1">
      <c r="A2689" s="250"/>
      <c r="B2689" s="218"/>
      <c r="C2689" s="9"/>
      <c r="D2689" s="228"/>
      <c r="E2689" s="216"/>
      <c r="F2689" s="273"/>
      <c r="G2689" s="9"/>
      <c r="H2689" s="234"/>
      <c r="I2689" s="232"/>
      <c r="J2689" s="9"/>
      <c r="K2689" s="18"/>
      <c r="L2689" s="18"/>
      <c r="M2689" s="18"/>
      <c r="N2689" s="18"/>
      <c r="O2689" s="18"/>
      <c r="P2689" s="18"/>
      <c r="Q2689" s="18"/>
      <c r="R2689" s="18"/>
      <c r="S2689" s="18"/>
      <c r="T2689" s="18"/>
      <c r="U2689" s="18"/>
      <c r="V2689" s="18"/>
      <c r="W2689" s="18"/>
      <c r="X2689" s="18"/>
      <c r="Y2689" s="18"/>
      <c r="Z2689" s="18"/>
    </row>
    <row r="2690" ht="22.5" customHeight="1">
      <c r="A2690" s="250"/>
      <c r="B2690" s="218"/>
      <c r="C2690" s="9"/>
      <c r="D2690" s="228"/>
      <c r="E2690" s="216"/>
      <c r="F2690" s="273"/>
      <c r="G2690" s="9"/>
      <c r="H2690" s="234"/>
      <c r="I2690" s="232"/>
      <c r="J2690" s="9"/>
      <c r="K2690" s="18"/>
      <c r="L2690" s="18"/>
      <c r="M2690" s="18"/>
      <c r="N2690" s="18"/>
      <c r="O2690" s="18"/>
      <c r="P2690" s="18"/>
      <c r="Q2690" s="18"/>
      <c r="R2690" s="18"/>
      <c r="S2690" s="18"/>
      <c r="T2690" s="18"/>
      <c r="U2690" s="18"/>
      <c r="V2690" s="18"/>
      <c r="W2690" s="18"/>
      <c r="X2690" s="18"/>
      <c r="Y2690" s="18"/>
      <c r="Z2690" s="18"/>
    </row>
    <row r="2691" ht="22.5" customHeight="1">
      <c r="A2691" s="250"/>
      <c r="B2691" s="218"/>
      <c r="C2691" s="9"/>
      <c r="D2691" s="228"/>
      <c r="E2691" s="216"/>
      <c r="F2691" s="273"/>
      <c r="G2691" s="9"/>
      <c r="H2691" s="234"/>
      <c r="I2691" s="232"/>
      <c r="J2691" s="9"/>
      <c r="K2691" s="18"/>
      <c r="L2691" s="18"/>
      <c r="M2691" s="18"/>
      <c r="N2691" s="18"/>
      <c r="O2691" s="18"/>
      <c r="P2691" s="18"/>
      <c r="Q2691" s="18"/>
      <c r="R2691" s="18"/>
      <c r="S2691" s="18"/>
      <c r="T2691" s="18"/>
      <c r="U2691" s="18"/>
      <c r="V2691" s="18"/>
      <c r="W2691" s="18"/>
      <c r="X2691" s="18"/>
      <c r="Y2691" s="18"/>
      <c r="Z2691" s="18"/>
    </row>
    <row r="2692" ht="22.5" customHeight="1">
      <c r="A2692" s="250"/>
      <c r="B2692" s="218"/>
      <c r="C2692" s="9"/>
      <c r="D2692" s="228"/>
      <c r="E2692" s="216"/>
      <c r="F2692" s="273"/>
      <c r="G2692" s="9"/>
      <c r="H2692" s="234"/>
      <c r="I2692" s="232"/>
      <c r="J2692" s="9"/>
      <c r="K2692" s="18"/>
      <c r="L2692" s="18"/>
      <c r="M2692" s="18"/>
      <c r="N2692" s="18"/>
      <c r="O2692" s="18"/>
      <c r="P2692" s="18"/>
      <c r="Q2692" s="18"/>
      <c r="R2692" s="18"/>
      <c r="S2692" s="18"/>
      <c r="T2692" s="18"/>
      <c r="U2692" s="18"/>
      <c r="V2692" s="18"/>
      <c r="W2692" s="18"/>
      <c r="X2692" s="18"/>
      <c r="Y2692" s="18"/>
      <c r="Z2692" s="18"/>
    </row>
    <row r="2693" ht="22.5" customHeight="1">
      <c r="A2693" s="250"/>
      <c r="B2693" s="218"/>
      <c r="C2693" s="9"/>
      <c r="D2693" s="228"/>
      <c r="E2693" s="216"/>
      <c r="F2693" s="273"/>
      <c r="G2693" s="9"/>
      <c r="H2693" s="234"/>
      <c r="I2693" s="232"/>
      <c r="J2693" s="9"/>
      <c r="K2693" s="18"/>
      <c r="L2693" s="18"/>
      <c r="M2693" s="18"/>
      <c r="N2693" s="18"/>
      <c r="O2693" s="18"/>
      <c r="P2693" s="18"/>
      <c r="Q2693" s="18"/>
      <c r="R2693" s="18"/>
      <c r="S2693" s="18"/>
      <c r="T2693" s="18"/>
      <c r="U2693" s="18"/>
      <c r="V2693" s="18"/>
      <c r="W2693" s="18"/>
      <c r="X2693" s="18"/>
      <c r="Y2693" s="18"/>
      <c r="Z2693" s="18"/>
    </row>
    <row r="2694" ht="22.5" customHeight="1">
      <c r="A2694" s="250"/>
      <c r="B2694" s="218"/>
      <c r="C2694" s="9"/>
      <c r="D2694" s="228"/>
      <c r="E2694" s="216"/>
      <c r="F2694" s="273"/>
      <c r="G2694" s="9"/>
      <c r="H2694" s="234"/>
      <c r="I2694" s="232"/>
      <c r="J2694" s="9"/>
      <c r="K2694" s="18"/>
      <c r="L2694" s="18"/>
      <c r="M2694" s="18"/>
      <c r="N2694" s="18"/>
      <c r="O2694" s="18"/>
      <c r="P2694" s="18"/>
      <c r="Q2694" s="18"/>
      <c r="R2694" s="18"/>
      <c r="S2694" s="18"/>
      <c r="T2694" s="18"/>
      <c r="U2694" s="18"/>
      <c r="V2694" s="18"/>
      <c r="W2694" s="18"/>
      <c r="X2694" s="18"/>
      <c r="Y2694" s="18"/>
      <c r="Z2694" s="18"/>
    </row>
    <row r="2695" ht="22.5" customHeight="1">
      <c r="A2695" s="250"/>
      <c r="B2695" s="218"/>
      <c r="C2695" s="9"/>
      <c r="D2695" s="228"/>
      <c r="E2695" s="216"/>
      <c r="F2695" s="273"/>
      <c r="G2695" s="9"/>
      <c r="H2695" s="234"/>
      <c r="I2695" s="232"/>
      <c r="J2695" s="9"/>
      <c r="K2695" s="18"/>
      <c r="L2695" s="18"/>
      <c r="M2695" s="18"/>
      <c r="N2695" s="18"/>
      <c r="O2695" s="18"/>
      <c r="P2695" s="18"/>
      <c r="Q2695" s="18"/>
      <c r="R2695" s="18"/>
      <c r="S2695" s="18"/>
      <c r="T2695" s="18"/>
      <c r="U2695" s="18"/>
      <c r="V2695" s="18"/>
      <c r="W2695" s="18"/>
      <c r="X2695" s="18"/>
      <c r="Y2695" s="18"/>
      <c r="Z2695" s="18"/>
    </row>
    <row r="2696" ht="22.5" customHeight="1">
      <c r="A2696" s="250"/>
      <c r="B2696" s="218"/>
      <c r="C2696" s="9"/>
      <c r="D2696" s="228"/>
      <c r="E2696" s="216"/>
      <c r="F2696" s="273"/>
      <c r="G2696" s="9"/>
      <c r="H2696" s="234"/>
      <c r="I2696" s="232"/>
      <c r="J2696" s="9"/>
      <c r="K2696" s="18"/>
      <c r="L2696" s="18"/>
      <c r="M2696" s="18"/>
      <c r="N2696" s="18"/>
      <c r="O2696" s="18"/>
      <c r="P2696" s="18"/>
      <c r="Q2696" s="18"/>
      <c r="R2696" s="18"/>
      <c r="S2696" s="18"/>
      <c r="T2696" s="18"/>
      <c r="U2696" s="18"/>
      <c r="V2696" s="18"/>
      <c r="W2696" s="18"/>
      <c r="X2696" s="18"/>
      <c r="Y2696" s="18"/>
      <c r="Z2696" s="18"/>
    </row>
    <row r="2697" ht="22.5" customHeight="1">
      <c r="A2697" s="250"/>
      <c r="B2697" s="218"/>
      <c r="C2697" s="9"/>
      <c r="D2697" s="228"/>
      <c r="E2697" s="216"/>
      <c r="F2697" s="273"/>
      <c r="G2697" s="9"/>
      <c r="H2697" s="234"/>
      <c r="I2697" s="232"/>
      <c r="J2697" s="9"/>
      <c r="K2697" s="18"/>
      <c r="L2697" s="18"/>
      <c r="M2697" s="18"/>
      <c r="N2697" s="18"/>
      <c r="O2697" s="18"/>
      <c r="P2697" s="18"/>
      <c r="Q2697" s="18"/>
      <c r="R2697" s="18"/>
      <c r="S2697" s="18"/>
      <c r="T2697" s="18"/>
      <c r="U2697" s="18"/>
      <c r="V2697" s="18"/>
      <c r="W2697" s="18"/>
      <c r="X2697" s="18"/>
      <c r="Y2697" s="18"/>
      <c r="Z2697" s="18"/>
    </row>
    <row r="2698" ht="22.5" customHeight="1">
      <c r="A2698" s="250"/>
      <c r="B2698" s="218"/>
      <c r="C2698" s="9"/>
      <c r="D2698" s="228"/>
      <c r="E2698" s="216"/>
      <c r="F2698" s="273"/>
      <c r="G2698" s="9"/>
      <c r="H2698" s="234"/>
      <c r="I2698" s="232"/>
      <c r="J2698" s="9"/>
      <c r="K2698" s="18"/>
      <c r="L2698" s="18"/>
      <c r="M2698" s="18"/>
      <c r="N2698" s="18"/>
      <c r="O2698" s="18"/>
      <c r="P2698" s="18"/>
      <c r="Q2698" s="18"/>
      <c r="R2698" s="18"/>
      <c r="S2698" s="18"/>
      <c r="T2698" s="18"/>
      <c r="U2698" s="18"/>
      <c r="V2698" s="18"/>
      <c r="W2698" s="18"/>
      <c r="X2698" s="18"/>
      <c r="Y2698" s="18"/>
      <c r="Z2698" s="18"/>
    </row>
    <row r="2699" ht="22.5" customHeight="1">
      <c r="A2699" s="250"/>
      <c r="B2699" s="218"/>
      <c r="C2699" s="9"/>
      <c r="D2699" s="228"/>
      <c r="E2699" s="216"/>
      <c r="F2699" s="273"/>
      <c r="G2699" s="9"/>
      <c r="H2699" s="234"/>
      <c r="I2699" s="232"/>
      <c r="J2699" s="9"/>
      <c r="K2699" s="18"/>
      <c r="L2699" s="18"/>
      <c r="M2699" s="18"/>
      <c r="N2699" s="18"/>
      <c r="O2699" s="18"/>
      <c r="P2699" s="18"/>
      <c r="Q2699" s="18"/>
      <c r="R2699" s="18"/>
      <c r="S2699" s="18"/>
      <c r="T2699" s="18"/>
      <c r="U2699" s="18"/>
      <c r="V2699" s="18"/>
      <c r="W2699" s="18"/>
      <c r="X2699" s="18"/>
      <c r="Y2699" s="18"/>
      <c r="Z2699" s="18"/>
    </row>
    <row r="2700" ht="22.5" customHeight="1">
      <c r="A2700" s="250"/>
      <c r="B2700" s="218"/>
      <c r="C2700" s="9"/>
      <c r="D2700" s="228"/>
      <c r="E2700" s="216"/>
      <c r="F2700" s="273"/>
      <c r="G2700" s="9"/>
      <c r="H2700" s="234"/>
      <c r="I2700" s="232"/>
      <c r="J2700" s="9"/>
      <c r="K2700" s="18"/>
      <c r="L2700" s="18"/>
      <c r="M2700" s="18"/>
      <c r="N2700" s="18"/>
      <c r="O2700" s="18"/>
      <c r="P2700" s="18"/>
      <c r="Q2700" s="18"/>
      <c r="R2700" s="18"/>
      <c r="S2700" s="18"/>
      <c r="T2700" s="18"/>
      <c r="U2700" s="18"/>
      <c r="V2700" s="18"/>
      <c r="W2700" s="18"/>
      <c r="X2700" s="18"/>
      <c r="Y2700" s="18"/>
      <c r="Z2700" s="18"/>
    </row>
    <row r="2701" ht="22.5" customHeight="1">
      <c r="A2701" s="250"/>
      <c r="B2701" s="218"/>
      <c r="C2701" s="9"/>
      <c r="D2701" s="228"/>
      <c r="E2701" s="216"/>
      <c r="F2701" s="273"/>
      <c r="G2701" s="9"/>
      <c r="H2701" s="234"/>
      <c r="I2701" s="232"/>
      <c r="J2701" s="9"/>
      <c r="K2701" s="18"/>
      <c r="L2701" s="18"/>
      <c r="M2701" s="18"/>
      <c r="N2701" s="18"/>
      <c r="O2701" s="18"/>
      <c r="P2701" s="18"/>
      <c r="Q2701" s="18"/>
      <c r="R2701" s="18"/>
      <c r="S2701" s="18"/>
      <c r="T2701" s="18"/>
      <c r="U2701" s="18"/>
      <c r="V2701" s="18"/>
      <c r="W2701" s="18"/>
      <c r="X2701" s="18"/>
      <c r="Y2701" s="18"/>
      <c r="Z2701" s="18"/>
    </row>
    <row r="2702" ht="22.5" customHeight="1">
      <c r="A2702" s="250"/>
      <c r="B2702" s="218"/>
      <c r="C2702" s="9"/>
      <c r="D2702" s="228"/>
      <c r="E2702" s="216"/>
      <c r="F2702" s="273"/>
      <c r="G2702" s="9"/>
      <c r="H2702" s="234"/>
      <c r="I2702" s="232"/>
      <c r="J2702" s="9"/>
      <c r="K2702" s="18"/>
      <c r="L2702" s="18"/>
      <c r="M2702" s="18"/>
      <c r="N2702" s="18"/>
      <c r="O2702" s="18"/>
      <c r="P2702" s="18"/>
      <c r="Q2702" s="18"/>
      <c r="R2702" s="18"/>
      <c r="S2702" s="18"/>
      <c r="T2702" s="18"/>
      <c r="U2702" s="18"/>
      <c r="V2702" s="18"/>
      <c r="W2702" s="18"/>
      <c r="X2702" s="18"/>
      <c r="Y2702" s="18"/>
      <c r="Z2702" s="18"/>
    </row>
    <row r="2703" ht="22.5" customHeight="1">
      <c r="A2703" s="250"/>
      <c r="B2703" s="218"/>
      <c r="C2703" s="9"/>
      <c r="D2703" s="228"/>
      <c r="E2703" s="216"/>
      <c r="F2703" s="273"/>
      <c r="G2703" s="9"/>
      <c r="H2703" s="234"/>
      <c r="I2703" s="232"/>
      <c r="J2703" s="9"/>
      <c r="K2703" s="18"/>
      <c r="L2703" s="18"/>
      <c r="M2703" s="18"/>
      <c r="N2703" s="18"/>
      <c r="O2703" s="18"/>
      <c r="P2703" s="18"/>
      <c r="Q2703" s="18"/>
      <c r="R2703" s="18"/>
      <c r="S2703" s="18"/>
      <c r="T2703" s="18"/>
      <c r="U2703" s="18"/>
      <c r="V2703" s="18"/>
      <c r="W2703" s="18"/>
      <c r="X2703" s="18"/>
      <c r="Y2703" s="18"/>
      <c r="Z2703" s="18"/>
    </row>
    <row r="2704" ht="22.5" customHeight="1">
      <c r="A2704" s="250"/>
      <c r="B2704" s="218"/>
      <c r="C2704" s="9"/>
      <c r="D2704" s="228"/>
      <c r="E2704" s="216"/>
      <c r="F2704" s="273"/>
      <c r="G2704" s="9"/>
      <c r="H2704" s="234"/>
      <c r="I2704" s="232"/>
      <c r="J2704" s="9"/>
      <c r="K2704" s="18"/>
      <c r="L2704" s="18"/>
      <c r="M2704" s="18"/>
      <c r="N2704" s="18"/>
      <c r="O2704" s="18"/>
      <c r="P2704" s="18"/>
      <c r="Q2704" s="18"/>
      <c r="R2704" s="18"/>
      <c r="S2704" s="18"/>
      <c r="T2704" s="18"/>
      <c r="U2704" s="18"/>
      <c r="V2704" s="18"/>
      <c r="W2704" s="18"/>
      <c r="X2704" s="18"/>
      <c r="Y2704" s="18"/>
      <c r="Z2704" s="18"/>
    </row>
    <row r="2705" ht="22.5" customHeight="1">
      <c r="A2705" s="250"/>
      <c r="B2705" s="218"/>
      <c r="C2705" s="9"/>
      <c r="D2705" s="228"/>
      <c r="E2705" s="216"/>
      <c r="F2705" s="273"/>
      <c r="G2705" s="9"/>
      <c r="H2705" s="234"/>
      <c r="I2705" s="232"/>
      <c r="J2705" s="9"/>
      <c r="K2705" s="18"/>
      <c r="L2705" s="18"/>
      <c r="M2705" s="18"/>
      <c r="N2705" s="18"/>
      <c r="O2705" s="18"/>
      <c r="P2705" s="18"/>
      <c r="Q2705" s="18"/>
      <c r="R2705" s="18"/>
      <c r="S2705" s="18"/>
      <c r="T2705" s="18"/>
      <c r="U2705" s="18"/>
      <c r="V2705" s="18"/>
      <c r="W2705" s="18"/>
      <c r="X2705" s="18"/>
      <c r="Y2705" s="18"/>
      <c r="Z2705" s="18"/>
    </row>
    <row r="2706" ht="22.5" customHeight="1">
      <c r="A2706" s="250"/>
      <c r="B2706" s="218"/>
      <c r="C2706" s="9"/>
      <c r="D2706" s="228"/>
      <c r="E2706" s="216"/>
      <c r="F2706" s="273"/>
      <c r="G2706" s="9"/>
      <c r="H2706" s="234"/>
      <c r="I2706" s="232"/>
      <c r="J2706" s="9"/>
      <c r="K2706" s="18"/>
      <c r="L2706" s="18"/>
      <c r="M2706" s="18"/>
      <c r="N2706" s="18"/>
      <c r="O2706" s="18"/>
      <c r="P2706" s="18"/>
      <c r="Q2706" s="18"/>
      <c r="R2706" s="18"/>
      <c r="S2706" s="18"/>
      <c r="T2706" s="18"/>
      <c r="U2706" s="18"/>
      <c r="V2706" s="18"/>
      <c r="W2706" s="18"/>
      <c r="X2706" s="18"/>
      <c r="Y2706" s="18"/>
      <c r="Z2706" s="18"/>
    </row>
    <row r="2707" ht="22.5" customHeight="1">
      <c r="A2707" s="250"/>
      <c r="B2707" s="218"/>
      <c r="C2707" s="9"/>
      <c r="D2707" s="228"/>
      <c r="E2707" s="216"/>
      <c r="F2707" s="273"/>
      <c r="G2707" s="9"/>
      <c r="H2707" s="234"/>
      <c r="I2707" s="232"/>
      <c r="J2707" s="9"/>
      <c r="K2707" s="18"/>
      <c r="L2707" s="18"/>
      <c r="M2707" s="18"/>
      <c r="N2707" s="18"/>
      <c r="O2707" s="18"/>
      <c r="P2707" s="18"/>
      <c r="Q2707" s="18"/>
      <c r="R2707" s="18"/>
      <c r="S2707" s="18"/>
      <c r="T2707" s="18"/>
      <c r="U2707" s="18"/>
      <c r="V2707" s="18"/>
      <c r="W2707" s="18"/>
      <c r="X2707" s="18"/>
      <c r="Y2707" s="18"/>
      <c r="Z2707" s="18"/>
    </row>
    <row r="2708" ht="22.5" customHeight="1">
      <c r="A2708" s="250"/>
      <c r="B2708" s="218"/>
      <c r="C2708" s="9"/>
      <c r="D2708" s="228"/>
      <c r="E2708" s="216"/>
      <c r="F2708" s="273"/>
      <c r="G2708" s="9"/>
      <c r="H2708" s="234"/>
      <c r="I2708" s="232"/>
      <c r="J2708" s="9"/>
      <c r="K2708" s="18"/>
      <c r="L2708" s="18"/>
      <c r="M2708" s="18"/>
      <c r="N2708" s="18"/>
      <c r="O2708" s="18"/>
      <c r="P2708" s="18"/>
      <c r="Q2708" s="18"/>
      <c r="R2708" s="18"/>
      <c r="S2708" s="18"/>
      <c r="T2708" s="18"/>
      <c r="U2708" s="18"/>
      <c r="V2708" s="18"/>
      <c r="W2708" s="18"/>
      <c r="X2708" s="18"/>
      <c r="Y2708" s="18"/>
      <c r="Z2708" s="18"/>
    </row>
    <row r="2709" ht="22.5" customHeight="1">
      <c r="A2709" s="250"/>
      <c r="B2709" s="218"/>
      <c r="C2709" s="9"/>
      <c r="D2709" s="228"/>
      <c r="E2709" s="216"/>
      <c r="F2709" s="273"/>
      <c r="G2709" s="9"/>
      <c r="H2709" s="234"/>
      <c r="I2709" s="232"/>
      <c r="J2709" s="9"/>
      <c r="K2709" s="18"/>
      <c r="L2709" s="18"/>
      <c r="M2709" s="18"/>
      <c r="N2709" s="18"/>
      <c r="O2709" s="18"/>
      <c r="P2709" s="18"/>
      <c r="Q2709" s="18"/>
      <c r="R2709" s="18"/>
      <c r="S2709" s="18"/>
      <c r="T2709" s="18"/>
      <c r="U2709" s="18"/>
      <c r="V2709" s="18"/>
      <c r="W2709" s="18"/>
      <c r="X2709" s="18"/>
      <c r="Y2709" s="18"/>
      <c r="Z2709" s="18"/>
    </row>
    <row r="2710" ht="22.5" customHeight="1">
      <c r="A2710" s="250"/>
      <c r="B2710" s="218"/>
      <c r="C2710" s="9"/>
      <c r="D2710" s="228"/>
      <c r="E2710" s="216"/>
      <c r="F2710" s="273"/>
      <c r="G2710" s="9"/>
      <c r="H2710" s="234"/>
      <c r="I2710" s="232"/>
      <c r="J2710" s="9"/>
      <c r="K2710" s="18"/>
      <c r="L2710" s="18"/>
      <c r="M2710" s="18"/>
      <c r="N2710" s="18"/>
      <c r="O2710" s="18"/>
      <c r="P2710" s="18"/>
      <c r="Q2710" s="18"/>
      <c r="R2710" s="18"/>
      <c r="S2710" s="18"/>
      <c r="T2710" s="18"/>
      <c r="U2710" s="18"/>
      <c r="V2710" s="18"/>
      <c r="W2710" s="18"/>
      <c r="X2710" s="18"/>
      <c r="Y2710" s="18"/>
      <c r="Z2710" s="18"/>
    </row>
    <row r="2711" ht="22.5" customHeight="1">
      <c r="A2711" s="250"/>
      <c r="B2711" s="218"/>
      <c r="C2711" s="9"/>
      <c r="D2711" s="228"/>
      <c r="E2711" s="216"/>
      <c r="F2711" s="273"/>
      <c r="G2711" s="9"/>
      <c r="H2711" s="234"/>
      <c r="I2711" s="232"/>
      <c r="J2711" s="9"/>
      <c r="K2711" s="18"/>
      <c r="L2711" s="18"/>
      <c r="M2711" s="18"/>
      <c r="N2711" s="18"/>
      <c r="O2711" s="18"/>
      <c r="P2711" s="18"/>
      <c r="Q2711" s="18"/>
      <c r="R2711" s="18"/>
      <c r="S2711" s="18"/>
      <c r="T2711" s="18"/>
      <c r="U2711" s="18"/>
      <c r="V2711" s="18"/>
      <c r="W2711" s="18"/>
      <c r="X2711" s="18"/>
      <c r="Y2711" s="18"/>
      <c r="Z2711" s="18"/>
    </row>
    <row r="2712" ht="22.5" customHeight="1">
      <c r="A2712" s="250"/>
      <c r="B2712" s="218"/>
      <c r="C2712" s="9"/>
      <c r="D2712" s="228"/>
      <c r="E2712" s="216"/>
      <c r="F2712" s="273"/>
      <c r="G2712" s="9"/>
      <c r="H2712" s="234"/>
      <c r="I2712" s="232"/>
      <c r="J2712" s="9"/>
      <c r="K2712" s="18"/>
      <c r="L2712" s="18"/>
      <c r="M2712" s="18"/>
      <c r="N2712" s="18"/>
      <c r="O2712" s="18"/>
      <c r="P2712" s="18"/>
      <c r="Q2712" s="18"/>
      <c r="R2712" s="18"/>
      <c r="S2712" s="18"/>
      <c r="T2712" s="18"/>
      <c r="U2712" s="18"/>
      <c r="V2712" s="18"/>
      <c r="W2712" s="18"/>
      <c r="X2712" s="18"/>
      <c r="Y2712" s="18"/>
      <c r="Z2712" s="18"/>
    </row>
    <row r="2713" ht="22.5" customHeight="1">
      <c r="A2713" s="250"/>
      <c r="B2713" s="218"/>
      <c r="C2713" s="9"/>
      <c r="D2713" s="228"/>
      <c r="E2713" s="216"/>
      <c r="F2713" s="273"/>
      <c r="G2713" s="9"/>
      <c r="H2713" s="234"/>
      <c r="I2713" s="232"/>
      <c r="J2713" s="9"/>
      <c r="K2713" s="18"/>
      <c r="L2713" s="18"/>
      <c r="M2713" s="18"/>
      <c r="N2713" s="18"/>
      <c r="O2713" s="18"/>
      <c r="P2713" s="18"/>
      <c r="Q2713" s="18"/>
      <c r="R2713" s="18"/>
      <c r="S2713" s="18"/>
      <c r="T2713" s="18"/>
      <c r="U2713" s="18"/>
      <c r="V2713" s="18"/>
      <c r="W2713" s="18"/>
      <c r="X2713" s="18"/>
      <c r="Y2713" s="18"/>
      <c r="Z2713" s="18"/>
    </row>
    <row r="2714" ht="22.5" customHeight="1">
      <c r="A2714" s="250"/>
      <c r="B2714" s="218"/>
      <c r="C2714" s="9"/>
      <c r="D2714" s="228"/>
      <c r="E2714" s="216"/>
      <c r="F2714" s="273"/>
      <c r="G2714" s="9"/>
      <c r="H2714" s="234"/>
      <c r="I2714" s="232"/>
      <c r="J2714" s="9"/>
      <c r="K2714" s="18"/>
      <c r="L2714" s="18"/>
      <c r="M2714" s="18"/>
      <c r="N2714" s="18"/>
      <c r="O2714" s="18"/>
      <c r="P2714" s="18"/>
      <c r="Q2714" s="18"/>
      <c r="R2714" s="18"/>
      <c r="S2714" s="18"/>
      <c r="T2714" s="18"/>
      <c r="U2714" s="18"/>
      <c r="V2714" s="18"/>
      <c r="W2714" s="18"/>
      <c r="X2714" s="18"/>
      <c r="Y2714" s="18"/>
      <c r="Z2714" s="18"/>
    </row>
    <row r="2715" ht="22.5" customHeight="1">
      <c r="A2715" s="250"/>
      <c r="B2715" s="218"/>
      <c r="C2715" s="9"/>
      <c r="D2715" s="228"/>
      <c r="E2715" s="216"/>
      <c r="F2715" s="273"/>
      <c r="G2715" s="9"/>
      <c r="H2715" s="234"/>
      <c r="I2715" s="232"/>
      <c r="J2715" s="9"/>
      <c r="K2715" s="18"/>
      <c r="L2715" s="18"/>
      <c r="M2715" s="18"/>
      <c r="N2715" s="18"/>
      <c r="O2715" s="18"/>
      <c r="P2715" s="18"/>
      <c r="Q2715" s="18"/>
      <c r="R2715" s="18"/>
      <c r="S2715" s="18"/>
      <c r="T2715" s="18"/>
      <c r="U2715" s="18"/>
      <c r="V2715" s="18"/>
      <c r="W2715" s="18"/>
      <c r="X2715" s="18"/>
      <c r="Y2715" s="18"/>
      <c r="Z2715" s="18"/>
    </row>
    <row r="2716" ht="22.5" customHeight="1">
      <c r="A2716" s="250"/>
      <c r="B2716" s="218"/>
      <c r="C2716" s="9"/>
      <c r="D2716" s="228"/>
      <c r="E2716" s="216"/>
      <c r="F2716" s="273"/>
      <c r="G2716" s="9"/>
      <c r="H2716" s="234"/>
      <c r="I2716" s="232"/>
      <c r="J2716" s="9"/>
      <c r="K2716" s="18"/>
      <c r="L2716" s="18"/>
      <c r="M2716" s="18"/>
      <c r="N2716" s="18"/>
      <c r="O2716" s="18"/>
      <c r="P2716" s="18"/>
      <c r="Q2716" s="18"/>
      <c r="R2716" s="18"/>
      <c r="S2716" s="18"/>
      <c r="T2716" s="18"/>
      <c r="U2716" s="18"/>
      <c r="V2716" s="18"/>
      <c r="W2716" s="18"/>
      <c r="X2716" s="18"/>
      <c r="Y2716" s="18"/>
      <c r="Z2716" s="18"/>
    </row>
    <row r="2717" ht="22.5" customHeight="1">
      <c r="A2717" s="250"/>
      <c r="B2717" s="218"/>
      <c r="C2717" s="9"/>
      <c r="D2717" s="228"/>
      <c r="E2717" s="216"/>
      <c r="F2717" s="273"/>
      <c r="G2717" s="9"/>
      <c r="H2717" s="234"/>
      <c r="I2717" s="232"/>
      <c r="J2717" s="9"/>
      <c r="K2717" s="18"/>
      <c r="L2717" s="18"/>
      <c r="M2717" s="18"/>
      <c r="N2717" s="18"/>
      <c r="O2717" s="18"/>
      <c r="P2717" s="18"/>
      <c r="Q2717" s="18"/>
      <c r="R2717" s="18"/>
      <c r="S2717" s="18"/>
      <c r="T2717" s="18"/>
      <c r="U2717" s="18"/>
      <c r="V2717" s="18"/>
      <c r="W2717" s="18"/>
      <c r="X2717" s="18"/>
      <c r="Y2717" s="18"/>
      <c r="Z2717" s="18"/>
    </row>
    <row r="2718" ht="22.5" customHeight="1">
      <c r="A2718" s="250"/>
      <c r="B2718" s="218"/>
      <c r="C2718" s="9"/>
      <c r="D2718" s="228"/>
      <c r="E2718" s="216"/>
      <c r="F2718" s="273"/>
      <c r="G2718" s="9"/>
      <c r="H2718" s="234"/>
      <c r="I2718" s="232"/>
      <c r="J2718" s="9"/>
      <c r="K2718" s="18"/>
      <c r="L2718" s="18"/>
      <c r="M2718" s="18"/>
      <c r="N2718" s="18"/>
      <c r="O2718" s="18"/>
      <c r="P2718" s="18"/>
      <c r="Q2718" s="18"/>
      <c r="R2718" s="18"/>
      <c r="S2718" s="18"/>
      <c r="T2718" s="18"/>
      <c r="U2718" s="18"/>
      <c r="V2718" s="18"/>
      <c r="W2718" s="18"/>
      <c r="X2718" s="18"/>
      <c r="Y2718" s="18"/>
      <c r="Z2718" s="18"/>
    </row>
    <row r="2719" ht="22.5" customHeight="1">
      <c r="A2719" s="250"/>
      <c r="B2719" s="218"/>
      <c r="C2719" s="9"/>
      <c r="D2719" s="228"/>
      <c r="E2719" s="216"/>
      <c r="F2719" s="273"/>
      <c r="G2719" s="9"/>
      <c r="H2719" s="234"/>
      <c r="I2719" s="232"/>
      <c r="J2719" s="9"/>
      <c r="K2719" s="18"/>
      <c r="L2719" s="18"/>
      <c r="M2719" s="18"/>
      <c r="N2719" s="18"/>
      <c r="O2719" s="18"/>
      <c r="P2719" s="18"/>
      <c r="Q2719" s="18"/>
      <c r="R2719" s="18"/>
      <c r="S2719" s="18"/>
      <c r="T2719" s="18"/>
      <c r="U2719" s="18"/>
      <c r="V2719" s="18"/>
      <c r="W2719" s="18"/>
      <c r="X2719" s="18"/>
      <c r="Y2719" s="18"/>
      <c r="Z2719" s="18"/>
    </row>
    <row r="2720" ht="22.5" customHeight="1">
      <c r="A2720" s="250"/>
      <c r="B2720" s="218"/>
      <c r="C2720" s="9"/>
      <c r="D2720" s="228"/>
      <c r="E2720" s="216"/>
      <c r="F2720" s="273"/>
      <c r="G2720" s="9"/>
      <c r="H2720" s="234"/>
      <c r="I2720" s="232"/>
      <c r="J2720" s="9"/>
      <c r="K2720" s="18"/>
      <c r="L2720" s="18"/>
      <c r="M2720" s="18"/>
      <c r="N2720" s="18"/>
      <c r="O2720" s="18"/>
      <c r="P2720" s="18"/>
      <c r="Q2720" s="18"/>
      <c r="R2720" s="18"/>
      <c r="S2720" s="18"/>
      <c r="T2720" s="18"/>
      <c r="U2720" s="18"/>
      <c r="V2720" s="18"/>
      <c r="W2720" s="18"/>
      <c r="X2720" s="18"/>
      <c r="Y2720" s="18"/>
      <c r="Z2720" s="18"/>
    </row>
    <row r="2721" ht="22.5" customHeight="1">
      <c r="A2721" s="250"/>
      <c r="B2721" s="218"/>
      <c r="C2721" s="9"/>
      <c r="D2721" s="228"/>
      <c r="E2721" s="216"/>
      <c r="F2721" s="273"/>
      <c r="G2721" s="9"/>
      <c r="H2721" s="234"/>
      <c r="I2721" s="232"/>
      <c r="J2721" s="9"/>
      <c r="K2721" s="18"/>
      <c r="L2721" s="18"/>
      <c r="M2721" s="18"/>
      <c r="N2721" s="18"/>
      <c r="O2721" s="18"/>
      <c r="P2721" s="18"/>
      <c r="Q2721" s="18"/>
      <c r="R2721" s="18"/>
      <c r="S2721" s="18"/>
      <c r="T2721" s="18"/>
      <c r="U2721" s="18"/>
      <c r="V2721" s="18"/>
      <c r="W2721" s="18"/>
      <c r="X2721" s="18"/>
      <c r="Y2721" s="18"/>
      <c r="Z2721" s="18"/>
    </row>
    <row r="2722" ht="22.5" customHeight="1">
      <c r="A2722" s="250"/>
      <c r="B2722" s="218"/>
      <c r="C2722" s="9"/>
      <c r="D2722" s="228"/>
      <c r="E2722" s="216"/>
      <c r="F2722" s="273"/>
      <c r="G2722" s="9"/>
      <c r="H2722" s="234"/>
      <c r="I2722" s="232"/>
      <c r="J2722" s="9"/>
      <c r="K2722" s="18"/>
      <c r="L2722" s="18"/>
      <c r="M2722" s="18"/>
      <c r="N2722" s="18"/>
      <c r="O2722" s="18"/>
      <c r="P2722" s="18"/>
      <c r="Q2722" s="18"/>
      <c r="R2722" s="18"/>
      <c r="S2722" s="18"/>
      <c r="T2722" s="18"/>
      <c r="U2722" s="18"/>
      <c r="V2722" s="18"/>
      <c r="W2722" s="18"/>
      <c r="X2722" s="18"/>
      <c r="Y2722" s="18"/>
      <c r="Z2722" s="18"/>
    </row>
    <row r="2723" ht="22.5" customHeight="1">
      <c r="A2723" s="250"/>
      <c r="B2723" s="218"/>
      <c r="C2723" s="9"/>
      <c r="D2723" s="228"/>
      <c r="E2723" s="216"/>
      <c r="F2723" s="273"/>
      <c r="G2723" s="9"/>
      <c r="H2723" s="234"/>
      <c r="I2723" s="232"/>
      <c r="J2723" s="9"/>
      <c r="K2723" s="18"/>
      <c r="L2723" s="18"/>
      <c r="M2723" s="18"/>
      <c r="N2723" s="18"/>
      <c r="O2723" s="18"/>
      <c r="P2723" s="18"/>
      <c r="Q2723" s="18"/>
      <c r="R2723" s="18"/>
      <c r="S2723" s="18"/>
      <c r="T2723" s="18"/>
      <c r="U2723" s="18"/>
      <c r="V2723" s="18"/>
      <c r="W2723" s="18"/>
      <c r="X2723" s="18"/>
      <c r="Y2723" s="18"/>
      <c r="Z2723" s="18"/>
    </row>
    <row r="2724" ht="22.5" customHeight="1">
      <c r="A2724" s="250"/>
      <c r="B2724" s="218"/>
      <c r="C2724" s="9"/>
      <c r="D2724" s="228"/>
      <c r="E2724" s="216"/>
      <c r="F2724" s="273"/>
      <c r="G2724" s="9"/>
      <c r="H2724" s="234"/>
      <c r="I2724" s="232"/>
      <c r="J2724" s="9"/>
      <c r="K2724" s="18"/>
      <c r="L2724" s="18"/>
      <c r="M2724" s="18"/>
      <c r="N2724" s="18"/>
      <c r="O2724" s="18"/>
      <c r="P2724" s="18"/>
      <c r="Q2724" s="18"/>
      <c r="R2724" s="18"/>
      <c r="S2724" s="18"/>
      <c r="T2724" s="18"/>
      <c r="U2724" s="18"/>
      <c r="V2724" s="18"/>
      <c r="W2724" s="18"/>
      <c r="X2724" s="18"/>
      <c r="Y2724" s="18"/>
      <c r="Z2724" s="18"/>
    </row>
    <row r="2725" ht="22.5" customHeight="1">
      <c r="A2725" s="250"/>
      <c r="B2725" s="218"/>
      <c r="C2725" s="9"/>
      <c r="D2725" s="228"/>
      <c r="E2725" s="216"/>
      <c r="F2725" s="273"/>
      <c r="G2725" s="9"/>
      <c r="H2725" s="234"/>
      <c r="I2725" s="232"/>
      <c r="J2725" s="9"/>
      <c r="K2725" s="18"/>
      <c r="L2725" s="18"/>
      <c r="M2725" s="18"/>
      <c r="N2725" s="18"/>
      <c r="O2725" s="18"/>
      <c r="P2725" s="18"/>
      <c r="Q2725" s="18"/>
      <c r="R2725" s="18"/>
      <c r="S2725" s="18"/>
      <c r="T2725" s="18"/>
      <c r="U2725" s="18"/>
      <c r="V2725" s="18"/>
      <c r="W2725" s="18"/>
      <c r="X2725" s="18"/>
      <c r="Y2725" s="18"/>
      <c r="Z2725" s="18"/>
    </row>
    <row r="2726" ht="22.5" customHeight="1">
      <c r="A2726" s="250"/>
      <c r="B2726" s="218"/>
      <c r="C2726" s="9"/>
      <c r="D2726" s="228"/>
      <c r="E2726" s="216"/>
      <c r="F2726" s="273"/>
      <c r="G2726" s="9"/>
      <c r="H2726" s="234"/>
      <c r="I2726" s="232"/>
      <c r="J2726" s="9"/>
      <c r="K2726" s="18"/>
      <c r="L2726" s="18"/>
      <c r="M2726" s="18"/>
      <c r="N2726" s="18"/>
      <c r="O2726" s="18"/>
      <c r="P2726" s="18"/>
      <c r="Q2726" s="18"/>
      <c r="R2726" s="18"/>
      <c r="S2726" s="18"/>
      <c r="T2726" s="18"/>
      <c r="U2726" s="18"/>
      <c r="V2726" s="18"/>
      <c r="W2726" s="18"/>
      <c r="X2726" s="18"/>
      <c r="Y2726" s="18"/>
      <c r="Z2726" s="18"/>
    </row>
    <row r="2727" ht="22.5" customHeight="1">
      <c r="A2727" s="250"/>
      <c r="B2727" s="218"/>
      <c r="C2727" s="9"/>
      <c r="D2727" s="228"/>
      <c r="E2727" s="216"/>
      <c r="F2727" s="273"/>
      <c r="G2727" s="9"/>
      <c r="H2727" s="234"/>
      <c r="I2727" s="232"/>
      <c r="J2727" s="9"/>
      <c r="K2727" s="18"/>
      <c r="L2727" s="18"/>
      <c r="M2727" s="18"/>
      <c r="N2727" s="18"/>
      <c r="O2727" s="18"/>
      <c r="P2727" s="18"/>
      <c r="Q2727" s="18"/>
      <c r="R2727" s="18"/>
      <c r="S2727" s="18"/>
      <c r="T2727" s="18"/>
      <c r="U2727" s="18"/>
      <c r="V2727" s="18"/>
      <c r="W2727" s="18"/>
      <c r="X2727" s="18"/>
      <c r="Y2727" s="18"/>
      <c r="Z2727" s="18"/>
    </row>
    <row r="2728" ht="22.5" customHeight="1">
      <c r="A2728" s="250"/>
      <c r="B2728" s="218"/>
      <c r="C2728" s="9"/>
      <c r="D2728" s="228"/>
      <c r="E2728" s="216"/>
      <c r="F2728" s="273"/>
      <c r="G2728" s="9"/>
      <c r="H2728" s="234"/>
      <c r="I2728" s="232"/>
      <c r="J2728" s="9"/>
      <c r="K2728" s="18"/>
      <c r="L2728" s="18"/>
      <c r="M2728" s="18"/>
      <c r="N2728" s="18"/>
      <c r="O2728" s="18"/>
      <c r="P2728" s="18"/>
      <c r="Q2728" s="18"/>
      <c r="R2728" s="18"/>
      <c r="S2728" s="18"/>
      <c r="T2728" s="18"/>
      <c r="U2728" s="18"/>
      <c r="V2728" s="18"/>
      <c r="W2728" s="18"/>
      <c r="X2728" s="18"/>
      <c r="Y2728" s="18"/>
      <c r="Z2728" s="18"/>
    </row>
    <row r="2729" ht="22.5" customHeight="1">
      <c r="A2729" s="250"/>
      <c r="B2729" s="218"/>
      <c r="C2729" s="9"/>
      <c r="D2729" s="228"/>
      <c r="E2729" s="216"/>
      <c r="F2729" s="273"/>
      <c r="G2729" s="9"/>
      <c r="H2729" s="234"/>
      <c r="I2729" s="232"/>
      <c r="J2729" s="9"/>
      <c r="K2729" s="18"/>
      <c r="L2729" s="18"/>
      <c r="M2729" s="18"/>
      <c r="N2729" s="18"/>
      <c r="O2729" s="18"/>
      <c r="P2729" s="18"/>
      <c r="Q2729" s="18"/>
      <c r="R2729" s="18"/>
      <c r="S2729" s="18"/>
      <c r="T2729" s="18"/>
      <c r="U2729" s="18"/>
      <c r="V2729" s="18"/>
      <c r="W2729" s="18"/>
      <c r="X2729" s="18"/>
      <c r="Y2729" s="18"/>
      <c r="Z2729" s="18"/>
    </row>
    <row r="2730" ht="22.5" customHeight="1">
      <c r="A2730" s="250"/>
      <c r="B2730" s="218"/>
      <c r="C2730" s="9"/>
      <c r="D2730" s="228"/>
      <c r="E2730" s="216"/>
      <c r="F2730" s="273"/>
      <c r="G2730" s="9"/>
      <c r="H2730" s="234"/>
      <c r="I2730" s="232"/>
      <c r="J2730" s="9"/>
      <c r="K2730" s="18"/>
      <c r="L2730" s="18"/>
      <c r="M2730" s="18"/>
      <c r="N2730" s="18"/>
      <c r="O2730" s="18"/>
      <c r="P2730" s="18"/>
      <c r="Q2730" s="18"/>
      <c r="R2730" s="18"/>
      <c r="S2730" s="18"/>
      <c r="T2730" s="18"/>
      <c r="U2730" s="18"/>
      <c r="V2730" s="18"/>
      <c r="W2730" s="18"/>
      <c r="X2730" s="18"/>
      <c r="Y2730" s="18"/>
      <c r="Z2730" s="18"/>
    </row>
    <row r="2731" ht="22.5" customHeight="1">
      <c r="A2731" s="250"/>
      <c r="B2731" s="218"/>
      <c r="C2731" s="9"/>
      <c r="D2731" s="228"/>
      <c r="E2731" s="216"/>
      <c r="F2731" s="273"/>
      <c r="G2731" s="9"/>
      <c r="H2731" s="234"/>
      <c r="I2731" s="232"/>
      <c r="J2731" s="9"/>
      <c r="K2731" s="18"/>
      <c r="L2731" s="18"/>
      <c r="M2731" s="18"/>
      <c r="N2731" s="18"/>
      <c r="O2731" s="18"/>
      <c r="P2731" s="18"/>
      <c r="Q2731" s="18"/>
      <c r="R2731" s="18"/>
      <c r="S2731" s="18"/>
      <c r="T2731" s="18"/>
      <c r="U2731" s="18"/>
      <c r="V2731" s="18"/>
      <c r="W2731" s="18"/>
      <c r="X2731" s="18"/>
      <c r="Y2731" s="18"/>
      <c r="Z2731" s="18"/>
    </row>
    <row r="2732" ht="22.5" customHeight="1">
      <c r="A2732" s="250"/>
      <c r="B2732" s="218"/>
      <c r="C2732" s="9"/>
      <c r="D2732" s="228"/>
      <c r="E2732" s="216"/>
      <c r="F2732" s="273"/>
      <c r="G2732" s="9"/>
      <c r="H2732" s="234"/>
      <c r="I2732" s="232"/>
      <c r="J2732" s="9"/>
      <c r="K2732" s="18"/>
      <c r="L2732" s="18"/>
      <c r="M2732" s="18"/>
      <c r="N2732" s="18"/>
      <c r="O2732" s="18"/>
      <c r="P2732" s="18"/>
      <c r="Q2732" s="18"/>
      <c r="R2732" s="18"/>
      <c r="S2732" s="18"/>
      <c r="T2732" s="18"/>
      <c r="U2732" s="18"/>
      <c r="V2732" s="18"/>
      <c r="W2732" s="18"/>
      <c r="X2732" s="18"/>
      <c r="Y2732" s="18"/>
      <c r="Z2732" s="18"/>
    </row>
    <row r="2733" ht="22.5" customHeight="1">
      <c r="A2733" s="250"/>
      <c r="B2733" s="218"/>
      <c r="C2733" s="9"/>
      <c r="D2733" s="228"/>
      <c r="E2733" s="216"/>
      <c r="F2733" s="273"/>
      <c r="G2733" s="9"/>
      <c r="H2733" s="234"/>
      <c r="I2733" s="232"/>
      <c r="J2733" s="9"/>
      <c r="K2733" s="18"/>
      <c r="L2733" s="18"/>
      <c r="M2733" s="18"/>
      <c r="N2733" s="18"/>
      <c r="O2733" s="18"/>
      <c r="P2733" s="18"/>
      <c r="Q2733" s="18"/>
      <c r="R2733" s="18"/>
      <c r="S2733" s="18"/>
      <c r="T2733" s="18"/>
      <c r="U2733" s="18"/>
      <c r="V2733" s="18"/>
      <c r="W2733" s="18"/>
      <c r="X2733" s="18"/>
      <c r="Y2733" s="18"/>
      <c r="Z2733" s="18"/>
    </row>
    <row r="2734" ht="22.5" customHeight="1">
      <c r="A2734" s="250"/>
      <c r="B2734" s="218"/>
      <c r="C2734" s="9"/>
      <c r="D2734" s="228"/>
      <c r="E2734" s="216"/>
      <c r="F2734" s="273"/>
      <c r="G2734" s="9"/>
      <c r="H2734" s="234"/>
      <c r="I2734" s="232"/>
      <c r="J2734" s="9"/>
      <c r="K2734" s="18"/>
      <c r="L2734" s="18"/>
      <c r="M2734" s="18"/>
      <c r="N2734" s="18"/>
      <c r="O2734" s="18"/>
      <c r="P2734" s="18"/>
      <c r="Q2734" s="18"/>
      <c r="R2734" s="18"/>
      <c r="S2734" s="18"/>
      <c r="T2734" s="18"/>
      <c r="U2734" s="18"/>
      <c r="V2734" s="18"/>
      <c r="W2734" s="18"/>
      <c r="X2734" s="18"/>
      <c r="Y2734" s="18"/>
      <c r="Z2734" s="18"/>
    </row>
    <row r="2735" ht="22.5" customHeight="1">
      <c r="A2735" s="250"/>
      <c r="B2735" s="218"/>
      <c r="C2735" s="9"/>
      <c r="D2735" s="228"/>
      <c r="E2735" s="216"/>
      <c r="F2735" s="273"/>
      <c r="G2735" s="9"/>
      <c r="H2735" s="234"/>
      <c r="I2735" s="232"/>
      <c r="J2735" s="9"/>
      <c r="K2735" s="18"/>
      <c r="L2735" s="18"/>
      <c r="M2735" s="18"/>
      <c r="N2735" s="18"/>
      <c r="O2735" s="18"/>
      <c r="P2735" s="18"/>
      <c r="Q2735" s="18"/>
      <c r="R2735" s="18"/>
      <c r="S2735" s="18"/>
      <c r="T2735" s="18"/>
      <c r="U2735" s="18"/>
      <c r="V2735" s="18"/>
      <c r="W2735" s="18"/>
      <c r="X2735" s="18"/>
      <c r="Y2735" s="18"/>
      <c r="Z2735" s="18"/>
    </row>
    <row r="2736" ht="22.5" customHeight="1">
      <c r="A2736" s="250"/>
      <c r="B2736" s="218"/>
      <c r="C2736" s="9"/>
      <c r="D2736" s="228"/>
      <c r="E2736" s="216"/>
      <c r="F2736" s="273"/>
      <c r="G2736" s="9"/>
      <c r="H2736" s="234"/>
      <c r="I2736" s="232"/>
      <c r="J2736" s="9"/>
      <c r="K2736" s="18"/>
      <c r="L2736" s="18"/>
      <c r="M2736" s="18"/>
      <c r="N2736" s="18"/>
      <c r="O2736" s="18"/>
      <c r="P2736" s="18"/>
      <c r="Q2736" s="18"/>
      <c r="R2736" s="18"/>
      <c r="S2736" s="18"/>
      <c r="T2736" s="18"/>
      <c r="U2736" s="18"/>
      <c r="V2736" s="18"/>
      <c r="W2736" s="18"/>
      <c r="X2736" s="18"/>
      <c r="Y2736" s="18"/>
      <c r="Z2736" s="18"/>
    </row>
    <row r="2737" ht="22.5" customHeight="1">
      <c r="A2737" s="250"/>
      <c r="B2737" s="218"/>
      <c r="C2737" s="9"/>
      <c r="D2737" s="228"/>
      <c r="E2737" s="216"/>
      <c r="F2737" s="273"/>
      <c r="G2737" s="9"/>
      <c r="H2737" s="234"/>
      <c r="I2737" s="232"/>
      <c r="J2737" s="9"/>
      <c r="K2737" s="18"/>
      <c r="L2737" s="18"/>
      <c r="M2737" s="18"/>
      <c r="N2737" s="18"/>
      <c r="O2737" s="18"/>
      <c r="P2737" s="18"/>
      <c r="Q2737" s="18"/>
      <c r="R2737" s="18"/>
      <c r="S2737" s="18"/>
      <c r="T2737" s="18"/>
      <c r="U2737" s="18"/>
      <c r="V2737" s="18"/>
      <c r="W2737" s="18"/>
      <c r="X2737" s="18"/>
      <c r="Y2737" s="18"/>
      <c r="Z2737" s="18"/>
    </row>
    <row r="2738" ht="22.5" customHeight="1">
      <c r="A2738" s="250"/>
      <c r="B2738" s="218"/>
      <c r="C2738" s="9"/>
      <c r="D2738" s="228"/>
      <c r="E2738" s="216"/>
      <c r="F2738" s="273"/>
      <c r="G2738" s="9"/>
      <c r="H2738" s="234"/>
      <c r="I2738" s="232"/>
      <c r="J2738" s="9"/>
      <c r="K2738" s="18"/>
      <c r="L2738" s="18"/>
      <c r="M2738" s="18"/>
      <c r="N2738" s="18"/>
      <c r="O2738" s="18"/>
      <c r="P2738" s="18"/>
      <c r="Q2738" s="18"/>
      <c r="R2738" s="18"/>
      <c r="S2738" s="18"/>
      <c r="T2738" s="18"/>
      <c r="U2738" s="18"/>
      <c r="V2738" s="18"/>
      <c r="W2738" s="18"/>
      <c r="X2738" s="18"/>
      <c r="Y2738" s="18"/>
      <c r="Z2738" s="18"/>
    </row>
    <row r="2739" ht="22.5" customHeight="1">
      <c r="A2739" s="250"/>
      <c r="B2739" s="218"/>
      <c r="C2739" s="9"/>
      <c r="D2739" s="228"/>
      <c r="E2739" s="216"/>
      <c r="F2739" s="273"/>
      <c r="G2739" s="9"/>
      <c r="H2739" s="234"/>
      <c r="I2739" s="232"/>
      <c r="J2739" s="9"/>
      <c r="K2739" s="18"/>
      <c r="L2739" s="18"/>
      <c r="M2739" s="18"/>
      <c r="N2739" s="18"/>
      <c r="O2739" s="18"/>
      <c r="P2739" s="18"/>
      <c r="Q2739" s="18"/>
      <c r="R2739" s="18"/>
      <c r="S2739" s="18"/>
      <c r="T2739" s="18"/>
      <c r="U2739" s="18"/>
      <c r="V2739" s="18"/>
      <c r="W2739" s="18"/>
      <c r="X2739" s="18"/>
      <c r="Y2739" s="18"/>
      <c r="Z2739" s="18"/>
    </row>
    <row r="2740" ht="22.5" customHeight="1">
      <c r="A2740" s="250"/>
      <c r="B2740" s="218"/>
      <c r="C2740" s="9"/>
      <c r="D2740" s="228"/>
      <c r="E2740" s="216"/>
      <c r="F2740" s="273"/>
      <c r="G2740" s="9"/>
      <c r="H2740" s="234"/>
      <c r="I2740" s="232"/>
      <c r="J2740" s="9"/>
      <c r="K2740" s="18"/>
      <c r="L2740" s="18"/>
      <c r="M2740" s="18"/>
      <c r="N2740" s="18"/>
      <c r="O2740" s="18"/>
      <c r="P2740" s="18"/>
      <c r="Q2740" s="18"/>
      <c r="R2740" s="18"/>
      <c r="S2740" s="18"/>
      <c r="T2740" s="18"/>
      <c r="U2740" s="18"/>
      <c r="V2740" s="18"/>
      <c r="W2740" s="18"/>
      <c r="X2740" s="18"/>
      <c r="Y2740" s="18"/>
      <c r="Z2740" s="18"/>
    </row>
    <row r="2741" ht="22.5" customHeight="1">
      <c r="A2741" s="250"/>
      <c r="B2741" s="218"/>
      <c r="C2741" s="9"/>
      <c r="D2741" s="228"/>
      <c r="E2741" s="216"/>
      <c r="F2741" s="273"/>
      <c r="G2741" s="9"/>
      <c r="H2741" s="234"/>
      <c r="I2741" s="232"/>
      <c r="J2741" s="9"/>
      <c r="K2741" s="18"/>
      <c r="L2741" s="18"/>
      <c r="M2741" s="18"/>
      <c r="N2741" s="18"/>
      <c r="O2741" s="18"/>
      <c r="P2741" s="18"/>
      <c r="Q2741" s="18"/>
      <c r="R2741" s="18"/>
      <c r="S2741" s="18"/>
      <c r="T2741" s="18"/>
      <c r="U2741" s="18"/>
      <c r="V2741" s="18"/>
      <c r="W2741" s="18"/>
      <c r="X2741" s="18"/>
      <c r="Y2741" s="18"/>
      <c r="Z2741" s="18"/>
    </row>
    <row r="2742" ht="22.5" customHeight="1">
      <c r="A2742" s="250"/>
      <c r="B2742" s="218"/>
      <c r="C2742" s="9"/>
      <c r="D2742" s="228"/>
      <c r="E2742" s="216"/>
      <c r="F2742" s="273"/>
      <c r="G2742" s="9"/>
      <c r="H2742" s="234"/>
      <c r="I2742" s="232"/>
      <c r="J2742" s="9"/>
      <c r="K2742" s="18"/>
      <c r="L2742" s="18"/>
      <c r="M2742" s="18"/>
      <c r="N2742" s="18"/>
      <c r="O2742" s="18"/>
      <c r="P2742" s="18"/>
      <c r="Q2742" s="18"/>
      <c r="R2742" s="18"/>
      <c r="S2742" s="18"/>
      <c r="T2742" s="18"/>
      <c r="U2742" s="18"/>
      <c r="V2742" s="18"/>
      <c r="W2742" s="18"/>
      <c r="X2742" s="18"/>
      <c r="Y2742" s="18"/>
      <c r="Z2742" s="18"/>
    </row>
    <row r="2743" ht="22.5" customHeight="1">
      <c r="A2743" s="250"/>
      <c r="B2743" s="218"/>
      <c r="C2743" s="9"/>
      <c r="D2743" s="228"/>
      <c r="E2743" s="216"/>
      <c r="F2743" s="273"/>
      <c r="G2743" s="9"/>
      <c r="H2743" s="234"/>
      <c r="I2743" s="232"/>
      <c r="J2743" s="9"/>
      <c r="K2743" s="18"/>
      <c r="L2743" s="18"/>
      <c r="M2743" s="18"/>
      <c r="N2743" s="18"/>
      <c r="O2743" s="18"/>
      <c r="P2743" s="18"/>
      <c r="Q2743" s="18"/>
      <c r="R2743" s="18"/>
      <c r="S2743" s="18"/>
      <c r="T2743" s="18"/>
      <c r="U2743" s="18"/>
      <c r="V2743" s="18"/>
      <c r="W2743" s="18"/>
      <c r="X2743" s="18"/>
      <c r="Y2743" s="18"/>
      <c r="Z2743" s="18"/>
    </row>
    <row r="2744" ht="22.5" customHeight="1">
      <c r="A2744" s="250"/>
      <c r="B2744" s="218"/>
      <c r="C2744" s="9"/>
      <c r="D2744" s="228"/>
      <c r="E2744" s="216"/>
      <c r="F2744" s="273"/>
      <c r="G2744" s="9"/>
      <c r="H2744" s="234"/>
      <c r="I2744" s="232"/>
      <c r="J2744" s="9"/>
      <c r="K2744" s="18"/>
      <c r="L2744" s="18"/>
      <c r="M2744" s="18"/>
      <c r="N2744" s="18"/>
      <c r="O2744" s="18"/>
      <c r="P2744" s="18"/>
      <c r="Q2744" s="18"/>
      <c r="R2744" s="18"/>
      <c r="S2744" s="18"/>
      <c r="T2744" s="18"/>
      <c r="U2744" s="18"/>
      <c r="V2744" s="18"/>
      <c r="W2744" s="18"/>
      <c r="X2744" s="18"/>
      <c r="Y2744" s="18"/>
      <c r="Z2744" s="18"/>
    </row>
    <row r="2745" ht="22.5" customHeight="1">
      <c r="A2745" s="250"/>
      <c r="B2745" s="218"/>
      <c r="C2745" s="9"/>
      <c r="D2745" s="228"/>
      <c r="E2745" s="216"/>
      <c r="F2745" s="273"/>
      <c r="G2745" s="9"/>
      <c r="H2745" s="234"/>
      <c r="I2745" s="232"/>
      <c r="J2745" s="9"/>
      <c r="K2745" s="18"/>
      <c r="L2745" s="18"/>
      <c r="M2745" s="18"/>
      <c r="N2745" s="18"/>
      <c r="O2745" s="18"/>
      <c r="P2745" s="18"/>
      <c r="Q2745" s="18"/>
      <c r="R2745" s="18"/>
      <c r="S2745" s="18"/>
      <c r="T2745" s="18"/>
      <c r="U2745" s="18"/>
      <c r="V2745" s="18"/>
      <c r="W2745" s="18"/>
      <c r="X2745" s="18"/>
      <c r="Y2745" s="18"/>
      <c r="Z2745" s="18"/>
    </row>
    <row r="2746" ht="22.5" customHeight="1">
      <c r="A2746" s="250"/>
      <c r="B2746" s="218"/>
      <c r="C2746" s="9"/>
      <c r="D2746" s="228"/>
      <c r="E2746" s="216"/>
      <c r="F2746" s="273"/>
      <c r="G2746" s="9"/>
      <c r="H2746" s="234"/>
      <c r="I2746" s="232"/>
      <c r="J2746" s="9"/>
      <c r="K2746" s="18"/>
      <c r="L2746" s="18"/>
      <c r="M2746" s="18"/>
      <c r="N2746" s="18"/>
      <c r="O2746" s="18"/>
      <c r="P2746" s="18"/>
      <c r="Q2746" s="18"/>
      <c r="R2746" s="18"/>
      <c r="S2746" s="18"/>
      <c r="T2746" s="18"/>
      <c r="U2746" s="18"/>
      <c r="V2746" s="18"/>
      <c r="W2746" s="18"/>
      <c r="X2746" s="18"/>
      <c r="Y2746" s="18"/>
      <c r="Z2746" s="18"/>
    </row>
    <row r="2747" ht="22.5" customHeight="1">
      <c r="A2747" s="250"/>
      <c r="B2747" s="218"/>
      <c r="C2747" s="9"/>
      <c r="D2747" s="228"/>
      <c r="E2747" s="216"/>
      <c r="F2747" s="273"/>
      <c r="G2747" s="9"/>
      <c r="H2747" s="234"/>
      <c r="I2747" s="232"/>
      <c r="J2747" s="9"/>
      <c r="K2747" s="18"/>
      <c r="L2747" s="18"/>
      <c r="M2747" s="18"/>
      <c r="N2747" s="18"/>
      <c r="O2747" s="18"/>
      <c r="P2747" s="18"/>
      <c r="Q2747" s="18"/>
      <c r="R2747" s="18"/>
      <c r="S2747" s="18"/>
      <c r="T2747" s="18"/>
      <c r="U2747" s="18"/>
      <c r="V2747" s="18"/>
      <c r="W2747" s="18"/>
      <c r="X2747" s="18"/>
      <c r="Y2747" s="18"/>
      <c r="Z2747" s="18"/>
    </row>
    <row r="2748" ht="22.5" customHeight="1">
      <c r="A2748" s="250"/>
      <c r="B2748" s="218"/>
      <c r="C2748" s="9"/>
      <c r="D2748" s="228"/>
      <c r="E2748" s="216"/>
      <c r="F2748" s="273"/>
      <c r="G2748" s="9"/>
      <c r="H2748" s="234"/>
      <c r="I2748" s="232"/>
      <c r="J2748" s="9"/>
      <c r="K2748" s="18"/>
      <c r="L2748" s="18"/>
      <c r="M2748" s="18"/>
      <c r="N2748" s="18"/>
      <c r="O2748" s="18"/>
      <c r="P2748" s="18"/>
      <c r="Q2748" s="18"/>
      <c r="R2748" s="18"/>
      <c r="S2748" s="18"/>
      <c r="T2748" s="18"/>
      <c r="U2748" s="18"/>
      <c r="V2748" s="18"/>
      <c r="W2748" s="18"/>
      <c r="X2748" s="18"/>
      <c r="Y2748" s="18"/>
      <c r="Z2748" s="18"/>
    </row>
    <row r="2749" ht="22.5" customHeight="1">
      <c r="A2749" s="250"/>
      <c r="B2749" s="218"/>
      <c r="C2749" s="9"/>
      <c r="D2749" s="228"/>
      <c r="E2749" s="216"/>
      <c r="F2749" s="273"/>
      <c r="G2749" s="9"/>
      <c r="H2749" s="234"/>
      <c r="I2749" s="232"/>
      <c r="J2749" s="9"/>
      <c r="K2749" s="18"/>
      <c r="L2749" s="18"/>
      <c r="M2749" s="18"/>
      <c r="N2749" s="18"/>
      <c r="O2749" s="18"/>
      <c r="P2749" s="18"/>
      <c r="Q2749" s="18"/>
      <c r="R2749" s="18"/>
      <c r="S2749" s="18"/>
      <c r="T2749" s="18"/>
      <c r="U2749" s="18"/>
      <c r="V2749" s="18"/>
      <c r="W2749" s="18"/>
      <c r="X2749" s="18"/>
      <c r="Y2749" s="18"/>
      <c r="Z2749" s="18"/>
    </row>
    <row r="2750" ht="22.5" customHeight="1">
      <c r="A2750" s="250"/>
      <c r="B2750" s="218"/>
      <c r="C2750" s="9"/>
      <c r="D2750" s="228"/>
      <c r="E2750" s="216"/>
      <c r="F2750" s="273"/>
      <c r="G2750" s="9"/>
      <c r="H2750" s="234"/>
      <c r="I2750" s="232"/>
      <c r="J2750" s="9"/>
      <c r="K2750" s="18"/>
      <c r="L2750" s="18"/>
      <c r="M2750" s="18"/>
      <c r="N2750" s="18"/>
      <c r="O2750" s="18"/>
      <c r="P2750" s="18"/>
      <c r="Q2750" s="18"/>
      <c r="R2750" s="18"/>
      <c r="S2750" s="18"/>
      <c r="T2750" s="18"/>
      <c r="U2750" s="18"/>
      <c r="V2750" s="18"/>
      <c r="W2750" s="18"/>
      <c r="X2750" s="18"/>
      <c r="Y2750" s="18"/>
      <c r="Z2750" s="18"/>
    </row>
    <row r="2751" ht="22.5" customHeight="1">
      <c r="A2751" s="250"/>
      <c r="B2751" s="218"/>
      <c r="C2751" s="9"/>
      <c r="D2751" s="228"/>
      <c r="E2751" s="216"/>
      <c r="F2751" s="273"/>
      <c r="G2751" s="9"/>
      <c r="H2751" s="234"/>
      <c r="I2751" s="232"/>
      <c r="J2751" s="9"/>
      <c r="K2751" s="18"/>
      <c r="L2751" s="18"/>
      <c r="M2751" s="18"/>
      <c r="N2751" s="18"/>
      <c r="O2751" s="18"/>
      <c r="P2751" s="18"/>
      <c r="Q2751" s="18"/>
      <c r="R2751" s="18"/>
      <c r="S2751" s="18"/>
      <c r="T2751" s="18"/>
      <c r="U2751" s="18"/>
      <c r="V2751" s="18"/>
      <c r="W2751" s="18"/>
      <c r="X2751" s="18"/>
      <c r="Y2751" s="18"/>
      <c r="Z2751" s="18"/>
    </row>
    <row r="2752" ht="22.5" customHeight="1">
      <c r="A2752" s="250"/>
      <c r="B2752" s="218"/>
      <c r="C2752" s="9"/>
      <c r="D2752" s="228"/>
      <c r="E2752" s="216"/>
      <c r="F2752" s="273"/>
      <c r="G2752" s="9"/>
      <c r="H2752" s="234"/>
      <c r="I2752" s="232"/>
      <c r="J2752" s="9"/>
      <c r="K2752" s="18"/>
      <c r="L2752" s="18"/>
      <c r="M2752" s="18"/>
      <c r="N2752" s="18"/>
      <c r="O2752" s="18"/>
      <c r="P2752" s="18"/>
      <c r="Q2752" s="18"/>
      <c r="R2752" s="18"/>
      <c r="S2752" s="18"/>
      <c r="T2752" s="18"/>
      <c r="U2752" s="18"/>
      <c r="V2752" s="18"/>
      <c r="W2752" s="18"/>
      <c r="X2752" s="18"/>
      <c r="Y2752" s="18"/>
      <c r="Z2752" s="18"/>
    </row>
    <row r="2753" ht="22.5" customHeight="1">
      <c r="A2753" s="250"/>
      <c r="B2753" s="218"/>
      <c r="C2753" s="9"/>
      <c r="D2753" s="228"/>
      <c r="E2753" s="216"/>
      <c r="F2753" s="273"/>
      <c r="G2753" s="9"/>
      <c r="H2753" s="234"/>
      <c r="I2753" s="232"/>
      <c r="J2753" s="9"/>
      <c r="K2753" s="18"/>
      <c r="L2753" s="18"/>
      <c r="M2753" s="18"/>
      <c r="N2753" s="18"/>
      <c r="O2753" s="18"/>
      <c r="P2753" s="18"/>
      <c r="Q2753" s="18"/>
      <c r="R2753" s="18"/>
      <c r="S2753" s="18"/>
      <c r="T2753" s="18"/>
      <c r="U2753" s="18"/>
      <c r="V2753" s="18"/>
      <c r="W2753" s="18"/>
      <c r="X2753" s="18"/>
      <c r="Y2753" s="18"/>
      <c r="Z2753" s="18"/>
    </row>
    <row r="2754" ht="22.5" customHeight="1">
      <c r="A2754" s="250"/>
      <c r="B2754" s="218"/>
      <c r="C2754" s="9"/>
      <c r="D2754" s="228"/>
      <c r="E2754" s="216"/>
      <c r="F2754" s="273"/>
      <c r="G2754" s="9"/>
      <c r="H2754" s="234"/>
      <c r="I2754" s="232"/>
      <c r="J2754" s="9"/>
      <c r="K2754" s="18"/>
      <c r="L2754" s="18"/>
      <c r="M2754" s="18"/>
      <c r="N2754" s="18"/>
      <c r="O2754" s="18"/>
      <c r="P2754" s="18"/>
      <c r="Q2754" s="18"/>
      <c r="R2754" s="18"/>
      <c r="S2754" s="18"/>
      <c r="T2754" s="18"/>
      <c r="U2754" s="18"/>
      <c r="V2754" s="18"/>
      <c r="W2754" s="18"/>
      <c r="X2754" s="18"/>
      <c r="Y2754" s="18"/>
      <c r="Z2754" s="18"/>
    </row>
    <row r="2755" ht="22.5" customHeight="1">
      <c r="A2755" s="250"/>
      <c r="B2755" s="218"/>
      <c r="C2755" s="9"/>
      <c r="D2755" s="228"/>
      <c r="E2755" s="216"/>
      <c r="F2755" s="273"/>
      <c r="G2755" s="9"/>
      <c r="H2755" s="234"/>
      <c r="I2755" s="232"/>
      <c r="J2755" s="9"/>
      <c r="K2755" s="18"/>
      <c r="L2755" s="18"/>
      <c r="M2755" s="18"/>
      <c r="N2755" s="18"/>
      <c r="O2755" s="18"/>
      <c r="P2755" s="18"/>
      <c r="Q2755" s="18"/>
      <c r="R2755" s="18"/>
      <c r="S2755" s="18"/>
      <c r="T2755" s="18"/>
      <c r="U2755" s="18"/>
      <c r="V2755" s="18"/>
      <c r="W2755" s="18"/>
      <c r="X2755" s="18"/>
      <c r="Y2755" s="18"/>
      <c r="Z2755" s="18"/>
    </row>
    <row r="2756" ht="22.5" customHeight="1">
      <c r="A2756" s="250"/>
      <c r="B2756" s="218"/>
      <c r="C2756" s="9"/>
      <c r="D2756" s="228"/>
      <c r="E2756" s="216"/>
      <c r="F2756" s="273"/>
      <c r="G2756" s="9"/>
      <c r="H2756" s="234"/>
      <c r="I2756" s="232"/>
      <c r="J2756" s="9"/>
      <c r="K2756" s="18"/>
      <c r="L2756" s="18"/>
      <c r="M2756" s="18"/>
      <c r="N2756" s="18"/>
      <c r="O2756" s="18"/>
      <c r="P2756" s="18"/>
      <c r="Q2756" s="18"/>
      <c r="R2756" s="18"/>
      <c r="S2756" s="18"/>
      <c r="T2756" s="18"/>
      <c r="U2756" s="18"/>
      <c r="V2756" s="18"/>
      <c r="W2756" s="18"/>
      <c r="X2756" s="18"/>
      <c r="Y2756" s="18"/>
      <c r="Z2756" s="18"/>
    </row>
    <row r="2757" ht="22.5" customHeight="1">
      <c r="A2757" s="250"/>
      <c r="B2757" s="218"/>
      <c r="C2757" s="9"/>
      <c r="D2757" s="228"/>
      <c r="E2757" s="216"/>
      <c r="F2757" s="273"/>
      <c r="G2757" s="9"/>
      <c r="H2757" s="234"/>
      <c r="I2757" s="232"/>
      <c r="J2757" s="9"/>
      <c r="K2757" s="18"/>
      <c r="L2757" s="18"/>
      <c r="M2757" s="18"/>
      <c r="N2757" s="18"/>
      <c r="O2757" s="18"/>
      <c r="P2757" s="18"/>
      <c r="Q2757" s="18"/>
      <c r="R2757" s="18"/>
      <c r="S2757" s="18"/>
      <c r="T2757" s="18"/>
      <c r="U2757" s="18"/>
      <c r="V2757" s="18"/>
      <c r="W2757" s="18"/>
      <c r="X2757" s="18"/>
      <c r="Y2757" s="18"/>
      <c r="Z2757" s="18"/>
    </row>
    <row r="2758" ht="22.5" customHeight="1">
      <c r="A2758" s="250"/>
      <c r="B2758" s="218"/>
      <c r="C2758" s="9"/>
      <c r="D2758" s="228"/>
      <c r="E2758" s="216"/>
      <c r="F2758" s="273"/>
      <c r="G2758" s="9"/>
      <c r="H2758" s="234"/>
      <c r="I2758" s="232"/>
      <c r="J2758" s="9"/>
      <c r="K2758" s="18"/>
      <c r="L2758" s="18"/>
      <c r="M2758" s="18"/>
      <c r="N2758" s="18"/>
      <c r="O2758" s="18"/>
      <c r="P2758" s="18"/>
      <c r="Q2758" s="18"/>
      <c r="R2758" s="18"/>
      <c r="S2758" s="18"/>
      <c r="T2758" s="18"/>
      <c r="U2758" s="18"/>
      <c r="V2758" s="18"/>
      <c r="W2758" s="18"/>
      <c r="X2758" s="18"/>
      <c r="Y2758" s="18"/>
      <c r="Z2758" s="18"/>
    </row>
    <row r="2759" ht="22.5" customHeight="1">
      <c r="A2759" s="250"/>
      <c r="B2759" s="218"/>
      <c r="C2759" s="9"/>
      <c r="D2759" s="228"/>
      <c r="E2759" s="216"/>
      <c r="F2759" s="273"/>
      <c r="G2759" s="9"/>
      <c r="H2759" s="234"/>
      <c r="I2759" s="232"/>
      <c r="J2759" s="9"/>
      <c r="K2759" s="18"/>
      <c r="L2759" s="18"/>
      <c r="M2759" s="18"/>
      <c r="N2759" s="18"/>
      <c r="O2759" s="18"/>
      <c r="P2759" s="18"/>
      <c r="Q2759" s="18"/>
      <c r="R2759" s="18"/>
      <c r="S2759" s="18"/>
      <c r="T2759" s="18"/>
      <c r="U2759" s="18"/>
      <c r="V2759" s="18"/>
      <c r="W2759" s="18"/>
      <c r="X2759" s="18"/>
      <c r="Y2759" s="18"/>
      <c r="Z2759" s="18"/>
    </row>
    <row r="2760" ht="22.5" customHeight="1">
      <c r="A2760" s="250"/>
      <c r="B2760" s="218"/>
      <c r="C2760" s="9"/>
      <c r="D2760" s="228"/>
      <c r="E2760" s="216"/>
      <c r="F2760" s="273"/>
      <c r="G2760" s="9"/>
      <c r="H2760" s="234"/>
      <c r="I2760" s="232"/>
      <c r="J2760" s="9"/>
      <c r="K2760" s="18"/>
      <c r="L2760" s="18"/>
      <c r="M2760" s="18"/>
      <c r="N2760" s="18"/>
      <c r="O2760" s="18"/>
      <c r="P2760" s="18"/>
      <c r="Q2760" s="18"/>
      <c r="R2760" s="18"/>
      <c r="S2760" s="18"/>
      <c r="T2760" s="18"/>
      <c r="U2760" s="18"/>
      <c r="V2760" s="18"/>
      <c r="W2760" s="18"/>
      <c r="X2760" s="18"/>
      <c r="Y2760" s="18"/>
      <c r="Z2760" s="18"/>
    </row>
    <row r="2761" ht="22.5" customHeight="1">
      <c r="A2761" s="250"/>
      <c r="B2761" s="218"/>
      <c r="C2761" s="9"/>
      <c r="D2761" s="228"/>
      <c r="E2761" s="216"/>
      <c r="F2761" s="273"/>
      <c r="G2761" s="9"/>
      <c r="H2761" s="234"/>
      <c r="I2761" s="232"/>
      <c r="J2761" s="9"/>
      <c r="K2761" s="18"/>
      <c r="L2761" s="18"/>
      <c r="M2761" s="18"/>
      <c r="N2761" s="18"/>
      <c r="O2761" s="18"/>
      <c r="P2761" s="18"/>
      <c r="Q2761" s="18"/>
      <c r="R2761" s="18"/>
      <c r="S2761" s="18"/>
      <c r="T2761" s="18"/>
      <c r="U2761" s="18"/>
      <c r="V2761" s="18"/>
      <c r="W2761" s="18"/>
      <c r="X2761" s="18"/>
      <c r="Y2761" s="18"/>
      <c r="Z2761" s="18"/>
    </row>
    <row r="2762" ht="22.5" customHeight="1">
      <c r="A2762" s="250"/>
      <c r="B2762" s="218"/>
      <c r="C2762" s="9"/>
      <c r="D2762" s="228"/>
      <c r="E2762" s="216"/>
      <c r="F2762" s="273"/>
      <c r="G2762" s="9"/>
      <c r="H2762" s="234"/>
      <c r="I2762" s="232"/>
      <c r="J2762" s="9"/>
      <c r="K2762" s="18"/>
      <c r="L2762" s="18"/>
      <c r="M2762" s="18"/>
      <c r="N2762" s="18"/>
      <c r="O2762" s="18"/>
      <c r="P2762" s="18"/>
      <c r="Q2762" s="18"/>
      <c r="R2762" s="18"/>
      <c r="S2762" s="18"/>
      <c r="T2762" s="18"/>
      <c r="U2762" s="18"/>
      <c r="V2762" s="18"/>
      <c r="W2762" s="18"/>
      <c r="X2762" s="18"/>
      <c r="Y2762" s="18"/>
      <c r="Z2762" s="18"/>
    </row>
    <row r="2763" ht="22.5" customHeight="1">
      <c r="A2763" s="250"/>
      <c r="B2763" s="218"/>
      <c r="C2763" s="9"/>
      <c r="D2763" s="228"/>
      <c r="E2763" s="216"/>
      <c r="F2763" s="273"/>
      <c r="G2763" s="9"/>
      <c r="H2763" s="234"/>
      <c r="I2763" s="232"/>
      <c r="J2763" s="9"/>
      <c r="K2763" s="18"/>
      <c r="L2763" s="18"/>
      <c r="M2763" s="18"/>
      <c r="N2763" s="18"/>
      <c r="O2763" s="18"/>
      <c r="P2763" s="18"/>
      <c r="Q2763" s="18"/>
      <c r="R2763" s="18"/>
      <c r="S2763" s="18"/>
      <c r="T2763" s="18"/>
      <c r="U2763" s="18"/>
      <c r="V2763" s="18"/>
      <c r="W2763" s="18"/>
      <c r="X2763" s="18"/>
      <c r="Y2763" s="18"/>
      <c r="Z2763" s="18"/>
    </row>
    <row r="2764" ht="22.5" customHeight="1">
      <c r="A2764" s="250"/>
      <c r="B2764" s="218"/>
      <c r="C2764" s="9"/>
      <c r="D2764" s="228"/>
      <c r="E2764" s="216"/>
      <c r="F2764" s="273"/>
      <c r="G2764" s="9"/>
      <c r="H2764" s="234"/>
      <c r="I2764" s="232"/>
      <c r="J2764" s="9"/>
      <c r="K2764" s="18"/>
      <c r="L2764" s="18"/>
      <c r="M2764" s="18"/>
      <c r="N2764" s="18"/>
      <c r="O2764" s="18"/>
      <c r="P2764" s="18"/>
      <c r="Q2764" s="18"/>
      <c r="R2764" s="18"/>
      <c r="S2764" s="18"/>
      <c r="T2764" s="18"/>
      <c r="U2764" s="18"/>
      <c r="V2764" s="18"/>
      <c r="W2764" s="18"/>
      <c r="X2764" s="18"/>
      <c r="Y2764" s="18"/>
      <c r="Z2764" s="18"/>
    </row>
    <row r="2765" ht="22.5" customHeight="1">
      <c r="A2765" s="250"/>
      <c r="B2765" s="218"/>
      <c r="C2765" s="9"/>
      <c r="D2765" s="228"/>
      <c r="E2765" s="216"/>
      <c r="F2765" s="273"/>
      <c r="G2765" s="9"/>
      <c r="H2765" s="234"/>
      <c r="I2765" s="232"/>
      <c r="J2765" s="9"/>
      <c r="K2765" s="18"/>
      <c r="L2765" s="18"/>
      <c r="M2765" s="18"/>
      <c r="N2765" s="18"/>
      <c r="O2765" s="18"/>
      <c r="P2765" s="18"/>
      <c r="Q2765" s="18"/>
      <c r="R2765" s="18"/>
      <c r="S2765" s="18"/>
      <c r="T2765" s="18"/>
      <c r="U2765" s="18"/>
      <c r="V2765" s="18"/>
      <c r="W2765" s="18"/>
      <c r="X2765" s="18"/>
      <c r="Y2765" s="18"/>
      <c r="Z2765" s="18"/>
    </row>
    <row r="2766" ht="22.5" customHeight="1">
      <c r="A2766" s="250"/>
      <c r="B2766" s="218"/>
      <c r="C2766" s="9"/>
      <c r="D2766" s="228"/>
      <c r="E2766" s="216"/>
      <c r="F2766" s="273"/>
      <c r="G2766" s="9"/>
      <c r="H2766" s="234"/>
      <c r="I2766" s="232"/>
      <c r="J2766" s="9"/>
      <c r="K2766" s="18"/>
      <c r="L2766" s="18"/>
      <c r="M2766" s="18"/>
      <c r="N2766" s="18"/>
      <c r="O2766" s="18"/>
      <c r="P2766" s="18"/>
      <c r="Q2766" s="18"/>
      <c r="R2766" s="18"/>
      <c r="S2766" s="18"/>
      <c r="T2766" s="18"/>
      <c r="U2766" s="18"/>
      <c r="V2766" s="18"/>
      <c r="W2766" s="18"/>
      <c r="X2766" s="18"/>
      <c r="Y2766" s="18"/>
      <c r="Z2766" s="18"/>
    </row>
    <row r="2767" ht="22.5" customHeight="1">
      <c r="A2767" s="250"/>
      <c r="B2767" s="218"/>
      <c r="C2767" s="9"/>
      <c r="D2767" s="228"/>
      <c r="E2767" s="216"/>
      <c r="F2767" s="273"/>
      <c r="G2767" s="9"/>
      <c r="H2767" s="234"/>
      <c r="I2767" s="232"/>
      <c r="J2767" s="9"/>
      <c r="K2767" s="18"/>
      <c r="L2767" s="18"/>
      <c r="M2767" s="18"/>
      <c r="N2767" s="18"/>
      <c r="O2767" s="18"/>
      <c r="P2767" s="18"/>
      <c r="Q2767" s="18"/>
      <c r="R2767" s="18"/>
      <c r="S2767" s="18"/>
      <c r="T2767" s="18"/>
      <c r="U2767" s="18"/>
      <c r="V2767" s="18"/>
      <c r="W2767" s="18"/>
      <c r="X2767" s="18"/>
      <c r="Y2767" s="18"/>
      <c r="Z2767" s="18"/>
    </row>
    <row r="2768" ht="22.5" customHeight="1">
      <c r="A2768" s="250"/>
      <c r="B2768" s="218"/>
      <c r="C2768" s="9"/>
      <c r="D2768" s="228"/>
      <c r="E2768" s="216"/>
      <c r="F2768" s="273"/>
      <c r="G2768" s="9"/>
      <c r="H2768" s="234"/>
      <c r="I2768" s="232"/>
      <c r="J2768" s="9"/>
      <c r="K2768" s="18"/>
      <c r="L2768" s="18"/>
      <c r="M2768" s="18"/>
      <c r="N2768" s="18"/>
      <c r="O2768" s="18"/>
      <c r="P2768" s="18"/>
      <c r="Q2768" s="18"/>
      <c r="R2768" s="18"/>
      <c r="S2768" s="18"/>
      <c r="T2768" s="18"/>
      <c r="U2768" s="18"/>
      <c r="V2768" s="18"/>
      <c r="W2768" s="18"/>
      <c r="X2768" s="18"/>
      <c r="Y2768" s="18"/>
      <c r="Z2768" s="18"/>
    </row>
    <row r="2769" ht="22.5" customHeight="1">
      <c r="A2769" s="250"/>
      <c r="B2769" s="218"/>
      <c r="C2769" s="9"/>
      <c r="D2769" s="228"/>
      <c r="E2769" s="216"/>
      <c r="F2769" s="273"/>
      <c r="G2769" s="9"/>
      <c r="H2769" s="234"/>
      <c r="I2769" s="232"/>
      <c r="J2769" s="9"/>
      <c r="K2769" s="18"/>
      <c r="L2769" s="18"/>
      <c r="M2769" s="18"/>
      <c r="N2769" s="18"/>
      <c r="O2769" s="18"/>
      <c r="P2769" s="18"/>
      <c r="Q2769" s="18"/>
      <c r="R2769" s="18"/>
      <c r="S2769" s="18"/>
      <c r="T2769" s="18"/>
      <c r="U2769" s="18"/>
      <c r="V2769" s="18"/>
      <c r="W2769" s="18"/>
      <c r="X2769" s="18"/>
      <c r="Y2769" s="18"/>
      <c r="Z2769" s="18"/>
    </row>
    <row r="2770" ht="22.5" customHeight="1">
      <c r="A2770" s="250"/>
      <c r="B2770" s="218"/>
      <c r="C2770" s="9"/>
      <c r="D2770" s="228"/>
      <c r="E2770" s="216"/>
      <c r="F2770" s="273"/>
      <c r="G2770" s="9"/>
      <c r="H2770" s="234"/>
      <c r="I2770" s="232"/>
      <c r="J2770" s="9"/>
      <c r="K2770" s="18"/>
      <c r="L2770" s="18"/>
      <c r="M2770" s="18"/>
      <c r="N2770" s="18"/>
      <c r="O2770" s="18"/>
      <c r="P2770" s="18"/>
      <c r="Q2770" s="18"/>
      <c r="R2770" s="18"/>
      <c r="S2770" s="18"/>
      <c r="T2770" s="18"/>
      <c r="U2770" s="18"/>
      <c r="V2770" s="18"/>
      <c r="W2770" s="18"/>
      <c r="X2770" s="18"/>
      <c r="Y2770" s="18"/>
      <c r="Z2770" s="18"/>
    </row>
    <row r="2771" ht="22.5" customHeight="1">
      <c r="A2771" s="250"/>
      <c r="B2771" s="218"/>
      <c r="C2771" s="9"/>
      <c r="D2771" s="228"/>
      <c r="E2771" s="216"/>
      <c r="F2771" s="273"/>
      <c r="G2771" s="9"/>
      <c r="H2771" s="234"/>
      <c r="I2771" s="232"/>
      <c r="J2771" s="9"/>
      <c r="K2771" s="18"/>
      <c r="L2771" s="18"/>
      <c r="M2771" s="18"/>
      <c r="N2771" s="18"/>
      <c r="O2771" s="18"/>
      <c r="P2771" s="18"/>
      <c r="Q2771" s="18"/>
      <c r="R2771" s="18"/>
      <c r="S2771" s="18"/>
      <c r="T2771" s="18"/>
      <c r="U2771" s="18"/>
      <c r="V2771" s="18"/>
      <c r="W2771" s="18"/>
      <c r="X2771" s="18"/>
      <c r="Y2771" s="18"/>
      <c r="Z2771" s="18"/>
    </row>
    <row r="2772" ht="22.5" customHeight="1">
      <c r="A2772" s="250"/>
      <c r="B2772" s="218"/>
      <c r="C2772" s="9"/>
      <c r="D2772" s="228"/>
      <c r="E2772" s="216"/>
      <c r="F2772" s="273"/>
      <c r="G2772" s="9"/>
      <c r="H2772" s="234"/>
      <c r="I2772" s="232"/>
      <c r="J2772" s="9"/>
      <c r="K2772" s="18"/>
      <c r="L2772" s="18"/>
      <c r="M2772" s="18"/>
      <c r="N2772" s="18"/>
      <c r="O2772" s="18"/>
      <c r="P2772" s="18"/>
      <c r="Q2772" s="18"/>
      <c r="R2772" s="18"/>
      <c r="S2772" s="18"/>
      <c r="T2772" s="18"/>
      <c r="U2772" s="18"/>
      <c r="V2772" s="18"/>
      <c r="W2772" s="18"/>
      <c r="X2772" s="18"/>
      <c r="Y2772" s="18"/>
      <c r="Z2772" s="18"/>
    </row>
    <row r="2773" ht="22.5" customHeight="1">
      <c r="A2773" s="250"/>
      <c r="B2773" s="218"/>
      <c r="C2773" s="9"/>
      <c r="D2773" s="228"/>
      <c r="E2773" s="216"/>
      <c r="F2773" s="273"/>
      <c r="G2773" s="9"/>
      <c r="H2773" s="234"/>
      <c r="I2773" s="232"/>
      <c r="J2773" s="9"/>
      <c r="K2773" s="18"/>
      <c r="L2773" s="18"/>
      <c r="M2773" s="18"/>
      <c r="N2773" s="18"/>
      <c r="O2773" s="18"/>
      <c r="P2773" s="18"/>
      <c r="Q2773" s="18"/>
      <c r="R2773" s="18"/>
      <c r="S2773" s="18"/>
      <c r="T2773" s="18"/>
      <c r="U2773" s="18"/>
      <c r="V2773" s="18"/>
      <c r="W2773" s="18"/>
      <c r="X2773" s="18"/>
      <c r="Y2773" s="18"/>
      <c r="Z2773" s="18"/>
    </row>
    <row r="2774" ht="22.5" customHeight="1">
      <c r="A2774" s="250"/>
      <c r="B2774" s="218"/>
      <c r="C2774" s="9"/>
      <c r="D2774" s="228"/>
      <c r="E2774" s="216"/>
      <c r="F2774" s="273"/>
      <c r="G2774" s="9"/>
      <c r="H2774" s="234"/>
      <c r="I2774" s="232"/>
      <c r="J2774" s="9"/>
      <c r="K2774" s="18"/>
      <c r="L2774" s="18"/>
      <c r="M2774" s="18"/>
      <c r="N2774" s="18"/>
      <c r="O2774" s="18"/>
      <c r="P2774" s="18"/>
      <c r="Q2774" s="18"/>
      <c r="R2774" s="18"/>
      <c r="S2774" s="18"/>
      <c r="T2774" s="18"/>
      <c r="U2774" s="18"/>
      <c r="V2774" s="18"/>
      <c r="W2774" s="18"/>
      <c r="X2774" s="18"/>
      <c r="Y2774" s="18"/>
      <c r="Z2774" s="18"/>
    </row>
    <row r="2775" ht="22.5" customHeight="1">
      <c r="A2775" s="250"/>
      <c r="B2775" s="218"/>
      <c r="C2775" s="9"/>
      <c r="D2775" s="228"/>
      <c r="E2775" s="216"/>
      <c r="F2775" s="273"/>
      <c r="G2775" s="9"/>
      <c r="H2775" s="234"/>
      <c r="I2775" s="232"/>
      <c r="J2775" s="9"/>
      <c r="K2775" s="18"/>
      <c r="L2775" s="18"/>
      <c r="M2775" s="18"/>
      <c r="N2775" s="18"/>
      <c r="O2775" s="18"/>
      <c r="P2775" s="18"/>
      <c r="Q2775" s="18"/>
      <c r="R2775" s="18"/>
      <c r="S2775" s="18"/>
      <c r="T2775" s="18"/>
      <c r="U2775" s="18"/>
      <c r="V2775" s="18"/>
      <c r="W2775" s="18"/>
      <c r="X2775" s="18"/>
      <c r="Y2775" s="18"/>
      <c r="Z2775" s="18"/>
    </row>
    <row r="2776" ht="22.5" customHeight="1">
      <c r="A2776" s="250"/>
      <c r="B2776" s="218"/>
      <c r="C2776" s="9"/>
      <c r="D2776" s="228"/>
      <c r="E2776" s="216"/>
      <c r="F2776" s="273"/>
      <c r="G2776" s="9"/>
      <c r="H2776" s="234"/>
      <c r="I2776" s="232"/>
      <c r="J2776" s="9"/>
      <c r="K2776" s="18"/>
      <c r="L2776" s="18"/>
      <c r="M2776" s="18"/>
      <c r="N2776" s="18"/>
      <c r="O2776" s="18"/>
      <c r="P2776" s="18"/>
      <c r="Q2776" s="18"/>
      <c r="R2776" s="18"/>
      <c r="S2776" s="18"/>
      <c r="T2776" s="18"/>
      <c r="U2776" s="18"/>
      <c r="V2776" s="18"/>
      <c r="W2776" s="18"/>
      <c r="X2776" s="18"/>
      <c r="Y2776" s="18"/>
      <c r="Z2776" s="18"/>
    </row>
    <row r="2777" ht="22.5" customHeight="1">
      <c r="A2777" s="250"/>
      <c r="B2777" s="218"/>
      <c r="C2777" s="9"/>
      <c r="D2777" s="228"/>
      <c r="E2777" s="216"/>
      <c r="F2777" s="273"/>
      <c r="G2777" s="9"/>
      <c r="H2777" s="234"/>
      <c r="I2777" s="232"/>
      <c r="J2777" s="9"/>
      <c r="K2777" s="18"/>
      <c r="L2777" s="18"/>
      <c r="M2777" s="18"/>
      <c r="N2777" s="18"/>
      <c r="O2777" s="18"/>
      <c r="P2777" s="18"/>
      <c r="Q2777" s="18"/>
      <c r="R2777" s="18"/>
      <c r="S2777" s="18"/>
      <c r="T2777" s="18"/>
      <c r="U2777" s="18"/>
      <c r="V2777" s="18"/>
      <c r="W2777" s="18"/>
      <c r="X2777" s="18"/>
      <c r="Y2777" s="18"/>
      <c r="Z2777" s="18"/>
    </row>
    <row r="2778" ht="22.5" customHeight="1">
      <c r="A2778" s="250"/>
      <c r="B2778" s="218"/>
      <c r="C2778" s="9"/>
      <c r="D2778" s="228"/>
      <c r="E2778" s="216"/>
      <c r="F2778" s="273"/>
      <c r="G2778" s="9"/>
      <c r="H2778" s="234"/>
      <c r="I2778" s="232"/>
      <c r="J2778" s="9"/>
      <c r="K2778" s="18"/>
      <c r="L2778" s="18"/>
      <c r="M2778" s="18"/>
      <c r="N2778" s="18"/>
      <c r="O2778" s="18"/>
      <c r="P2778" s="18"/>
      <c r="Q2778" s="18"/>
      <c r="R2778" s="18"/>
      <c r="S2778" s="18"/>
      <c r="T2778" s="18"/>
      <c r="U2778" s="18"/>
      <c r="V2778" s="18"/>
      <c r="W2778" s="18"/>
      <c r="X2778" s="18"/>
      <c r="Y2778" s="18"/>
      <c r="Z2778" s="18"/>
    </row>
    <row r="2779" ht="22.5" customHeight="1">
      <c r="A2779" s="250"/>
      <c r="B2779" s="218"/>
      <c r="C2779" s="9"/>
      <c r="D2779" s="228"/>
      <c r="E2779" s="216"/>
      <c r="F2779" s="273"/>
      <c r="G2779" s="9"/>
      <c r="H2779" s="234"/>
      <c r="I2779" s="232"/>
      <c r="J2779" s="9"/>
      <c r="K2779" s="18"/>
      <c r="L2779" s="18"/>
      <c r="M2779" s="18"/>
      <c r="N2779" s="18"/>
      <c r="O2779" s="18"/>
      <c r="P2779" s="18"/>
      <c r="Q2779" s="18"/>
      <c r="R2779" s="18"/>
      <c r="S2779" s="18"/>
      <c r="T2779" s="18"/>
      <c r="U2779" s="18"/>
      <c r="V2779" s="18"/>
      <c r="W2779" s="18"/>
      <c r="X2779" s="18"/>
      <c r="Y2779" s="18"/>
      <c r="Z2779" s="18"/>
    </row>
    <row r="2780" ht="22.5" customHeight="1">
      <c r="A2780" s="250"/>
      <c r="B2780" s="218"/>
      <c r="C2780" s="9"/>
      <c r="D2780" s="228"/>
      <c r="E2780" s="216"/>
      <c r="F2780" s="273"/>
      <c r="G2780" s="9"/>
      <c r="H2780" s="234"/>
      <c r="I2780" s="232"/>
      <c r="J2780" s="9"/>
      <c r="K2780" s="18"/>
      <c r="L2780" s="18"/>
      <c r="M2780" s="18"/>
      <c r="N2780" s="18"/>
      <c r="O2780" s="18"/>
      <c r="P2780" s="18"/>
      <c r="Q2780" s="18"/>
      <c r="R2780" s="18"/>
      <c r="S2780" s="18"/>
      <c r="T2780" s="18"/>
      <c r="U2780" s="18"/>
      <c r="V2780" s="18"/>
      <c r="W2780" s="18"/>
      <c r="X2780" s="18"/>
      <c r="Y2780" s="18"/>
      <c r="Z2780" s="18"/>
    </row>
    <row r="2781" ht="22.5" customHeight="1">
      <c r="A2781" s="250"/>
      <c r="B2781" s="218"/>
      <c r="C2781" s="9"/>
      <c r="D2781" s="228"/>
      <c r="E2781" s="216"/>
      <c r="F2781" s="273"/>
      <c r="G2781" s="9"/>
      <c r="H2781" s="234"/>
      <c r="I2781" s="232"/>
      <c r="J2781" s="9"/>
      <c r="K2781" s="18"/>
      <c r="L2781" s="18"/>
      <c r="M2781" s="18"/>
      <c r="N2781" s="18"/>
      <c r="O2781" s="18"/>
      <c r="P2781" s="18"/>
      <c r="Q2781" s="18"/>
      <c r="R2781" s="18"/>
      <c r="S2781" s="18"/>
      <c r="T2781" s="18"/>
      <c r="U2781" s="18"/>
      <c r="V2781" s="18"/>
      <c r="W2781" s="18"/>
      <c r="X2781" s="18"/>
      <c r="Y2781" s="18"/>
      <c r="Z2781" s="18"/>
    </row>
    <row r="2782" ht="22.5" customHeight="1">
      <c r="A2782" s="250"/>
      <c r="B2782" s="218"/>
      <c r="C2782" s="9"/>
      <c r="D2782" s="228"/>
      <c r="E2782" s="216"/>
      <c r="F2782" s="273"/>
      <c r="G2782" s="9"/>
      <c r="H2782" s="234"/>
      <c r="I2782" s="232"/>
      <c r="J2782" s="9"/>
      <c r="K2782" s="18"/>
      <c r="L2782" s="18"/>
      <c r="M2782" s="18"/>
      <c r="N2782" s="18"/>
      <c r="O2782" s="18"/>
      <c r="P2782" s="18"/>
      <c r="Q2782" s="18"/>
      <c r="R2782" s="18"/>
      <c r="S2782" s="18"/>
      <c r="T2782" s="18"/>
      <c r="U2782" s="18"/>
      <c r="V2782" s="18"/>
      <c r="W2782" s="18"/>
      <c r="X2782" s="18"/>
      <c r="Y2782" s="18"/>
      <c r="Z2782" s="18"/>
    </row>
    <row r="2783" ht="22.5" customHeight="1">
      <c r="A2783" s="250"/>
      <c r="B2783" s="218"/>
      <c r="C2783" s="9"/>
      <c r="D2783" s="228"/>
      <c r="E2783" s="216"/>
      <c r="F2783" s="273"/>
      <c r="G2783" s="9"/>
      <c r="H2783" s="234"/>
      <c r="I2783" s="232"/>
      <c r="J2783" s="9"/>
      <c r="K2783" s="18"/>
      <c r="L2783" s="18"/>
      <c r="M2783" s="18"/>
      <c r="N2783" s="18"/>
      <c r="O2783" s="18"/>
      <c r="P2783" s="18"/>
      <c r="Q2783" s="18"/>
      <c r="R2783" s="18"/>
      <c r="S2783" s="18"/>
      <c r="T2783" s="18"/>
      <c r="U2783" s="18"/>
      <c r="V2783" s="18"/>
      <c r="W2783" s="18"/>
      <c r="X2783" s="18"/>
      <c r="Y2783" s="18"/>
      <c r="Z2783" s="18"/>
    </row>
    <row r="2784" ht="22.5" customHeight="1">
      <c r="A2784" s="250"/>
      <c r="B2784" s="218"/>
      <c r="C2784" s="9"/>
      <c r="D2784" s="228"/>
      <c r="E2784" s="216"/>
      <c r="F2784" s="273"/>
      <c r="G2784" s="9"/>
      <c r="H2784" s="234"/>
      <c r="I2784" s="232"/>
      <c r="J2784" s="9"/>
      <c r="K2784" s="18"/>
      <c r="L2784" s="18"/>
      <c r="M2784" s="18"/>
      <c r="N2784" s="18"/>
      <c r="O2784" s="18"/>
      <c r="P2784" s="18"/>
      <c r="Q2784" s="18"/>
      <c r="R2784" s="18"/>
      <c r="S2784" s="18"/>
      <c r="T2784" s="18"/>
      <c r="U2784" s="18"/>
      <c r="V2784" s="18"/>
      <c r="W2784" s="18"/>
      <c r="X2784" s="18"/>
      <c r="Y2784" s="18"/>
      <c r="Z2784" s="18"/>
    </row>
    <row r="2785" ht="22.5" customHeight="1">
      <c r="A2785" s="250"/>
      <c r="B2785" s="218"/>
      <c r="C2785" s="9"/>
      <c r="D2785" s="228"/>
      <c r="E2785" s="216"/>
      <c r="F2785" s="273"/>
      <c r="G2785" s="9"/>
      <c r="H2785" s="234"/>
      <c r="I2785" s="232"/>
      <c r="J2785" s="9"/>
      <c r="K2785" s="18"/>
      <c r="L2785" s="18"/>
      <c r="M2785" s="18"/>
      <c r="N2785" s="18"/>
      <c r="O2785" s="18"/>
      <c r="P2785" s="18"/>
      <c r="Q2785" s="18"/>
      <c r="R2785" s="18"/>
      <c r="S2785" s="18"/>
      <c r="T2785" s="18"/>
      <c r="U2785" s="18"/>
      <c r="V2785" s="18"/>
      <c r="W2785" s="18"/>
      <c r="X2785" s="18"/>
      <c r="Y2785" s="18"/>
      <c r="Z2785" s="18"/>
    </row>
    <row r="2786" ht="22.5" customHeight="1">
      <c r="A2786" s="250"/>
      <c r="B2786" s="218"/>
      <c r="C2786" s="9"/>
      <c r="D2786" s="228"/>
      <c r="E2786" s="216"/>
      <c r="F2786" s="273"/>
      <c r="G2786" s="9"/>
      <c r="H2786" s="234"/>
      <c r="I2786" s="232"/>
      <c r="J2786" s="9"/>
      <c r="K2786" s="18"/>
      <c r="L2786" s="18"/>
      <c r="M2786" s="18"/>
      <c r="N2786" s="18"/>
      <c r="O2786" s="18"/>
      <c r="P2786" s="18"/>
      <c r="Q2786" s="18"/>
      <c r="R2786" s="18"/>
      <c r="S2786" s="18"/>
      <c r="T2786" s="18"/>
      <c r="U2786" s="18"/>
      <c r="V2786" s="18"/>
      <c r="W2786" s="18"/>
      <c r="X2786" s="18"/>
      <c r="Y2786" s="18"/>
      <c r="Z2786" s="18"/>
    </row>
    <row r="2787" ht="22.5" customHeight="1">
      <c r="A2787" s="250"/>
      <c r="B2787" s="218"/>
      <c r="C2787" s="9"/>
      <c r="D2787" s="228"/>
      <c r="E2787" s="216"/>
      <c r="F2787" s="273"/>
      <c r="G2787" s="9"/>
      <c r="H2787" s="234"/>
      <c r="I2787" s="232"/>
      <c r="J2787" s="9"/>
      <c r="K2787" s="18"/>
      <c r="L2787" s="18"/>
      <c r="M2787" s="18"/>
      <c r="N2787" s="18"/>
      <c r="O2787" s="18"/>
      <c r="P2787" s="18"/>
      <c r="Q2787" s="18"/>
      <c r="R2787" s="18"/>
      <c r="S2787" s="18"/>
      <c r="T2787" s="18"/>
      <c r="U2787" s="18"/>
      <c r="V2787" s="18"/>
      <c r="W2787" s="18"/>
      <c r="X2787" s="18"/>
      <c r="Y2787" s="18"/>
      <c r="Z2787" s="18"/>
    </row>
    <row r="2788" ht="22.5" customHeight="1">
      <c r="A2788" s="250"/>
      <c r="B2788" s="218"/>
      <c r="C2788" s="9"/>
      <c r="D2788" s="228"/>
      <c r="E2788" s="216"/>
      <c r="F2788" s="273"/>
      <c r="G2788" s="9"/>
      <c r="H2788" s="234"/>
      <c r="I2788" s="232"/>
      <c r="J2788" s="9"/>
      <c r="K2788" s="18"/>
      <c r="L2788" s="18"/>
      <c r="M2788" s="18"/>
      <c r="N2788" s="18"/>
      <c r="O2788" s="18"/>
      <c r="P2788" s="18"/>
      <c r="Q2788" s="18"/>
      <c r="R2788" s="18"/>
      <c r="S2788" s="18"/>
      <c r="T2788" s="18"/>
      <c r="U2788" s="18"/>
      <c r="V2788" s="18"/>
      <c r="W2788" s="18"/>
      <c r="X2788" s="18"/>
      <c r="Y2788" s="18"/>
      <c r="Z2788" s="18"/>
    </row>
    <row r="2789" ht="22.5" customHeight="1">
      <c r="A2789" s="250"/>
      <c r="B2789" s="218"/>
      <c r="C2789" s="9"/>
      <c r="D2789" s="228"/>
      <c r="E2789" s="216"/>
      <c r="F2789" s="273"/>
      <c r="G2789" s="9"/>
      <c r="H2789" s="234"/>
      <c r="I2789" s="232"/>
      <c r="J2789" s="9"/>
      <c r="K2789" s="18"/>
      <c r="L2789" s="18"/>
      <c r="M2789" s="18"/>
      <c r="N2789" s="18"/>
      <c r="O2789" s="18"/>
      <c r="P2789" s="18"/>
      <c r="Q2789" s="18"/>
      <c r="R2789" s="18"/>
      <c r="S2789" s="18"/>
      <c r="T2789" s="18"/>
      <c r="U2789" s="18"/>
      <c r="V2789" s="18"/>
      <c r="W2789" s="18"/>
      <c r="X2789" s="18"/>
      <c r="Y2789" s="18"/>
      <c r="Z2789" s="18"/>
    </row>
    <row r="2790" ht="22.5" customHeight="1">
      <c r="A2790" s="250"/>
      <c r="B2790" s="218"/>
      <c r="C2790" s="9"/>
      <c r="D2790" s="228"/>
      <c r="E2790" s="216"/>
      <c r="F2790" s="273"/>
      <c r="G2790" s="9"/>
      <c r="H2790" s="234"/>
      <c r="I2790" s="232"/>
      <c r="J2790" s="9"/>
      <c r="K2790" s="18"/>
      <c r="L2790" s="18"/>
      <c r="M2790" s="18"/>
      <c r="N2790" s="18"/>
      <c r="O2790" s="18"/>
      <c r="P2790" s="18"/>
      <c r="Q2790" s="18"/>
      <c r="R2790" s="18"/>
      <c r="S2790" s="18"/>
      <c r="T2790" s="18"/>
      <c r="U2790" s="18"/>
      <c r="V2790" s="18"/>
      <c r="W2790" s="18"/>
      <c r="X2790" s="18"/>
      <c r="Y2790" s="18"/>
      <c r="Z2790" s="18"/>
    </row>
    <row r="2791" ht="22.5" customHeight="1">
      <c r="A2791" s="250"/>
      <c r="B2791" s="218"/>
      <c r="C2791" s="9"/>
      <c r="D2791" s="228"/>
      <c r="E2791" s="216"/>
      <c r="F2791" s="273"/>
      <c r="G2791" s="9"/>
      <c r="H2791" s="234"/>
      <c r="I2791" s="232"/>
      <c r="J2791" s="9"/>
      <c r="K2791" s="18"/>
      <c r="L2791" s="18"/>
      <c r="M2791" s="18"/>
      <c r="N2791" s="18"/>
      <c r="O2791" s="18"/>
      <c r="P2791" s="18"/>
      <c r="Q2791" s="18"/>
      <c r="R2791" s="18"/>
      <c r="S2791" s="18"/>
      <c r="T2791" s="18"/>
      <c r="U2791" s="18"/>
      <c r="V2791" s="18"/>
      <c r="W2791" s="18"/>
      <c r="X2791" s="18"/>
      <c r="Y2791" s="18"/>
      <c r="Z2791" s="18"/>
    </row>
    <row r="2792" ht="22.5" customHeight="1">
      <c r="A2792" s="250"/>
      <c r="B2792" s="218"/>
      <c r="C2792" s="9"/>
      <c r="D2792" s="228"/>
      <c r="E2792" s="216"/>
      <c r="F2792" s="273"/>
      <c r="G2792" s="9"/>
      <c r="H2792" s="234"/>
      <c r="I2792" s="232"/>
      <c r="J2792" s="9"/>
      <c r="K2792" s="18"/>
      <c r="L2792" s="18"/>
      <c r="M2792" s="18"/>
      <c r="N2792" s="18"/>
      <c r="O2792" s="18"/>
      <c r="P2792" s="18"/>
      <c r="Q2792" s="18"/>
      <c r="R2792" s="18"/>
      <c r="S2792" s="18"/>
      <c r="T2792" s="18"/>
      <c r="U2792" s="18"/>
      <c r="V2792" s="18"/>
      <c r="W2792" s="18"/>
      <c r="X2792" s="18"/>
      <c r="Y2792" s="18"/>
      <c r="Z2792" s="18"/>
    </row>
    <row r="2793" ht="22.5" customHeight="1">
      <c r="A2793" s="250"/>
      <c r="B2793" s="218"/>
      <c r="C2793" s="9"/>
      <c r="D2793" s="228"/>
      <c r="E2793" s="216"/>
      <c r="F2793" s="273"/>
      <c r="G2793" s="9"/>
      <c r="H2793" s="234"/>
      <c r="I2793" s="232"/>
      <c r="J2793" s="9"/>
      <c r="K2793" s="18"/>
      <c r="L2793" s="18"/>
      <c r="M2793" s="18"/>
      <c r="N2793" s="18"/>
      <c r="O2793" s="18"/>
      <c r="P2793" s="18"/>
      <c r="Q2793" s="18"/>
      <c r="R2793" s="18"/>
      <c r="S2793" s="18"/>
      <c r="T2793" s="18"/>
      <c r="U2793" s="18"/>
      <c r="V2793" s="18"/>
      <c r="W2793" s="18"/>
      <c r="X2793" s="18"/>
      <c r="Y2793" s="18"/>
      <c r="Z2793" s="18"/>
    </row>
    <row r="2794" ht="22.5" customHeight="1">
      <c r="A2794" s="250"/>
      <c r="B2794" s="218"/>
      <c r="C2794" s="9"/>
      <c r="D2794" s="228"/>
      <c r="E2794" s="216"/>
      <c r="F2794" s="273"/>
      <c r="G2794" s="9"/>
      <c r="H2794" s="234"/>
      <c r="I2794" s="232"/>
      <c r="J2794" s="9"/>
      <c r="K2794" s="18"/>
      <c r="L2794" s="18"/>
      <c r="M2794" s="18"/>
      <c r="N2794" s="18"/>
      <c r="O2794" s="18"/>
      <c r="P2794" s="18"/>
      <c r="Q2794" s="18"/>
      <c r="R2794" s="18"/>
      <c r="S2794" s="18"/>
      <c r="T2794" s="18"/>
      <c r="U2794" s="18"/>
      <c r="V2794" s="18"/>
      <c r="W2794" s="18"/>
      <c r="X2794" s="18"/>
      <c r="Y2794" s="18"/>
      <c r="Z2794" s="18"/>
    </row>
    <row r="2795" ht="22.5" customHeight="1">
      <c r="A2795" s="250"/>
      <c r="B2795" s="218"/>
      <c r="C2795" s="9"/>
      <c r="D2795" s="228"/>
      <c r="E2795" s="216"/>
      <c r="F2795" s="273"/>
      <c r="G2795" s="9"/>
      <c r="H2795" s="234"/>
      <c r="I2795" s="232"/>
      <c r="J2795" s="9"/>
      <c r="K2795" s="18"/>
      <c r="L2795" s="18"/>
      <c r="M2795" s="18"/>
      <c r="N2795" s="18"/>
      <c r="O2795" s="18"/>
      <c r="P2795" s="18"/>
      <c r="Q2795" s="18"/>
      <c r="R2795" s="18"/>
      <c r="S2795" s="18"/>
      <c r="T2795" s="18"/>
      <c r="U2795" s="18"/>
      <c r="V2795" s="18"/>
      <c r="W2795" s="18"/>
      <c r="X2795" s="18"/>
      <c r="Y2795" s="18"/>
      <c r="Z2795" s="18"/>
    </row>
    <row r="2796" ht="22.5" customHeight="1">
      <c r="A2796" s="250"/>
      <c r="B2796" s="218"/>
      <c r="C2796" s="9"/>
      <c r="D2796" s="228"/>
      <c r="E2796" s="216"/>
      <c r="F2796" s="273"/>
      <c r="G2796" s="9"/>
      <c r="H2796" s="234"/>
      <c r="I2796" s="232"/>
      <c r="J2796" s="9"/>
      <c r="K2796" s="18"/>
      <c r="L2796" s="18"/>
      <c r="M2796" s="18"/>
      <c r="N2796" s="18"/>
      <c r="O2796" s="18"/>
      <c r="P2796" s="18"/>
      <c r="Q2796" s="18"/>
      <c r="R2796" s="18"/>
      <c r="S2796" s="18"/>
      <c r="T2796" s="18"/>
      <c r="U2796" s="18"/>
      <c r="V2796" s="18"/>
      <c r="W2796" s="18"/>
      <c r="X2796" s="18"/>
      <c r="Y2796" s="18"/>
      <c r="Z2796" s="18"/>
    </row>
    <row r="2797" ht="22.5" customHeight="1">
      <c r="A2797" s="250"/>
      <c r="B2797" s="218"/>
      <c r="C2797" s="9"/>
      <c r="D2797" s="228"/>
      <c r="E2797" s="216"/>
      <c r="F2797" s="273"/>
      <c r="G2797" s="9"/>
      <c r="H2797" s="234"/>
      <c r="I2797" s="232"/>
      <c r="J2797" s="9"/>
      <c r="K2797" s="18"/>
      <c r="L2797" s="18"/>
      <c r="M2797" s="18"/>
      <c r="N2797" s="18"/>
      <c r="O2797" s="18"/>
      <c r="P2797" s="18"/>
      <c r="Q2797" s="18"/>
      <c r="R2797" s="18"/>
      <c r="S2797" s="18"/>
      <c r="T2797" s="18"/>
      <c r="U2797" s="18"/>
      <c r="V2797" s="18"/>
      <c r="W2797" s="18"/>
      <c r="X2797" s="18"/>
      <c r="Y2797" s="18"/>
      <c r="Z2797" s="18"/>
    </row>
    <row r="2798" ht="22.5" customHeight="1">
      <c r="A2798" s="250"/>
      <c r="B2798" s="218"/>
      <c r="C2798" s="9"/>
      <c r="D2798" s="228"/>
      <c r="E2798" s="216"/>
      <c r="F2798" s="273"/>
      <c r="G2798" s="9"/>
      <c r="H2798" s="234"/>
      <c r="I2798" s="232"/>
      <c r="J2798" s="9"/>
      <c r="K2798" s="18"/>
      <c r="L2798" s="18"/>
      <c r="M2798" s="18"/>
      <c r="N2798" s="18"/>
      <c r="O2798" s="18"/>
      <c r="P2798" s="18"/>
      <c r="Q2798" s="18"/>
      <c r="R2798" s="18"/>
      <c r="S2798" s="18"/>
      <c r="T2798" s="18"/>
      <c r="U2798" s="18"/>
      <c r="V2798" s="18"/>
      <c r="W2798" s="18"/>
      <c r="X2798" s="18"/>
      <c r="Y2798" s="18"/>
      <c r="Z2798" s="18"/>
    </row>
    <row r="2799" ht="22.5" customHeight="1">
      <c r="A2799" s="250"/>
      <c r="B2799" s="218"/>
      <c r="C2799" s="9"/>
      <c r="D2799" s="228"/>
      <c r="E2799" s="216"/>
      <c r="F2799" s="273"/>
      <c r="G2799" s="9"/>
      <c r="H2799" s="234"/>
      <c r="I2799" s="232"/>
      <c r="J2799" s="9"/>
      <c r="K2799" s="18"/>
      <c r="L2799" s="18"/>
      <c r="M2799" s="18"/>
      <c r="N2799" s="18"/>
      <c r="O2799" s="18"/>
      <c r="P2799" s="18"/>
      <c r="Q2799" s="18"/>
      <c r="R2799" s="18"/>
      <c r="S2799" s="18"/>
      <c r="T2799" s="18"/>
      <c r="U2799" s="18"/>
      <c r="V2799" s="18"/>
      <c r="W2799" s="18"/>
      <c r="X2799" s="18"/>
      <c r="Y2799" s="18"/>
      <c r="Z2799" s="18"/>
    </row>
    <row r="2800" ht="22.5" customHeight="1">
      <c r="A2800" s="250"/>
      <c r="B2800" s="218"/>
      <c r="C2800" s="9"/>
      <c r="D2800" s="228"/>
      <c r="E2800" s="216"/>
      <c r="F2800" s="273"/>
      <c r="G2800" s="9"/>
      <c r="H2800" s="234"/>
      <c r="I2800" s="232"/>
      <c r="J2800" s="9"/>
      <c r="K2800" s="18"/>
      <c r="L2800" s="18"/>
      <c r="M2800" s="18"/>
      <c r="N2800" s="18"/>
      <c r="O2800" s="18"/>
      <c r="P2800" s="18"/>
      <c r="Q2800" s="18"/>
      <c r="R2800" s="18"/>
      <c r="S2800" s="18"/>
      <c r="T2800" s="18"/>
      <c r="U2800" s="18"/>
      <c r="V2800" s="18"/>
      <c r="W2800" s="18"/>
      <c r="X2800" s="18"/>
      <c r="Y2800" s="18"/>
      <c r="Z2800" s="18"/>
    </row>
    <row r="2801" ht="22.5" customHeight="1">
      <c r="A2801" s="250"/>
      <c r="B2801" s="218"/>
      <c r="C2801" s="9"/>
      <c r="D2801" s="228"/>
      <c r="E2801" s="216"/>
      <c r="F2801" s="273"/>
      <c r="G2801" s="9"/>
      <c r="H2801" s="234"/>
      <c r="I2801" s="232"/>
      <c r="J2801" s="9"/>
      <c r="K2801" s="18"/>
      <c r="L2801" s="18"/>
      <c r="M2801" s="18"/>
      <c r="N2801" s="18"/>
      <c r="O2801" s="18"/>
      <c r="P2801" s="18"/>
      <c r="Q2801" s="18"/>
      <c r="R2801" s="18"/>
      <c r="S2801" s="18"/>
      <c r="T2801" s="18"/>
      <c r="U2801" s="18"/>
      <c r="V2801" s="18"/>
      <c r="W2801" s="18"/>
      <c r="X2801" s="18"/>
      <c r="Y2801" s="18"/>
      <c r="Z2801" s="18"/>
    </row>
    <row r="2802" ht="22.5" customHeight="1">
      <c r="A2802" s="250"/>
      <c r="B2802" s="218"/>
      <c r="C2802" s="9"/>
      <c r="D2802" s="228"/>
      <c r="E2802" s="216"/>
      <c r="F2802" s="273"/>
      <c r="G2802" s="9"/>
      <c r="H2802" s="234"/>
      <c r="I2802" s="232"/>
      <c r="J2802" s="9"/>
      <c r="K2802" s="18"/>
      <c r="L2802" s="18"/>
      <c r="M2802" s="18"/>
      <c r="N2802" s="18"/>
      <c r="O2802" s="18"/>
      <c r="P2802" s="18"/>
      <c r="Q2802" s="18"/>
      <c r="R2802" s="18"/>
      <c r="S2802" s="18"/>
      <c r="T2802" s="18"/>
      <c r="U2802" s="18"/>
      <c r="V2802" s="18"/>
      <c r="W2802" s="18"/>
      <c r="X2802" s="18"/>
      <c r="Y2802" s="18"/>
      <c r="Z2802" s="18"/>
    </row>
    <row r="2803" ht="22.5" customHeight="1">
      <c r="A2803" s="250"/>
      <c r="B2803" s="218"/>
      <c r="C2803" s="9"/>
      <c r="D2803" s="228"/>
      <c r="E2803" s="216"/>
      <c r="F2803" s="273"/>
      <c r="G2803" s="9"/>
      <c r="H2803" s="234"/>
      <c r="I2803" s="232"/>
      <c r="J2803" s="9"/>
      <c r="K2803" s="18"/>
      <c r="L2803" s="18"/>
      <c r="M2803" s="18"/>
      <c r="N2803" s="18"/>
      <c r="O2803" s="18"/>
      <c r="P2803" s="18"/>
      <c r="Q2803" s="18"/>
      <c r="R2803" s="18"/>
      <c r="S2803" s="18"/>
      <c r="T2803" s="18"/>
      <c r="U2803" s="18"/>
      <c r="V2803" s="18"/>
      <c r="W2803" s="18"/>
      <c r="X2803" s="18"/>
      <c r="Y2803" s="18"/>
      <c r="Z2803" s="18"/>
    </row>
    <row r="2804" ht="22.5" customHeight="1">
      <c r="A2804" s="250"/>
      <c r="B2804" s="218"/>
      <c r="C2804" s="9"/>
      <c r="D2804" s="228"/>
      <c r="E2804" s="216"/>
      <c r="F2804" s="273"/>
      <c r="G2804" s="9"/>
      <c r="H2804" s="234"/>
      <c r="I2804" s="232"/>
      <c r="J2804" s="9"/>
      <c r="K2804" s="18"/>
      <c r="L2804" s="18"/>
      <c r="M2804" s="18"/>
      <c r="N2804" s="18"/>
      <c r="O2804" s="18"/>
      <c r="P2804" s="18"/>
      <c r="Q2804" s="18"/>
      <c r="R2804" s="18"/>
      <c r="S2804" s="18"/>
      <c r="T2804" s="18"/>
      <c r="U2804" s="18"/>
      <c r="V2804" s="18"/>
      <c r="W2804" s="18"/>
      <c r="X2804" s="18"/>
      <c r="Y2804" s="18"/>
      <c r="Z2804" s="18"/>
    </row>
    <row r="2805" ht="22.5" customHeight="1">
      <c r="A2805" s="250"/>
      <c r="B2805" s="218"/>
      <c r="C2805" s="9"/>
      <c r="D2805" s="228"/>
      <c r="E2805" s="216"/>
      <c r="F2805" s="273"/>
      <c r="G2805" s="9"/>
      <c r="H2805" s="234"/>
      <c r="I2805" s="232"/>
      <c r="J2805" s="9"/>
      <c r="K2805" s="18"/>
      <c r="L2805" s="18"/>
      <c r="M2805" s="18"/>
      <c r="N2805" s="18"/>
      <c r="O2805" s="18"/>
      <c r="P2805" s="18"/>
      <c r="Q2805" s="18"/>
      <c r="R2805" s="18"/>
      <c r="S2805" s="18"/>
      <c r="T2805" s="18"/>
      <c r="U2805" s="18"/>
      <c r="V2805" s="18"/>
      <c r="W2805" s="18"/>
      <c r="X2805" s="18"/>
      <c r="Y2805" s="18"/>
      <c r="Z2805" s="18"/>
    </row>
    <row r="2806" ht="22.5" customHeight="1">
      <c r="A2806" s="250"/>
      <c r="B2806" s="218"/>
      <c r="C2806" s="9"/>
      <c r="D2806" s="228"/>
      <c r="E2806" s="216"/>
      <c r="F2806" s="273"/>
      <c r="G2806" s="9"/>
      <c r="H2806" s="234"/>
      <c r="I2806" s="232"/>
      <c r="J2806" s="9"/>
      <c r="K2806" s="18"/>
      <c r="L2806" s="18"/>
      <c r="M2806" s="18"/>
      <c r="N2806" s="18"/>
      <c r="O2806" s="18"/>
      <c r="P2806" s="18"/>
      <c r="Q2806" s="18"/>
      <c r="R2806" s="18"/>
      <c r="S2806" s="18"/>
      <c r="T2806" s="18"/>
      <c r="U2806" s="18"/>
      <c r="V2806" s="18"/>
      <c r="W2806" s="18"/>
      <c r="X2806" s="18"/>
      <c r="Y2806" s="18"/>
      <c r="Z2806" s="18"/>
    </row>
    <row r="2807" ht="22.5" customHeight="1">
      <c r="A2807" s="250"/>
      <c r="B2807" s="218"/>
      <c r="C2807" s="9"/>
      <c r="D2807" s="228"/>
      <c r="E2807" s="216"/>
      <c r="F2807" s="273"/>
      <c r="G2807" s="9"/>
      <c r="H2807" s="234"/>
      <c r="I2807" s="232"/>
      <c r="J2807" s="9"/>
      <c r="K2807" s="18"/>
      <c r="L2807" s="18"/>
      <c r="M2807" s="18"/>
      <c r="N2807" s="18"/>
      <c r="O2807" s="18"/>
      <c r="P2807" s="18"/>
      <c r="Q2807" s="18"/>
      <c r="R2807" s="18"/>
      <c r="S2807" s="18"/>
      <c r="T2807" s="18"/>
      <c r="U2807" s="18"/>
      <c r="V2807" s="18"/>
      <c r="W2807" s="18"/>
      <c r="X2807" s="18"/>
      <c r="Y2807" s="18"/>
      <c r="Z2807" s="18"/>
    </row>
    <row r="2808" ht="22.5" customHeight="1">
      <c r="A2808" s="250"/>
      <c r="B2808" s="218"/>
      <c r="C2808" s="9"/>
      <c r="D2808" s="228"/>
      <c r="E2808" s="216"/>
      <c r="F2808" s="273"/>
      <c r="G2808" s="9"/>
      <c r="H2808" s="234"/>
      <c r="I2808" s="232"/>
      <c r="J2808" s="9"/>
      <c r="K2808" s="18"/>
      <c r="L2808" s="18"/>
      <c r="M2808" s="18"/>
      <c r="N2808" s="18"/>
      <c r="O2808" s="18"/>
      <c r="P2808" s="18"/>
      <c r="Q2808" s="18"/>
      <c r="R2808" s="18"/>
      <c r="S2808" s="18"/>
      <c r="T2808" s="18"/>
      <c r="U2808" s="18"/>
      <c r="V2808" s="18"/>
      <c r="W2808" s="18"/>
      <c r="X2808" s="18"/>
      <c r="Y2808" s="18"/>
      <c r="Z2808" s="18"/>
    </row>
    <row r="2809" ht="22.5" customHeight="1">
      <c r="A2809" s="250"/>
      <c r="B2809" s="218"/>
      <c r="C2809" s="9"/>
      <c r="D2809" s="228"/>
      <c r="E2809" s="216"/>
      <c r="F2809" s="273"/>
      <c r="G2809" s="9"/>
      <c r="H2809" s="234"/>
      <c r="I2809" s="232"/>
      <c r="J2809" s="9"/>
      <c r="K2809" s="18"/>
      <c r="L2809" s="18"/>
      <c r="M2809" s="18"/>
      <c r="N2809" s="18"/>
      <c r="O2809" s="18"/>
      <c r="P2809" s="18"/>
      <c r="Q2809" s="18"/>
      <c r="R2809" s="18"/>
      <c r="S2809" s="18"/>
      <c r="T2809" s="18"/>
      <c r="U2809" s="18"/>
      <c r="V2809" s="18"/>
      <c r="W2809" s="18"/>
      <c r="X2809" s="18"/>
      <c r="Y2809" s="18"/>
      <c r="Z2809" s="18"/>
    </row>
    <row r="2810" ht="22.5" customHeight="1">
      <c r="A2810" s="250"/>
      <c r="B2810" s="218"/>
      <c r="C2810" s="9"/>
      <c r="D2810" s="228"/>
      <c r="E2810" s="216"/>
      <c r="F2810" s="273"/>
      <c r="G2810" s="9"/>
      <c r="H2810" s="234"/>
      <c r="I2810" s="232"/>
      <c r="J2810" s="9"/>
      <c r="K2810" s="18"/>
      <c r="L2810" s="18"/>
      <c r="M2810" s="18"/>
      <c r="N2810" s="18"/>
      <c r="O2810" s="18"/>
      <c r="P2810" s="18"/>
      <c r="Q2810" s="18"/>
      <c r="R2810" s="18"/>
      <c r="S2810" s="18"/>
      <c r="T2810" s="18"/>
      <c r="U2810" s="18"/>
      <c r="V2810" s="18"/>
      <c r="W2810" s="18"/>
      <c r="X2810" s="18"/>
      <c r="Y2810" s="18"/>
      <c r="Z2810" s="18"/>
    </row>
    <row r="2811" ht="22.5" customHeight="1">
      <c r="A2811" s="250"/>
      <c r="B2811" s="218"/>
      <c r="C2811" s="9"/>
      <c r="D2811" s="228"/>
      <c r="E2811" s="216"/>
      <c r="F2811" s="273"/>
      <c r="G2811" s="9"/>
      <c r="H2811" s="234"/>
      <c r="I2811" s="232"/>
      <c r="J2811" s="9"/>
      <c r="K2811" s="18"/>
      <c r="L2811" s="18"/>
      <c r="M2811" s="18"/>
      <c r="N2811" s="18"/>
      <c r="O2811" s="18"/>
      <c r="P2811" s="18"/>
      <c r="Q2811" s="18"/>
      <c r="R2811" s="18"/>
      <c r="S2811" s="18"/>
      <c r="T2811" s="18"/>
      <c r="U2811" s="18"/>
      <c r="V2811" s="18"/>
      <c r="W2811" s="18"/>
      <c r="X2811" s="18"/>
      <c r="Y2811" s="18"/>
      <c r="Z2811" s="18"/>
    </row>
    <row r="2812" ht="22.5" customHeight="1">
      <c r="A2812" s="250"/>
      <c r="B2812" s="218"/>
      <c r="C2812" s="9"/>
      <c r="D2812" s="228"/>
      <c r="E2812" s="216"/>
      <c r="F2812" s="273"/>
      <c r="G2812" s="9"/>
      <c r="H2812" s="234"/>
      <c r="I2812" s="232"/>
      <c r="J2812" s="9"/>
      <c r="K2812" s="18"/>
      <c r="L2812" s="18"/>
      <c r="M2812" s="18"/>
      <c r="N2812" s="18"/>
      <c r="O2812" s="18"/>
      <c r="P2812" s="18"/>
      <c r="Q2812" s="18"/>
      <c r="R2812" s="18"/>
      <c r="S2812" s="18"/>
      <c r="T2812" s="18"/>
      <c r="U2812" s="18"/>
      <c r="V2812" s="18"/>
      <c r="W2812" s="18"/>
      <c r="X2812" s="18"/>
      <c r="Y2812" s="18"/>
      <c r="Z2812" s="18"/>
    </row>
    <row r="2813" ht="22.5" customHeight="1">
      <c r="A2813" s="250"/>
      <c r="B2813" s="218"/>
      <c r="C2813" s="9"/>
      <c r="D2813" s="228"/>
      <c r="E2813" s="216"/>
      <c r="F2813" s="273"/>
      <c r="G2813" s="9"/>
      <c r="H2813" s="234"/>
      <c r="I2813" s="232"/>
      <c r="J2813" s="9"/>
      <c r="K2813" s="18"/>
      <c r="L2813" s="18"/>
      <c r="M2813" s="18"/>
      <c r="N2813" s="18"/>
      <c r="O2813" s="18"/>
      <c r="P2813" s="18"/>
      <c r="Q2813" s="18"/>
      <c r="R2813" s="18"/>
      <c r="S2813" s="18"/>
      <c r="T2813" s="18"/>
      <c r="U2813" s="18"/>
      <c r="V2813" s="18"/>
      <c r="W2813" s="18"/>
      <c r="X2813" s="18"/>
      <c r="Y2813" s="18"/>
      <c r="Z2813" s="18"/>
    </row>
    <row r="2814" ht="22.5" customHeight="1">
      <c r="A2814" s="250"/>
      <c r="B2814" s="218"/>
      <c r="C2814" s="9"/>
      <c r="D2814" s="228"/>
      <c r="E2814" s="216"/>
      <c r="F2814" s="273"/>
      <c r="G2814" s="9"/>
      <c r="H2814" s="234"/>
      <c r="I2814" s="232"/>
      <c r="J2814" s="9"/>
      <c r="K2814" s="18"/>
      <c r="L2814" s="18"/>
      <c r="M2814" s="18"/>
      <c r="N2814" s="18"/>
      <c r="O2814" s="18"/>
      <c r="P2814" s="18"/>
      <c r="Q2814" s="18"/>
      <c r="R2814" s="18"/>
      <c r="S2814" s="18"/>
      <c r="T2814" s="18"/>
      <c r="U2814" s="18"/>
      <c r="V2814" s="18"/>
      <c r="W2814" s="18"/>
      <c r="X2814" s="18"/>
      <c r="Y2814" s="18"/>
      <c r="Z2814" s="18"/>
    </row>
    <row r="2815" ht="22.5" customHeight="1">
      <c r="A2815" s="250"/>
      <c r="B2815" s="218"/>
      <c r="C2815" s="9"/>
      <c r="D2815" s="228"/>
      <c r="E2815" s="216"/>
      <c r="F2815" s="273"/>
      <c r="G2815" s="9"/>
      <c r="H2815" s="234"/>
      <c r="I2815" s="232"/>
      <c r="J2815" s="9"/>
      <c r="K2815" s="18"/>
      <c r="L2815" s="18"/>
      <c r="M2815" s="18"/>
      <c r="N2815" s="18"/>
      <c r="O2815" s="18"/>
      <c r="P2815" s="18"/>
      <c r="Q2815" s="18"/>
      <c r="R2815" s="18"/>
      <c r="S2815" s="18"/>
      <c r="T2815" s="18"/>
      <c r="U2815" s="18"/>
      <c r="V2815" s="18"/>
      <c r="W2815" s="18"/>
      <c r="X2815" s="18"/>
      <c r="Y2815" s="18"/>
      <c r="Z2815" s="18"/>
    </row>
    <row r="2816" ht="22.5" customHeight="1">
      <c r="A2816" s="250"/>
      <c r="B2816" s="218"/>
      <c r="C2816" s="9"/>
      <c r="D2816" s="228"/>
      <c r="E2816" s="216"/>
      <c r="F2816" s="273"/>
      <c r="G2816" s="9"/>
      <c r="H2816" s="234"/>
      <c r="I2816" s="232"/>
      <c r="J2816" s="9"/>
      <c r="K2816" s="18"/>
      <c r="L2816" s="18"/>
      <c r="M2816" s="18"/>
      <c r="N2816" s="18"/>
      <c r="O2816" s="18"/>
      <c r="P2816" s="18"/>
      <c r="Q2816" s="18"/>
      <c r="R2816" s="18"/>
      <c r="S2816" s="18"/>
      <c r="T2816" s="18"/>
      <c r="U2816" s="18"/>
      <c r="V2816" s="18"/>
      <c r="W2816" s="18"/>
      <c r="X2816" s="18"/>
      <c r="Y2816" s="18"/>
      <c r="Z2816" s="18"/>
    </row>
    <row r="2817" ht="22.5" customHeight="1">
      <c r="A2817" s="250"/>
      <c r="B2817" s="218"/>
      <c r="C2817" s="9"/>
      <c r="D2817" s="228"/>
      <c r="E2817" s="216"/>
      <c r="F2817" s="273"/>
      <c r="G2817" s="9"/>
      <c r="H2817" s="234"/>
      <c r="I2817" s="232"/>
      <c r="J2817" s="9"/>
      <c r="K2817" s="18"/>
      <c r="L2817" s="18"/>
      <c r="M2817" s="18"/>
      <c r="N2817" s="18"/>
      <c r="O2817" s="18"/>
      <c r="P2817" s="18"/>
      <c r="Q2817" s="18"/>
      <c r="R2817" s="18"/>
      <c r="S2817" s="18"/>
      <c r="T2817" s="18"/>
      <c r="U2817" s="18"/>
      <c r="V2817" s="18"/>
      <c r="W2817" s="18"/>
      <c r="X2817" s="18"/>
      <c r="Y2817" s="18"/>
      <c r="Z2817" s="18"/>
    </row>
    <row r="2818" ht="22.5" customHeight="1">
      <c r="A2818" s="250"/>
      <c r="B2818" s="218"/>
      <c r="C2818" s="9"/>
      <c r="D2818" s="228"/>
      <c r="E2818" s="216"/>
      <c r="F2818" s="273"/>
      <c r="G2818" s="9"/>
      <c r="H2818" s="234"/>
      <c r="I2818" s="232"/>
      <c r="J2818" s="9"/>
      <c r="K2818" s="18"/>
      <c r="L2818" s="18"/>
      <c r="M2818" s="18"/>
      <c r="N2818" s="18"/>
      <c r="O2818" s="18"/>
      <c r="P2818" s="18"/>
      <c r="Q2818" s="18"/>
      <c r="R2818" s="18"/>
      <c r="S2818" s="18"/>
      <c r="T2818" s="18"/>
      <c r="U2818" s="18"/>
      <c r="V2818" s="18"/>
      <c r="W2818" s="18"/>
      <c r="X2818" s="18"/>
      <c r="Y2818" s="18"/>
      <c r="Z2818" s="18"/>
    </row>
    <row r="2819" ht="22.5" customHeight="1">
      <c r="A2819" s="250"/>
      <c r="B2819" s="218"/>
      <c r="C2819" s="9"/>
      <c r="D2819" s="228"/>
      <c r="E2819" s="216"/>
      <c r="F2819" s="273"/>
      <c r="G2819" s="9"/>
      <c r="H2819" s="234"/>
      <c r="I2819" s="232"/>
      <c r="J2819" s="9"/>
      <c r="K2819" s="18"/>
      <c r="L2819" s="18"/>
      <c r="M2819" s="18"/>
      <c r="N2819" s="18"/>
      <c r="O2819" s="18"/>
      <c r="P2819" s="18"/>
      <c r="Q2819" s="18"/>
      <c r="R2819" s="18"/>
      <c r="S2819" s="18"/>
      <c r="T2819" s="18"/>
      <c r="U2819" s="18"/>
      <c r="V2819" s="18"/>
      <c r="W2819" s="18"/>
      <c r="X2819" s="18"/>
      <c r="Y2819" s="18"/>
      <c r="Z2819" s="18"/>
    </row>
    <row r="2820" ht="22.5" customHeight="1">
      <c r="A2820" s="250"/>
      <c r="B2820" s="218"/>
      <c r="C2820" s="9"/>
      <c r="D2820" s="228"/>
      <c r="E2820" s="216"/>
      <c r="F2820" s="273"/>
      <c r="G2820" s="9"/>
      <c r="H2820" s="234"/>
      <c r="I2820" s="232"/>
      <c r="J2820" s="9"/>
      <c r="K2820" s="18"/>
      <c r="L2820" s="18"/>
      <c r="M2820" s="18"/>
      <c r="N2820" s="18"/>
      <c r="O2820" s="18"/>
      <c r="P2820" s="18"/>
      <c r="Q2820" s="18"/>
      <c r="R2820" s="18"/>
      <c r="S2820" s="18"/>
      <c r="T2820" s="18"/>
      <c r="U2820" s="18"/>
      <c r="V2820" s="18"/>
      <c r="W2820" s="18"/>
      <c r="X2820" s="18"/>
      <c r="Y2820" s="18"/>
      <c r="Z2820" s="18"/>
    </row>
    <row r="2821" ht="22.5" customHeight="1">
      <c r="A2821" s="250"/>
      <c r="B2821" s="218"/>
      <c r="C2821" s="9"/>
      <c r="D2821" s="228"/>
      <c r="E2821" s="216"/>
      <c r="F2821" s="273"/>
      <c r="G2821" s="9"/>
      <c r="H2821" s="234"/>
      <c r="I2821" s="232"/>
      <c r="J2821" s="9"/>
      <c r="K2821" s="18"/>
      <c r="L2821" s="18"/>
      <c r="M2821" s="18"/>
      <c r="N2821" s="18"/>
      <c r="O2821" s="18"/>
      <c r="P2821" s="18"/>
      <c r="Q2821" s="18"/>
      <c r="R2821" s="18"/>
      <c r="S2821" s="18"/>
      <c r="T2821" s="18"/>
      <c r="U2821" s="18"/>
      <c r="V2821" s="18"/>
      <c r="W2821" s="18"/>
      <c r="X2821" s="18"/>
      <c r="Y2821" s="18"/>
      <c r="Z2821" s="18"/>
    </row>
    <row r="2822" ht="22.5" customHeight="1">
      <c r="A2822" s="250"/>
      <c r="B2822" s="218"/>
      <c r="C2822" s="9"/>
      <c r="D2822" s="228"/>
      <c r="E2822" s="216"/>
      <c r="F2822" s="273"/>
      <c r="G2822" s="9"/>
      <c r="H2822" s="234"/>
      <c r="I2822" s="232"/>
      <c r="J2822" s="9"/>
      <c r="K2822" s="18"/>
      <c r="L2822" s="18"/>
      <c r="M2822" s="18"/>
      <c r="N2822" s="18"/>
      <c r="O2822" s="18"/>
      <c r="P2822" s="18"/>
      <c r="Q2822" s="18"/>
      <c r="R2822" s="18"/>
      <c r="S2822" s="18"/>
      <c r="T2822" s="18"/>
      <c r="U2822" s="18"/>
      <c r="V2822" s="18"/>
      <c r="W2822" s="18"/>
      <c r="X2822" s="18"/>
      <c r="Y2822" s="18"/>
      <c r="Z2822" s="18"/>
    </row>
    <row r="2823" ht="22.5" customHeight="1">
      <c r="A2823" s="250"/>
      <c r="B2823" s="218"/>
      <c r="C2823" s="9"/>
      <c r="D2823" s="228"/>
      <c r="E2823" s="216"/>
      <c r="F2823" s="273"/>
      <c r="G2823" s="9"/>
      <c r="H2823" s="234"/>
      <c r="I2823" s="232"/>
      <c r="J2823" s="9"/>
      <c r="K2823" s="18"/>
      <c r="L2823" s="18"/>
      <c r="M2823" s="18"/>
      <c r="N2823" s="18"/>
      <c r="O2823" s="18"/>
      <c r="P2823" s="18"/>
      <c r="Q2823" s="18"/>
      <c r="R2823" s="18"/>
      <c r="S2823" s="18"/>
      <c r="T2823" s="18"/>
      <c r="U2823" s="18"/>
      <c r="V2823" s="18"/>
      <c r="W2823" s="18"/>
      <c r="X2823" s="18"/>
      <c r="Y2823" s="18"/>
      <c r="Z2823" s="18"/>
    </row>
    <row r="2824" ht="22.5" customHeight="1">
      <c r="A2824" s="250"/>
      <c r="B2824" s="218"/>
      <c r="C2824" s="9"/>
      <c r="D2824" s="228"/>
      <c r="E2824" s="216"/>
      <c r="F2824" s="273"/>
      <c r="G2824" s="9"/>
      <c r="H2824" s="234"/>
      <c r="I2824" s="232"/>
      <c r="J2824" s="9"/>
      <c r="K2824" s="18"/>
      <c r="L2824" s="18"/>
      <c r="M2824" s="18"/>
      <c r="N2824" s="18"/>
      <c r="O2824" s="18"/>
      <c r="P2824" s="18"/>
      <c r="Q2824" s="18"/>
      <c r="R2824" s="18"/>
      <c r="S2824" s="18"/>
      <c r="T2824" s="18"/>
      <c r="U2824" s="18"/>
      <c r="V2824" s="18"/>
      <c r="W2824" s="18"/>
      <c r="X2824" s="18"/>
      <c r="Y2824" s="18"/>
      <c r="Z2824" s="18"/>
    </row>
    <row r="2825" ht="22.5" customHeight="1">
      <c r="A2825" s="250"/>
      <c r="B2825" s="218"/>
      <c r="C2825" s="9"/>
      <c r="D2825" s="228"/>
      <c r="E2825" s="216"/>
      <c r="F2825" s="273"/>
      <c r="G2825" s="9"/>
      <c r="H2825" s="234"/>
      <c r="I2825" s="232"/>
      <c r="J2825" s="9"/>
      <c r="K2825" s="18"/>
      <c r="L2825" s="18"/>
      <c r="M2825" s="18"/>
      <c r="N2825" s="18"/>
      <c r="O2825" s="18"/>
      <c r="P2825" s="18"/>
      <c r="Q2825" s="18"/>
      <c r="R2825" s="18"/>
      <c r="S2825" s="18"/>
      <c r="T2825" s="18"/>
      <c r="U2825" s="18"/>
      <c r="V2825" s="18"/>
      <c r="W2825" s="18"/>
      <c r="X2825" s="18"/>
      <c r="Y2825" s="18"/>
      <c r="Z2825" s="18"/>
    </row>
    <row r="2826" ht="22.5" customHeight="1">
      <c r="A2826" s="250"/>
      <c r="B2826" s="218"/>
      <c r="C2826" s="9"/>
      <c r="D2826" s="228"/>
      <c r="E2826" s="216"/>
      <c r="F2826" s="273"/>
      <c r="G2826" s="9"/>
      <c r="H2826" s="234"/>
      <c r="I2826" s="232"/>
      <c r="J2826" s="9"/>
      <c r="K2826" s="18"/>
      <c r="L2826" s="18"/>
      <c r="M2826" s="18"/>
      <c r="N2826" s="18"/>
      <c r="O2826" s="18"/>
      <c r="P2826" s="18"/>
      <c r="Q2826" s="18"/>
      <c r="R2826" s="18"/>
      <c r="S2826" s="18"/>
      <c r="T2826" s="18"/>
      <c r="U2826" s="18"/>
      <c r="V2826" s="18"/>
      <c r="W2826" s="18"/>
      <c r="X2826" s="18"/>
      <c r="Y2826" s="18"/>
      <c r="Z2826" s="18"/>
    </row>
    <row r="2827" ht="22.5" customHeight="1">
      <c r="A2827" s="250"/>
      <c r="B2827" s="218"/>
      <c r="C2827" s="9"/>
      <c r="D2827" s="228"/>
      <c r="E2827" s="216"/>
      <c r="F2827" s="273"/>
      <c r="G2827" s="9"/>
      <c r="H2827" s="234"/>
      <c r="I2827" s="232"/>
      <c r="J2827" s="9"/>
      <c r="K2827" s="18"/>
      <c r="L2827" s="18"/>
      <c r="M2827" s="18"/>
      <c r="N2827" s="18"/>
      <c r="O2827" s="18"/>
      <c r="P2827" s="18"/>
      <c r="Q2827" s="18"/>
      <c r="R2827" s="18"/>
      <c r="S2827" s="18"/>
      <c r="T2827" s="18"/>
      <c r="U2827" s="18"/>
      <c r="V2827" s="18"/>
      <c r="W2827" s="18"/>
      <c r="X2827" s="18"/>
      <c r="Y2827" s="18"/>
      <c r="Z2827" s="18"/>
    </row>
    <row r="2828" ht="22.5" customHeight="1">
      <c r="A2828" s="250"/>
      <c r="B2828" s="218"/>
      <c r="C2828" s="9"/>
      <c r="D2828" s="228"/>
      <c r="E2828" s="216"/>
      <c r="F2828" s="273"/>
      <c r="G2828" s="9"/>
      <c r="H2828" s="234"/>
      <c r="I2828" s="232"/>
      <c r="J2828" s="9"/>
      <c r="K2828" s="18"/>
      <c r="L2828" s="18"/>
      <c r="M2828" s="18"/>
      <c r="N2828" s="18"/>
      <c r="O2828" s="18"/>
      <c r="P2828" s="18"/>
      <c r="Q2828" s="18"/>
      <c r="R2828" s="18"/>
      <c r="S2828" s="18"/>
      <c r="T2828" s="18"/>
      <c r="U2828" s="18"/>
      <c r="V2828" s="18"/>
      <c r="W2828" s="18"/>
      <c r="X2828" s="18"/>
      <c r="Y2828" s="18"/>
      <c r="Z2828" s="18"/>
    </row>
    <row r="2829" ht="22.5" customHeight="1">
      <c r="A2829" s="250"/>
      <c r="B2829" s="218"/>
      <c r="C2829" s="9"/>
      <c r="D2829" s="228"/>
      <c r="E2829" s="216"/>
      <c r="F2829" s="273"/>
      <c r="G2829" s="9"/>
      <c r="H2829" s="234"/>
      <c r="I2829" s="232"/>
      <c r="J2829" s="9"/>
      <c r="K2829" s="18"/>
      <c r="L2829" s="18"/>
      <c r="M2829" s="18"/>
      <c r="N2829" s="18"/>
      <c r="O2829" s="18"/>
      <c r="P2829" s="18"/>
      <c r="Q2829" s="18"/>
      <c r="R2829" s="18"/>
      <c r="S2829" s="18"/>
      <c r="T2829" s="18"/>
      <c r="U2829" s="18"/>
      <c r="V2829" s="18"/>
      <c r="W2829" s="18"/>
      <c r="X2829" s="18"/>
      <c r="Y2829" s="18"/>
      <c r="Z2829" s="18"/>
    </row>
    <row r="2830" ht="22.5" customHeight="1">
      <c r="A2830" s="250"/>
      <c r="B2830" s="218"/>
      <c r="C2830" s="9"/>
      <c r="D2830" s="228"/>
      <c r="E2830" s="216"/>
      <c r="F2830" s="273"/>
      <c r="G2830" s="9"/>
      <c r="H2830" s="234"/>
      <c r="I2830" s="232"/>
      <c r="J2830" s="9"/>
      <c r="K2830" s="18"/>
      <c r="L2830" s="18"/>
      <c r="M2830" s="18"/>
      <c r="N2830" s="18"/>
      <c r="O2830" s="18"/>
      <c r="P2830" s="18"/>
      <c r="Q2830" s="18"/>
      <c r="R2830" s="18"/>
      <c r="S2830" s="18"/>
      <c r="T2830" s="18"/>
      <c r="U2830" s="18"/>
      <c r="V2830" s="18"/>
      <c r="W2830" s="18"/>
      <c r="X2830" s="18"/>
      <c r="Y2830" s="18"/>
      <c r="Z2830" s="18"/>
    </row>
    <row r="2831" ht="22.5" customHeight="1">
      <c r="A2831" s="250"/>
      <c r="B2831" s="218"/>
      <c r="C2831" s="9"/>
      <c r="D2831" s="228"/>
      <c r="E2831" s="216"/>
      <c r="F2831" s="273"/>
      <c r="G2831" s="9"/>
      <c r="H2831" s="234"/>
      <c r="I2831" s="232"/>
      <c r="J2831" s="9"/>
      <c r="K2831" s="18"/>
      <c r="L2831" s="18"/>
      <c r="M2831" s="18"/>
      <c r="N2831" s="18"/>
      <c r="O2831" s="18"/>
      <c r="P2831" s="18"/>
      <c r="Q2831" s="18"/>
      <c r="R2831" s="18"/>
      <c r="S2831" s="18"/>
      <c r="T2831" s="18"/>
      <c r="U2831" s="18"/>
      <c r="V2831" s="18"/>
      <c r="W2831" s="18"/>
      <c r="X2831" s="18"/>
      <c r="Y2831" s="18"/>
      <c r="Z2831" s="18"/>
    </row>
    <row r="2832" ht="22.5" customHeight="1">
      <c r="A2832" s="250"/>
      <c r="B2832" s="218"/>
      <c r="C2832" s="9"/>
      <c r="D2832" s="228"/>
      <c r="E2832" s="216"/>
      <c r="F2832" s="273"/>
      <c r="G2832" s="9"/>
      <c r="H2832" s="234"/>
      <c r="I2832" s="232"/>
      <c r="J2832" s="9"/>
      <c r="K2832" s="18"/>
      <c r="L2832" s="18"/>
      <c r="M2832" s="18"/>
      <c r="N2832" s="18"/>
      <c r="O2832" s="18"/>
      <c r="P2832" s="18"/>
      <c r="Q2832" s="18"/>
      <c r="R2832" s="18"/>
      <c r="S2832" s="18"/>
      <c r="T2832" s="18"/>
      <c r="U2832" s="18"/>
      <c r="V2832" s="18"/>
      <c r="W2832" s="18"/>
      <c r="X2832" s="18"/>
      <c r="Y2832" s="18"/>
      <c r="Z2832" s="18"/>
    </row>
    <row r="2833" ht="22.5" customHeight="1">
      <c r="A2833" s="250"/>
      <c r="B2833" s="218"/>
      <c r="C2833" s="9"/>
      <c r="D2833" s="228"/>
      <c r="E2833" s="216"/>
      <c r="F2833" s="273"/>
      <c r="G2833" s="9"/>
      <c r="H2833" s="234"/>
      <c r="I2833" s="232"/>
      <c r="J2833" s="9"/>
      <c r="K2833" s="18"/>
      <c r="L2833" s="18"/>
      <c r="M2833" s="18"/>
      <c r="N2833" s="18"/>
      <c r="O2833" s="18"/>
      <c r="P2833" s="18"/>
      <c r="Q2833" s="18"/>
      <c r="R2833" s="18"/>
      <c r="S2833" s="18"/>
      <c r="T2833" s="18"/>
      <c r="U2833" s="18"/>
      <c r="V2833" s="18"/>
      <c r="W2833" s="18"/>
      <c r="X2833" s="18"/>
      <c r="Y2833" s="18"/>
      <c r="Z2833" s="18"/>
    </row>
    <row r="2834" ht="22.5" customHeight="1">
      <c r="A2834" s="250"/>
      <c r="B2834" s="218"/>
      <c r="C2834" s="9"/>
      <c r="D2834" s="228"/>
      <c r="E2834" s="216"/>
      <c r="F2834" s="273"/>
      <c r="G2834" s="9"/>
      <c r="H2834" s="234"/>
      <c r="I2834" s="232"/>
      <c r="J2834" s="9"/>
      <c r="K2834" s="18"/>
      <c r="L2834" s="18"/>
      <c r="M2834" s="18"/>
      <c r="N2834" s="18"/>
      <c r="O2834" s="18"/>
      <c r="P2834" s="18"/>
      <c r="Q2834" s="18"/>
      <c r="R2834" s="18"/>
      <c r="S2834" s="18"/>
      <c r="T2834" s="18"/>
      <c r="U2834" s="18"/>
      <c r="V2834" s="18"/>
      <c r="W2834" s="18"/>
      <c r="X2834" s="18"/>
      <c r="Y2834" s="18"/>
      <c r="Z2834" s="18"/>
    </row>
    <row r="2835" ht="22.5" customHeight="1">
      <c r="A2835" s="250"/>
      <c r="B2835" s="218"/>
      <c r="C2835" s="9"/>
      <c r="D2835" s="228"/>
      <c r="E2835" s="216"/>
      <c r="F2835" s="273"/>
      <c r="G2835" s="9"/>
      <c r="H2835" s="234"/>
      <c r="I2835" s="232"/>
      <c r="J2835" s="9"/>
      <c r="K2835" s="18"/>
      <c r="L2835" s="18"/>
      <c r="M2835" s="18"/>
      <c r="N2835" s="18"/>
      <c r="O2835" s="18"/>
      <c r="P2835" s="18"/>
      <c r="Q2835" s="18"/>
      <c r="R2835" s="18"/>
      <c r="S2835" s="18"/>
      <c r="T2835" s="18"/>
      <c r="U2835" s="18"/>
      <c r="V2835" s="18"/>
      <c r="W2835" s="18"/>
      <c r="X2835" s="18"/>
      <c r="Y2835" s="18"/>
      <c r="Z2835" s="18"/>
    </row>
    <row r="2836" ht="22.5" customHeight="1">
      <c r="A2836" s="250"/>
      <c r="B2836" s="218"/>
      <c r="C2836" s="9"/>
      <c r="D2836" s="228"/>
      <c r="E2836" s="216"/>
      <c r="F2836" s="273"/>
      <c r="G2836" s="9"/>
      <c r="H2836" s="234"/>
      <c r="I2836" s="232"/>
      <c r="J2836" s="9"/>
      <c r="K2836" s="18"/>
      <c r="L2836" s="18"/>
      <c r="M2836" s="18"/>
      <c r="N2836" s="18"/>
      <c r="O2836" s="18"/>
      <c r="P2836" s="18"/>
      <c r="Q2836" s="18"/>
      <c r="R2836" s="18"/>
      <c r="S2836" s="18"/>
      <c r="T2836" s="18"/>
      <c r="U2836" s="18"/>
      <c r="V2836" s="18"/>
      <c r="W2836" s="18"/>
      <c r="X2836" s="18"/>
      <c r="Y2836" s="18"/>
      <c r="Z2836" s="18"/>
    </row>
    <row r="2837" ht="22.5" customHeight="1">
      <c r="A2837" s="250"/>
      <c r="B2837" s="218"/>
      <c r="C2837" s="9"/>
      <c r="D2837" s="228"/>
      <c r="E2837" s="216"/>
      <c r="F2837" s="273"/>
      <c r="G2837" s="9"/>
      <c r="H2837" s="234"/>
      <c r="I2837" s="232"/>
      <c r="J2837" s="9"/>
      <c r="K2837" s="18"/>
      <c r="L2837" s="18"/>
      <c r="M2837" s="18"/>
      <c r="N2837" s="18"/>
      <c r="O2837" s="18"/>
      <c r="P2837" s="18"/>
      <c r="Q2837" s="18"/>
      <c r="R2837" s="18"/>
      <c r="S2837" s="18"/>
      <c r="T2837" s="18"/>
      <c r="U2837" s="18"/>
      <c r="V2837" s="18"/>
      <c r="W2837" s="18"/>
      <c r="X2837" s="18"/>
      <c r="Y2837" s="18"/>
      <c r="Z2837" s="18"/>
    </row>
    <row r="2838" ht="22.5" customHeight="1">
      <c r="A2838" s="250"/>
      <c r="B2838" s="218"/>
      <c r="C2838" s="9"/>
      <c r="D2838" s="228"/>
      <c r="E2838" s="216"/>
      <c r="F2838" s="273"/>
      <c r="G2838" s="9"/>
      <c r="H2838" s="234"/>
      <c r="I2838" s="232"/>
      <c r="J2838" s="9"/>
      <c r="K2838" s="18"/>
      <c r="L2838" s="18"/>
      <c r="M2838" s="18"/>
      <c r="N2838" s="18"/>
      <c r="O2838" s="18"/>
      <c r="P2838" s="18"/>
      <c r="Q2838" s="18"/>
      <c r="R2838" s="18"/>
      <c r="S2838" s="18"/>
      <c r="T2838" s="18"/>
      <c r="U2838" s="18"/>
      <c r="V2838" s="18"/>
      <c r="W2838" s="18"/>
      <c r="X2838" s="18"/>
      <c r="Y2838" s="18"/>
      <c r="Z2838" s="18"/>
    </row>
    <row r="2839" ht="22.5" customHeight="1">
      <c r="A2839" s="250"/>
      <c r="B2839" s="218"/>
      <c r="C2839" s="9"/>
      <c r="D2839" s="228"/>
      <c r="E2839" s="216"/>
      <c r="F2839" s="273"/>
      <c r="G2839" s="9"/>
      <c r="H2839" s="234"/>
      <c r="I2839" s="232"/>
      <c r="J2839" s="9"/>
      <c r="K2839" s="18"/>
      <c r="L2839" s="18"/>
      <c r="M2839" s="18"/>
      <c r="N2839" s="18"/>
      <c r="O2839" s="18"/>
      <c r="P2839" s="18"/>
      <c r="Q2839" s="18"/>
      <c r="R2839" s="18"/>
      <c r="S2839" s="18"/>
      <c r="T2839" s="18"/>
      <c r="U2839" s="18"/>
      <c r="V2839" s="18"/>
      <c r="W2839" s="18"/>
      <c r="X2839" s="18"/>
      <c r="Y2839" s="18"/>
      <c r="Z2839" s="18"/>
    </row>
    <row r="2840" ht="22.5" customHeight="1">
      <c r="A2840" s="250"/>
      <c r="B2840" s="218"/>
      <c r="C2840" s="9"/>
      <c r="D2840" s="228"/>
      <c r="E2840" s="216"/>
      <c r="F2840" s="273"/>
      <c r="G2840" s="9"/>
      <c r="H2840" s="234"/>
      <c r="I2840" s="232"/>
      <c r="J2840" s="9"/>
      <c r="K2840" s="18"/>
      <c r="L2840" s="18"/>
      <c r="M2840" s="18"/>
      <c r="N2840" s="18"/>
      <c r="O2840" s="18"/>
      <c r="P2840" s="18"/>
      <c r="Q2840" s="18"/>
      <c r="R2840" s="18"/>
      <c r="S2840" s="18"/>
      <c r="T2840" s="18"/>
      <c r="U2840" s="18"/>
      <c r="V2840" s="18"/>
      <c r="W2840" s="18"/>
      <c r="X2840" s="18"/>
      <c r="Y2840" s="18"/>
      <c r="Z2840" s="18"/>
    </row>
    <row r="2841" ht="22.5" customHeight="1">
      <c r="A2841" s="250"/>
      <c r="B2841" s="218"/>
      <c r="C2841" s="9"/>
      <c r="D2841" s="228"/>
      <c r="E2841" s="216"/>
      <c r="F2841" s="273"/>
      <c r="G2841" s="9"/>
      <c r="H2841" s="234"/>
      <c r="I2841" s="232"/>
      <c r="J2841" s="9"/>
      <c r="K2841" s="18"/>
      <c r="L2841" s="18"/>
      <c r="M2841" s="18"/>
      <c r="N2841" s="18"/>
      <c r="O2841" s="18"/>
      <c r="P2841" s="18"/>
      <c r="Q2841" s="18"/>
      <c r="R2841" s="18"/>
      <c r="S2841" s="18"/>
      <c r="T2841" s="18"/>
      <c r="U2841" s="18"/>
      <c r="V2841" s="18"/>
      <c r="W2841" s="18"/>
      <c r="X2841" s="18"/>
      <c r="Y2841" s="18"/>
      <c r="Z2841" s="18"/>
    </row>
    <row r="2842" ht="22.5" customHeight="1">
      <c r="A2842" s="250"/>
      <c r="B2842" s="218"/>
      <c r="C2842" s="9"/>
      <c r="D2842" s="228"/>
      <c r="E2842" s="216"/>
      <c r="F2842" s="273"/>
      <c r="G2842" s="9"/>
      <c r="H2842" s="234"/>
      <c r="I2842" s="232"/>
      <c r="J2842" s="9"/>
      <c r="K2842" s="18"/>
      <c r="L2842" s="18"/>
      <c r="M2842" s="18"/>
      <c r="N2842" s="18"/>
      <c r="O2842" s="18"/>
      <c r="P2842" s="18"/>
      <c r="Q2842" s="18"/>
      <c r="R2842" s="18"/>
      <c r="S2842" s="18"/>
      <c r="T2842" s="18"/>
      <c r="U2842" s="18"/>
      <c r="V2842" s="18"/>
      <c r="W2842" s="18"/>
      <c r="X2842" s="18"/>
      <c r="Y2842" s="18"/>
      <c r="Z2842" s="18"/>
    </row>
    <row r="2843" ht="22.5" customHeight="1">
      <c r="A2843" s="250"/>
      <c r="B2843" s="218"/>
      <c r="C2843" s="9"/>
      <c r="D2843" s="228"/>
      <c r="E2843" s="216"/>
      <c r="F2843" s="273"/>
      <c r="G2843" s="9"/>
      <c r="H2843" s="234"/>
      <c r="I2843" s="232"/>
      <c r="J2843" s="9"/>
      <c r="K2843" s="18"/>
      <c r="L2843" s="18"/>
      <c r="M2843" s="18"/>
      <c r="N2843" s="18"/>
      <c r="O2843" s="18"/>
      <c r="P2843" s="18"/>
      <c r="Q2843" s="18"/>
      <c r="R2843" s="18"/>
      <c r="S2843" s="18"/>
      <c r="T2843" s="18"/>
      <c r="U2843" s="18"/>
      <c r="V2843" s="18"/>
      <c r="W2843" s="18"/>
      <c r="X2843" s="18"/>
      <c r="Y2843" s="18"/>
      <c r="Z2843" s="18"/>
    </row>
    <row r="2844" ht="22.5" customHeight="1">
      <c r="A2844" s="250"/>
      <c r="B2844" s="218"/>
      <c r="C2844" s="9"/>
      <c r="D2844" s="228"/>
      <c r="E2844" s="216"/>
      <c r="F2844" s="273"/>
      <c r="G2844" s="9"/>
      <c r="H2844" s="234"/>
      <c r="I2844" s="232"/>
      <c r="J2844" s="9"/>
      <c r="K2844" s="18"/>
      <c r="L2844" s="18"/>
      <c r="M2844" s="18"/>
      <c r="N2844" s="18"/>
      <c r="O2844" s="18"/>
      <c r="P2844" s="18"/>
      <c r="Q2844" s="18"/>
      <c r="R2844" s="18"/>
      <c r="S2844" s="18"/>
      <c r="T2844" s="18"/>
      <c r="U2844" s="18"/>
      <c r="V2844" s="18"/>
      <c r="W2844" s="18"/>
      <c r="X2844" s="18"/>
      <c r="Y2844" s="18"/>
      <c r="Z2844" s="18"/>
    </row>
    <row r="2845" ht="22.5" customHeight="1">
      <c r="A2845" s="250"/>
      <c r="B2845" s="218"/>
      <c r="C2845" s="9"/>
      <c r="D2845" s="228"/>
      <c r="E2845" s="216"/>
      <c r="F2845" s="273"/>
      <c r="G2845" s="9"/>
      <c r="H2845" s="234"/>
      <c r="I2845" s="232"/>
      <c r="J2845" s="9"/>
      <c r="K2845" s="18"/>
      <c r="L2845" s="18"/>
      <c r="M2845" s="18"/>
      <c r="N2845" s="18"/>
      <c r="O2845" s="18"/>
      <c r="P2845" s="18"/>
      <c r="Q2845" s="18"/>
      <c r="R2845" s="18"/>
      <c r="S2845" s="18"/>
      <c r="T2845" s="18"/>
      <c r="U2845" s="18"/>
      <c r="V2845" s="18"/>
      <c r="W2845" s="18"/>
      <c r="X2845" s="18"/>
      <c r="Y2845" s="18"/>
      <c r="Z2845" s="18"/>
    </row>
    <row r="2846" ht="22.5" customHeight="1">
      <c r="A2846" s="250"/>
      <c r="B2846" s="218"/>
      <c r="C2846" s="9"/>
      <c r="D2846" s="228"/>
      <c r="E2846" s="216"/>
      <c r="F2846" s="273"/>
      <c r="G2846" s="9"/>
      <c r="H2846" s="234"/>
      <c r="I2846" s="232"/>
      <c r="J2846" s="9"/>
      <c r="K2846" s="18"/>
      <c r="L2846" s="18"/>
      <c r="M2846" s="18"/>
      <c r="N2846" s="18"/>
      <c r="O2846" s="18"/>
      <c r="P2846" s="18"/>
      <c r="Q2846" s="18"/>
      <c r="R2846" s="18"/>
      <c r="S2846" s="18"/>
      <c r="T2846" s="18"/>
      <c r="U2846" s="18"/>
      <c r="V2846" s="18"/>
      <c r="W2846" s="18"/>
      <c r="X2846" s="18"/>
      <c r="Y2846" s="18"/>
      <c r="Z2846" s="18"/>
    </row>
    <row r="2847" ht="22.5" customHeight="1">
      <c r="A2847" s="250"/>
      <c r="B2847" s="218"/>
      <c r="C2847" s="9"/>
      <c r="D2847" s="228"/>
      <c r="E2847" s="216"/>
      <c r="F2847" s="273"/>
      <c r="G2847" s="9"/>
      <c r="H2847" s="234"/>
      <c r="I2847" s="232"/>
      <c r="J2847" s="9"/>
      <c r="K2847" s="18"/>
      <c r="L2847" s="18"/>
      <c r="M2847" s="18"/>
      <c r="N2847" s="18"/>
      <c r="O2847" s="18"/>
      <c r="P2847" s="18"/>
      <c r="Q2847" s="18"/>
      <c r="R2847" s="18"/>
      <c r="S2847" s="18"/>
      <c r="T2847" s="18"/>
      <c r="U2847" s="18"/>
      <c r="V2847" s="18"/>
      <c r="W2847" s="18"/>
      <c r="X2847" s="18"/>
      <c r="Y2847" s="18"/>
      <c r="Z2847" s="18"/>
    </row>
    <row r="2848" ht="22.5" customHeight="1">
      <c r="A2848" s="250"/>
      <c r="B2848" s="218"/>
      <c r="C2848" s="9"/>
      <c r="D2848" s="228"/>
      <c r="E2848" s="216"/>
      <c r="F2848" s="273"/>
      <c r="G2848" s="9"/>
      <c r="H2848" s="234"/>
      <c r="I2848" s="232"/>
      <c r="J2848" s="9"/>
      <c r="K2848" s="18"/>
      <c r="L2848" s="18"/>
      <c r="M2848" s="18"/>
      <c r="N2848" s="18"/>
      <c r="O2848" s="18"/>
      <c r="P2848" s="18"/>
      <c r="Q2848" s="18"/>
      <c r="R2848" s="18"/>
      <c r="S2848" s="18"/>
      <c r="T2848" s="18"/>
      <c r="U2848" s="18"/>
      <c r="V2848" s="18"/>
      <c r="W2848" s="18"/>
      <c r="X2848" s="18"/>
      <c r="Y2848" s="18"/>
      <c r="Z2848" s="18"/>
    </row>
    <row r="2849" ht="22.5" customHeight="1">
      <c r="A2849" s="250"/>
      <c r="B2849" s="218"/>
      <c r="C2849" s="9"/>
      <c r="D2849" s="228"/>
      <c r="E2849" s="216"/>
      <c r="F2849" s="273"/>
      <c r="G2849" s="9"/>
      <c r="H2849" s="234"/>
      <c r="I2849" s="232"/>
      <c r="J2849" s="9"/>
      <c r="K2849" s="18"/>
      <c r="L2849" s="18"/>
      <c r="M2849" s="18"/>
      <c r="N2849" s="18"/>
      <c r="O2849" s="18"/>
      <c r="P2849" s="18"/>
      <c r="Q2849" s="18"/>
      <c r="R2849" s="18"/>
      <c r="S2849" s="18"/>
      <c r="T2849" s="18"/>
      <c r="U2849" s="18"/>
      <c r="V2849" s="18"/>
      <c r="W2849" s="18"/>
      <c r="X2849" s="18"/>
      <c r="Y2849" s="18"/>
      <c r="Z2849" s="18"/>
    </row>
    <row r="2850" ht="22.5" customHeight="1">
      <c r="A2850" s="250"/>
      <c r="B2850" s="218"/>
      <c r="C2850" s="9"/>
      <c r="D2850" s="228"/>
      <c r="E2850" s="216"/>
      <c r="F2850" s="273"/>
      <c r="G2850" s="9"/>
      <c r="H2850" s="234"/>
      <c r="I2850" s="232"/>
      <c r="J2850" s="9"/>
      <c r="K2850" s="18"/>
      <c r="L2850" s="18"/>
      <c r="M2850" s="18"/>
      <c r="N2850" s="18"/>
      <c r="O2850" s="18"/>
      <c r="P2850" s="18"/>
      <c r="Q2850" s="18"/>
      <c r="R2850" s="18"/>
      <c r="S2850" s="18"/>
      <c r="T2850" s="18"/>
      <c r="U2850" s="18"/>
      <c r="V2850" s="18"/>
      <c r="W2850" s="18"/>
      <c r="X2850" s="18"/>
      <c r="Y2850" s="18"/>
      <c r="Z2850" s="18"/>
    </row>
    <row r="2851" ht="22.5" customHeight="1">
      <c r="A2851" s="250"/>
      <c r="B2851" s="218"/>
      <c r="C2851" s="9"/>
      <c r="D2851" s="228"/>
      <c r="E2851" s="216"/>
      <c r="F2851" s="273"/>
      <c r="G2851" s="9"/>
      <c r="H2851" s="234"/>
      <c r="I2851" s="232"/>
      <c r="J2851" s="9"/>
      <c r="K2851" s="18"/>
      <c r="L2851" s="18"/>
      <c r="M2851" s="18"/>
      <c r="N2851" s="18"/>
      <c r="O2851" s="18"/>
      <c r="P2851" s="18"/>
      <c r="Q2851" s="18"/>
      <c r="R2851" s="18"/>
      <c r="S2851" s="18"/>
      <c r="T2851" s="18"/>
      <c r="U2851" s="18"/>
      <c r="V2851" s="18"/>
      <c r="W2851" s="18"/>
      <c r="X2851" s="18"/>
      <c r="Y2851" s="18"/>
      <c r="Z2851" s="18"/>
    </row>
    <row r="2852" ht="22.5" customHeight="1">
      <c r="A2852" s="250"/>
      <c r="B2852" s="218"/>
      <c r="C2852" s="9"/>
      <c r="D2852" s="228"/>
      <c r="E2852" s="216"/>
      <c r="F2852" s="273"/>
      <c r="G2852" s="9"/>
      <c r="H2852" s="234"/>
      <c r="I2852" s="232"/>
      <c r="J2852" s="9"/>
      <c r="K2852" s="18"/>
      <c r="L2852" s="18"/>
      <c r="M2852" s="18"/>
      <c r="N2852" s="18"/>
      <c r="O2852" s="18"/>
      <c r="P2852" s="18"/>
      <c r="Q2852" s="18"/>
      <c r="R2852" s="18"/>
      <c r="S2852" s="18"/>
      <c r="T2852" s="18"/>
      <c r="U2852" s="18"/>
      <c r="V2852" s="18"/>
      <c r="W2852" s="18"/>
      <c r="X2852" s="18"/>
      <c r="Y2852" s="18"/>
      <c r="Z2852" s="18"/>
    </row>
    <row r="2853" ht="22.5" customHeight="1">
      <c r="A2853" s="250"/>
      <c r="B2853" s="218"/>
      <c r="C2853" s="9"/>
      <c r="D2853" s="228"/>
      <c r="E2853" s="216"/>
      <c r="F2853" s="273"/>
      <c r="G2853" s="9"/>
      <c r="H2853" s="234"/>
      <c r="I2853" s="232"/>
      <c r="J2853" s="9"/>
      <c r="K2853" s="18"/>
      <c r="L2853" s="18"/>
      <c r="M2853" s="18"/>
      <c r="N2853" s="18"/>
      <c r="O2853" s="18"/>
      <c r="P2853" s="18"/>
      <c r="Q2853" s="18"/>
      <c r="R2853" s="18"/>
      <c r="S2853" s="18"/>
      <c r="T2853" s="18"/>
      <c r="U2853" s="18"/>
      <c r="V2853" s="18"/>
      <c r="W2853" s="18"/>
      <c r="X2853" s="18"/>
      <c r="Y2853" s="18"/>
      <c r="Z2853" s="18"/>
    </row>
    <row r="2854" ht="22.5" customHeight="1">
      <c r="A2854" s="250"/>
      <c r="B2854" s="218"/>
      <c r="C2854" s="9"/>
      <c r="D2854" s="228"/>
      <c r="E2854" s="216"/>
      <c r="F2854" s="273"/>
      <c r="G2854" s="9"/>
      <c r="H2854" s="234"/>
      <c r="I2854" s="232"/>
      <c r="J2854" s="9"/>
      <c r="K2854" s="18"/>
      <c r="L2854" s="18"/>
      <c r="M2854" s="18"/>
      <c r="N2854" s="18"/>
      <c r="O2854" s="18"/>
      <c r="P2854" s="18"/>
      <c r="Q2854" s="18"/>
      <c r="R2854" s="18"/>
      <c r="S2854" s="18"/>
      <c r="T2854" s="18"/>
      <c r="U2854" s="18"/>
      <c r="V2854" s="18"/>
      <c r="W2854" s="18"/>
      <c r="X2854" s="18"/>
      <c r="Y2854" s="18"/>
      <c r="Z2854" s="18"/>
    </row>
    <row r="2855" ht="22.5" customHeight="1">
      <c r="A2855" s="250"/>
      <c r="B2855" s="218"/>
      <c r="C2855" s="9"/>
      <c r="D2855" s="228"/>
      <c r="E2855" s="216"/>
      <c r="F2855" s="273"/>
      <c r="G2855" s="9"/>
      <c r="H2855" s="234"/>
      <c r="I2855" s="232"/>
      <c r="J2855" s="9"/>
      <c r="K2855" s="18"/>
      <c r="L2855" s="18"/>
      <c r="M2855" s="18"/>
      <c r="N2855" s="18"/>
      <c r="O2855" s="18"/>
      <c r="P2855" s="18"/>
      <c r="Q2855" s="18"/>
      <c r="R2855" s="18"/>
      <c r="S2855" s="18"/>
      <c r="T2855" s="18"/>
      <c r="U2855" s="18"/>
      <c r="V2855" s="18"/>
      <c r="W2855" s="18"/>
      <c r="X2855" s="18"/>
      <c r="Y2855" s="18"/>
      <c r="Z2855" s="18"/>
    </row>
    <row r="2856" ht="22.5" customHeight="1">
      <c r="A2856" s="250"/>
      <c r="B2856" s="218"/>
      <c r="C2856" s="9"/>
      <c r="D2856" s="228"/>
      <c r="E2856" s="216"/>
      <c r="F2856" s="273"/>
      <c r="G2856" s="9"/>
      <c r="H2856" s="234"/>
      <c r="I2856" s="232"/>
      <c r="J2856" s="9"/>
      <c r="K2856" s="18"/>
      <c r="L2856" s="18"/>
      <c r="M2856" s="18"/>
      <c r="N2856" s="18"/>
      <c r="O2856" s="18"/>
      <c r="P2856" s="18"/>
      <c r="Q2856" s="18"/>
      <c r="R2856" s="18"/>
      <c r="S2856" s="18"/>
      <c r="T2856" s="18"/>
      <c r="U2856" s="18"/>
      <c r="V2856" s="18"/>
      <c r="W2856" s="18"/>
      <c r="X2856" s="18"/>
      <c r="Y2856" s="18"/>
      <c r="Z2856" s="18"/>
    </row>
    <row r="2857" ht="22.5" customHeight="1">
      <c r="A2857" s="250"/>
      <c r="B2857" s="218"/>
      <c r="C2857" s="9"/>
      <c r="D2857" s="228"/>
      <c r="E2857" s="216"/>
      <c r="F2857" s="273"/>
      <c r="G2857" s="9"/>
      <c r="H2857" s="234"/>
      <c r="I2857" s="232"/>
      <c r="J2857" s="9"/>
      <c r="K2857" s="18"/>
      <c r="L2857" s="18"/>
      <c r="M2857" s="18"/>
      <c r="N2857" s="18"/>
      <c r="O2857" s="18"/>
      <c r="P2857" s="18"/>
      <c r="Q2857" s="18"/>
      <c r="R2857" s="18"/>
      <c r="S2857" s="18"/>
      <c r="T2857" s="18"/>
      <c r="U2857" s="18"/>
      <c r="V2857" s="18"/>
      <c r="W2857" s="18"/>
      <c r="X2857" s="18"/>
      <c r="Y2857" s="18"/>
      <c r="Z2857" s="18"/>
    </row>
    <row r="2858" ht="22.5" customHeight="1">
      <c r="A2858" s="250"/>
      <c r="B2858" s="218"/>
      <c r="C2858" s="9"/>
      <c r="D2858" s="228"/>
      <c r="E2858" s="216"/>
      <c r="F2858" s="273"/>
      <c r="G2858" s="9"/>
      <c r="H2858" s="234"/>
      <c r="I2858" s="232"/>
      <c r="J2858" s="9"/>
      <c r="K2858" s="18"/>
      <c r="L2858" s="18"/>
      <c r="M2858" s="18"/>
      <c r="N2858" s="18"/>
      <c r="O2858" s="18"/>
      <c r="P2858" s="18"/>
      <c r="Q2858" s="18"/>
      <c r="R2858" s="18"/>
      <c r="S2858" s="18"/>
      <c r="T2858" s="18"/>
      <c r="U2858" s="18"/>
      <c r="V2858" s="18"/>
      <c r="W2858" s="18"/>
      <c r="X2858" s="18"/>
      <c r="Y2858" s="18"/>
      <c r="Z2858" s="18"/>
    </row>
    <row r="2859" ht="22.5" customHeight="1">
      <c r="A2859" s="250"/>
      <c r="B2859" s="218"/>
      <c r="C2859" s="9"/>
      <c r="D2859" s="228"/>
      <c r="E2859" s="216"/>
      <c r="F2859" s="273"/>
      <c r="G2859" s="9"/>
      <c r="H2859" s="234"/>
      <c r="I2859" s="232"/>
      <c r="J2859" s="9"/>
      <c r="K2859" s="18"/>
      <c r="L2859" s="18"/>
      <c r="M2859" s="18"/>
      <c r="N2859" s="18"/>
      <c r="O2859" s="18"/>
      <c r="P2859" s="18"/>
      <c r="Q2859" s="18"/>
      <c r="R2859" s="18"/>
      <c r="S2859" s="18"/>
      <c r="T2859" s="18"/>
      <c r="U2859" s="18"/>
      <c r="V2859" s="18"/>
      <c r="W2859" s="18"/>
      <c r="X2859" s="18"/>
      <c r="Y2859" s="18"/>
      <c r="Z2859" s="18"/>
    </row>
    <row r="2860" ht="22.5" customHeight="1">
      <c r="A2860" s="250"/>
      <c r="B2860" s="218"/>
      <c r="C2860" s="9"/>
      <c r="D2860" s="228"/>
      <c r="E2860" s="216"/>
      <c r="F2860" s="273"/>
      <c r="G2860" s="9"/>
      <c r="H2860" s="234"/>
      <c r="I2860" s="232"/>
      <c r="J2860" s="9"/>
      <c r="K2860" s="18"/>
      <c r="L2860" s="18"/>
      <c r="M2860" s="18"/>
      <c r="N2860" s="18"/>
      <c r="O2860" s="18"/>
      <c r="P2860" s="18"/>
      <c r="Q2860" s="18"/>
      <c r="R2860" s="18"/>
      <c r="S2860" s="18"/>
      <c r="T2860" s="18"/>
      <c r="U2860" s="18"/>
      <c r="V2860" s="18"/>
      <c r="W2860" s="18"/>
      <c r="X2860" s="18"/>
      <c r="Y2860" s="18"/>
      <c r="Z2860" s="18"/>
    </row>
    <row r="2861" ht="22.5" customHeight="1">
      <c r="A2861" s="250"/>
      <c r="B2861" s="218"/>
      <c r="C2861" s="9"/>
      <c r="D2861" s="228"/>
      <c r="E2861" s="216"/>
      <c r="F2861" s="273"/>
      <c r="G2861" s="9"/>
      <c r="H2861" s="234"/>
      <c r="I2861" s="232"/>
      <c r="J2861" s="9"/>
      <c r="K2861" s="18"/>
      <c r="L2861" s="18"/>
      <c r="M2861" s="18"/>
      <c r="N2861" s="18"/>
      <c r="O2861" s="18"/>
      <c r="P2861" s="18"/>
      <c r="Q2861" s="18"/>
      <c r="R2861" s="18"/>
      <c r="S2861" s="18"/>
      <c r="T2861" s="18"/>
      <c r="U2861" s="18"/>
      <c r="V2861" s="18"/>
      <c r="W2861" s="18"/>
      <c r="X2861" s="18"/>
      <c r="Y2861" s="18"/>
      <c r="Z2861" s="18"/>
    </row>
    <row r="2862" ht="22.5" customHeight="1">
      <c r="A2862" s="250"/>
      <c r="B2862" s="218"/>
      <c r="C2862" s="9"/>
      <c r="D2862" s="228"/>
      <c r="E2862" s="216"/>
      <c r="F2862" s="273"/>
      <c r="G2862" s="9"/>
      <c r="H2862" s="234"/>
      <c r="I2862" s="232"/>
      <c r="J2862" s="9"/>
      <c r="K2862" s="18"/>
      <c r="L2862" s="18"/>
      <c r="M2862" s="18"/>
      <c r="N2862" s="18"/>
      <c r="O2862" s="18"/>
      <c r="P2862" s="18"/>
      <c r="Q2862" s="18"/>
      <c r="R2862" s="18"/>
      <c r="S2862" s="18"/>
      <c r="T2862" s="18"/>
      <c r="U2862" s="18"/>
      <c r="V2862" s="18"/>
      <c r="W2862" s="18"/>
      <c r="X2862" s="18"/>
      <c r="Y2862" s="18"/>
      <c r="Z2862" s="18"/>
    </row>
    <row r="2863" ht="22.5" customHeight="1">
      <c r="A2863" s="250"/>
      <c r="B2863" s="218"/>
      <c r="C2863" s="9"/>
      <c r="D2863" s="228"/>
      <c r="E2863" s="216"/>
      <c r="F2863" s="273"/>
      <c r="G2863" s="9"/>
      <c r="H2863" s="234"/>
      <c r="I2863" s="232"/>
      <c r="J2863" s="9"/>
      <c r="K2863" s="18"/>
      <c r="L2863" s="18"/>
      <c r="M2863" s="18"/>
      <c r="N2863" s="18"/>
      <c r="O2863" s="18"/>
      <c r="P2863" s="18"/>
      <c r="Q2863" s="18"/>
      <c r="R2863" s="18"/>
      <c r="S2863" s="18"/>
      <c r="T2863" s="18"/>
      <c r="U2863" s="18"/>
      <c r="V2863" s="18"/>
      <c r="W2863" s="18"/>
      <c r="X2863" s="18"/>
      <c r="Y2863" s="18"/>
      <c r="Z2863" s="18"/>
    </row>
    <row r="2864" ht="22.5" customHeight="1">
      <c r="A2864" s="250"/>
      <c r="B2864" s="218"/>
      <c r="C2864" s="9"/>
      <c r="D2864" s="228"/>
      <c r="E2864" s="216"/>
      <c r="F2864" s="273"/>
      <c r="G2864" s="9"/>
      <c r="H2864" s="234"/>
      <c r="I2864" s="232"/>
      <c r="J2864" s="9"/>
      <c r="K2864" s="18"/>
      <c r="L2864" s="18"/>
      <c r="M2864" s="18"/>
      <c r="N2864" s="18"/>
      <c r="O2864" s="18"/>
      <c r="P2864" s="18"/>
      <c r="Q2864" s="18"/>
      <c r="R2864" s="18"/>
      <c r="S2864" s="18"/>
      <c r="T2864" s="18"/>
      <c r="U2864" s="18"/>
      <c r="V2864" s="18"/>
      <c r="W2864" s="18"/>
      <c r="X2864" s="18"/>
      <c r="Y2864" s="18"/>
      <c r="Z2864" s="18"/>
    </row>
    <row r="2865" ht="22.5" customHeight="1">
      <c r="A2865" s="250"/>
      <c r="B2865" s="218"/>
      <c r="C2865" s="9"/>
      <c r="D2865" s="228"/>
      <c r="E2865" s="216"/>
      <c r="F2865" s="273"/>
      <c r="G2865" s="9"/>
      <c r="H2865" s="234"/>
      <c r="I2865" s="232"/>
      <c r="J2865" s="9"/>
      <c r="K2865" s="18"/>
      <c r="L2865" s="18"/>
      <c r="M2865" s="18"/>
      <c r="N2865" s="18"/>
      <c r="O2865" s="18"/>
      <c r="P2865" s="18"/>
      <c r="Q2865" s="18"/>
      <c r="R2865" s="18"/>
      <c r="S2865" s="18"/>
      <c r="T2865" s="18"/>
      <c r="U2865" s="18"/>
      <c r="V2865" s="18"/>
      <c r="W2865" s="18"/>
      <c r="X2865" s="18"/>
      <c r="Y2865" s="18"/>
      <c r="Z2865" s="18"/>
    </row>
    <row r="2866" ht="22.5" customHeight="1">
      <c r="A2866" s="250"/>
      <c r="B2866" s="218"/>
      <c r="C2866" s="9"/>
      <c r="D2866" s="228"/>
      <c r="E2866" s="216"/>
      <c r="F2866" s="273"/>
      <c r="G2866" s="9"/>
      <c r="H2866" s="234"/>
      <c r="I2866" s="232"/>
      <c r="J2866" s="9"/>
      <c r="K2866" s="18"/>
      <c r="L2866" s="18"/>
      <c r="M2866" s="18"/>
      <c r="N2866" s="18"/>
      <c r="O2866" s="18"/>
      <c r="P2866" s="18"/>
      <c r="Q2866" s="18"/>
      <c r="R2866" s="18"/>
      <c r="S2866" s="18"/>
      <c r="T2866" s="18"/>
      <c r="U2866" s="18"/>
      <c r="V2866" s="18"/>
      <c r="W2866" s="18"/>
      <c r="X2866" s="18"/>
      <c r="Y2866" s="18"/>
      <c r="Z2866" s="18"/>
    </row>
    <row r="2867" ht="22.5" customHeight="1">
      <c r="A2867" s="250"/>
      <c r="B2867" s="218"/>
      <c r="C2867" s="9"/>
      <c r="D2867" s="228"/>
      <c r="E2867" s="216"/>
      <c r="F2867" s="273"/>
      <c r="G2867" s="9"/>
      <c r="H2867" s="234"/>
      <c r="I2867" s="232"/>
      <c r="J2867" s="9"/>
      <c r="K2867" s="18"/>
      <c r="L2867" s="18"/>
      <c r="M2867" s="18"/>
      <c r="N2867" s="18"/>
      <c r="O2867" s="18"/>
      <c r="P2867" s="18"/>
      <c r="Q2867" s="18"/>
      <c r="R2867" s="18"/>
      <c r="S2867" s="18"/>
      <c r="T2867" s="18"/>
      <c r="U2867" s="18"/>
      <c r="V2867" s="18"/>
      <c r="W2867" s="18"/>
      <c r="X2867" s="18"/>
      <c r="Y2867" s="18"/>
      <c r="Z2867" s="18"/>
    </row>
    <row r="2868" ht="22.5" customHeight="1">
      <c r="A2868" s="250"/>
      <c r="B2868" s="218"/>
      <c r="C2868" s="9"/>
      <c r="D2868" s="228"/>
      <c r="E2868" s="216"/>
      <c r="F2868" s="273"/>
      <c r="G2868" s="9"/>
      <c r="H2868" s="234"/>
      <c r="I2868" s="232"/>
      <c r="J2868" s="9"/>
      <c r="K2868" s="18"/>
      <c r="L2868" s="18"/>
      <c r="M2868" s="18"/>
      <c r="N2868" s="18"/>
      <c r="O2868" s="18"/>
      <c r="P2868" s="18"/>
      <c r="Q2868" s="18"/>
      <c r="R2868" s="18"/>
      <c r="S2868" s="18"/>
      <c r="T2868" s="18"/>
      <c r="U2868" s="18"/>
      <c r="V2868" s="18"/>
      <c r="W2868" s="18"/>
      <c r="X2868" s="18"/>
      <c r="Y2868" s="18"/>
      <c r="Z2868" s="18"/>
    </row>
    <row r="2869" ht="22.5" customHeight="1">
      <c r="A2869" s="250"/>
      <c r="B2869" s="218"/>
      <c r="C2869" s="9"/>
      <c r="D2869" s="228"/>
      <c r="E2869" s="216"/>
      <c r="F2869" s="273"/>
      <c r="G2869" s="9"/>
      <c r="H2869" s="234"/>
      <c r="I2869" s="232"/>
      <c r="J2869" s="9"/>
      <c r="K2869" s="18"/>
      <c r="L2869" s="18"/>
      <c r="M2869" s="18"/>
      <c r="N2869" s="18"/>
      <c r="O2869" s="18"/>
      <c r="P2869" s="18"/>
      <c r="Q2869" s="18"/>
      <c r="R2869" s="18"/>
      <c r="S2869" s="18"/>
      <c r="T2869" s="18"/>
      <c r="U2869" s="18"/>
      <c r="V2869" s="18"/>
      <c r="W2869" s="18"/>
      <c r="X2869" s="18"/>
      <c r="Y2869" s="18"/>
      <c r="Z2869" s="18"/>
    </row>
    <row r="2870" ht="22.5" customHeight="1">
      <c r="A2870" s="250"/>
      <c r="B2870" s="218"/>
      <c r="C2870" s="9"/>
      <c r="D2870" s="228"/>
      <c r="E2870" s="216"/>
      <c r="F2870" s="273"/>
      <c r="G2870" s="9"/>
      <c r="H2870" s="234"/>
      <c r="I2870" s="232"/>
      <c r="J2870" s="9"/>
      <c r="K2870" s="18"/>
      <c r="L2870" s="18"/>
      <c r="M2870" s="18"/>
      <c r="N2870" s="18"/>
      <c r="O2870" s="18"/>
      <c r="P2870" s="18"/>
      <c r="Q2870" s="18"/>
      <c r="R2870" s="18"/>
      <c r="S2870" s="18"/>
      <c r="T2870" s="18"/>
      <c r="U2870" s="18"/>
      <c r="V2870" s="18"/>
      <c r="W2870" s="18"/>
      <c r="X2870" s="18"/>
      <c r="Y2870" s="18"/>
      <c r="Z2870" s="18"/>
    </row>
    <row r="2871" ht="22.5" customHeight="1">
      <c r="A2871" s="250"/>
      <c r="B2871" s="218"/>
      <c r="C2871" s="9"/>
      <c r="D2871" s="228"/>
      <c r="E2871" s="216"/>
      <c r="F2871" s="273"/>
      <c r="G2871" s="9"/>
      <c r="H2871" s="234"/>
      <c r="I2871" s="232"/>
      <c r="J2871" s="9"/>
      <c r="K2871" s="18"/>
      <c r="L2871" s="18"/>
      <c r="M2871" s="18"/>
      <c r="N2871" s="18"/>
      <c r="O2871" s="18"/>
      <c r="P2871" s="18"/>
      <c r="Q2871" s="18"/>
      <c r="R2871" s="18"/>
      <c r="S2871" s="18"/>
      <c r="T2871" s="18"/>
      <c r="U2871" s="18"/>
      <c r="V2871" s="18"/>
      <c r="W2871" s="18"/>
      <c r="X2871" s="18"/>
      <c r="Y2871" s="18"/>
      <c r="Z2871" s="18"/>
    </row>
    <row r="2872" ht="22.5" customHeight="1">
      <c r="A2872" s="250"/>
      <c r="B2872" s="218"/>
      <c r="C2872" s="9"/>
      <c r="D2872" s="228"/>
      <c r="E2872" s="216"/>
      <c r="F2872" s="273"/>
      <c r="G2872" s="9"/>
      <c r="H2872" s="234"/>
      <c r="I2872" s="232"/>
      <c r="J2872" s="9"/>
      <c r="K2872" s="18"/>
      <c r="L2872" s="18"/>
      <c r="M2872" s="18"/>
      <c r="N2872" s="18"/>
      <c r="O2872" s="18"/>
      <c r="P2872" s="18"/>
      <c r="Q2872" s="18"/>
      <c r="R2872" s="18"/>
      <c r="S2872" s="18"/>
      <c r="T2872" s="18"/>
      <c r="U2872" s="18"/>
      <c r="V2872" s="18"/>
      <c r="W2872" s="18"/>
      <c r="X2872" s="18"/>
      <c r="Y2872" s="18"/>
      <c r="Z2872" s="18"/>
    </row>
    <row r="2873" ht="22.5" customHeight="1">
      <c r="A2873" s="250"/>
      <c r="B2873" s="218"/>
      <c r="C2873" s="9"/>
      <c r="D2873" s="228"/>
      <c r="E2873" s="216"/>
      <c r="F2873" s="273"/>
      <c r="G2873" s="9"/>
      <c r="H2873" s="234"/>
      <c r="I2873" s="232"/>
      <c r="J2873" s="9"/>
      <c r="K2873" s="18"/>
      <c r="L2873" s="18"/>
      <c r="M2873" s="18"/>
      <c r="N2873" s="18"/>
      <c r="O2873" s="18"/>
      <c r="P2873" s="18"/>
      <c r="Q2873" s="18"/>
      <c r="R2873" s="18"/>
      <c r="S2873" s="18"/>
      <c r="T2873" s="18"/>
      <c r="U2873" s="18"/>
      <c r="V2873" s="18"/>
      <c r="W2873" s="18"/>
      <c r="X2873" s="18"/>
      <c r="Y2873" s="18"/>
      <c r="Z2873" s="18"/>
    </row>
    <row r="2874" ht="22.5" customHeight="1">
      <c r="A2874" s="250"/>
      <c r="B2874" s="218"/>
      <c r="C2874" s="9"/>
      <c r="D2874" s="228"/>
      <c r="E2874" s="216"/>
      <c r="F2874" s="273"/>
      <c r="G2874" s="9"/>
      <c r="H2874" s="234"/>
      <c r="I2874" s="232"/>
      <c r="J2874" s="9"/>
      <c r="K2874" s="18"/>
      <c r="L2874" s="18"/>
      <c r="M2874" s="18"/>
      <c r="N2874" s="18"/>
      <c r="O2874" s="18"/>
      <c r="P2874" s="18"/>
      <c r="Q2874" s="18"/>
      <c r="R2874" s="18"/>
      <c r="S2874" s="18"/>
      <c r="T2874" s="18"/>
      <c r="U2874" s="18"/>
      <c r="V2874" s="18"/>
      <c r="W2874" s="18"/>
      <c r="X2874" s="18"/>
      <c r="Y2874" s="18"/>
      <c r="Z2874" s="18"/>
    </row>
    <row r="2875" ht="22.5" customHeight="1">
      <c r="A2875" s="250"/>
      <c r="B2875" s="218"/>
      <c r="C2875" s="9"/>
      <c r="D2875" s="228"/>
      <c r="E2875" s="216"/>
      <c r="F2875" s="273"/>
      <c r="G2875" s="9"/>
      <c r="H2875" s="234"/>
      <c r="I2875" s="232"/>
      <c r="J2875" s="9"/>
      <c r="K2875" s="18"/>
      <c r="L2875" s="18"/>
      <c r="M2875" s="18"/>
      <c r="N2875" s="18"/>
      <c r="O2875" s="18"/>
      <c r="P2875" s="18"/>
      <c r="Q2875" s="18"/>
      <c r="R2875" s="18"/>
      <c r="S2875" s="18"/>
      <c r="T2875" s="18"/>
      <c r="U2875" s="18"/>
      <c r="V2875" s="18"/>
      <c r="W2875" s="18"/>
      <c r="X2875" s="18"/>
      <c r="Y2875" s="18"/>
      <c r="Z2875" s="18"/>
    </row>
    <row r="2876" ht="22.5" customHeight="1">
      <c r="A2876" s="250"/>
      <c r="B2876" s="218"/>
      <c r="C2876" s="9"/>
      <c r="D2876" s="228"/>
      <c r="E2876" s="216"/>
      <c r="F2876" s="273"/>
      <c r="G2876" s="9"/>
      <c r="H2876" s="234"/>
      <c r="I2876" s="232"/>
      <c r="J2876" s="9"/>
      <c r="K2876" s="18"/>
      <c r="L2876" s="18"/>
      <c r="M2876" s="18"/>
      <c r="N2876" s="18"/>
      <c r="O2876" s="18"/>
      <c r="P2876" s="18"/>
      <c r="Q2876" s="18"/>
      <c r="R2876" s="18"/>
      <c r="S2876" s="18"/>
      <c r="T2876" s="18"/>
      <c r="U2876" s="18"/>
      <c r="V2876" s="18"/>
      <c r="W2876" s="18"/>
      <c r="X2876" s="18"/>
      <c r="Y2876" s="18"/>
      <c r="Z2876" s="18"/>
    </row>
    <row r="2877" ht="22.5" customHeight="1">
      <c r="A2877" s="250"/>
      <c r="B2877" s="218"/>
      <c r="C2877" s="9"/>
      <c r="D2877" s="228"/>
      <c r="E2877" s="216"/>
      <c r="F2877" s="273"/>
      <c r="G2877" s="9"/>
      <c r="H2877" s="234"/>
      <c r="I2877" s="232"/>
      <c r="J2877" s="9"/>
      <c r="K2877" s="18"/>
      <c r="L2877" s="18"/>
      <c r="M2877" s="18"/>
      <c r="N2877" s="18"/>
      <c r="O2877" s="18"/>
      <c r="P2877" s="18"/>
      <c r="Q2877" s="18"/>
      <c r="R2877" s="18"/>
      <c r="S2877" s="18"/>
      <c r="T2877" s="18"/>
      <c r="U2877" s="18"/>
      <c r="V2877" s="18"/>
      <c r="W2877" s="18"/>
      <c r="X2877" s="18"/>
      <c r="Y2877" s="18"/>
      <c r="Z2877" s="18"/>
    </row>
    <row r="2878" ht="22.5" customHeight="1">
      <c r="A2878" s="250"/>
      <c r="B2878" s="218"/>
      <c r="C2878" s="9"/>
      <c r="D2878" s="228"/>
      <c r="E2878" s="216"/>
      <c r="F2878" s="273"/>
      <c r="G2878" s="9"/>
      <c r="H2878" s="234"/>
      <c r="I2878" s="232"/>
      <c r="J2878" s="9"/>
      <c r="K2878" s="18"/>
      <c r="L2878" s="18"/>
      <c r="M2878" s="18"/>
      <c r="N2878" s="18"/>
      <c r="O2878" s="18"/>
      <c r="P2878" s="18"/>
      <c r="Q2878" s="18"/>
      <c r="R2878" s="18"/>
      <c r="S2878" s="18"/>
      <c r="T2878" s="18"/>
      <c r="U2878" s="18"/>
      <c r="V2878" s="18"/>
      <c r="W2878" s="18"/>
      <c r="X2878" s="18"/>
      <c r="Y2878" s="18"/>
      <c r="Z2878" s="18"/>
    </row>
    <row r="2879" ht="22.5" customHeight="1">
      <c r="A2879" s="250"/>
      <c r="B2879" s="218"/>
      <c r="C2879" s="9"/>
      <c r="D2879" s="228"/>
      <c r="E2879" s="216"/>
      <c r="F2879" s="273"/>
      <c r="G2879" s="9"/>
      <c r="H2879" s="234"/>
      <c r="I2879" s="232"/>
      <c r="J2879" s="9"/>
      <c r="K2879" s="18"/>
      <c r="L2879" s="18"/>
      <c r="M2879" s="18"/>
      <c r="N2879" s="18"/>
      <c r="O2879" s="18"/>
      <c r="P2879" s="18"/>
      <c r="Q2879" s="18"/>
      <c r="R2879" s="18"/>
      <c r="S2879" s="18"/>
      <c r="T2879" s="18"/>
      <c r="U2879" s="18"/>
      <c r="V2879" s="18"/>
      <c r="W2879" s="18"/>
      <c r="X2879" s="18"/>
      <c r="Y2879" s="18"/>
      <c r="Z2879" s="18"/>
    </row>
    <row r="2880" ht="22.5" customHeight="1">
      <c r="A2880" s="250"/>
      <c r="B2880" s="218"/>
      <c r="C2880" s="9"/>
      <c r="D2880" s="228"/>
      <c r="E2880" s="216"/>
      <c r="F2880" s="273"/>
      <c r="G2880" s="9"/>
      <c r="H2880" s="234"/>
      <c r="I2880" s="232"/>
      <c r="J2880" s="9"/>
      <c r="K2880" s="18"/>
      <c r="L2880" s="18"/>
      <c r="M2880" s="18"/>
      <c r="N2880" s="18"/>
      <c r="O2880" s="18"/>
      <c r="P2880" s="18"/>
      <c r="Q2880" s="18"/>
      <c r="R2880" s="18"/>
      <c r="S2880" s="18"/>
      <c r="T2880" s="18"/>
      <c r="U2880" s="18"/>
      <c r="V2880" s="18"/>
      <c r="W2880" s="18"/>
      <c r="X2880" s="18"/>
      <c r="Y2880" s="18"/>
      <c r="Z2880" s="18"/>
    </row>
    <row r="2881" ht="22.5" customHeight="1">
      <c r="A2881" s="250"/>
      <c r="B2881" s="218"/>
      <c r="C2881" s="9"/>
      <c r="D2881" s="228"/>
      <c r="E2881" s="216"/>
      <c r="F2881" s="273"/>
      <c r="G2881" s="9"/>
      <c r="H2881" s="234"/>
      <c r="I2881" s="232"/>
      <c r="J2881" s="9"/>
      <c r="K2881" s="18"/>
      <c r="L2881" s="18"/>
      <c r="M2881" s="18"/>
      <c r="N2881" s="18"/>
      <c r="O2881" s="18"/>
      <c r="P2881" s="18"/>
      <c r="Q2881" s="18"/>
      <c r="R2881" s="18"/>
      <c r="S2881" s="18"/>
      <c r="T2881" s="18"/>
      <c r="U2881" s="18"/>
      <c r="V2881" s="18"/>
      <c r="W2881" s="18"/>
      <c r="X2881" s="18"/>
      <c r="Y2881" s="18"/>
      <c r="Z2881" s="18"/>
    </row>
    <row r="2882" ht="22.5" customHeight="1">
      <c r="A2882" s="250"/>
      <c r="B2882" s="218"/>
      <c r="C2882" s="9"/>
      <c r="D2882" s="228"/>
      <c r="E2882" s="216"/>
      <c r="F2882" s="273"/>
      <c r="G2882" s="9"/>
      <c r="H2882" s="234"/>
      <c r="I2882" s="232"/>
      <c r="J2882" s="9"/>
      <c r="K2882" s="18"/>
      <c r="L2882" s="18"/>
      <c r="M2882" s="18"/>
      <c r="N2882" s="18"/>
      <c r="O2882" s="18"/>
      <c r="P2882" s="18"/>
      <c r="Q2882" s="18"/>
      <c r="R2882" s="18"/>
      <c r="S2882" s="18"/>
      <c r="T2882" s="18"/>
      <c r="U2882" s="18"/>
      <c r="V2882" s="18"/>
      <c r="W2882" s="18"/>
      <c r="X2882" s="18"/>
      <c r="Y2882" s="18"/>
      <c r="Z2882" s="18"/>
    </row>
    <row r="2883" ht="22.5" customHeight="1">
      <c r="A2883" s="250"/>
      <c r="B2883" s="218"/>
      <c r="C2883" s="9"/>
      <c r="D2883" s="228"/>
      <c r="E2883" s="216"/>
      <c r="F2883" s="273"/>
      <c r="G2883" s="9"/>
      <c r="H2883" s="234"/>
      <c r="I2883" s="232"/>
      <c r="J2883" s="9"/>
      <c r="K2883" s="18"/>
      <c r="L2883" s="18"/>
      <c r="M2883" s="18"/>
      <c r="N2883" s="18"/>
      <c r="O2883" s="18"/>
      <c r="P2883" s="18"/>
      <c r="Q2883" s="18"/>
      <c r="R2883" s="18"/>
      <c r="S2883" s="18"/>
      <c r="T2883" s="18"/>
      <c r="U2883" s="18"/>
      <c r="V2883" s="18"/>
      <c r="W2883" s="18"/>
      <c r="X2883" s="18"/>
      <c r="Y2883" s="18"/>
      <c r="Z2883" s="18"/>
    </row>
    <row r="2884" ht="22.5" customHeight="1">
      <c r="A2884" s="250"/>
      <c r="B2884" s="218"/>
      <c r="C2884" s="9"/>
      <c r="D2884" s="228"/>
      <c r="E2884" s="216"/>
      <c r="F2884" s="273"/>
      <c r="G2884" s="9"/>
      <c r="H2884" s="234"/>
      <c r="I2884" s="232"/>
      <c r="J2884" s="9"/>
      <c r="K2884" s="18"/>
      <c r="L2884" s="18"/>
      <c r="M2884" s="18"/>
      <c r="N2884" s="18"/>
      <c r="O2884" s="18"/>
      <c r="P2884" s="18"/>
      <c r="Q2884" s="18"/>
      <c r="R2884" s="18"/>
      <c r="S2884" s="18"/>
      <c r="T2884" s="18"/>
      <c r="U2884" s="18"/>
      <c r="V2884" s="18"/>
      <c r="W2884" s="18"/>
      <c r="X2884" s="18"/>
      <c r="Y2884" s="18"/>
      <c r="Z2884" s="18"/>
    </row>
    <row r="2885" ht="22.5" customHeight="1">
      <c r="A2885" s="250"/>
      <c r="B2885" s="218"/>
      <c r="C2885" s="9"/>
      <c r="D2885" s="228"/>
      <c r="E2885" s="216"/>
      <c r="F2885" s="273"/>
      <c r="G2885" s="9"/>
      <c r="H2885" s="234"/>
      <c r="I2885" s="232"/>
      <c r="J2885" s="9"/>
      <c r="K2885" s="18"/>
      <c r="L2885" s="18"/>
      <c r="M2885" s="18"/>
      <c r="N2885" s="18"/>
      <c r="O2885" s="18"/>
      <c r="P2885" s="18"/>
      <c r="Q2885" s="18"/>
      <c r="R2885" s="18"/>
      <c r="S2885" s="18"/>
      <c r="T2885" s="18"/>
      <c r="U2885" s="18"/>
      <c r="V2885" s="18"/>
      <c r="W2885" s="18"/>
      <c r="X2885" s="18"/>
      <c r="Y2885" s="18"/>
      <c r="Z2885" s="18"/>
    </row>
    <row r="2886" ht="22.5" customHeight="1">
      <c r="A2886" s="250"/>
      <c r="B2886" s="218"/>
      <c r="C2886" s="9"/>
      <c r="D2886" s="228"/>
      <c r="E2886" s="216"/>
      <c r="F2886" s="273"/>
      <c r="G2886" s="9"/>
      <c r="H2886" s="234"/>
      <c r="I2886" s="232"/>
      <c r="J2886" s="9"/>
      <c r="K2886" s="18"/>
      <c r="L2886" s="18"/>
      <c r="M2886" s="18"/>
      <c r="N2886" s="18"/>
      <c r="O2886" s="18"/>
      <c r="P2886" s="18"/>
      <c r="Q2886" s="18"/>
      <c r="R2886" s="18"/>
      <c r="S2886" s="18"/>
      <c r="T2886" s="18"/>
      <c r="U2886" s="18"/>
      <c r="V2886" s="18"/>
      <c r="W2886" s="18"/>
      <c r="X2886" s="18"/>
      <c r="Y2886" s="18"/>
      <c r="Z2886" s="18"/>
    </row>
    <row r="2887" ht="22.5" customHeight="1">
      <c r="A2887" s="250"/>
      <c r="B2887" s="218"/>
      <c r="C2887" s="9"/>
      <c r="D2887" s="228"/>
      <c r="E2887" s="216"/>
      <c r="F2887" s="273"/>
      <c r="G2887" s="9"/>
      <c r="H2887" s="234"/>
      <c r="I2887" s="232"/>
      <c r="J2887" s="9"/>
      <c r="K2887" s="18"/>
      <c r="L2887" s="18"/>
      <c r="M2887" s="18"/>
      <c r="N2887" s="18"/>
      <c r="O2887" s="18"/>
      <c r="P2887" s="18"/>
      <c r="Q2887" s="18"/>
      <c r="R2887" s="18"/>
      <c r="S2887" s="18"/>
      <c r="T2887" s="18"/>
      <c r="U2887" s="18"/>
      <c r="V2887" s="18"/>
      <c r="W2887" s="18"/>
      <c r="X2887" s="18"/>
      <c r="Y2887" s="18"/>
      <c r="Z2887" s="18"/>
    </row>
    <row r="2888" ht="22.5" customHeight="1">
      <c r="A2888" s="250"/>
      <c r="B2888" s="218"/>
      <c r="C2888" s="9"/>
      <c r="D2888" s="228"/>
      <c r="E2888" s="216"/>
      <c r="F2888" s="273"/>
      <c r="G2888" s="9"/>
      <c r="H2888" s="234"/>
      <c r="I2888" s="232"/>
      <c r="J2888" s="9"/>
      <c r="K2888" s="18"/>
      <c r="L2888" s="18"/>
      <c r="M2888" s="18"/>
      <c r="N2888" s="18"/>
      <c r="O2888" s="18"/>
      <c r="P2888" s="18"/>
      <c r="Q2888" s="18"/>
      <c r="R2888" s="18"/>
      <c r="S2888" s="18"/>
      <c r="T2888" s="18"/>
      <c r="U2888" s="18"/>
      <c r="V2888" s="18"/>
      <c r="W2888" s="18"/>
      <c r="X2888" s="18"/>
      <c r="Y2888" s="18"/>
      <c r="Z2888" s="18"/>
    </row>
    <row r="2889" ht="22.5" customHeight="1">
      <c r="A2889" s="250"/>
      <c r="B2889" s="218"/>
      <c r="C2889" s="9"/>
      <c r="D2889" s="228"/>
      <c r="E2889" s="216"/>
      <c r="F2889" s="273"/>
      <c r="G2889" s="9"/>
      <c r="H2889" s="234"/>
      <c r="I2889" s="232"/>
      <c r="J2889" s="9"/>
      <c r="K2889" s="18"/>
      <c r="L2889" s="18"/>
      <c r="M2889" s="18"/>
      <c r="N2889" s="18"/>
      <c r="O2889" s="18"/>
      <c r="P2889" s="18"/>
      <c r="Q2889" s="18"/>
      <c r="R2889" s="18"/>
      <c r="S2889" s="18"/>
      <c r="T2889" s="18"/>
      <c r="U2889" s="18"/>
      <c r="V2889" s="18"/>
      <c r="W2889" s="18"/>
      <c r="X2889" s="18"/>
      <c r="Y2889" s="18"/>
      <c r="Z2889" s="18"/>
    </row>
    <row r="2890" ht="22.5" customHeight="1">
      <c r="A2890" s="250"/>
      <c r="B2890" s="218"/>
      <c r="C2890" s="9"/>
      <c r="D2890" s="228"/>
      <c r="E2890" s="216"/>
      <c r="F2890" s="273"/>
      <c r="G2890" s="9"/>
      <c r="H2890" s="234"/>
      <c r="I2890" s="232"/>
      <c r="J2890" s="9"/>
      <c r="K2890" s="18"/>
      <c r="L2890" s="18"/>
      <c r="M2890" s="18"/>
      <c r="N2890" s="18"/>
      <c r="O2890" s="18"/>
      <c r="P2890" s="18"/>
      <c r="Q2890" s="18"/>
      <c r="R2890" s="18"/>
      <c r="S2890" s="18"/>
      <c r="T2890" s="18"/>
      <c r="U2890" s="18"/>
      <c r="V2890" s="18"/>
      <c r="W2890" s="18"/>
      <c r="X2890" s="18"/>
      <c r="Y2890" s="18"/>
      <c r="Z2890" s="18"/>
    </row>
    <row r="2891" ht="22.5" customHeight="1">
      <c r="A2891" s="250"/>
      <c r="B2891" s="218"/>
      <c r="C2891" s="9"/>
      <c r="D2891" s="228"/>
      <c r="E2891" s="216"/>
      <c r="F2891" s="273"/>
      <c r="G2891" s="9"/>
      <c r="H2891" s="234"/>
      <c r="I2891" s="232"/>
      <c r="J2891" s="9"/>
      <c r="K2891" s="18"/>
      <c r="L2891" s="18"/>
      <c r="M2891" s="18"/>
      <c r="N2891" s="18"/>
      <c r="O2891" s="18"/>
      <c r="P2891" s="18"/>
      <c r="Q2891" s="18"/>
      <c r="R2891" s="18"/>
      <c r="S2891" s="18"/>
      <c r="T2891" s="18"/>
      <c r="U2891" s="18"/>
      <c r="V2891" s="18"/>
      <c r="W2891" s="18"/>
      <c r="X2891" s="18"/>
      <c r="Y2891" s="18"/>
      <c r="Z2891" s="18"/>
    </row>
    <row r="2892" ht="22.5" customHeight="1">
      <c r="A2892" s="250"/>
      <c r="B2892" s="218"/>
      <c r="C2892" s="9"/>
      <c r="D2892" s="228"/>
      <c r="E2892" s="216"/>
      <c r="F2892" s="273"/>
      <c r="G2892" s="9"/>
      <c r="H2892" s="234"/>
      <c r="I2892" s="232"/>
      <c r="J2892" s="9"/>
      <c r="K2892" s="18"/>
      <c r="L2892" s="18"/>
      <c r="M2892" s="18"/>
      <c r="N2892" s="18"/>
      <c r="O2892" s="18"/>
      <c r="P2892" s="18"/>
      <c r="Q2892" s="18"/>
      <c r="R2892" s="18"/>
      <c r="S2892" s="18"/>
      <c r="T2892" s="18"/>
      <c r="U2892" s="18"/>
      <c r="V2892" s="18"/>
      <c r="W2892" s="18"/>
      <c r="X2892" s="18"/>
      <c r="Y2892" s="18"/>
      <c r="Z2892" s="18"/>
    </row>
    <row r="2893" ht="22.5" customHeight="1">
      <c r="A2893" s="250"/>
      <c r="B2893" s="218"/>
      <c r="C2893" s="9"/>
      <c r="D2893" s="228"/>
      <c r="E2893" s="216"/>
      <c r="F2893" s="273"/>
      <c r="G2893" s="9"/>
      <c r="H2893" s="234"/>
      <c r="I2893" s="232"/>
      <c r="J2893" s="9"/>
      <c r="K2893" s="18"/>
      <c r="L2893" s="18"/>
      <c r="M2893" s="18"/>
      <c r="N2893" s="18"/>
      <c r="O2893" s="18"/>
      <c r="P2893" s="18"/>
      <c r="Q2893" s="18"/>
      <c r="R2893" s="18"/>
      <c r="S2893" s="18"/>
      <c r="T2893" s="18"/>
      <c r="U2893" s="18"/>
      <c r="V2893" s="18"/>
      <c r="W2893" s="18"/>
      <c r="X2893" s="18"/>
      <c r="Y2893" s="18"/>
      <c r="Z2893" s="18"/>
    </row>
    <row r="2894" ht="22.5" customHeight="1">
      <c r="A2894" s="250"/>
      <c r="B2894" s="218"/>
      <c r="C2894" s="9"/>
      <c r="D2894" s="228"/>
      <c r="E2894" s="216"/>
      <c r="F2894" s="273"/>
      <c r="G2894" s="9"/>
      <c r="H2894" s="234"/>
      <c r="I2894" s="232"/>
      <c r="J2894" s="9"/>
      <c r="K2894" s="18"/>
      <c r="L2894" s="18"/>
      <c r="M2894" s="18"/>
      <c r="N2894" s="18"/>
      <c r="O2894" s="18"/>
      <c r="P2894" s="18"/>
      <c r="Q2894" s="18"/>
      <c r="R2894" s="18"/>
      <c r="S2894" s="18"/>
      <c r="T2894" s="18"/>
      <c r="U2894" s="18"/>
      <c r="V2894" s="18"/>
      <c r="W2894" s="18"/>
      <c r="X2894" s="18"/>
      <c r="Y2894" s="18"/>
      <c r="Z2894" s="18"/>
    </row>
    <row r="2895" ht="22.5" customHeight="1">
      <c r="A2895" s="250"/>
      <c r="B2895" s="218"/>
      <c r="C2895" s="9"/>
      <c r="D2895" s="228"/>
      <c r="E2895" s="216"/>
      <c r="F2895" s="273"/>
      <c r="G2895" s="9"/>
      <c r="H2895" s="234"/>
      <c r="I2895" s="232"/>
      <c r="J2895" s="9"/>
      <c r="K2895" s="18"/>
      <c r="L2895" s="18"/>
      <c r="M2895" s="18"/>
      <c r="N2895" s="18"/>
      <c r="O2895" s="18"/>
      <c r="P2895" s="18"/>
      <c r="Q2895" s="18"/>
      <c r="R2895" s="18"/>
      <c r="S2895" s="18"/>
      <c r="T2895" s="18"/>
      <c r="U2895" s="18"/>
      <c r="V2895" s="18"/>
      <c r="W2895" s="18"/>
      <c r="X2895" s="18"/>
      <c r="Y2895" s="18"/>
      <c r="Z2895" s="18"/>
    </row>
    <row r="2896" ht="22.5" customHeight="1">
      <c r="A2896" s="250"/>
      <c r="B2896" s="218"/>
      <c r="C2896" s="9"/>
      <c r="D2896" s="228"/>
      <c r="E2896" s="216"/>
      <c r="F2896" s="273"/>
      <c r="G2896" s="9"/>
      <c r="H2896" s="234"/>
      <c r="I2896" s="232"/>
      <c r="J2896" s="9"/>
      <c r="K2896" s="18"/>
      <c r="L2896" s="18"/>
      <c r="M2896" s="18"/>
      <c r="N2896" s="18"/>
      <c r="O2896" s="18"/>
      <c r="P2896" s="18"/>
      <c r="Q2896" s="18"/>
      <c r="R2896" s="18"/>
      <c r="S2896" s="18"/>
      <c r="T2896" s="18"/>
      <c r="U2896" s="18"/>
      <c r="V2896" s="18"/>
      <c r="W2896" s="18"/>
      <c r="X2896" s="18"/>
      <c r="Y2896" s="18"/>
      <c r="Z2896" s="18"/>
    </row>
    <row r="2897" ht="22.5" customHeight="1">
      <c r="A2897" s="250"/>
      <c r="B2897" s="218"/>
      <c r="C2897" s="9"/>
      <c r="D2897" s="228"/>
      <c r="E2897" s="216"/>
      <c r="F2897" s="273"/>
      <c r="G2897" s="9"/>
      <c r="H2897" s="234"/>
      <c r="I2897" s="232"/>
      <c r="J2897" s="9"/>
      <c r="K2897" s="18"/>
      <c r="L2897" s="18"/>
      <c r="M2897" s="18"/>
      <c r="N2897" s="18"/>
      <c r="O2897" s="18"/>
      <c r="P2897" s="18"/>
      <c r="Q2897" s="18"/>
      <c r="R2897" s="18"/>
      <c r="S2897" s="18"/>
      <c r="T2897" s="18"/>
      <c r="U2897" s="18"/>
      <c r="V2897" s="18"/>
      <c r="W2897" s="18"/>
      <c r="X2897" s="18"/>
      <c r="Y2897" s="18"/>
      <c r="Z2897" s="18"/>
    </row>
    <row r="2898" ht="22.5" customHeight="1">
      <c r="A2898" s="250"/>
      <c r="B2898" s="218"/>
      <c r="C2898" s="9"/>
      <c r="D2898" s="228"/>
      <c r="E2898" s="216"/>
      <c r="F2898" s="273"/>
      <c r="G2898" s="9"/>
      <c r="H2898" s="234"/>
      <c r="I2898" s="232"/>
      <c r="J2898" s="9"/>
      <c r="K2898" s="18"/>
      <c r="L2898" s="18"/>
      <c r="M2898" s="18"/>
      <c r="N2898" s="18"/>
      <c r="O2898" s="18"/>
      <c r="P2898" s="18"/>
      <c r="Q2898" s="18"/>
      <c r="R2898" s="18"/>
      <c r="S2898" s="18"/>
      <c r="T2898" s="18"/>
      <c r="U2898" s="18"/>
      <c r="V2898" s="18"/>
      <c r="W2898" s="18"/>
      <c r="X2898" s="18"/>
      <c r="Y2898" s="18"/>
      <c r="Z2898" s="18"/>
    </row>
    <row r="2899" ht="22.5" customHeight="1">
      <c r="A2899" s="250"/>
      <c r="B2899" s="218"/>
      <c r="C2899" s="9"/>
      <c r="D2899" s="228"/>
      <c r="E2899" s="216"/>
      <c r="F2899" s="273"/>
      <c r="G2899" s="9"/>
      <c r="H2899" s="234"/>
      <c r="I2899" s="232"/>
      <c r="J2899" s="9"/>
      <c r="K2899" s="18"/>
      <c r="L2899" s="18"/>
      <c r="M2899" s="18"/>
      <c r="N2899" s="18"/>
      <c r="O2899" s="18"/>
      <c r="P2899" s="18"/>
      <c r="Q2899" s="18"/>
      <c r="R2899" s="18"/>
      <c r="S2899" s="18"/>
      <c r="T2899" s="18"/>
      <c r="U2899" s="18"/>
      <c r="V2899" s="18"/>
      <c r="W2899" s="18"/>
      <c r="X2899" s="18"/>
      <c r="Y2899" s="18"/>
      <c r="Z2899" s="18"/>
    </row>
    <row r="2900" ht="22.5" customHeight="1">
      <c r="A2900" s="250"/>
      <c r="B2900" s="218"/>
      <c r="C2900" s="9"/>
      <c r="D2900" s="228"/>
      <c r="E2900" s="216"/>
      <c r="F2900" s="273"/>
      <c r="G2900" s="9"/>
      <c r="H2900" s="234"/>
      <c r="I2900" s="232"/>
      <c r="J2900" s="9"/>
      <c r="K2900" s="18"/>
      <c r="L2900" s="18"/>
      <c r="M2900" s="18"/>
      <c r="N2900" s="18"/>
      <c r="O2900" s="18"/>
      <c r="P2900" s="18"/>
      <c r="Q2900" s="18"/>
      <c r="R2900" s="18"/>
      <c r="S2900" s="18"/>
      <c r="T2900" s="18"/>
      <c r="U2900" s="18"/>
      <c r="V2900" s="18"/>
      <c r="W2900" s="18"/>
      <c r="X2900" s="18"/>
      <c r="Y2900" s="18"/>
      <c r="Z2900" s="18"/>
    </row>
    <row r="2901" ht="22.5" customHeight="1">
      <c r="A2901" s="250"/>
      <c r="B2901" s="218"/>
      <c r="C2901" s="9"/>
      <c r="D2901" s="228"/>
      <c r="E2901" s="216"/>
      <c r="F2901" s="273"/>
      <c r="G2901" s="9"/>
      <c r="H2901" s="234"/>
      <c r="I2901" s="232"/>
      <c r="J2901" s="9"/>
      <c r="K2901" s="18"/>
      <c r="L2901" s="18"/>
      <c r="M2901" s="18"/>
      <c r="N2901" s="18"/>
      <c r="O2901" s="18"/>
      <c r="P2901" s="18"/>
      <c r="Q2901" s="18"/>
      <c r="R2901" s="18"/>
      <c r="S2901" s="18"/>
      <c r="T2901" s="18"/>
      <c r="U2901" s="18"/>
      <c r="V2901" s="18"/>
      <c r="W2901" s="18"/>
      <c r="X2901" s="18"/>
      <c r="Y2901" s="18"/>
      <c r="Z2901" s="18"/>
    </row>
    <row r="2902" ht="22.5" customHeight="1">
      <c r="A2902" s="250"/>
      <c r="B2902" s="218"/>
      <c r="C2902" s="9"/>
      <c r="D2902" s="228"/>
      <c r="E2902" s="216"/>
      <c r="F2902" s="273"/>
      <c r="G2902" s="9"/>
      <c r="H2902" s="234"/>
      <c r="I2902" s="232"/>
      <c r="J2902" s="9"/>
      <c r="K2902" s="18"/>
      <c r="L2902" s="18"/>
      <c r="M2902" s="18"/>
      <c r="N2902" s="18"/>
      <c r="O2902" s="18"/>
      <c r="P2902" s="18"/>
      <c r="Q2902" s="18"/>
      <c r="R2902" s="18"/>
      <c r="S2902" s="18"/>
      <c r="T2902" s="18"/>
      <c r="U2902" s="18"/>
      <c r="V2902" s="18"/>
      <c r="W2902" s="18"/>
      <c r="X2902" s="18"/>
      <c r="Y2902" s="18"/>
      <c r="Z2902" s="18"/>
    </row>
    <row r="2903" ht="22.5" customHeight="1">
      <c r="A2903" s="250"/>
      <c r="B2903" s="218"/>
      <c r="C2903" s="9"/>
      <c r="D2903" s="228"/>
      <c r="E2903" s="216"/>
      <c r="F2903" s="273"/>
      <c r="G2903" s="9"/>
      <c r="H2903" s="234"/>
      <c r="I2903" s="232"/>
      <c r="J2903" s="9"/>
      <c r="K2903" s="18"/>
      <c r="L2903" s="18"/>
      <c r="M2903" s="18"/>
      <c r="N2903" s="18"/>
      <c r="O2903" s="18"/>
      <c r="P2903" s="18"/>
      <c r="Q2903" s="18"/>
      <c r="R2903" s="18"/>
      <c r="S2903" s="18"/>
      <c r="T2903" s="18"/>
      <c r="U2903" s="18"/>
      <c r="V2903" s="18"/>
      <c r="W2903" s="18"/>
      <c r="X2903" s="18"/>
      <c r="Y2903" s="18"/>
      <c r="Z2903" s="18"/>
    </row>
    <row r="2904" ht="22.5" customHeight="1">
      <c r="A2904" s="250"/>
      <c r="B2904" s="218"/>
      <c r="C2904" s="9"/>
      <c r="D2904" s="228"/>
      <c r="E2904" s="216"/>
      <c r="F2904" s="273"/>
      <c r="G2904" s="9"/>
      <c r="H2904" s="234"/>
      <c r="I2904" s="232"/>
      <c r="J2904" s="9"/>
      <c r="K2904" s="18"/>
      <c r="L2904" s="18"/>
      <c r="M2904" s="18"/>
      <c r="N2904" s="18"/>
      <c r="O2904" s="18"/>
      <c r="P2904" s="18"/>
      <c r="Q2904" s="18"/>
      <c r="R2904" s="18"/>
      <c r="S2904" s="18"/>
      <c r="T2904" s="18"/>
      <c r="U2904" s="18"/>
      <c r="V2904" s="18"/>
      <c r="W2904" s="18"/>
      <c r="X2904" s="18"/>
      <c r="Y2904" s="18"/>
      <c r="Z2904" s="18"/>
    </row>
    <row r="2905" ht="22.5" customHeight="1">
      <c r="A2905" s="250"/>
      <c r="B2905" s="218"/>
      <c r="C2905" s="9"/>
      <c r="D2905" s="228"/>
      <c r="E2905" s="216"/>
      <c r="F2905" s="273"/>
      <c r="G2905" s="9"/>
      <c r="H2905" s="234"/>
      <c r="I2905" s="232"/>
      <c r="J2905" s="9"/>
      <c r="K2905" s="18"/>
      <c r="L2905" s="18"/>
      <c r="M2905" s="18"/>
      <c r="N2905" s="18"/>
      <c r="O2905" s="18"/>
      <c r="P2905" s="18"/>
      <c r="Q2905" s="18"/>
      <c r="R2905" s="18"/>
      <c r="S2905" s="18"/>
      <c r="T2905" s="18"/>
      <c r="U2905" s="18"/>
      <c r="V2905" s="18"/>
      <c r="W2905" s="18"/>
      <c r="X2905" s="18"/>
      <c r="Y2905" s="18"/>
      <c r="Z2905" s="18"/>
    </row>
    <row r="2906" ht="22.5" customHeight="1">
      <c r="A2906" s="250"/>
      <c r="B2906" s="218"/>
      <c r="C2906" s="9"/>
      <c r="D2906" s="228"/>
      <c r="E2906" s="216"/>
      <c r="F2906" s="273"/>
      <c r="G2906" s="9"/>
      <c r="H2906" s="234"/>
      <c r="I2906" s="232"/>
      <c r="J2906" s="9"/>
      <c r="K2906" s="18"/>
      <c r="L2906" s="18"/>
      <c r="M2906" s="18"/>
      <c r="N2906" s="18"/>
      <c r="O2906" s="18"/>
      <c r="P2906" s="18"/>
      <c r="Q2906" s="18"/>
      <c r="R2906" s="18"/>
      <c r="S2906" s="18"/>
      <c r="T2906" s="18"/>
      <c r="U2906" s="18"/>
      <c r="V2906" s="18"/>
      <c r="W2906" s="18"/>
      <c r="X2906" s="18"/>
      <c r="Y2906" s="18"/>
      <c r="Z2906" s="18"/>
    </row>
    <row r="2907" ht="22.5" customHeight="1">
      <c r="A2907" s="250"/>
      <c r="B2907" s="218"/>
      <c r="C2907" s="9"/>
      <c r="D2907" s="228"/>
      <c r="E2907" s="216"/>
      <c r="F2907" s="273"/>
      <c r="G2907" s="9"/>
      <c r="H2907" s="234"/>
      <c r="I2907" s="232"/>
      <c r="J2907" s="9"/>
      <c r="K2907" s="18"/>
      <c r="L2907" s="18"/>
      <c r="M2907" s="18"/>
      <c r="N2907" s="18"/>
      <c r="O2907" s="18"/>
      <c r="P2907" s="18"/>
      <c r="Q2907" s="18"/>
      <c r="R2907" s="18"/>
      <c r="S2907" s="18"/>
      <c r="T2907" s="18"/>
      <c r="U2907" s="18"/>
      <c r="V2907" s="18"/>
      <c r="W2907" s="18"/>
      <c r="X2907" s="18"/>
      <c r="Y2907" s="18"/>
      <c r="Z2907" s="18"/>
    </row>
    <row r="2908" ht="22.5" customHeight="1">
      <c r="A2908" s="250"/>
      <c r="B2908" s="218"/>
      <c r="C2908" s="9"/>
      <c r="D2908" s="228"/>
      <c r="E2908" s="216"/>
      <c r="F2908" s="273"/>
      <c r="G2908" s="9"/>
      <c r="H2908" s="234"/>
      <c r="I2908" s="232"/>
      <c r="J2908" s="9"/>
      <c r="K2908" s="18"/>
      <c r="L2908" s="18"/>
      <c r="M2908" s="18"/>
      <c r="N2908" s="18"/>
      <c r="O2908" s="18"/>
      <c r="P2908" s="18"/>
      <c r="Q2908" s="18"/>
      <c r="R2908" s="18"/>
      <c r="S2908" s="18"/>
      <c r="T2908" s="18"/>
      <c r="U2908" s="18"/>
      <c r="V2908" s="18"/>
      <c r="W2908" s="18"/>
      <c r="X2908" s="18"/>
      <c r="Y2908" s="18"/>
      <c r="Z2908" s="18"/>
    </row>
    <row r="2909" ht="22.5" customHeight="1">
      <c r="A2909" s="250"/>
      <c r="B2909" s="218"/>
      <c r="C2909" s="9"/>
      <c r="D2909" s="228"/>
      <c r="E2909" s="216"/>
      <c r="F2909" s="273"/>
      <c r="G2909" s="9"/>
      <c r="H2909" s="234"/>
      <c r="I2909" s="232"/>
      <c r="J2909" s="9"/>
      <c r="K2909" s="18"/>
      <c r="L2909" s="18"/>
      <c r="M2909" s="18"/>
      <c r="N2909" s="18"/>
      <c r="O2909" s="18"/>
      <c r="P2909" s="18"/>
      <c r="Q2909" s="18"/>
      <c r="R2909" s="18"/>
      <c r="S2909" s="18"/>
      <c r="T2909" s="18"/>
      <c r="U2909" s="18"/>
      <c r="V2909" s="18"/>
      <c r="W2909" s="18"/>
      <c r="X2909" s="18"/>
      <c r="Y2909" s="18"/>
      <c r="Z2909" s="18"/>
    </row>
    <row r="2910" ht="22.5" customHeight="1">
      <c r="A2910" s="250"/>
      <c r="B2910" s="218"/>
      <c r="C2910" s="9"/>
      <c r="D2910" s="228"/>
      <c r="E2910" s="216"/>
      <c r="F2910" s="273"/>
      <c r="G2910" s="9"/>
      <c r="H2910" s="234"/>
      <c r="I2910" s="232"/>
      <c r="J2910" s="9"/>
      <c r="K2910" s="18"/>
      <c r="L2910" s="18"/>
      <c r="M2910" s="18"/>
      <c r="N2910" s="18"/>
      <c r="O2910" s="18"/>
      <c r="P2910" s="18"/>
      <c r="Q2910" s="18"/>
      <c r="R2910" s="18"/>
      <c r="S2910" s="18"/>
      <c r="T2910" s="18"/>
      <c r="U2910" s="18"/>
      <c r="V2910" s="18"/>
      <c r="W2910" s="18"/>
      <c r="X2910" s="18"/>
      <c r="Y2910" s="18"/>
      <c r="Z2910" s="18"/>
    </row>
    <row r="2911" ht="22.5" customHeight="1">
      <c r="A2911" s="250"/>
      <c r="B2911" s="218"/>
      <c r="C2911" s="9"/>
      <c r="D2911" s="228"/>
      <c r="E2911" s="216"/>
      <c r="F2911" s="273"/>
      <c r="G2911" s="9"/>
      <c r="H2911" s="234"/>
      <c r="I2911" s="232"/>
      <c r="J2911" s="9"/>
      <c r="K2911" s="18"/>
      <c r="L2911" s="18"/>
      <c r="M2911" s="18"/>
      <c r="N2911" s="18"/>
      <c r="O2911" s="18"/>
      <c r="P2911" s="18"/>
      <c r="Q2911" s="18"/>
      <c r="R2911" s="18"/>
      <c r="S2911" s="18"/>
      <c r="T2911" s="18"/>
      <c r="U2911" s="18"/>
      <c r="V2911" s="18"/>
      <c r="W2911" s="18"/>
      <c r="X2911" s="18"/>
      <c r="Y2911" s="18"/>
      <c r="Z2911" s="18"/>
    </row>
    <row r="2912" ht="22.5" customHeight="1">
      <c r="A2912" s="250"/>
      <c r="B2912" s="218"/>
      <c r="C2912" s="9"/>
      <c r="D2912" s="228"/>
      <c r="E2912" s="216"/>
      <c r="F2912" s="273"/>
      <c r="G2912" s="9"/>
      <c r="H2912" s="234"/>
      <c r="I2912" s="232"/>
      <c r="J2912" s="9"/>
      <c r="K2912" s="18"/>
      <c r="L2912" s="18"/>
      <c r="M2912" s="18"/>
      <c r="N2912" s="18"/>
      <c r="O2912" s="18"/>
      <c r="P2912" s="18"/>
      <c r="Q2912" s="18"/>
      <c r="R2912" s="18"/>
      <c r="S2912" s="18"/>
      <c r="T2912" s="18"/>
      <c r="U2912" s="18"/>
      <c r="V2912" s="18"/>
      <c r="W2912" s="18"/>
      <c r="X2912" s="18"/>
      <c r="Y2912" s="18"/>
      <c r="Z2912" s="18"/>
    </row>
    <row r="2913" ht="22.5" customHeight="1">
      <c r="A2913" s="250"/>
      <c r="B2913" s="218"/>
      <c r="C2913" s="9"/>
      <c r="D2913" s="228"/>
      <c r="E2913" s="216"/>
      <c r="F2913" s="273"/>
      <c r="G2913" s="9"/>
      <c r="H2913" s="234"/>
      <c r="I2913" s="232"/>
      <c r="J2913" s="9"/>
      <c r="K2913" s="18"/>
      <c r="L2913" s="18"/>
      <c r="M2913" s="18"/>
      <c r="N2913" s="18"/>
      <c r="O2913" s="18"/>
      <c r="P2913" s="18"/>
      <c r="Q2913" s="18"/>
      <c r="R2913" s="18"/>
      <c r="S2913" s="18"/>
      <c r="T2913" s="18"/>
      <c r="U2913" s="18"/>
      <c r="V2913" s="18"/>
      <c r="W2913" s="18"/>
      <c r="X2913" s="18"/>
      <c r="Y2913" s="18"/>
      <c r="Z2913" s="18"/>
    </row>
    <row r="2914" ht="22.5" customHeight="1">
      <c r="A2914" s="250"/>
      <c r="B2914" s="218"/>
      <c r="C2914" s="9"/>
      <c r="D2914" s="228"/>
      <c r="E2914" s="216"/>
      <c r="F2914" s="273"/>
      <c r="G2914" s="9"/>
      <c r="H2914" s="234"/>
      <c r="I2914" s="232"/>
      <c r="J2914" s="9"/>
      <c r="K2914" s="18"/>
      <c r="L2914" s="18"/>
      <c r="M2914" s="18"/>
      <c r="N2914" s="18"/>
      <c r="O2914" s="18"/>
      <c r="P2914" s="18"/>
      <c r="Q2914" s="18"/>
      <c r="R2914" s="18"/>
      <c r="S2914" s="18"/>
      <c r="T2914" s="18"/>
      <c r="U2914" s="18"/>
      <c r="V2914" s="18"/>
      <c r="W2914" s="18"/>
      <c r="X2914" s="18"/>
      <c r="Y2914" s="18"/>
      <c r="Z2914" s="18"/>
    </row>
    <row r="2915" ht="22.5" customHeight="1">
      <c r="A2915" s="250"/>
      <c r="B2915" s="218"/>
      <c r="C2915" s="9"/>
      <c r="D2915" s="228"/>
      <c r="E2915" s="216"/>
      <c r="F2915" s="273"/>
      <c r="G2915" s="9"/>
      <c r="H2915" s="234"/>
      <c r="I2915" s="232"/>
      <c r="J2915" s="9"/>
      <c r="K2915" s="18"/>
      <c r="L2915" s="18"/>
      <c r="M2915" s="18"/>
      <c r="N2915" s="18"/>
      <c r="O2915" s="18"/>
      <c r="P2915" s="18"/>
      <c r="Q2915" s="18"/>
      <c r="R2915" s="18"/>
      <c r="S2915" s="18"/>
      <c r="T2915" s="18"/>
      <c r="U2915" s="18"/>
      <c r="V2915" s="18"/>
      <c r="W2915" s="18"/>
      <c r="X2915" s="18"/>
      <c r="Y2915" s="18"/>
      <c r="Z2915" s="18"/>
    </row>
    <row r="2916" ht="22.5" customHeight="1">
      <c r="A2916" s="250"/>
      <c r="B2916" s="218"/>
      <c r="C2916" s="9"/>
      <c r="D2916" s="228"/>
      <c r="E2916" s="216"/>
      <c r="F2916" s="273"/>
      <c r="G2916" s="9"/>
      <c r="H2916" s="234"/>
      <c r="I2916" s="232"/>
      <c r="J2916" s="9"/>
      <c r="K2916" s="18"/>
      <c r="L2916" s="18"/>
      <c r="M2916" s="18"/>
      <c r="N2916" s="18"/>
      <c r="O2916" s="18"/>
      <c r="P2916" s="18"/>
      <c r="Q2916" s="18"/>
      <c r="R2916" s="18"/>
      <c r="S2916" s="18"/>
      <c r="T2916" s="18"/>
      <c r="U2916" s="18"/>
      <c r="V2916" s="18"/>
      <c r="W2916" s="18"/>
      <c r="X2916" s="18"/>
      <c r="Y2916" s="18"/>
      <c r="Z2916" s="18"/>
    </row>
    <row r="2917" ht="22.5" customHeight="1">
      <c r="A2917" s="250"/>
      <c r="B2917" s="218"/>
      <c r="C2917" s="9"/>
      <c r="D2917" s="228"/>
      <c r="E2917" s="216"/>
      <c r="F2917" s="273"/>
      <c r="G2917" s="9"/>
      <c r="H2917" s="234"/>
      <c r="I2917" s="232"/>
      <c r="J2917" s="9"/>
      <c r="K2917" s="18"/>
      <c r="L2917" s="18"/>
      <c r="M2917" s="18"/>
      <c r="N2917" s="18"/>
      <c r="O2917" s="18"/>
      <c r="P2917" s="18"/>
      <c r="Q2917" s="18"/>
      <c r="R2917" s="18"/>
      <c r="S2917" s="18"/>
      <c r="T2917" s="18"/>
      <c r="U2917" s="18"/>
      <c r="V2917" s="18"/>
      <c r="W2917" s="18"/>
      <c r="X2917" s="18"/>
      <c r="Y2917" s="18"/>
      <c r="Z2917" s="18"/>
    </row>
    <row r="2918" ht="22.5" customHeight="1">
      <c r="A2918" s="250"/>
      <c r="B2918" s="218"/>
      <c r="C2918" s="9"/>
      <c r="D2918" s="228"/>
      <c r="E2918" s="216"/>
      <c r="F2918" s="273"/>
      <c r="G2918" s="9"/>
      <c r="H2918" s="234"/>
      <c r="I2918" s="232"/>
      <c r="J2918" s="9"/>
      <c r="K2918" s="18"/>
      <c r="L2918" s="18"/>
      <c r="M2918" s="18"/>
      <c r="N2918" s="18"/>
      <c r="O2918" s="18"/>
      <c r="P2918" s="18"/>
      <c r="Q2918" s="18"/>
      <c r="R2918" s="18"/>
      <c r="S2918" s="18"/>
      <c r="T2918" s="18"/>
      <c r="U2918" s="18"/>
      <c r="V2918" s="18"/>
      <c r="W2918" s="18"/>
      <c r="X2918" s="18"/>
      <c r="Y2918" s="18"/>
      <c r="Z2918" s="18"/>
    </row>
    <row r="2919" ht="22.5" customHeight="1">
      <c r="A2919" s="250"/>
      <c r="B2919" s="218"/>
      <c r="C2919" s="9"/>
      <c r="D2919" s="228"/>
      <c r="E2919" s="216"/>
      <c r="F2919" s="273"/>
      <c r="G2919" s="9"/>
      <c r="H2919" s="234"/>
      <c r="I2919" s="232"/>
      <c r="J2919" s="9"/>
      <c r="K2919" s="18"/>
      <c r="L2919" s="18"/>
      <c r="M2919" s="18"/>
      <c r="N2919" s="18"/>
      <c r="O2919" s="18"/>
      <c r="P2919" s="18"/>
      <c r="Q2919" s="18"/>
      <c r="R2919" s="18"/>
      <c r="S2919" s="18"/>
      <c r="T2919" s="18"/>
      <c r="U2919" s="18"/>
      <c r="V2919" s="18"/>
      <c r="W2919" s="18"/>
      <c r="X2919" s="18"/>
      <c r="Y2919" s="18"/>
      <c r="Z2919" s="18"/>
    </row>
    <row r="2920" ht="22.5" customHeight="1">
      <c r="A2920" s="250"/>
      <c r="B2920" s="218"/>
      <c r="C2920" s="9"/>
      <c r="D2920" s="228"/>
      <c r="E2920" s="216"/>
      <c r="F2920" s="273"/>
      <c r="G2920" s="9"/>
      <c r="H2920" s="234"/>
      <c r="I2920" s="232"/>
      <c r="J2920" s="9"/>
      <c r="K2920" s="18"/>
      <c r="L2920" s="18"/>
      <c r="M2920" s="18"/>
      <c r="N2920" s="18"/>
      <c r="O2920" s="18"/>
      <c r="P2920" s="18"/>
      <c r="Q2920" s="18"/>
      <c r="R2920" s="18"/>
      <c r="S2920" s="18"/>
      <c r="T2920" s="18"/>
      <c r="U2920" s="18"/>
      <c r="V2920" s="18"/>
      <c r="W2920" s="18"/>
      <c r="X2920" s="18"/>
      <c r="Y2920" s="18"/>
      <c r="Z2920" s="18"/>
    </row>
    <row r="2921" ht="22.5" customHeight="1">
      <c r="A2921" s="250"/>
      <c r="B2921" s="218"/>
      <c r="C2921" s="9"/>
      <c r="D2921" s="228"/>
      <c r="E2921" s="216"/>
      <c r="F2921" s="273"/>
      <c r="G2921" s="9"/>
      <c r="H2921" s="234"/>
      <c r="I2921" s="232"/>
      <c r="J2921" s="9"/>
      <c r="K2921" s="18"/>
      <c r="L2921" s="18"/>
      <c r="M2921" s="18"/>
      <c r="N2921" s="18"/>
      <c r="O2921" s="18"/>
      <c r="P2921" s="18"/>
      <c r="Q2921" s="18"/>
      <c r="R2921" s="18"/>
      <c r="S2921" s="18"/>
      <c r="T2921" s="18"/>
      <c r="U2921" s="18"/>
      <c r="V2921" s="18"/>
      <c r="W2921" s="18"/>
      <c r="X2921" s="18"/>
      <c r="Y2921" s="18"/>
      <c r="Z2921" s="18"/>
    </row>
    <row r="2922" ht="22.5" customHeight="1">
      <c r="A2922" s="250"/>
      <c r="B2922" s="218"/>
      <c r="C2922" s="9"/>
      <c r="D2922" s="228"/>
      <c r="E2922" s="216"/>
      <c r="F2922" s="273"/>
      <c r="G2922" s="9"/>
      <c r="H2922" s="234"/>
      <c r="I2922" s="232"/>
      <c r="J2922" s="9"/>
      <c r="K2922" s="18"/>
      <c r="L2922" s="18"/>
      <c r="M2922" s="18"/>
      <c r="N2922" s="18"/>
      <c r="O2922" s="18"/>
      <c r="P2922" s="18"/>
      <c r="Q2922" s="18"/>
      <c r="R2922" s="18"/>
      <c r="S2922" s="18"/>
      <c r="T2922" s="18"/>
      <c r="U2922" s="18"/>
      <c r="V2922" s="18"/>
      <c r="W2922" s="18"/>
      <c r="X2922" s="18"/>
      <c r="Y2922" s="18"/>
      <c r="Z2922" s="18"/>
    </row>
    <row r="2923" ht="22.5" customHeight="1">
      <c r="A2923" s="250"/>
      <c r="B2923" s="218"/>
      <c r="C2923" s="9"/>
      <c r="D2923" s="228"/>
      <c r="E2923" s="216"/>
      <c r="F2923" s="273"/>
      <c r="G2923" s="9"/>
      <c r="H2923" s="234"/>
      <c r="I2923" s="232"/>
      <c r="J2923" s="9"/>
      <c r="K2923" s="18"/>
      <c r="L2923" s="18"/>
      <c r="M2923" s="18"/>
      <c r="N2923" s="18"/>
      <c r="O2923" s="18"/>
      <c r="P2923" s="18"/>
      <c r="Q2923" s="18"/>
      <c r="R2923" s="18"/>
      <c r="S2923" s="18"/>
      <c r="T2923" s="18"/>
      <c r="U2923" s="18"/>
      <c r="V2923" s="18"/>
      <c r="W2923" s="18"/>
      <c r="X2923" s="18"/>
      <c r="Y2923" s="18"/>
      <c r="Z2923" s="18"/>
    </row>
    <row r="2924" ht="22.5" customHeight="1">
      <c r="A2924" s="250"/>
      <c r="B2924" s="218"/>
      <c r="C2924" s="9"/>
      <c r="D2924" s="228"/>
      <c r="E2924" s="216"/>
      <c r="F2924" s="273"/>
      <c r="G2924" s="9"/>
      <c r="H2924" s="234"/>
      <c r="I2924" s="232"/>
      <c r="J2924" s="9"/>
      <c r="K2924" s="18"/>
      <c r="L2924" s="18"/>
      <c r="M2924" s="18"/>
      <c r="N2924" s="18"/>
      <c r="O2924" s="18"/>
      <c r="P2924" s="18"/>
      <c r="Q2924" s="18"/>
      <c r="R2924" s="18"/>
      <c r="S2924" s="18"/>
      <c r="T2924" s="18"/>
      <c r="U2924" s="18"/>
      <c r="V2924" s="18"/>
      <c r="W2924" s="18"/>
      <c r="X2924" s="18"/>
      <c r="Y2924" s="18"/>
      <c r="Z2924" s="18"/>
    </row>
    <row r="2925" ht="22.5" customHeight="1">
      <c r="A2925" s="250"/>
      <c r="B2925" s="218"/>
      <c r="C2925" s="9"/>
      <c r="D2925" s="228"/>
      <c r="E2925" s="216"/>
      <c r="F2925" s="273"/>
      <c r="G2925" s="9"/>
      <c r="H2925" s="234"/>
      <c r="I2925" s="232"/>
      <c r="J2925" s="9"/>
      <c r="K2925" s="18"/>
      <c r="L2925" s="18"/>
      <c r="M2925" s="18"/>
      <c r="N2925" s="18"/>
      <c r="O2925" s="18"/>
      <c r="P2925" s="18"/>
      <c r="Q2925" s="18"/>
      <c r="R2925" s="18"/>
      <c r="S2925" s="18"/>
      <c r="T2925" s="18"/>
      <c r="U2925" s="18"/>
      <c r="V2925" s="18"/>
      <c r="W2925" s="18"/>
      <c r="X2925" s="18"/>
      <c r="Y2925" s="18"/>
      <c r="Z2925" s="18"/>
    </row>
    <row r="2926" ht="22.5" customHeight="1">
      <c r="A2926" s="250"/>
      <c r="B2926" s="218"/>
      <c r="C2926" s="9"/>
      <c r="D2926" s="228"/>
      <c r="E2926" s="216"/>
      <c r="F2926" s="273"/>
      <c r="G2926" s="9"/>
      <c r="H2926" s="234"/>
      <c r="I2926" s="232"/>
      <c r="J2926" s="9"/>
      <c r="K2926" s="18"/>
      <c r="L2926" s="18"/>
      <c r="M2926" s="18"/>
      <c r="N2926" s="18"/>
      <c r="O2926" s="18"/>
      <c r="P2926" s="18"/>
      <c r="Q2926" s="18"/>
      <c r="R2926" s="18"/>
      <c r="S2926" s="18"/>
      <c r="T2926" s="18"/>
      <c r="U2926" s="18"/>
      <c r="V2926" s="18"/>
      <c r="W2926" s="18"/>
      <c r="X2926" s="18"/>
      <c r="Y2926" s="18"/>
      <c r="Z2926" s="18"/>
    </row>
    <row r="2927" ht="22.5" customHeight="1">
      <c r="A2927" s="250"/>
      <c r="B2927" s="218"/>
      <c r="C2927" s="9"/>
      <c r="D2927" s="228"/>
      <c r="E2927" s="216"/>
      <c r="F2927" s="273"/>
      <c r="G2927" s="9"/>
      <c r="H2927" s="234"/>
      <c r="I2927" s="232"/>
      <c r="J2927" s="9"/>
      <c r="K2927" s="18"/>
      <c r="L2927" s="18"/>
      <c r="M2927" s="18"/>
      <c r="N2927" s="18"/>
      <c r="O2927" s="18"/>
      <c r="P2927" s="18"/>
      <c r="Q2927" s="18"/>
      <c r="R2927" s="18"/>
      <c r="S2927" s="18"/>
      <c r="T2927" s="18"/>
      <c r="U2927" s="18"/>
      <c r="V2927" s="18"/>
      <c r="W2927" s="18"/>
      <c r="X2927" s="18"/>
      <c r="Y2927" s="18"/>
      <c r="Z2927" s="18"/>
    </row>
    <row r="2928" ht="22.5" customHeight="1">
      <c r="A2928" s="250"/>
      <c r="B2928" s="218"/>
      <c r="C2928" s="9"/>
      <c r="D2928" s="228"/>
      <c r="E2928" s="216"/>
      <c r="F2928" s="273"/>
      <c r="G2928" s="9"/>
      <c r="H2928" s="234"/>
      <c r="I2928" s="232"/>
      <c r="J2928" s="9"/>
      <c r="K2928" s="18"/>
      <c r="L2928" s="18"/>
      <c r="M2928" s="18"/>
      <c r="N2928" s="18"/>
      <c r="O2928" s="18"/>
      <c r="P2928" s="18"/>
      <c r="Q2928" s="18"/>
      <c r="R2928" s="18"/>
      <c r="S2928" s="18"/>
      <c r="T2928" s="18"/>
      <c r="U2928" s="18"/>
      <c r="V2928" s="18"/>
      <c r="W2928" s="18"/>
      <c r="X2928" s="18"/>
      <c r="Y2928" s="18"/>
      <c r="Z2928" s="18"/>
    </row>
    <row r="2929" ht="22.5" customHeight="1">
      <c r="A2929" s="250"/>
      <c r="B2929" s="218"/>
      <c r="C2929" s="9"/>
      <c r="D2929" s="228"/>
      <c r="E2929" s="216"/>
      <c r="F2929" s="273"/>
      <c r="G2929" s="9"/>
      <c r="H2929" s="234"/>
      <c r="I2929" s="232"/>
      <c r="J2929" s="9"/>
      <c r="K2929" s="18"/>
      <c r="L2929" s="18"/>
      <c r="M2929" s="18"/>
      <c r="N2929" s="18"/>
      <c r="O2929" s="18"/>
      <c r="P2929" s="18"/>
      <c r="Q2929" s="18"/>
      <c r="R2929" s="18"/>
      <c r="S2929" s="18"/>
      <c r="T2929" s="18"/>
      <c r="U2929" s="18"/>
      <c r="V2929" s="18"/>
      <c r="W2929" s="18"/>
      <c r="X2929" s="18"/>
      <c r="Y2929" s="18"/>
      <c r="Z2929" s="18"/>
    </row>
    <row r="2930" ht="22.5" customHeight="1">
      <c r="A2930" s="250"/>
      <c r="B2930" s="218"/>
      <c r="C2930" s="9"/>
      <c r="D2930" s="228"/>
      <c r="E2930" s="216"/>
      <c r="F2930" s="273"/>
      <c r="G2930" s="9"/>
      <c r="H2930" s="234"/>
      <c r="I2930" s="232"/>
      <c r="J2930" s="9"/>
      <c r="K2930" s="18"/>
      <c r="L2930" s="18"/>
      <c r="M2930" s="18"/>
      <c r="N2930" s="18"/>
      <c r="O2930" s="18"/>
      <c r="P2930" s="18"/>
      <c r="Q2930" s="18"/>
      <c r="R2930" s="18"/>
      <c r="S2930" s="18"/>
      <c r="T2930" s="18"/>
      <c r="U2930" s="18"/>
      <c r="V2930" s="18"/>
      <c r="W2930" s="18"/>
      <c r="X2930" s="18"/>
      <c r="Y2930" s="18"/>
      <c r="Z2930" s="18"/>
    </row>
    <row r="2931" ht="22.5" customHeight="1">
      <c r="A2931" s="250"/>
      <c r="B2931" s="218"/>
      <c r="C2931" s="9"/>
      <c r="D2931" s="228"/>
      <c r="E2931" s="216"/>
      <c r="F2931" s="273"/>
      <c r="G2931" s="9"/>
      <c r="H2931" s="234"/>
      <c r="I2931" s="232"/>
      <c r="J2931" s="9"/>
      <c r="K2931" s="18"/>
      <c r="L2931" s="18"/>
      <c r="M2931" s="18"/>
      <c r="N2931" s="18"/>
      <c r="O2931" s="18"/>
      <c r="P2931" s="18"/>
      <c r="Q2931" s="18"/>
      <c r="R2931" s="18"/>
      <c r="S2931" s="18"/>
      <c r="T2931" s="18"/>
      <c r="U2931" s="18"/>
      <c r="V2931" s="18"/>
      <c r="W2931" s="18"/>
      <c r="X2931" s="18"/>
      <c r="Y2931" s="18"/>
      <c r="Z2931" s="18"/>
    </row>
    <row r="2932" ht="22.5" customHeight="1">
      <c r="A2932" s="250"/>
      <c r="B2932" s="218"/>
      <c r="C2932" s="9"/>
      <c r="D2932" s="228"/>
      <c r="E2932" s="216"/>
      <c r="F2932" s="273"/>
      <c r="G2932" s="9"/>
      <c r="H2932" s="234"/>
      <c r="I2932" s="232"/>
      <c r="J2932" s="9"/>
      <c r="K2932" s="18"/>
      <c r="L2932" s="18"/>
      <c r="M2932" s="18"/>
      <c r="N2932" s="18"/>
      <c r="O2932" s="18"/>
      <c r="P2932" s="18"/>
      <c r="Q2932" s="18"/>
      <c r="R2932" s="18"/>
      <c r="S2932" s="18"/>
      <c r="T2932" s="18"/>
      <c r="U2932" s="18"/>
      <c r="V2932" s="18"/>
      <c r="W2932" s="18"/>
      <c r="X2932" s="18"/>
      <c r="Y2932" s="18"/>
      <c r="Z2932" s="18"/>
    </row>
    <row r="2933" ht="22.5" customHeight="1">
      <c r="A2933" s="250"/>
      <c r="B2933" s="218"/>
      <c r="C2933" s="9"/>
      <c r="D2933" s="228"/>
      <c r="E2933" s="216"/>
      <c r="F2933" s="273"/>
      <c r="G2933" s="9"/>
      <c r="H2933" s="234"/>
      <c r="I2933" s="232"/>
      <c r="J2933" s="9"/>
      <c r="K2933" s="18"/>
      <c r="L2933" s="18"/>
      <c r="M2933" s="18"/>
      <c r="N2933" s="18"/>
      <c r="O2933" s="18"/>
      <c r="P2933" s="18"/>
      <c r="Q2933" s="18"/>
      <c r="R2933" s="18"/>
      <c r="S2933" s="18"/>
      <c r="T2933" s="18"/>
      <c r="U2933" s="18"/>
      <c r="V2933" s="18"/>
      <c r="W2933" s="18"/>
      <c r="X2933" s="18"/>
      <c r="Y2933" s="18"/>
      <c r="Z2933" s="18"/>
    </row>
    <row r="2934" ht="22.5" customHeight="1">
      <c r="A2934" s="250"/>
      <c r="B2934" s="218"/>
      <c r="C2934" s="9"/>
      <c r="D2934" s="228"/>
      <c r="E2934" s="216"/>
      <c r="F2934" s="273"/>
      <c r="G2934" s="9"/>
      <c r="H2934" s="234"/>
      <c r="I2934" s="232"/>
      <c r="J2934" s="9"/>
      <c r="K2934" s="18"/>
      <c r="L2934" s="18"/>
      <c r="M2934" s="18"/>
      <c r="N2934" s="18"/>
      <c r="O2934" s="18"/>
      <c r="P2934" s="18"/>
      <c r="Q2934" s="18"/>
      <c r="R2934" s="18"/>
      <c r="S2934" s="18"/>
      <c r="T2934" s="18"/>
      <c r="U2934" s="18"/>
      <c r="V2934" s="18"/>
      <c r="W2934" s="18"/>
      <c r="X2934" s="18"/>
      <c r="Y2934" s="18"/>
      <c r="Z2934" s="18"/>
    </row>
    <row r="2935" ht="22.5" customHeight="1">
      <c r="A2935" s="250"/>
      <c r="B2935" s="218"/>
      <c r="C2935" s="9"/>
      <c r="D2935" s="228"/>
      <c r="E2935" s="216"/>
      <c r="F2935" s="273"/>
      <c r="G2935" s="9"/>
      <c r="H2935" s="234"/>
      <c r="I2935" s="232"/>
      <c r="J2935" s="9"/>
      <c r="K2935" s="18"/>
      <c r="L2935" s="18"/>
      <c r="M2935" s="18"/>
      <c r="N2935" s="18"/>
      <c r="O2935" s="18"/>
      <c r="P2935" s="18"/>
      <c r="Q2935" s="18"/>
      <c r="R2935" s="18"/>
      <c r="S2935" s="18"/>
      <c r="T2935" s="18"/>
      <c r="U2935" s="18"/>
      <c r="V2935" s="18"/>
      <c r="W2935" s="18"/>
      <c r="X2935" s="18"/>
      <c r="Y2935" s="18"/>
      <c r="Z2935" s="18"/>
    </row>
    <row r="2936" ht="22.5" customHeight="1">
      <c r="A2936" s="250"/>
      <c r="B2936" s="218"/>
      <c r="C2936" s="9"/>
      <c r="D2936" s="228"/>
      <c r="E2936" s="216"/>
      <c r="F2936" s="273"/>
      <c r="G2936" s="9"/>
      <c r="H2936" s="234"/>
      <c r="I2936" s="232"/>
      <c r="J2936" s="9"/>
      <c r="K2936" s="18"/>
      <c r="L2936" s="18"/>
      <c r="M2936" s="18"/>
      <c r="N2936" s="18"/>
      <c r="O2936" s="18"/>
      <c r="P2936" s="18"/>
      <c r="Q2936" s="18"/>
      <c r="R2936" s="18"/>
      <c r="S2936" s="18"/>
      <c r="T2936" s="18"/>
      <c r="U2936" s="18"/>
      <c r="V2936" s="18"/>
      <c r="W2936" s="18"/>
      <c r="X2936" s="18"/>
      <c r="Y2936" s="18"/>
      <c r="Z2936" s="18"/>
    </row>
    <row r="2937" ht="22.5" customHeight="1">
      <c r="A2937" s="250"/>
      <c r="B2937" s="218"/>
      <c r="C2937" s="9"/>
      <c r="D2937" s="228"/>
      <c r="E2937" s="216"/>
      <c r="F2937" s="273"/>
      <c r="G2937" s="9"/>
      <c r="H2937" s="234"/>
      <c r="I2937" s="232"/>
      <c r="J2937" s="9"/>
      <c r="K2937" s="18"/>
      <c r="L2937" s="18"/>
      <c r="M2937" s="18"/>
      <c r="N2937" s="18"/>
      <c r="O2937" s="18"/>
      <c r="P2937" s="18"/>
      <c r="Q2937" s="18"/>
      <c r="R2937" s="18"/>
      <c r="S2937" s="18"/>
      <c r="T2937" s="18"/>
      <c r="U2937" s="18"/>
      <c r="V2937" s="18"/>
      <c r="W2937" s="18"/>
      <c r="X2937" s="18"/>
      <c r="Y2937" s="18"/>
      <c r="Z2937" s="18"/>
    </row>
    <row r="2938" ht="22.5" customHeight="1">
      <c r="A2938" s="250"/>
      <c r="B2938" s="218"/>
      <c r="C2938" s="9"/>
      <c r="D2938" s="228"/>
      <c r="E2938" s="216"/>
      <c r="F2938" s="273"/>
      <c r="G2938" s="9"/>
      <c r="H2938" s="234"/>
      <c r="I2938" s="232"/>
      <c r="J2938" s="9"/>
      <c r="K2938" s="18"/>
      <c r="L2938" s="18"/>
      <c r="M2938" s="18"/>
      <c r="N2938" s="18"/>
      <c r="O2938" s="18"/>
      <c r="P2938" s="18"/>
      <c r="Q2938" s="18"/>
      <c r="R2938" s="18"/>
      <c r="S2938" s="18"/>
      <c r="T2938" s="18"/>
      <c r="U2938" s="18"/>
      <c r="V2938" s="18"/>
      <c r="W2938" s="18"/>
      <c r="X2938" s="18"/>
      <c r="Y2938" s="18"/>
      <c r="Z2938" s="18"/>
    </row>
    <row r="2939" ht="22.5" customHeight="1">
      <c r="A2939" s="250"/>
      <c r="B2939" s="218"/>
      <c r="C2939" s="9"/>
      <c r="D2939" s="228"/>
      <c r="E2939" s="216"/>
      <c r="F2939" s="273"/>
      <c r="G2939" s="9"/>
      <c r="H2939" s="234"/>
      <c r="I2939" s="232"/>
      <c r="J2939" s="9"/>
      <c r="K2939" s="18"/>
      <c r="L2939" s="18"/>
      <c r="M2939" s="18"/>
      <c r="N2939" s="18"/>
      <c r="O2939" s="18"/>
      <c r="P2939" s="18"/>
      <c r="Q2939" s="18"/>
      <c r="R2939" s="18"/>
      <c r="S2939" s="18"/>
      <c r="T2939" s="18"/>
      <c r="U2939" s="18"/>
      <c r="V2939" s="18"/>
      <c r="W2939" s="18"/>
      <c r="X2939" s="18"/>
      <c r="Y2939" s="18"/>
      <c r="Z2939" s="18"/>
    </row>
    <row r="2940" ht="22.5" customHeight="1">
      <c r="A2940" s="250"/>
      <c r="B2940" s="218"/>
      <c r="C2940" s="9"/>
      <c r="D2940" s="228"/>
      <c r="E2940" s="216"/>
      <c r="F2940" s="273"/>
      <c r="G2940" s="9"/>
      <c r="H2940" s="234"/>
      <c r="I2940" s="232"/>
      <c r="J2940" s="9"/>
      <c r="K2940" s="18"/>
      <c r="L2940" s="18"/>
      <c r="M2940" s="18"/>
      <c r="N2940" s="18"/>
      <c r="O2940" s="18"/>
      <c r="P2940" s="18"/>
      <c r="Q2940" s="18"/>
      <c r="R2940" s="18"/>
      <c r="S2940" s="18"/>
      <c r="T2940" s="18"/>
      <c r="U2940" s="18"/>
      <c r="V2940" s="18"/>
      <c r="W2940" s="18"/>
      <c r="X2940" s="18"/>
      <c r="Y2940" s="18"/>
      <c r="Z2940" s="18"/>
    </row>
    <row r="2941" ht="22.5" customHeight="1">
      <c r="A2941" s="250"/>
      <c r="B2941" s="218"/>
      <c r="C2941" s="9"/>
      <c r="D2941" s="228"/>
      <c r="E2941" s="216"/>
      <c r="F2941" s="273"/>
      <c r="G2941" s="9"/>
      <c r="H2941" s="234"/>
      <c r="I2941" s="232"/>
      <c r="J2941" s="9"/>
      <c r="K2941" s="18"/>
      <c r="L2941" s="18"/>
      <c r="M2941" s="18"/>
      <c r="N2941" s="18"/>
      <c r="O2941" s="18"/>
      <c r="P2941" s="18"/>
      <c r="Q2941" s="18"/>
      <c r="R2941" s="18"/>
      <c r="S2941" s="18"/>
      <c r="T2941" s="18"/>
      <c r="U2941" s="18"/>
      <c r="V2941" s="18"/>
      <c r="W2941" s="18"/>
      <c r="X2941" s="18"/>
      <c r="Y2941" s="18"/>
      <c r="Z2941" s="18"/>
    </row>
    <row r="2942" ht="22.5" customHeight="1">
      <c r="A2942" s="250"/>
      <c r="B2942" s="218"/>
      <c r="C2942" s="9"/>
      <c r="D2942" s="228"/>
      <c r="E2942" s="216"/>
      <c r="F2942" s="273"/>
      <c r="G2942" s="9"/>
      <c r="H2942" s="234"/>
      <c r="I2942" s="232"/>
      <c r="J2942" s="9"/>
      <c r="K2942" s="18"/>
      <c r="L2942" s="18"/>
      <c r="M2942" s="18"/>
      <c r="N2942" s="18"/>
      <c r="O2942" s="18"/>
      <c r="P2942" s="18"/>
      <c r="Q2942" s="18"/>
      <c r="R2942" s="18"/>
      <c r="S2942" s="18"/>
      <c r="T2942" s="18"/>
      <c r="U2942" s="18"/>
      <c r="V2942" s="18"/>
      <c r="W2942" s="18"/>
      <c r="X2942" s="18"/>
      <c r="Y2942" s="18"/>
      <c r="Z2942" s="18"/>
    </row>
    <row r="2943" ht="22.5" customHeight="1">
      <c r="A2943" s="250"/>
      <c r="B2943" s="218"/>
      <c r="C2943" s="9"/>
      <c r="D2943" s="228"/>
      <c r="E2943" s="216"/>
      <c r="F2943" s="273"/>
      <c r="G2943" s="9"/>
      <c r="H2943" s="234"/>
      <c r="I2943" s="232"/>
      <c r="J2943" s="9"/>
      <c r="K2943" s="18"/>
      <c r="L2943" s="18"/>
      <c r="M2943" s="18"/>
      <c r="N2943" s="18"/>
      <c r="O2943" s="18"/>
      <c r="P2943" s="18"/>
      <c r="Q2943" s="18"/>
      <c r="R2943" s="18"/>
      <c r="S2943" s="18"/>
      <c r="T2943" s="18"/>
      <c r="U2943" s="18"/>
      <c r="V2943" s="18"/>
      <c r="W2943" s="18"/>
      <c r="X2943" s="18"/>
      <c r="Y2943" s="18"/>
      <c r="Z2943" s="18"/>
    </row>
    <row r="2944" ht="22.5" customHeight="1">
      <c r="A2944" s="250"/>
      <c r="B2944" s="218"/>
      <c r="C2944" s="9"/>
      <c r="D2944" s="228"/>
      <c r="E2944" s="216"/>
      <c r="F2944" s="273"/>
      <c r="G2944" s="9"/>
      <c r="H2944" s="234"/>
      <c r="I2944" s="232"/>
      <c r="J2944" s="9"/>
      <c r="K2944" s="18"/>
      <c r="L2944" s="18"/>
      <c r="M2944" s="18"/>
      <c r="N2944" s="18"/>
      <c r="O2944" s="18"/>
      <c r="P2944" s="18"/>
      <c r="Q2944" s="18"/>
      <c r="R2944" s="18"/>
      <c r="S2944" s="18"/>
      <c r="T2944" s="18"/>
      <c r="U2944" s="18"/>
      <c r="V2944" s="18"/>
      <c r="W2944" s="18"/>
      <c r="X2944" s="18"/>
      <c r="Y2944" s="18"/>
      <c r="Z2944" s="18"/>
    </row>
    <row r="2945" ht="22.5" customHeight="1">
      <c r="A2945" s="250"/>
      <c r="B2945" s="218"/>
      <c r="C2945" s="9"/>
      <c r="D2945" s="228"/>
      <c r="E2945" s="216"/>
      <c r="F2945" s="273"/>
      <c r="G2945" s="9"/>
      <c r="H2945" s="234"/>
      <c r="I2945" s="232"/>
      <c r="J2945" s="9"/>
      <c r="K2945" s="18"/>
      <c r="L2945" s="18"/>
      <c r="M2945" s="18"/>
      <c r="N2945" s="18"/>
      <c r="O2945" s="18"/>
      <c r="P2945" s="18"/>
      <c r="Q2945" s="18"/>
      <c r="R2945" s="18"/>
      <c r="S2945" s="18"/>
      <c r="T2945" s="18"/>
      <c r="U2945" s="18"/>
      <c r="V2945" s="18"/>
      <c r="W2945" s="18"/>
      <c r="X2945" s="18"/>
      <c r="Y2945" s="18"/>
      <c r="Z2945" s="18"/>
    </row>
    <row r="2946" ht="22.5" customHeight="1">
      <c r="A2946" s="250"/>
      <c r="B2946" s="218"/>
      <c r="C2946" s="9"/>
      <c r="D2946" s="228"/>
      <c r="E2946" s="216"/>
      <c r="F2946" s="273"/>
      <c r="G2946" s="9"/>
      <c r="H2946" s="234"/>
      <c r="I2946" s="232"/>
      <c r="J2946" s="9"/>
      <c r="K2946" s="18"/>
      <c r="L2946" s="18"/>
      <c r="M2946" s="18"/>
      <c r="N2946" s="18"/>
      <c r="O2946" s="18"/>
      <c r="P2946" s="18"/>
      <c r="Q2946" s="18"/>
      <c r="R2946" s="18"/>
      <c r="S2946" s="18"/>
      <c r="T2946" s="18"/>
      <c r="U2946" s="18"/>
      <c r="V2946" s="18"/>
      <c r="W2946" s="18"/>
      <c r="X2946" s="18"/>
      <c r="Y2946" s="18"/>
      <c r="Z2946" s="18"/>
    </row>
    <row r="2947" ht="22.5" customHeight="1">
      <c r="A2947" s="250"/>
      <c r="B2947" s="218"/>
      <c r="C2947" s="9"/>
      <c r="D2947" s="228"/>
      <c r="E2947" s="216"/>
      <c r="F2947" s="273"/>
      <c r="G2947" s="9"/>
      <c r="H2947" s="234"/>
      <c r="I2947" s="232"/>
      <c r="J2947" s="9"/>
      <c r="K2947" s="18"/>
      <c r="L2947" s="18"/>
      <c r="M2947" s="18"/>
      <c r="N2947" s="18"/>
      <c r="O2947" s="18"/>
      <c r="P2947" s="18"/>
      <c r="Q2947" s="18"/>
      <c r="R2947" s="18"/>
      <c r="S2947" s="18"/>
      <c r="T2947" s="18"/>
      <c r="U2947" s="18"/>
      <c r="V2947" s="18"/>
      <c r="W2947" s="18"/>
      <c r="X2947" s="18"/>
      <c r="Y2947" s="18"/>
      <c r="Z2947" s="18"/>
    </row>
    <row r="2948" ht="22.5" customHeight="1">
      <c r="A2948" s="250"/>
      <c r="B2948" s="218"/>
      <c r="C2948" s="9"/>
      <c r="D2948" s="228"/>
      <c r="E2948" s="216"/>
      <c r="F2948" s="273"/>
      <c r="G2948" s="9"/>
      <c r="H2948" s="234"/>
      <c r="I2948" s="232"/>
      <c r="J2948" s="9"/>
      <c r="K2948" s="18"/>
      <c r="L2948" s="18"/>
      <c r="M2948" s="18"/>
      <c r="N2948" s="18"/>
      <c r="O2948" s="18"/>
      <c r="P2948" s="18"/>
      <c r="Q2948" s="18"/>
      <c r="R2948" s="18"/>
      <c r="S2948" s="18"/>
      <c r="T2948" s="18"/>
      <c r="U2948" s="18"/>
      <c r="V2948" s="18"/>
      <c r="W2948" s="18"/>
      <c r="X2948" s="18"/>
      <c r="Y2948" s="18"/>
      <c r="Z2948" s="18"/>
    </row>
    <row r="2949" ht="22.5" customHeight="1">
      <c r="A2949" s="250"/>
      <c r="B2949" s="218"/>
      <c r="C2949" s="9"/>
      <c r="D2949" s="228"/>
      <c r="E2949" s="216"/>
      <c r="F2949" s="273"/>
      <c r="G2949" s="9"/>
      <c r="H2949" s="234"/>
      <c r="I2949" s="232"/>
      <c r="J2949" s="9"/>
      <c r="K2949" s="18"/>
      <c r="L2949" s="18"/>
      <c r="M2949" s="18"/>
      <c r="N2949" s="18"/>
      <c r="O2949" s="18"/>
      <c r="P2949" s="18"/>
      <c r="Q2949" s="18"/>
      <c r="R2949" s="18"/>
      <c r="S2949" s="18"/>
      <c r="T2949" s="18"/>
      <c r="U2949" s="18"/>
      <c r="V2949" s="18"/>
      <c r="W2949" s="18"/>
      <c r="X2949" s="18"/>
      <c r="Y2949" s="18"/>
      <c r="Z2949" s="18"/>
    </row>
    <row r="2950" ht="22.5" customHeight="1">
      <c r="A2950" s="250"/>
      <c r="B2950" s="218"/>
      <c r="C2950" s="9"/>
      <c r="D2950" s="228"/>
      <c r="E2950" s="216"/>
      <c r="F2950" s="273"/>
      <c r="G2950" s="9"/>
      <c r="H2950" s="234"/>
      <c r="I2950" s="232"/>
      <c r="J2950" s="9"/>
      <c r="K2950" s="18"/>
      <c r="L2950" s="18"/>
      <c r="M2950" s="18"/>
      <c r="N2950" s="18"/>
      <c r="O2950" s="18"/>
      <c r="P2950" s="18"/>
      <c r="Q2950" s="18"/>
      <c r="R2950" s="18"/>
      <c r="S2950" s="18"/>
      <c r="T2950" s="18"/>
      <c r="U2950" s="18"/>
      <c r="V2950" s="18"/>
      <c r="W2950" s="18"/>
      <c r="X2950" s="18"/>
      <c r="Y2950" s="18"/>
      <c r="Z2950" s="18"/>
    </row>
    <row r="2951" ht="22.5" customHeight="1">
      <c r="A2951" s="250"/>
      <c r="B2951" s="218"/>
      <c r="C2951" s="9"/>
      <c r="D2951" s="228"/>
      <c r="E2951" s="216"/>
      <c r="F2951" s="273"/>
      <c r="G2951" s="9"/>
      <c r="H2951" s="234"/>
      <c r="I2951" s="232"/>
      <c r="J2951" s="9"/>
      <c r="K2951" s="18"/>
      <c r="L2951" s="18"/>
      <c r="M2951" s="18"/>
      <c r="N2951" s="18"/>
      <c r="O2951" s="18"/>
      <c r="P2951" s="18"/>
      <c r="Q2951" s="18"/>
      <c r="R2951" s="18"/>
      <c r="S2951" s="18"/>
      <c r="T2951" s="18"/>
      <c r="U2951" s="18"/>
      <c r="V2951" s="18"/>
      <c r="W2951" s="18"/>
      <c r="X2951" s="18"/>
      <c r="Y2951" s="18"/>
      <c r="Z2951" s="18"/>
    </row>
    <row r="2952" ht="22.5" customHeight="1">
      <c r="A2952" s="250"/>
      <c r="B2952" s="218"/>
      <c r="C2952" s="9"/>
      <c r="D2952" s="228"/>
      <c r="E2952" s="216"/>
      <c r="F2952" s="273"/>
      <c r="G2952" s="9"/>
      <c r="H2952" s="234"/>
      <c r="I2952" s="232"/>
      <c r="J2952" s="9"/>
      <c r="K2952" s="18"/>
      <c r="L2952" s="18"/>
      <c r="M2952" s="18"/>
      <c r="N2952" s="18"/>
      <c r="O2952" s="18"/>
      <c r="P2952" s="18"/>
      <c r="Q2952" s="18"/>
      <c r="R2952" s="18"/>
      <c r="S2952" s="18"/>
      <c r="T2952" s="18"/>
      <c r="U2952" s="18"/>
      <c r="V2952" s="18"/>
      <c r="W2952" s="18"/>
      <c r="X2952" s="18"/>
      <c r="Y2952" s="18"/>
      <c r="Z2952" s="18"/>
    </row>
    <row r="2953" ht="22.5" customHeight="1">
      <c r="A2953" s="250"/>
      <c r="B2953" s="218"/>
      <c r="C2953" s="9"/>
      <c r="D2953" s="228"/>
      <c r="E2953" s="216"/>
      <c r="F2953" s="273"/>
      <c r="G2953" s="9"/>
      <c r="H2953" s="234"/>
      <c r="I2953" s="232"/>
      <c r="J2953" s="9"/>
      <c r="K2953" s="18"/>
      <c r="L2953" s="18"/>
      <c r="M2953" s="18"/>
      <c r="N2953" s="18"/>
      <c r="O2953" s="18"/>
      <c r="P2953" s="18"/>
      <c r="Q2953" s="18"/>
      <c r="R2953" s="18"/>
      <c r="S2953" s="18"/>
      <c r="T2953" s="18"/>
      <c r="U2953" s="18"/>
      <c r="V2953" s="18"/>
      <c r="W2953" s="18"/>
      <c r="X2953" s="18"/>
      <c r="Y2953" s="18"/>
      <c r="Z2953" s="18"/>
    </row>
    <row r="2954" ht="22.5" customHeight="1">
      <c r="A2954" s="250"/>
      <c r="B2954" s="218"/>
      <c r="C2954" s="9"/>
      <c r="D2954" s="228"/>
      <c r="E2954" s="216"/>
      <c r="F2954" s="273"/>
      <c r="G2954" s="9"/>
      <c r="H2954" s="234"/>
      <c r="I2954" s="232"/>
      <c r="J2954" s="9"/>
      <c r="K2954" s="18"/>
      <c r="L2954" s="18"/>
      <c r="M2954" s="18"/>
      <c r="N2954" s="18"/>
      <c r="O2954" s="18"/>
      <c r="P2954" s="18"/>
      <c r="Q2954" s="18"/>
      <c r="R2954" s="18"/>
      <c r="S2954" s="18"/>
      <c r="T2954" s="18"/>
      <c r="U2954" s="18"/>
      <c r="V2954" s="18"/>
      <c r="W2954" s="18"/>
      <c r="X2954" s="18"/>
      <c r="Y2954" s="18"/>
      <c r="Z2954" s="18"/>
    </row>
    <row r="2955" ht="22.5" customHeight="1">
      <c r="A2955" s="250"/>
      <c r="B2955" s="218"/>
      <c r="C2955" s="9"/>
      <c r="D2955" s="228"/>
      <c r="E2955" s="216"/>
      <c r="F2955" s="273"/>
      <c r="G2955" s="9"/>
      <c r="H2955" s="234"/>
      <c r="I2955" s="232"/>
      <c r="J2955" s="9"/>
      <c r="K2955" s="18"/>
      <c r="L2955" s="18"/>
      <c r="M2955" s="18"/>
      <c r="N2955" s="18"/>
      <c r="O2955" s="18"/>
      <c r="P2955" s="18"/>
      <c r="Q2955" s="18"/>
      <c r="R2955" s="18"/>
      <c r="S2955" s="18"/>
      <c r="T2955" s="18"/>
      <c r="U2955" s="18"/>
      <c r="V2955" s="18"/>
      <c r="W2955" s="18"/>
      <c r="X2955" s="18"/>
      <c r="Y2955" s="18"/>
      <c r="Z2955" s="18"/>
    </row>
    <row r="2956" ht="22.5" customHeight="1">
      <c r="A2956" s="250"/>
      <c r="B2956" s="218"/>
      <c r="C2956" s="9"/>
      <c r="D2956" s="228"/>
      <c r="E2956" s="216"/>
      <c r="F2956" s="273"/>
      <c r="G2956" s="9"/>
      <c r="H2956" s="234"/>
      <c r="I2956" s="232"/>
      <c r="J2956" s="9"/>
      <c r="K2956" s="18"/>
      <c r="L2956" s="18"/>
      <c r="M2956" s="18"/>
      <c r="N2956" s="18"/>
      <c r="O2956" s="18"/>
      <c r="P2956" s="18"/>
      <c r="Q2956" s="18"/>
      <c r="R2956" s="18"/>
      <c r="S2956" s="18"/>
      <c r="T2956" s="18"/>
      <c r="U2956" s="18"/>
      <c r="V2956" s="18"/>
      <c r="W2956" s="18"/>
      <c r="X2956" s="18"/>
      <c r="Y2956" s="18"/>
      <c r="Z2956" s="18"/>
    </row>
    <row r="2957" ht="22.5" customHeight="1">
      <c r="A2957" s="250"/>
      <c r="B2957" s="218"/>
      <c r="C2957" s="9"/>
      <c r="D2957" s="228"/>
      <c r="E2957" s="216"/>
      <c r="F2957" s="273"/>
      <c r="G2957" s="9"/>
      <c r="H2957" s="234"/>
      <c r="I2957" s="232"/>
      <c r="J2957" s="9"/>
      <c r="K2957" s="18"/>
      <c r="L2957" s="18"/>
      <c r="M2957" s="18"/>
      <c r="N2957" s="18"/>
      <c r="O2957" s="18"/>
      <c r="P2957" s="18"/>
      <c r="Q2957" s="18"/>
      <c r="R2957" s="18"/>
      <c r="S2957" s="18"/>
      <c r="T2957" s="18"/>
      <c r="U2957" s="18"/>
      <c r="V2957" s="18"/>
      <c r="W2957" s="18"/>
      <c r="X2957" s="18"/>
      <c r="Y2957" s="18"/>
      <c r="Z2957" s="18"/>
    </row>
    <row r="2958" ht="22.5" customHeight="1">
      <c r="A2958" s="250"/>
      <c r="B2958" s="218"/>
      <c r="C2958" s="9"/>
      <c r="D2958" s="228"/>
      <c r="E2958" s="216"/>
      <c r="F2958" s="273"/>
      <c r="G2958" s="9"/>
      <c r="H2958" s="234"/>
      <c r="I2958" s="232"/>
      <c r="J2958" s="9"/>
      <c r="K2958" s="18"/>
      <c r="L2958" s="18"/>
      <c r="M2958" s="18"/>
      <c r="N2958" s="18"/>
      <c r="O2958" s="18"/>
      <c r="P2958" s="18"/>
      <c r="Q2958" s="18"/>
      <c r="R2958" s="18"/>
      <c r="S2958" s="18"/>
      <c r="T2958" s="18"/>
      <c r="U2958" s="18"/>
      <c r="V2958" s="18"/>
      <c r="W2958" s="18"/>
      <c r="X2958" s="18"/>
      <c r="Y2958" s="18"/>
      <c r="Z2958" s="18"/>
    </row>
    <row r="2959" ht="22.5" customHeight="1">
      <c r="A2959" s="250"/>
      <c r="B2959" s="218"/>
      <c r="C2959" s="9"/>
      <c r="D2959" s="228"/>
      <c r="E2959" s="216"/>
      <c r="F2959" s="273"/>
      <c r="G2959" s="9"/>
      <c r="H2959" s="234"/>
      <c r="I2959" s="232"/>
      <c r="J2959" s="9"/>
      <c r="K2959" s="18"/>
      <c r="L2959" s="18"/>
      <c r="M2959" s="18"/>
      <c r="N2959" s="18"/>
      <c r="O2959" s="18"/>
      <c r="P2959" s="18"/>
      <c r="Q2959" s="18"/>
      <c r="R2959" s="18"/>
      <c r="S2959" s="18"/>
      <c r="T2959" s="18"/>
      <c r="U2959" s="18"/>
      <c r="V2959" s="18"/>
      <c r="W2959" s="18"/>
      <c r="X2959" s="18"/>
      <c r="Y2959" s="18"/>
      <c r="Z2959" s="18"/>
    </row>
    <row r="2960" ht="22.5" customHeight="1">
      <c r="A2960" s="250"/>
      <c r="B2960" s="218"/>
      <c r="C2960" s="9"/>
      <c r="D2960" s="228"/>
      <c r="E2960" s="216"/>
      <c r="F2960" s="273"/>
      <c r="G2960" s="9"/>
      <c r="H2960" s="234"/>
      <c r="I2960" s="232"/>
      <c r="J2960" s="9"/>
      <c r="K2960" s="18"/>
      <c r="L2960" s="18"/>
      <c r="M2960" s="18"/>
      <c r="N2960" s="18"/>
      <c r="O2960" s="18"/>
      <c r="P2960" s="18"/>
      <c r="Q2960" s="18"/>
      <c r="R2960" s="18"/>
      <c r="S2960" s="18"/>
      <c r="T2960" s="18"/>
      <c r="U2960" s="18"/>
      <c r="V2960" s="18"/>
      <c r="W2960" s="18"/>
      <c r="X2960" s="18"/>
      <c r="Y2960" s="18"/>
      <c r="Z2960" s="18"/>
    </row>
    <row r="2961" ht="22.5" customHeight="1">
      <c r="A2961" s="250"/>
      <c r="B2961" s="218"/>
      <c r="C2961" s="9"/>
      <c r="D2961" s="228"/>
      <c r="E2961" s="216"/>
      <c r="F2961" s="273"/>
      <c r="G2961" s="9"/>
      <c r="H2961" s="234"/>
      <c r="I2961" s="232"/>
      <c r="J2961" s="9"/>
      <c r="K2961" s="18"/>
      <c r="L2961" s="18"/>
      <c r="M2961" s="18"/>
      <c r="N2961" s="18"/>
      <c r="O2961" s="18"/>
      <c r="P2961" s="18"/>
      <c r="Q2961" s="18"/>
      <c r="R2961" s="18"/>
      <c r="S2961" s="18"/>
      <c r="T2961" s="18"/>
      <c r="U2961" s="18"/>
      <c r="V2961" s="18"/>
      <c r="W2961" s="18"/>
      <c r="X2961" s="18"/>
      <c r="Y2961" s="18"/>
      <c r="Z2961" s="18"/>
    </row>
    <row r="2962" ht="22.5" customHeight="1">
      <c r="A2962" s="250"/>
      <c r="B2962" s="218"/>
      <c r="C2962" s="9"/>
      <c r="D2962" s="228"/>
      <c r="E2962" s="216"/>
      <c r="F2962" s="273"/>
      <c r="G2962" s="9"/>
      <c r="H2962" s="234"/>
      <c r="I2962" s="232"/>
      <c r="J2962" s="9"/>
      <c r="K2962" s="18"/>
      <c r="L2962" s="18"/>
      <c r="M2962" s="18"/>
      <c r="N2962" s="18"/>
      <c r="O2962" s="18"/>
      <c r="P2962" s="18"/>
      <c r="Q2962" s="18"/>
      <c r="R2962" s="18"/>
      <c r="S2962" s="18"/>
      <c r="T2962" s="18"/>
      <c r="U2962" s="18"/>
      <c r="V2962" s="18"/>
      <c r="W2962" s="18"/>
      <c r="X2962" s="18"/>
      <c r="Y2962" s="18"/>
      <c r="Z2962" s="18"/>
    </row>
    <row r="2963" ht="22.5" customHeight="1">
      <c r="A2963" s="250"/>
      <c r="B2963" s="218"/>
      <c r="C2963" s="9"/>
      <c r="D2963" s="228"/>
      <c r="E2963" s="216"/>
      <c r="F2963" s="273"/>
      <c r="G2963" s="9"/>
      <c r="H2963" s="234"/>
      <c r="I2963" s="232"/>
      <c r="J2963" s="9"/>
      <c r="K2963" s="18"/>
      <c r="L2963" s="18"/>
      <c r="M2963" s="18"/>
      <c r="N2963" s="18"/>
      <c r="O2963" s="18"/>
      <c r="P2963" s="18"/>
      <c r="Q2963" s="18"/>
      <c r="R2963" s="18"/>
      <c r="S2963" s="18"/>
      <c r="T2963" s="18"/>
      <c r="U2963" s="18"/>
      <c r="V2963" s="18"/>
      <c r="W2963" s="18"/>
      <c r="X2963" s="18"/>
      <c r="Y2963" s="18"/>
      <c r="Z2963" s="18"/>
    </row>
    <row r="2964" ht="22.5" customHeight="1">
      <c r="A2964" s="250"/>
      <c r="B2964" s="218"/>
      <c r="C2964" s="9"/>
      <c r="D2964" s="228"/>
      <c r="E2964" s="216"/>
      <c r="F2964" s="273"/>
      <c r="G2964" s="9"/>
      <c r="H2964" s="234"/>
      <c r="I2964" s="232"/>
      <c r="J2964" s="9"/>
      <c r="K2964" s="18"/>
      <c r="L2964" s="18"/>
      <c r="M2964" s="18"/>
      <c r="N2964" s="18"/>
      <c r="O2964" s="18"/>
      <c r="P2964" s="18"/>
      <c r="Q2964" s="18"/>
      <c r="R2964" s="18"/>
      <c r="S2964" s="18"/>
      <c r="T2964" s="18"/>
      <c r="U2964" s="18"/>
      <c r="V2964" s="18"/>
      <c r="W2964" s="18"/>
      <c r="X2964" s="18"/>
      <c r="Y2964" s="18"/>
      <c r="Z2964" s="18"/>
    </row>
    <row r="2965" ht="22.5" customHeight="1">
      <c r="A2965" s="250"/>
      <c r="B2965" s="218"/>
      <c r="C2965" s="9"/>
      <c r="D2965" s="228"/>
      <c r="E2965" s="216"/>
      <c r="F2965" s="273"/>
      <c r="G2965" s="9"/>
      <c r="H2965" s="234"/>
      <c r="I2965" s="232"/>
      <c r="J2965" s="9"/>
      <c r="K2965" s="18"/>
      <c r="L2965" s="18"/>
      <c r="M2965" s="18"/>
      <c r="N2965" s="18"/>
      <c r="O2965" s="18"/>
      <c r="P2965" s="18"/>
      <c r="Q2965" s="18"/>
      <c r="R2965" s="18"/>
      <c r="S2965" s="18"/>
      <c r="T2965" s="18"/>
      <c r="U2965" s="18"/>
      <c r="V2965" s="18"/>
      <c r="W2965" s="18"/>
      <c r="X2965" s="18"/>
      <c r="Y2965" s="18"/>
      <c r="Z2965" s="18"/>
    </row>
    <row r="2966" ht="22.5" customHeight="1">
      <c r="A2966" s="250"/>
      <c r="B2966" s="218"/>
      <c r="C2966" s="9"/>
      <c r="D2966" s="228"/>
      <c r="E2966" s="216"/>
      <c r="F2966" s="273"/>
      <c r="G2966" s="9"/>
      <c r="H2966" s="234"/>
      <c r="I2966" s="232"/>
      <c r="J2966" s="9"/>
      <c r="K2966" s="18"/>
      <c r="L2966" s="18"/>
      <c r="M2966" s="18"/>
      <c r="N2966" s="18"/>
      <c r="O2966" s="18"/>
      <c r="P2966" s="18"/>
      <c r="Q2966" s="18"/>
      <c r="R2966" s="18"/>
      <c r="S2966" s="18"/>
      <c r="T2966" s="18"/>
      <c r="U2966" s="18"/>
      <c r="V2966" s="18"/>
      <c r="W2966" s="18"/>
      <c r="X2966" s="18"/>
      <c r="Y2966" s="18"/>
      <c r="Z2966" s="18"/>
    </row>
    <row r="2967" ht="22.5" customHeight="1">
      <c r="A2967" s="250"/>
      <c r="B2967" s="218"/>
      <c r="C2967" s="9"/>
      <c r="D2967" s="228"/>
      <c r="E2967" s="216"/>
      <c r="F2967" s="273"/>
      <c r="G2967" s="9"/>
      <c r="H2967" s="234"/>
      <c r="I2967" s="232"/>
      <c r="J2967" s="9"/>
      <c r="K2967" s="18"/>
      <c r="L2967" s="18"/>
      <c r="M2967" s="18"/>
      <c r="N2967" s="18"/>
      <c r="O2967" s="18"/>
      <c r="P2967" s="18"/>
      <c r="Q2967" s="18"/>
      <c r="R2967" s="18"/>
      <c r="S2967" s="18"/>
      <c r="T2967" s="18"/>
      <c r="U2967" s="18"/>
      <c r="V2967" s="18"/>
      <c r="W2967" s="18"/>
      <c r="X2967" s="18"/>
      <c r="Y2967" s="18"/>
      <c r="Z2967" s="18"/>
    </row>
    <row r="2968" ht="22.5" customHeight="1">
      <c r="A2968" s="250"/>
      <c r="B2968" s="218"/>
      <c r="C2968" s="9"/>
      <c r="D2968" s="228"/>
      <c r="E2968" s="216"/>
      <c r="F2968" s="273"/>
      <c r="G2968" s="9"/>
      <c r="H2968" s="234"/>
      <c r="I2968" s="232"/>
      <c r="J2968" s="9"/>
      <c r="K2968" s="18"/>
      <c r="L2968" s="18"/>
      <c r="M2968" s="18"/>
      <c r="N2968" s="18"/>
      <c r="O2968" s="18"/>
      <c r="P2968" s="18"/>
      <c r="Q2968" s="18"/>
      <c r="R2968" s="18"/>
      <c r="S2968" s="18"/>
      <c r="T2968" s="18"/>
      <c r="U2968" s="18"/>
      <c r="V2968" s="18"/>
      <c r="W2968" s="18"/>
      <c r="X2968" s="18"/>
      <c r="Y2968" s="18"/>
      <c r="Z2968" s="18"/>
    </row>
    <row r="2969" ht="22.5" customHeight="1">
      <c r="A2969" s="250"/>
      <c r="B2969" s="218"/>
      <c r="C2969" s="9"/>
      <c r="D2969" s="228"/>
      <c r="E2969" s="216"/>
      <c r="F2969" s="273"/>
      <c r="G2969" s="9"/>
      <c r="H2969" s="234"/>
      <c r="I2969" s="232"/>
      <c r="J2969" s="9"/>
      <c r="K2969" s="18"/>
      <c r="L2969" s="18"/>
      <c r="M2969" s="18"/>
      <c r="N2969" s="18"/>
      <c r="O2969" s="18"/>
      <c r="P2969" s="18"/>
      <c r="Q2969" s="18"/>
      <c r="R2969" s="18"/>
      <c r="S2969" s="18"/>
      <c r="T2969" s="18"/>
      <c r="U2969" s="18"/>
      <c r="V2969" s="18"/>
      <c r="W2969" s="18"/>
      <c r="X2969" s="18"/>
      <c r="Y2969" s="18"/>
      <c r="Z2969" s="18"/>
    </row>
    <row r="2970" ht="22.5" customHeight="1">
      <c r="A2970" s="250"/>
      <c r="B2970" s="218"/>
      <c r="C2970" s="9"/>
      <c r="D2970" s="228"/>
      <c r="E2970" s="216"/>
      <c r="F2970" s="273"/>
      <c r="G2970" s="9"/>
      <c r="H2970" s="234"/>
      <c r="I2970" s="232"/>
      <c r="J2970" s="9"/>
      <c r="K2970" s="18"/>
      <c r="L2970" s="18"/>
      <c r="M2970" s="18"/>
      <c r="N2970" s="18"/>
      <c r="O2970" s="18"/>
      <c r="P2970" s="18"/>
      <c r="Q2970" s="18"/>
      <c r="R2970" s="18"/>
      <c r="S2970" s="18"/>
      <c r="T2970" s="18"/>
      <c r="U2970" s="18"/>
      <c r="V2970" s="18"/>
      <c r="W2970" s="18"/>
      <c r="X2970" s="18"/>
      <c r="Y2970" s="18"/>
      <c r="Z2970" s="18"/>
    </row>
    <row r="2971" ht="22.5" customHeight="1">
      <c r="A2971" s="250"/>
      <c r="B2971" s="218"/>
      <c r="C2971" s="9"/>
      <c r="D2971" s="228"/>
      <c r="E2971" s="216"/>
      <c r="F2971" s="273"/>
      <c r="G2971" s="9"/>
      <c r="H2971" s="234"/>
      <c r="I2971" s="232"/>
      <c r="J2971" s="9"/>
      <c r="K2971" s="18"/>
      <c r="L2971" s="18"/>
      <c r="M2971" s="18"/>
      <c r="N2971" s="18"/>
      <c r="O2971" s="18"/>
      <c r="P2971" s="18"/>
      <c r="Q2971" s="18"/>
      <c r="R2971" s="18"/>
      <c r="S2971" s="18"/>
      <c r="T2971" s="18"/>
      <c r="U2971" s="18"/>
      <c r="V2971" s="18"/>
      <c r="W2971" s="18"/>
      <c r="X2971" s="18"/>
      <c r="Y2971" s="18"/>
      <c r="Z2971" s="18"/>
    </row>
    <row r="2972" ht="22.5" customHeight="1">
      <c r="A2972" s="250"/>
      <c r="B2972" s="218"/>
      <c r="C2972" s="9"/>
      <c r="D2972" s="228"/>
      <c r="E2972" s="216"/>
      <c r="F2972" s="273"/>
      <c r="G2972" s="9"/>
      <c r="H2972" s="234"/>
      <c r="I2972" s="232"/>
      <c r="J2972" s="9"/>
      <c r="K2972" s="18"/>
      <c r="L2972" s="18"/>
      <c r="M2972" s="18"/>
      <c r="N2972" s="18"/>
      <c r="O2972" s="18"/>
      <c r="P2972" s="18"/>
      <c r="Q2972" s="18"/>
      <c r="R2972" s="18"/>
      <c r="S2972" s="18"/>
      <c r="T2972" s="18"/>
      <c r="U2972" s="18"/>
      <c r="V2972" s="18"/>
      <c r="W2972" s="18"/>
      <c r="X2972" s="18"/>
      <c r="Y2972" s="18"/>
      <c r="Z2972" s="18"/>
    </row>
    <row r="2973" ht="22.5" customHeight="1">
      <c r="A2973" s="250"/>
      <c r="B2973" s="218"/>
      <c r="C2973" s="9"/>
      <c r="D2973" s="228"/>
      <c r="E2973" s="216"/>
      <c r="F2973" s="273"/>
      <c r="G2973" s="9"/>
      <c r="H2973" s="234"/>
      <c r="I2973" s="232"/>
      <c r="J2973" s="9"/>
      <c r="K2973" s="18"/>
      <c r="L2973" s="18"/>
      <c r="M2973" s="18"/>
      <c r="N2973" s="18"/>
      <c r="O2973" s="18"/>
      <c r="P2973" s="18"/>
      <c r="Q2973" s="18"/>
      <c r="R2973" s="18"/>
      <c r="S2973" s="18"/>
      <c r="T2973" s="18"/>
      <c r="U2973" s="18"/>
      <c r="V2973" s="18"/>
      <c r="W2973" s="18"/>
      <c r="X2973" s="18"/>
      <c r="Y2973" s="18"/>
      <c r="Z2973" s="18"/>
    </row>
    <row r="2974" ht="22.5" customHeight="1">
      <c r="A2974" s="250"/>
      <c r="B2974" s="218"/>
      <c r="C2974" s="9"/>
      <c r="D2974" s="228"/>
      <c r="E2974" s="216"/>
      <c r="F2974" s="273"/>
      <c r="G2974" s="9"/>
      <c r="H2974" s="234"/>
      <c r="I2974" s="232"/>
      <c r="J2974" s="9"/>
      <c r="K2974" s="18"/>
      <c r="L2974" s="18"/>
      <c r="M2974" s="18"/>
      <c r="N2974" s="18"/>
      <c r="O2974" s="18"/>
      <c r="P2974" s="18"/>
      <c r="Q2974" s="18"/>
      <c r="R2974" s="18"/>
      <c r="S2974" s="18"/>
      <c r="T2974" s="18"/>
      <c r="U2974" s="18"/>
      <c r="V2974" s="18"/>
      <c r="W2974" s="18"/>
      <c r="X2974" s="18"/>
      <c r="Y2974" s="18"/>
      <c r="Z2974" s="18"/>
    </row>
    <row r="2975" ht="22.5" customHeight="1">
      <c r="A2975" s="250"/>
      <c r="B2975" s="218"/>
      <c r="C2975" s="9"/>
      <c r="D2975" s="228"/>
      <c r="E2975" s="216"/>
      <c r="F2975" s="273"/>
      <c r="G2975" s="9"/>
      <c r="H2975" s="234"/>
      <c r="I2975" s="232"/>
      <c r="J2975" s="9"/>
      <c r="K2975" s="18"/>
      <c r="L2975" s="18"/>
      <c r="M2975" s="18"/>
      <c r="N2975" s="18"/>
      <c r="O2975" s="18"/>
      <c r="P2975" s="18"/>
      <c r="Q2975" s="18"/>
      <c r="R2975" s="18"/>
      <c r="S2975" s="18"/>
      <c r="T2975" s="18"/>
      <c r="U2975" s="18"/>
      <c r="V2975" s="18"/>
      <c r="W2975" s="18"/>
      <c r="X2975" s="18"/>
      <c r="Y2975" s="18"/>
      <c r="Z2975" s="18"/>
    </row>
    <row r="2976" ht="22.5" customHeight="1">
      <c r="A2976" s="250"/>
      <c r="B2976" s="218"/>
      <c r="C2976" s="9"/>
      <c r="D2976" s="228"/>
      <c r="E2976" s="216"/>
      <c r="F2976" s="273"/>
      <c r="G2976" s="9"/>
      <c r="H2976" s="234"/>
      <c r="I2976" s="232"/>
      <c r="J2976" s="9"/>
      <c r="K2976" s="18"/>
      <c r="L2976" s="18"/>
      <c r="M2976" s="18"/>
      <c r="N2976" s="18"/>
      <c r="O2976" s="18"/>
      <c r="P2976" s="18"/>
      <c r="Q2976" s="18"/>
      <c r="R2976" s="18"/>
      <c r="S2976" s="18"/>
      <c r="T2976" s="18"/>
      <c r="U2976" s="18"/>
      <c r="V2976" s="18"/>
      <c r="W2976" s="18"/>
      <c r="X2976" s="18"/>
      <c r="Y2976" s="18"/>
      <c r="Z2976" s="18"/>
    </row>
    <row r="2977" ht="22.5" customHeight="1">
      <c r="A2977" s="250"/>
      <c r="B2977" s="218"/>
      <c r="C2977" s="9"/>
      <c r="D2977" s="228"/>
      <c r="E2977" s="216"/>
      <c r="F2977" s="273"/>
      <c r="G2977" s="9"/>
      <c r="H2977" s="234"/>
      <c r="I2977" s="232"/>
      <c r="J2977" s="9"/>
      <c r="K2977" s="18"/>
      <c r="L2977" s="18"/>
      <c r="M2977" s="18"/>
      <c r="N2977" s="18"/>
      <c r="O2977" s="18"/>
      <c r="P2977" s="18"/>
      <c r="Q2977" s="18"/>
      <c r="R2977" s="18"/>
      <c r="S2977" s="18"/>
      <c r="T2977" s="18"/>
      <c r="U2977" s="18"/>
      <c r="V2977" s="18"/>
      <c r="W2977" s="18"/>
      <c r="X2977" s="18"/>
      <c r="Y2977" s="18"/>
      <c r="Z2977" s="18"/>
    </row>
    <row r="2978" ht="22.5" customHeight="1">
      <c r="A2978" s="250"/>
      <c r="B2978" s="218"/>
      <c r="C2978" s="9"/>
      <c r="D2978" s="228"/>
      <c r="E2978" s="216"/>
      <c r="F2978" s="273"/>
      <c r="G2978" s="9"/>
      <c r="H2978" s="234"/>
      <c r="I2978" s="232"/>
      <c r="J2978" s="9"/>
      <c r="K2978" s="18"/>
      <c r="L2978" s="18"/>
      <c r="M2978" s="18"/>
      <c r="N2978" s="18"/>
      <c r="O2978" s="18"/>
      <c r="P2978" s="18"/>
      <c r="Q2978" s="18"/>
      <c r="R2978" s="18"/>
      <c r="S2978" s="18"/>
      <c r="T2978" s="18"/>
      <c r="U2978" s="18"/>
      <c r="V2978" s="18"/>
      <c r="W2978" s="18"/>
      <c r="X2978" s="18"/>
      <c r="Y2978" s="18"/>
      <c r="Z2978" s="18"/>
    </row>
    <row r="2979" ht="22.5" customHeight="1">
      <c r="A2979" s="250"/>
      <c r="B2979" s="218"/>
      <c r="C2979" s="9"/>
      <c r="D2979" s="228"/>
      <c r="E2979" s="216"/>
      <c r="F2979" s="273"/>
      <c r="G2979" s="9"/>
      <c r="H2979" s="234"/>
      <c r="I2979" s="232"/>
      <c r="J2979" s="9"/>
      <c r="K2979" s="18"/>
      <c r="L2979" s="18"/>
      <c r="M2979" s="18"/>
      <c r="N2979" s="18"/>
      <c r="O2979" s="18"/>
      <c r="P2979" s="18"/>
      <c r="Q2979" s="18"/>
      <c r="R2979" s="18"/>
      <c r="S2979" s="18"/>
      <c r="T2979" s="18"/>
      <c r="U2979" s="18"/>
      <c r="V2979" s="18"/>
      <c r="W2979" s="18"/>
      <c r="X2979" s="18"/>
      <c r="Y2979" s="18"/>
      <c r="Z2979" s="18"/>
    </row>
    <row r="2980" ht="22.5" customHeight="1">
      <c r="A2980" s="250"/>
      <c r="B2980" s="218"/>
      <c r="C2980" s="9"/>
      <c r="D2980" s="228"/>
      <c r="E2980" s="216"/>
      <c r="F2980" s="273"/>
      <c r="G2980" s="9"/>
      <c r="H2980" s="234"/>
      <c r="I2980" s="232"/>
      <c r="J2980" s="9"/>
      <c r="K2980" s="18"/>
      <c r="L2980" s="18"/>
      <c r="M2980" s="18"/>
      <c r="N2980" s="18"/>
      <c r="O2980" s="18"/>
      <c r="P2980" s="18"/>
      <c r="Q2980" s="18"/>
      <c r="R2980" s="18"/>
      <c r="S2980" s="18"/>
      <c r="T2980" s="18"/>
      <c r="U2980" s="18"/>
      <c r="V2980" s="18"/>
      <c r="W2980" s="18"/>
      <c r="X2980" s="18"/>
      <c r="Y2980" s="18"/>
      <c r="Z2980" s="18"/>
    </row>
    <row r="2981" ht="22.5" customHeight="1">
      <c r="A2981" s="250"/>
      <c r="B2981" s="218"/>
      <c r="C2981" s="9"/>
      <c r="D2981" s="228"/>
      <c r="E2981" s="216"/>
      <c r="F2981" s="273"/>
      <c r="G2981" s="9"/>
      <c r="H2981" s="234"/>
      <c r="I2981" s="232"/>
      <c r="J2981" s="9"/>
      <c r="K2981" s="18"/>
      <c r="L2981" s="18"/>
      <c r="M2981" s="18"/>
      <c r="N2981" s="18"/>
      <c r="O2981" s="18"/>
      <c r="P2981" s="18"/>
      <c r="Q2981" s="18"/>
      <c r="R2981" s="18"/>
      <c r="S2981" s="18"/>
      <c r="T2981" s="18"/>
      <c r="U2981" s="18"/>
      <c r="V2981" s="18"/>
      <c r="W2981" s="18"/>
      <c r="X2981" s="18"/>
      <c r="Y2981" s="18"/>
      <c r="Z2981" s="18"/>
    </row>
    <row r="2982" ht="22.5" customHeight="1">
      <c r="A2982" s="250"/>
      <c r="B2982" s="218"/>
      <c r="C2982" s="9"/>
      <c r="D2982" s="228"/>
      <c r="E2982" s="216"/>
      <c r="F2982" s="273"/>
      <c r="G2982" s="9"/>
      <c r="H2982" s="234"/>
      <c r="I2982" s="232"/>
      <c r="J2982" s="9"/>
      <c r="K2982" s="18"/>
      <c r="L2982" s="18"/>
      <c r="M2982" s="18"/>
      <c r="N2982" s="18"/>
      <c r="O2982" s="18"/>
      <c r="P2982" s="18"/>
      <c r="Q2982" s="18"/>
      <c r="R2982" s="18"/>
      <c r="S2982" s="18"/>
      <c r="T2982" s="18"/>
      <c r="U2982" s="18"/>
      <c r="V2982" s="18"/>
      <c r="W2982" s="18"/>
      <c r="X2982" s="18"/>
      <c r="Y2982" s="18"/>
      <c r="Z2982" s="18"/>
    </row>
    <row r="2983" ht="22.5" customHeight="1">
      <c r="A2983" s="250"/>
      <c r="B2983" s="218"/>
      <c r="C2983" s="9"/>
      <c r="D2983" s="228"/>
      <c r="E2983" s="216"/>
      <c r="F2983" s="273"/>
      <c r="G2983" s="9"/>
      <c r="H2983" s="234"/>
      <c r="I2983" s="232"/>
      <c r="J2983" s="9"/>
      <c r="K2983" s="18"/>
      <c r="L2983" s="18"/>
      <c r="M2983" s="18"/>
      <c r="N2983" s="18"/>
      <c r="O2983" s="18"/>
      <c r="P2983" s="18"/>
      <c r="Q2983" s="18"/>
      <c r="R2983" s="18"/>
      <c r="S2983" s="18"/>
      <c r="T2983" s="18"/>
      <c r="U2983" s="18"/>
      <c r="V2983" s="18"/>
      <c r="W2983" s="18"/>
      <c r="X2983" s="18"/>
      <c r="Y2983" s="18"/>
      <c r="Z2983" s="18"/>
    </row>
    <row r="2984" ht="22.5" customHeight="1">
      <c r="A2984" s="250"/>
      <c r="B2984" s="218"/>
      <c r="C2984" s="9"/>
      <c r="D2984" s="228"/>
      <c r="E2984" s="216"/>
      <c r="F2984" s="273"/>
      <c r="G2984" s="9"/>
      <c r="H2984" s="234"/>
      <c r="I2984" s="232"/>
      <c r="J2984" s="9"/>
      <c r="K2984" s="18"/>
      <c r="L2984" s="18"/>
      <c r="M2984" s="18"/>
      <c r="N2984" s="18"/>
      <c r="O2984" s="18"/>
      <c r="P2984" s="18"/>
      <c r="Q2984" s="18"/>
      <c r="R2984" s="18"/>
      <c r="S2984" s="18"/>
      <c r="T2984" s="18"/>
      <c r="U2984" s="18"/>
      <c r="V2984" s="18"/>
      <c r="W2984" s="18"/>
      <c r="X2984" s="18"/>
      <c r="Y2984" s="18"/>
      <c r="Z2984" s="18"/>
    </row>
    <row r="2985" ht="22.5" customHeight="1">
      <c r="A2985" s="250"/>
      <c r="B2985" s="218"/>
      <c r="C2985" s="9"/>
      <c r="D2985" s="228"/>
      <c r="E2985" s="216"/>
      <c r="F2985" s="273"/>
      <c r="G2985" s="9"/>
      <c r="H2985" s="234"/>
      <c r="I2985" s="232"/>
      <c r="J2985" s="9"/>
      <c r="K2985" s="18"/>
      <c r="L2985" s="18"/>
      <c r="M2985" s="18"/>
      <c r="N2985" s="18"/>
      <c r="O2985" s="18"/>
      <c r="P2985" s="18"/>
      <c r="Q2985" s="18"/>
      <c r="R2985" s="18"/>
      <c r="S2985" s="18"/>
      <c r="T2985" s="18"/>
      <c r="U2985" s="18"/>
      <c r="V2985" s="18"/>
      <c r="W2985" s="18"/>
      <c r="X2985" s="18"/>
      <c r="Y2985" s="18"/>
      <c r="Z2985" s="18"/>
    </row>
    <row r="2986" ht="22.5" customHeight="1">
      <c r="A2986" s="250"/>
      <c r="B2986" s="218"/>
      <c r="C2986" s="9"/>
      <c r="D2986" s="228"/>
      <c r="E2986" s="216"/>
      <c r="F2986" s="273"/>
      <c r="G2986" s="9"/>
      <c r="H2986" s="234"/>
      <c r="I2986" s="232"/>
      <c r="J2986" s="9"/>
      <c r="K2986" s="18"/>
      <c r="L2986" s="18"/>
      <c r="M2986" s="18"/>
      <c r="N2986" s="18"/>
      <c r="O2986" s="18"/>
      <c r="P2986" s="18"/>
      <c r="Q2986" s="18"/>
      <c r="R2986" s="18"/>
      <c r="S2986" s="18"/>
      <c r="T2986" s="18"/>
      <c r="U2986" s="18"/>
      <c r="V2986" s="18"/>
      <c r="W2986" s="18"/>
      <c r="X2986" s="18"/>
      <c r="Y2986" s="18"/>
      <c r="Z2986" s="18"/>
    </row>
    <row r="2987" ht="22.5" customHeight="1">
      <c r="A2987" s="250"/>
      <c r="B2987" s="218"/>
      <c r="C2987" s="9"/>
      <c r="D2987" s="228"/>
      <c r="E2987" s="216"/>
      <c r="F2987" s="273"/>
      <c r="G2987" s="9"/>
      <c r="H2987" s="234"/>
      <c r="I2987" s="232"/>
      <c r="J2987" s="9"/>
      <c r="K2987" s="18"/>
      <c r="L2987" s="18"/>
      <c r="M2987" s="18"/>
      <c r="N2987" s="18"/>
      <c r="O2987" s="18"/>
      <c r="P2987" s="18"/>
      <c r="Q2987" s="18"/>
      <c r="R2987" s="18"/>
      <c r="S2987" s="18"/>
      <c r="T2987" s="18"/>
      <c r="U2987" s="18"/>
      <c r="V2987" s="18"/>
      <c r="W2987" s="18"/>
      <c r="X2987" s="18"/>
      <c r="Y2987" s="18"/>
      <c r="Z2987" s="18"/>
    </row>
    <row r="2988" ht="22.5" customHeight="1">
      <c r="A2988" s="250"/>
      <c r="B2988" s="218"/>
      <c r="C2988" s="9"/>
      <c r="D2988" s="228"/>
      <c r="E2988" s="216"/>
      <c r="F2988" s="273"/>
      <c r="G2988" s="9"/>
      <c r="H2988" s="234"/>
      <c r="I2988" s="232"/>
      <c r="J2988" s="9"/>
      <c r="K2988" s="18"/>
      <c r="L2988" s="18"/>
      <c r="M2988" s="18"/>
      <c r="N2988" s="18"/>
      <c r="O2988" s="18"/>
      <c r="P2988" s="18"/>
      <c r="Q2988" s="18"/>
      <c r="R2988" s="18"/>
      <c r="S2988" s="18"/>
      <c r="T2988" s="18"/>
      <c r="U2988" s="18"/>
      <c r="V2988" s="18"/>
      <c r="W2988" s="18"/>
      <c r="X2988" s="18"/>
      <c r="Y2988" s="18"/>
      <c r="Z2988" s="18"/>
    </row>
    <row r="2989" ht="22.5" customHeight="1">
      <c r="A2989" s="250"/>
      <c r="B2989" s="218"/>
      <c r="C2989" s="9"/>
      <c r="D2989" s="228"/>
      <c r="E2989" s="216"/>
      <c r="F2989" s="273"/>
      <c r="G2989" s="9"/>
      <c r="H2989" s="234"/>
      <c r="I2989" s="232"/>
      <c r="J2989" s="9"/>
      <c r="K2989" s="18"/>
      <c r="L2989" s="18"/>
      <c r="M2989" s="18"/>
      <c r="N2989" s="18"/>
      <c r="O2989" s="18"/>
      <c r="P2989" s="18"/>
      <c r="Q2989" s="18"/>
      <c r="R2989" s="18"/>
      <c r="S2989" s="18"/>
      <c r="T2989" s="18"/>
      <c r="U2989" s="18"/>
      <c r="V2989" s="18"/>
      <c r="W2989" s="18"/>
      <c r="X2989" s="18"/>
      <c r="Y2989" s="18"/>
      <c r="Z2989" s="18"/>
    </row>
    <row r="2990" ht="22.5" customHeight="1">
      <c r="A2990" s="250"/>
      <c r="B2990" s="218"/>
      <c r="C2990" s="9"/>
      <c r="D2990" s="228"/>
      <c r="E2990" s="216"/>
      <c r="F2990" s="273"/>
      <c r="G2990" s="9"/>
      <c r="H2990" s="234"/>
      <c r="I2990" s="232"/>
      <c r="J2990" s="9"/>
      <c r="K2990" s="18"/>
      <c r="L2990" s="18"/>
      <c r="M2990" s="18"/>
      <c r="N2990" s="18"/>
      <c r="O2990" s="18"/>
      <c r="P2990" s="18"/>
      <c r="Q2990" s="18"/>
      <c r="R2990" s="18"/>
      <c r="S2990" s="18"/>
      <c r="T2990" s="18"/>
      <c r="U2990" s="18"/>
      <c r="V2990" s="18"/>
      <c r="W2990" s="18"/>
      <c r="X2990" s="18"/>
      <c r="Y2990" s="18"/>
      <c r="Z2990" s="18"/>
    </row>
    <row r="2991" ht="22.5" customHeight="1">
      <c r="A2991" s="250"/>
      <c r="B2991" s="218"/>
      <c r="C2991" s="9"/>
      <c r="D2991" s="228"/>
      <c r="E2991" s="216"/>
      <c r="F2991" s="273"/>
      <c r="G2991" s="9"/>
      <c r="H2991" s="234"/>
      <c r="I2991" s="232"/>
      <c r="J2991" s="9"/>
      <c r="K2991" s="18"/>
      <c r="L2991" s="18"/>
      <c r="M2991" s="18"/>
      <c r="N2991" s="18"/>
      <c r="O2991" s="18"/>
      <c r="P2991" s="18"/>
      <c r="Q2991" s="18"/>
      <c r="R2991" s="18"/>
      <c r="S2991" s="18"/>
      <c r="T2991" s="18"/>
      <c r="U2991" s="18"/>
      <c r="V2991" s="18"/>
      <c r="W2991" s="18"/>
      <c r="X2991" s="18"/>
      <c r="Y2991" s="18"/>
      <c r="Z2991" s="18"/>
    </row>
    <row r="2992" ht="22.5" customHeight="1">
      <c r="A2992" s="250"/>
      <c r="B2992" s="218"/>
      <c r="C2992" s="9"/>
      <c r="D2992" s="228"/>
      <c r="E2992" s="216"/>
      <c r="F2992" s="273"/>
      <c r="G2992" s="9"/>
      <c r="H2992" s="234"/>
      <c r="I2992" s="232"/>
      <c r="J2992" s="9"/>
      <c r="K2992" s="18"/>
      <c r="L2992" s="18"/>
      <c r="M2992" s="18"/>
      <c r="N2992" s="18"/>
      <c r="O2992" s="18"/>
      <c r="P2992" s="18"/>
      <c r="Q2992" s="18"/>
      <c r="R2992" s="18"/>
      <c r="S2992" s="18"/>
      <c r="T2992" s="18"/>
      <c r="U2992" s="18"/>
      <c r="V2992" s="18"/>
      <c r="W2992" s="18"/>
      <c r="X2992" s="18"/>
      <c r="Y2992" s="18"/>
      <c r="Z2992" s="18"/>
    </row>
    <row r="2993" ht="22.5" customHeight="1">
      <c r="A2993" s="250"/>
      <c r="B2993" s="218"/>
      <c r="C2993" s="9"/>
      <c r="D2993" s="228"/>
      <c r="E2993" s="216"/>
      <c r="F2993" s="273"/>
      <c r="G2993" s="9"/>
      <c r="H2993" s="234"/>
      <c r="I2993" s="232"/>
      <c r="J2993" s="9"/>
      <c r="K2993" s="18"/>
      <c r="L2993" s="18"/>
      <c r="M2993" s="18"/>
      <c r="N2993" s="18"/>
      <c r="O2993" s="18"/>
      <c r="P2993" s="18"/>
      <c r="Q2993" s="18"/>
      <c r="R2993" s="18"/>
      <c r="S2993" s="18"/>
      <c r="T2993" s="18"/>
      <c r="U2993" s="18"/>
      <c r="V2993" s="18"/>
      <c r="W2993" s="18"/>
      <c r="X2993" s="18"/>
      <c r="Y2993" s="18"/>
      <c r="Z2993" s="18"/>
    </row>
    <row r="2994" ht="22.5" customHeight="1">
      <c r="A2994" s="250"/>
      <c r="B2994" s="218"/>
      <c r="C2994" s="9"/>
      <c r="D2994" s="228"/>
      <c r="E2994" s="216"/>
      <c r="F2994" s="273"/>
      <c r="G2994" s="9"/>
      <c r="H2994" s="234"/>
      <c r="I2994" s="232"/>
      <c r="J2994" s="9"/>
      <c r="K2994" s="18"/>
      <c r="L2994" s="18"/>
      <c r="M2994" s="18"/>
      <c r="N2994" s="18"/>
      <c r="O2994" s="18"/>
      <c r="P2994" s="18"/>
      <c r="Q2994" s="18"/>
      <c r="R2994" s="18"/>
      <c r="S2994" s="18"/>
      <c r="T2994" s="18"/>
      <c r="U2994" s="18"/>
      <c r="V2994" s="18"/>
      <c r="W2994" s="18"/>
      <c r="X2994" s="18"/>
      <c r="Y2994" s="18"/>
      <c r="Z2994" s="18"/>
    </row>
    <row r="2995" ht="22.5" customHeight="1">
      <c r="A2995" s="250"/>
      <c r="B2995" s="218"/>
      <c r="C2995" s="9"/>
      <c r="D2995" s="228"/>
      <c r="E2995" s="216"/>
      <c r="F2995" s="273"/>
      <c r="G2995" s="9"/>
      <c r="H2995" s="234"/>
      <c r="I2995" s="232"/>
      <c r="J2995" s="9"/>
      <c r="K2995" s="18"/>
      <c r="L2995" s="18"/>
      <c r="M2995" s="18"/>
      <c r="N2995" s="18"/>
      <c r="O2995" s="18"/>
      <c r="P2995" s="18"/>
      <c r="Q2995" s="18"/>
      <c r="R2995" s="18"/>
      <c r="S2995" s="18"/>
      <c r="T2995" s="18"/>
      <c r="U2995" s="18"/>
      <c r="V2995" s="18"/>
      <c r="W2995" s="18"/>
      <c r="X2995" s="18"/>
      <c r="Y2995" s="18"/>
      <c r="Z2995" s="18"/>
    </row>
    <row r="2996" ht="22.5" customHeight="1">
      <c r="A2996" s="250"/>
      <c r="B2996" s="218"/>
      <c r="C2996" s="9"/>
      <c r="D2996" s="228"/>
      <c r="E2996" s="216"/>
      <c r="F2996" s="273"/>
      <c r="G2996" s="9"/>
      <c r="H2996" s="234"/>
      <c r="I2996" s="232"/>
      <c r="J2996" s="9"/>
      <c r="K2996" s="18"/>
      <c r="L2996" s="18"/>
      <c r="M2996" s="18"/>
      <c r="N2996" s="18"/>
      <c r="O2996" s="18"/>
      <c r="P2996" s="18"/>
      <c r="Q2996" s="18"/>
      <c r="R2996" s="18"/>
      <c r="S2996" s="18"/>
      <c r="T2996" s="18"/>
      <c r="U2996" s="18"/>
      <c r="V2996" s="18"/>
      <c r="W2996" s="18"/>
      <c r="X2996" s="18"/>
      <c r="Y2996" s="18"/>
      <c r="Z2996" s="18"/>
    </row>
    <row r="2997" ht="22.5" customHeight="1">
      <c r="A2997" s="250"/>
      <c r="B2997" s="218"/>
      <c r="C2997" s="9"/>
      <c r="D2997" s="228"/>
      <c r="E2997" s="216"/>
      <c r="F2997" s="273"/>
      <c r="G2997" s="9"/>
      <c r="H2997" s="234"/>
      <c r="I2997" s="232"/>
      <c r="J2997" s="9"/>
      <c r="K2997" s="18"/>
      <c r="L2997" s="18"/>
      <c r="M2997" s="18"/>
      <c r="N2997" s="18"/>
      <c r="O2997" s="18"/>
      <c r="P2997" s="18"/>
      <c r="Q2997" s="18"/>
      <c r="R2997" s="18"/>
      <c r="S2997" s="18"/>
      <c r="T2997" s="18"/>
      <c r="U2997" s="18"/>
      <c r="V2997" s="18"/>
      <c r="W2997" s="18"/>
      <c r="X2997" s="18"/>
      <c r="Y2997" s="18"/>
      <c r="Z2997" s="18"/>
    </row>
    <row r="2998" ht="22.5" customHeight="1">
      <c r="A2998" s="250"/>
      <c r="B2998" s="218"/>
      <c r="C2998" s="9"/>
      <c r="D2998" s="228"/>
      <c r="E2998" s="216"/>
      <c r="F2998" s="273"/>
      <c r="G2998" s="9"/>
      <c r="H2998" s="234"/>
      <c r="I2998" s="232"/>
      <c r="J2998" s="9"/>
      <c r="K2998" s="18"/>
      <c r="L2998" s="18"/>
      <c r="M2998" s="18"/>
      <c r="N2998" s="18"/>
      <c r="O2998" s="18"/>
      <c r="P2998" s="18"/>
      <c r="Q2998" s="18"/>
      <c r="R2998" s="18"/>
      <c r="S2998" s="18"/>
      <c r="T2998" s="18"/>
      <c r="U2998" s="18"/>
      <c r="V2998" s="18"/>
      <c r="W2998" s="18"/>
      <c r="X2998" s="18"/>
      <c r="Y2998" s="18"/>
      <c r="Z2998" s="18"/>
    </row>
    <row r="2999" ht="22.5" customHeight="1">
      <c r="A2999" s="250"/>
      <c r="B2999" s="218"/>
      <c r="C2999" s="9"/>
      <c r="D2999" s="228"/>
      <c r="E2999" s="216"/>
      <c r="F2999" s="273"/>
      <c r="G2999" s="9"/>
      <c r="H2999" s="234"/>
      <c r="I2999" s="232"/>
      <c r="J2999" s="9"/>
      <c r="K2999" s="18"/>
      <c r="L2999" s="18"/>
      <c r="M2999" s="18"/>
      <c r="N2999" s="18"/>
      <c r="O2999" s="18"/>
      <c r="P2999" s="18"/>
      <c r="Q2999" s="18"/>
      <c r="R2999" s="18"/>
      <c r="S2999" s="18"/>
      <c r="T2999" s="18"/>
      <c r="U2999" s="18"/>
      <c r="V2999" s="18"/>
      <c r="W2999" s="18"/>
      <c r="X2999" s="18"/>
      <c r="Y2999" s="18"/>
      <c r="Z2999" s="18"/>
    </row>
    <row r="3000" ht="22.5" customHeight="1">
      <c r="A3000" s="250"/>
      <c r="B3000" s="218"/>
      <c r="C3000" s="9"/>
      <c r="D3000" s="228"/>
      <c r="E3000" s="216"/>
      <c r="F3000" s="273"/>
      <c r="G3000" s="9"/>
      <c r="H3000" s="234"/>
      <c r="I3000" s="232"/>
      <c r="J3000" s="9"/>
      <c r="K3000" s="18"/>
      <c r="L3000" s="18"/>
      <c r="M3000" s="18"/>
      <c r="N3000" s="18"/>
      <c r="O3000" s="18"/>
      <c r="P3000" s="18"/>
      <c r="Q3000" s="18"/>
      <c r="R3000" s="18"/>
      <c r="S3000" s="18"/>
      <c r="T3000" s="18"/>
      <c r="U3000" s="18"/>
      <c r="V3000" s="18"/>
      <c r="W3000" s="18"/>
      <c r="X3000" s="18"/>
      <c r="Y3000" s="18"/>
      <c r="Z3000" s="18"/>
    </row>
    <row r="3001" ht="22.5" customHeight="1">
      <c r="A3001" s="250"/>
      <c r="B3001" s="218"/>
      <c r="C3001" s="9"/>
      <c r="D3001" s="228"/>
      <c r="E3001" s="216"/>
      <c r="F3001" s="273"/>
      <c r="G3001" s="9"/>
      <c r="H3001" s="234"/>
      <c r="I3001" s="232"/>
      <c r="J3001" s="9"/>
      <c r="K3001" s="18"/>
      <c r="L3001" s="18"/>
      <c r="M3001" s="18"/>
      <c r="N3001" s="18"/>
      <c r="O3001" s="18"/>
      <c r="P3001" s="18"/>
      <c r="Q3001" s="18"/>
      <c r="R3001" s="18"/>
      <c r="S3001" s="18"/>
      <c r="T3001" s="18"/>
      <c r="U3001" s="18"/>
      <c r="V3001" s="18"/>
      <c r="W3001" s="18"/>
      <c r="X3001" s="18"/>
      <c r="Y3001" s="18"/>
      <c r="Z3001" s="18"/>
    </row>
    <row r="3002" ht="22.5" customHeight="1">
      <c r="A3002" s="250"/>
      <c r="B3002" s="218"/>
      <c r="C3002" s="9"/>
      <c r="D3002" s="228"/>
      <c r="E3002" s="216"/>
      <c r="F3002" s="273"/>
      <c r="G3002" s="9"/>
      <c r="H3002" s="234"/>
      <c r="I3002" s="232"/>
      <c r="J3002" s="9"/>
      <c r="K3002" s="18"/>
      <c r="L3002" s="18"/>
      <c r="M3002" s="18"/>
      <c r="N3002" s="18"/>
      <c r="O3002" s="18"/>
      <c r="P3002" s="18"/>
      <c r="Q3002" s="18"/>
      <c r="R3002" s="18"/>
      <c r="S3002" s="18"/>
      <c r="T3002" s="18"/>
      <c r="U3002" s="18"/>
      <c r="V3002" s="18"/>
      <c r="W3002" s="18"/>
      <c r="X3002" s="18"/>
      <c r="Y3002" s="18"/>
      <c r="Z3002" s="18"/>
    </row>
    <row r="3003" ht="22.5" customHeight="1">
      <c r="A3003" s="250"/>
      <c r="B3003" s="218"/>
      <c r="C3003" s="9"/>
      <c r="D3003" s="228"/>
      <c r="E3003" s="216"/>
      <c r="F3003" s="273"/>
      <c r="G3003" s="9"/>
      <c r="H3003" s="234"/>
      <c r="I3003" s="232"/>
      <c r="J3003" s="9"/>
      <c r="K3003" s="18"/>
      <c r="L3003" s="18"/>
      <c r="M3003" s="18"/>
      <c r="N3003" s="18"/>
      <c r="O3003" s="18"/>
      <c r="P3003" s="18"/>
      <c r="Q3003" s="18"/>
      <c r="R3003" s="18"/>
      <c r="S3003" s="18"/>
      <c r="T3003" s="18"/>
      <c r="U3003" s="18"/>
      <c r="V3003" s="18"/>
      <c r="W3003" s="18"/>
      <c r="X3003" s="18"/>
      <c r="Y3003" s="18"/>
      <c r="Z3003" s="18"/>
    </row>
    <row r="3004" ht="22.5" customHeight="1">
      <c r="A3004" s="250"/>
      <c r="B3004" s="218"/>
      <c r="C3004" s="9"/>
      <c r="D3004" s="228"/>
      <c r="E3004" s="216"/>
      <c r="F3004" s="273"/>
      <c r="G3004" s="9"/>
      <c r="H3004" s="234"/>
      <c r="I3004" s="232"/>
      <c r="J3004" s="9"/>
      <c r="K3004" s="18"/>
      <c r="L3004" s="18"/>
      <c r="M3004" s="18"/>
      <c r="N3004" s="18"/>
      <c r="O3004" s="18"/>
      <c r="P3004" s="18"/>
      <c r="Q3004" s="18"/>
      <c r="R3004" s="18"/>
      <c r="S3004" s="18"/>
      <c r="T3004" s="18"/>
      <c r="U3004" s="18"/>
      <c r="V3004" s="18"/>
      <c r="W3004" s="18"/>
      <c r="X3004" s="18"/>
      <c r="Y3004" s="18"/>
      <c r="Z3004" s="18"/>
    </row>
    <row r="3005" ht="22.5" customHeight="1">
      <c r="A3005" s="250"/>
      <c r="B3005" s="218"/>
      <c r="C3005" s="9"/>
      <c r="D3005" s="228"/>
      <c r="E3005" s="216"/>
      <c r="F3005" s="273"/>
      <c r="G3005" s="9"/>
      <c r="H3005" s="234"/>
      <c r="I3005" s="232"/>
      <c r="J3005" s="9"/>
      <c r="K3005" s="18"/>
      <c r="L3005" s="18"/>
      <c r="M3005" s="18"/>
      <c r="N3005" s="18"/>
      <c r="O3005" s="18"/>
      <c r="P3005" s="18"/>
      <c r="Q3005" s="18"/>
      <c r="R3005" s="18"/>
      <c r="S3005" s="18"/>
      <c r="T3005" s="18"/>
      <c r="U3005" s="18"/>
      <c r="V3005" s="18"/>
      <c r="W3005" s="18"/>
      <c r="X3005" s="18"/>
      <c r="Y3005" s="18"/>
      <c r="Z3005" s="18"/>
    </row>
    <row r="3006" ht="22.5" customHeight="1">
      <c r="A3006" s="250"/>
      <c r="B3006" s="218"/>
      <c r="C3006" s="9"/>
      <c r="D3006" s="228"/>
      <c r="E3006" s="216"/>
      <c r="F3006" s="273"/>
      <c r="G3006" s="9"/>
      <c r="H3006" s="234"/>
      <c r="I3006" s="232"/>
      <c r="J3006" s="9"/>
      <c r="K3006" s="18"/>
      <c r="L3006" s="18"/>
      <c r="M3006" s="18"/>
      <c r="N3006" s="18"/>
      <c r="O3006" s="18"/>
      <c r="P3006" s="18"/>
      <c r="Q3006" s="18"/>
      <c r="R3006" s="18"/>
      <c r="S3006" s="18"/>
      <c r="T3006" s="18"/>
      <c r="U3006" s="18"/>
      <c r="V3006" s="18"/>
      <c r="W3006" s="18"/>
      <c r="X3006" s="18"/>
      <c r="Y3006" s="18"/>
      <c r="Z3006" s="18"/>
    </row>
    <row r="3007" ht="22.5" customHeight="1">
      <c r="A3007" s="274"/>
      <c r="E3007" s="214"/>
      <c r="F3007" s="62"/>
      <c r="K3007" s="18"/>
      <c r="L3007" s="18"/>
      <c r="M3007" s="18"/>
      <c r="N3007" s="18"/>
      <c r="O3007" s="18"/>
      <c r="P3007" s="18"/>
      <c r="Q3007" s="18"/>
      <c r="R3007" s="18"/>
      <c r="S3007" s="18"/>
      <c r="T3007" s="18"/>
      <c r="U3007" s="18"/>
      <c r="V3007" s="18"/>
      <c r="W3007" s="18"/>
      <c r="X3007" s="18"/>
      <c r="Y3007" s="18"/>
      <c r="Z3007" s="18"/>
    </row>
    <row r="3008" ht="22.5" customHeight="1">
      <c r="A3008" s="274"/>
      <c r="E3008" s="214"/>
      <c r="F3008" s="62"/>
      <c r="K3008" s="18"/>
      <c r="L3008" s="18"/>
      <c r="M3008" s="18"/>
      <c r="N3008" s="18"/>
      <c r="O3008" s="18"/>
      <c r="P3008" s="18"/>
      <c r="Q3008" s="18"/>
      <c r="R3008" s="18"/>
      <c r="S3008" s="18"/>
      <c r="T3008" s="18"/>
      <c r="U3008" s="18"/>
      <c r="V3008" s="18"/>
      <c r="W3008" s="18"/>
      <c r="X3008" s="18"/>
      <c r="Y3008" s="18"/>
      <c r="Z3008" s="18"/>
    </row>
    <row r="3009" ht="22.5" customHeight="1">
      <c r="A3009" s="250"/>
      <c r="B3009" s="218"/>
      <c r="C3009" s="9"/>
      <c r="D3009" s="228"/>
      <c r="E3009" s="216"/>
      <c r="F3009" s="273"/>
      <c r="G3009" s="9"/>
      <c r="H3009" s="234"/>
      <c r="I3009" s="232"/>
      <c r="J3009" s="9"/>
      <c r="K3009" s="18"/>
      <c r="L3009" s="18"/>
      <c r="M3009" s="18"/>
      <c r="N3009" s="18"/>
      <c r="O3009" s="18"/>
      <c r="P3009" s="18"/>
      <c r="Q3009" s="18"/>
      <c r="R3009" s="18"/>
      <c r="S3009" s="18"/>
      <c r="T3009" s="18"/>
      <c r="U3009" s="18"/>
      <c r="V3009" s="18"/>
      <c r="W3009" s="18"/>
      <c r="X3009" s="18"/>
      <c r="Y3009" s="18"/>
      <c r="Z3009" s="18"/>
    </row>
    <row r="3010" ht="22.5" customHeight="1">
      <c r="A3010" s="250"/>
      <c r="B3010" s="218"/>
      <c r="C3010" s="9"/>
      <c r="D3010" s="228"/>
      <c r="E3010" s="216"/>
      <c r="F3010" s="273"/>
      <c r="G3010" s="9"/>
      <c r="H3010" s="234"/>
      <c r="I3010" s="232"/>
      <c r="J3010" s="9"/>
      <c r="K3010" s="18"/>
      <c r="L3010" s="18"/>
      <c r="M3010" s="18"/>
      <c r="N3010" s="18"/>
      <c r="O3010" s="18"/>
      <c r="P3010" s="18"/>
      <c r="Q3010" s="18"/>
      <c r="R3010" s="18"/>
      <c r="S3010" s="18"/>
      <c r="T3010" s="18"/>
      <c r="U3010" s="18"/>
      <c r="V3010" s="18"/>
      <c r="W3010" s="18"/>
      <c r="X3010" s="18"/>
      <c r="Y3010" s="18"/>
      <c r="Z3010" s="18"/>
    </row>
    <row r="3011" ht="22.5" customHeight="1">
      <c r="A3011" s="250"/>
      <c r="B3011" s="218"/>
      <c r="C3011" s="9"/>
      <c r="D3011" s="228"/>
      <c r="E3011" s="216"/>
      <c r="F3011" s="273"/>
      <c r="G3011" s="9"/>
      <c r="H3011" s="234"/>
      <c r="I3011" s="232"/>
      <c r="J3011" s="9"/>
      <c r="K3011" s="18"/>
      <c r="L3011" s="18"/>
      <c r="M3011" s="18"/>
      <c r="N3011" s="18"/>
      <c r="O3011" s="18"/>
      <c r="P3011" s="18"/>
      <c r="Q3011" s="18"/>
      <c r="R3011" s="18"/>
      <c r="S3011" s="18"/>
      <c r="T3011" s="18"/>
      <c r="U3011" s="18"/>
      <c r="V3011" s="18"/>
      <c r="W3011" s="18"/>
      <c r="X3011" s="18"/>
      <c r="Y3011" s="18"/>
      <c r="Z3011" s="18"/>
    </row>
    <row r="3012" ht="22.5" customHeight="1">
      <c r="A3012" s="250"/>
      <c r="B3012" s="218"/>
      <c r="C3012" s="9"/>
      <c r="D3012" s="228"/>
      <c r="E3012" s="216"/>
      <c r="F3012" s="273"/>
      <c r="G3012" s="9"/>
      <c r="H3012" s="234"/>
      <c r="I3012" s="232"/>
      <c r="J3012" s="9"/>
      <c r="K3012" s="18"/>
      <c r="L3012" s="18"/>
      <c r="M3012" s="18"/>
      <c r="N3012" s="18"/>
      <c r="O3012" s="18"/>
      <c r="P3012" s="18"/>
      <c r="Q3012" s="18"/>
      <c r="R3012" s="18"/>
      <c r="S3012" s="18"/>
      <c r="T3012" s="18"/>
      <c r="U3012" s="18"/>
      <c r="V3012" s="18"/>
      <c r="W3012" s="18"/>
      <c r="X3012" s="18"/>
      <c r="Y3012" s="18"/>
      <c r="Z3012" s="18"/>
    </row>
    <row r="3013" ht="22.5" customHeight="1">
      <c r="A3013" s="250"/>
      <c r="B3013" s="218"/>
      <c r="C3013" s="9"/>
      <c r="D3013" s="228"/>
      <c r="E3013" s="216"/>
      <c r="F3013" s="273"/>
      <c r="G3013" s="9"/>
      <c r="H3013" s="234"/>
      <c r="I3013" s="232"/>
      <c r="J3013" s="9"/>
      <c r="K3013" s="18"/>
      <c r="L3013" s="18"/>
      <c r="M3013" s="18"/>
      <c r="N3013" s="18"/>
      <c r="O3013" s="18"/>
      <c r="P3013" s="18"/>
      <c r="Q3013" s="18"/>
      <c r="R3013" s="18"/>
      <c r="S3013" s="18"/>
      <c r="T3013" s="18"/>
      <c r="U3013" s="18"/>
      <c r="V3013" s="18"/>
      <c r="W3013" s="18"/>
      <c r="X3013" s="18"/>
      <c r="Y3013" s="18"/>
      <c r="Z3013" s="18"/>
    </row>
    <row r="3014" ht="22.5" customHeight="1">
      <c r="A3014" s="250"/>
      <c r="B3014" s="218"/>
      <c r="C3014" s="9"/>
      <c r="D3014" s="228"/>
      <c r="E3014" s="216"/>
      <c r="F3014" s="273"/>
      <c r="G3014" s="9"/>
      <c r="H3014" s="234"/>
      <c r="I3014" s="232"/>
      <c r="J3014" s="9"/>
      <c r="K3014" s="18"/>
      <c r="L3014" s="18"/>
      <c r="M3014" s="18"/>
      <c r="N3014" s="18"/>
      <c r="O3014" s="18"/>
      <c r="P3014" s="18"/>
      <c r="Q3014" s="18"/>
      <c r="R3014" s="18"/>
      <c r="S3014" s="18"/>
      <c r="T3014" s="18"/>
      <c r="U3014" s="18"/>
      <c r="V3014" s="18"/>
      <c r="W3014" s="18"/>
      <c r="X3014" s="18"/>
      <c r="Y3014" s="18"/>
      <c r="Z3014" s="18"/>
    </row>
    <row r="3015" ht="22.5" customHeight="1">
      <c r="A3015" s="250"/>
      <c r="B3015" s="218"/>
      <c r="C3015" s="9"/>
      <c r="D3015" s="228"/>
      <c r="E3015" s="216"/>
      <c r="F3015" s="273"/>
      <c r="G3015" s="9"/>
      <c r="H3015" s="234"/>
      <c r="I3015" s="232"/>
      <c r="J3015" s="9"/>
      <c r="K3015" s="18"/>
      <c r="L3015" s="18"/>
      <c r="M3015" s="18"/>
      <c r="N3015" s="18"/>
      <c r="O3015" s="18"/>
      <c r="P3015" s="18"/>
      <c r="Q3015" s="18"/>
      <c r="R3015" s="18"/>
      <c r="S3015" s="18"/>
      <c r="T3015" s="18"/>
      <c r="U3015" s="18"/>
      <c r="V3015" s="18"/>
      <c r="W3015" s="18"/>
      <c r="X3015" s="18"/>
      <c r="Y3015" s="18"/>
      <c r="Z3015" s="18"/>
    </row>
    <row r="3016" ht="22.5" customHeight="1">
      <c r="A3016" s="250"/>
      <c r="B3016" s="218"/>
      <c r="C3016" s="9"/>
      <c r="D3016" s="228"/>
      <c r="E3016" s="216"/>
      <c r="F3016" s="273"/>
      <c r="G3016" s="9"/>
      <c r="H3016" s="234"/>
      <c r="I3016" s="232"/>
      <c r="J3016" s="9"/>
      <c r="K3016" s="18"/>
      <c r="L3016" s="18"/>
      <c r="M3016" s="18"/>
      <c r="N3016" s="18"/>
      <c r="O3016" s="18"/>
      <c r="P3016" s="18"/>
      <c r="Q3016" s="18"/>
      <c r="R3016" s="18"/>
      <c r="S3016" s="18"/>
      <c r="T3016" s="18"/>
      <c r="U3016" s="18"/>
      <c r="V3016" s="18"/>
      <c r="W3016" s="18"/>
      <c r="X3016" s="18"/>
      <c r="Y3016" s="18"/>
      <c r="Z3016" s="18"/>
    </row>
    <row r="3017" ht="22.5" customHeight="1">
      <c r="A3017" s="250"/>
      <c r="B3017" s="218"/>
      <c r="C3017" s="9"/>
      <c r="D3017" s="228"/>
      <c r="E3017" s="216"/>
      <c r="F3017" s="273"/>
      <c r="G3017" s="9"/>
      <c r="H3017" s="234"/>
      <c r="I3017" s="232"/>
      <c r="J3017" s="9"/>
      <c r="K3017" s="18"/>
      <c r="L3017" s="18"/>
      <c r="M3017" s="18"/>
      <c r="N3017" s="18"/>
      <c r="O3017" s="18"/>
      <c r="P3017" s="18"/>
      <c r="Q3017" s="18"/>
      <c r="R3017" s="18"/>
      <c r="S3017" s="18"/>
      <c r="T3017" s="18"/>
      <c r="U3017" s="18"/>
      <c r="V3017" s="18"/>
      <c r="W3017" s="18"/>
      <c r="X3017" s="18"/>
      <c r="Y3017" s="18"/>
      <c r="Z3017" s="18"/>
    </row>
    <row r="3018" ht="22.5" customHeight="1">
      <c r="A3018" s="250"/>
      <c r="B3018" s="218"/>
      <c r="C3018" s="9"/>
      <c r="D3018" s="228"/>
      <c r="E3018" s="216"/>
      <c r="F3018" s="273"/>
      <c r="G3018" s="9"/>
      <c r="H3018" s="234"/>
      <c r="I3018" s="232"/>
      <c r="J3018" s="9"/>
      <c r="K3018" s="18"/>
      <c r="L3018" s="18"/>
      <c r="M3018" s="18"/>
      <c r="N3018" s="18"/>
      <c r="O3018" s="18"/>
      <c r="P3018" s="18"/>
      <c r="Q3018" s="18"/>
      <c r="R3018" s="18"/>
      <c r="S3018" s="18"/>
      <c r="T3018" s="18"/>
      <c r="U3018" s="18"/>
      <c r="V3018" s="18"/>
      <c r="W3018" s="18"/>
      <c r="X3018" s="18"/>
      <c r="Y3018" s="18"/>
      <c r="Z3018" s="18"/>
    </row>
    <row r="3019" ht="22.5" customHeight="1">
      <c r="A3019" s="250"/>
      <c r="B3019" s="218"/>
      <c r="C3019" s="9"/>
      <c r="D3019" s="228"/>
      <c r="E3019" s="216"/>
      <c r="F3019" s="273"/>
      <c r="G3019" s="9"/>
      <c r="H3019" s="234"/>
      <c r="I3019" s="232"/>
      <c r="J3019" s="9"/>
      <c r="K3019" s="18"/>
      <c r="L3019" s="18"/>
      <c r="M3019" s="18"/>
      <c r="N3019" s="18"/>
      <c r="O3019" s="18"/>
      <c r="P3019" s="18"/>
      <c r="Q3019" s="18"/>
      <c r="R3019" s="18"/>
      <c r="S3019" s="18"/>
      <c r="T3019" s="18"/>
      <c r="U3019" s="18"/>
      <c r="V3019" s="18"/>
      <c r="W3019" s="18"/>
      <c r="X3019" s="18"/>
      <c r="Y3019" s="18"/>
      <c r="Z3019" s="18"/>
    </row>
    <row r="3020" ht="22.5" customHeight="1">
      <c r="A3020" s="250"/>
      <c r="B3020" s="218"/>
      <c r="C3020" s="9"/>
      <c r="D3020" s="228"/>
      <c r="E3020" s="216"/>
      <c r="F3020" s="273"/>
      <c r="G3020" s="9"/>
      <c r="H3020" s="234"/>
      <c r="I3020" s="232"/>
      <c r="J3020" s="9"/>
      <c r="K3020" s="18"/>
      <c r="L3020" s="18"/>
      <c r="M3020" s="18"/>
      <c r="N3020" s="18"/>
      <c r="O3020" s="18"/>
      <c r="P3020" s="18"/>
      <c r="Q3020" s="18"/>
      <c r="R3020" s="18"/>
      <c r="S3020" s="18"/>
      <c r="T3020" s="18"/>
      <c r="U3020" s="18"/>
      <c r="V3020" s="18"/>
      <c r="W3020" s="18"/>
      <c r="X3020" s="18"/>
      <c r="Y3020" s="18"/>
      <c r="Z3020" s="18"/>
    </row>
  </sheetData>
  <dataValidations>
    <dataValidation type="custom" allowBlank="1" showDropDown="1" sqref="A2:A3020">
      <formula1>OR(NOT(ISERROR(DATEVALUE(A2))), AND(ISNUMBER(A2), LEFT(CELL("format", A2))="D"))</formula1>
    </dataValidation>
    <dataValidation type="custom" allowBlank="1" showDropDown="1" sqref="E2:E3020">
      <formula1>AND(ISNUMBER(E2),(NOT(OR(NOT(ISERROR(DATEVALUE(E2))), AND(ISNUMBER(E2), LEFT(CELL("format", E2))="D")))))</formula1>
    </dataValidation>
    <dataValidation type="custom" allowBlank="1" showDropDown="1" sqref="H2:H1538 H1541:H1545 H1548:H3006 H3009:H3020">
      <formula1>OR(NOT(ISERROR(DATEVALUE(H2))), AND(ISNUMBER(H2), LEFT(CELL("format", H2))="D"))</formula1>
    </dataValidation>
    <dataValidation type="list" allowBlank="1" sqref="F2:F3020">
      <formula1>"moin.khan@capsdelivery.com,ankitha.baske@capsdelivery.com,madhumitha.sonnakula@capsdelivery.com,manasa.chigurupati@capsdelivery.com,chanakya.inugala@capsdelivery.com,parthive.maganti@capsdelivery.com,akhila.narra@capsdelivery.com,greeshma.vanneldas@capsde"&amp;"livery.com,nitya.akshara@capsdelivery.com,sumadhur,manisha.kumari@capsdelivery.com,amit.kaler@capsdelivery.com,anisha.poddar@capsdelivery.com,Srivani.reddy@capsdelivery.com"</formula1>
    </dataValidation>
  </dataValidations>
  <hyperlinks>
    <hyperlink r:id="rId1" ref="J733"/>
    <hyperlink r:id="rId2" ref="J748"/>
    <hyperlink r:id="rId3" ref="J749"/>
    <hyperlink r:id="rId4" ref="J750"/>
    <hyperlink r:id="rId5" ref="J751"/>
    <hyperlink r:id="rId6" ref="J752"/>
    <hyperlink r:id="rId7" ref="J753"/>
    <hyperlink r:id="rId8" ref="J754"/>
    <hyperlink r:id="rId9" ref="J755"/>
    <hyperlink r:id="rId10" ref="J756"/>
    <hyperlink r:id="rId11" ref="J757"/>
    <hyperlink r:id="rId12" ref="J758"/>
    <hyperlink r:id="rId13" ref="J759"/>
    <hyperlink r:id="rId14" ref="J760"/>
    <hyperlink r:id="rId15" ref="J761"/>
    <hyperlink r:id="rId16" ref="J764"/>
    <hyperlink r:id="rId17" ref="J765"/>
    <hyperlink r:id="rId18" ref="J766"/>
    <hyperlink r:id="rId19" ref="J774"/>
    <hyperlink r:id="rId20" ref="J777"/>
    <hyperlink r:id="rId21" ref="J778"/>
    <hyperlink r:id="rId22" ref="J781"/>
    <hyperlink r:id="rId23" ref="J784"/>
    <hyperlink r:id="rId24" ref="J795"/>
    <hyperlink r:id="rId25" ref="J806"/>
    <hyperlink r:id="rId26" ref="J816"/>
    <hyperlink r:id="rId27" ref="J819"/>
    <hyperlink r:id="rId28" ref="J841"/>
    <hyperlink r:id="rId29" ref="J849"/>
    <hyperlink r:id="rId30" ref="J914"/>
    <hyperlink r:id="rId31" ref="J920"/>
    <hyperlink r:id="rId32" ref="J952"/>
    <hyperlink r:id="rId33" ref="J1068"/>
    <hyperlink r:id="rId34" ref="J1086"/>
    <hyperlink r:id="rId35" ref="J1090"/>
    <hyperlink r:id="rId36" ref="J1102"/>
    <hyperlink r:id="rId37" ref="J1116"/>
    <hyperlink r:id="rId38" ref="J1137"/>
    <hyperlink r:id="rId39" ref="J1155"/>
    <hyperlink r:id="rId40" ref="J1159"/>
    <hyperlink r:id="rId41" ref="J1183"/>
    <hyperlink r:id="rId42" ref="J1219"/>
    <hyperlink r:id="rId43" ref="J1227"/>
    <hyperlink r:id="rId44" ref="J1231"/>
    <hyperlink r:id="rId45" ref="J1232"/>
    <hyperlink r:id="rId46" ref="J1233"/>
    <hyperlink r:id="rId47" ref="J1252"/>
    <hyperlink r:id="rId48" ref="J1258"/>
    <hyperlink r:id="rId49" ref="J1261"/>
    <hyperlink r:id="rId50" ref="J1262"/>
    <hyperlink r:id="rId51" ref="J1270"/>
    <hyperlink r:id="rId52" ref="J1276"/>
    <hyperlink r:id="rId53" ref="J1282"/>
    <hyperlink r:id="rId54" ref="J1303"/>
    <hyperlink r:id="rId55" ref="J1305"/>
    <hyperlink r:id="rId56" ref="J1306"/>
    <hyperlink r:id="rId57" ref="J1328"/>
    <hyperlink r:id="rId58" ref="J1333"/>
    <hyperlink r:id="rId59" ref="J1334"/>
    <hyperlink r:id="rId60" ref="J1338"/>
    <hyperlink r:id="rId61" ref="J1340"/>
    <hyperlink r:id="rId62" ref="J1341"/>
    <hyperlink r:id="rId63" ref="J1342"/>
    <hyperlink r:id="rId64" ref="J1345"/>
    <hyperlink r:id="rId65" ref="J1355"/>
    <hyperlink r:id="rId66" ref="J1357"/>
    <hyperlink r:id="rId67" ref="J1358"/>
    <hyperlink r:id="rId68" ref="J1359"/>
    <hyperlink r:id="rId69" ref="J1360"/>
    <hyperlink r:id="rId70" ref="J1361"/>
    <hyperlink r:id="rId71" ref="J1362"/>
    <hyperlink r:id="rId72" ref="J1370"/>
    <hyperlink r:id="rId73" ref="J1477"/>
    <hyperlink r:id="rId74" ref="J1478"/>
    <hyperlink r:id="rId75" ref="J1479"/>
    <hyperlink r:id="rId76" ref="J1480"/>
    <hyperlink r:id="rId77" ref="J1515"/>
    <hyperlink r:id="rId78" ref="J1517"/>
    <hyperlink r:id="rId79" ref="J1536"/>
    <hyperlink r:id="rId80" ref="J1556"/>
    <hyperlink r:id="rId81" ref="J1570"/>
    <hyperlink r:id="rId82" ref="J1580"/>
    <hyperlink r:id="rId83" ref="J1583"/>
    <hyperlink r:id="rId84" ref="J1622"/>
  </hyperlinks>
  <drawing r:id="rId85"/>
  <tableParts count="1">
    <tablePart r:id="rId8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38"/>
    <col customWidth="1" min="2" max="2" width="18.63"/>
  </cols>
  <sheetData>
    <row r="1"/>
    <row r="2"/>
    <row r="3"/>
    <row r="4"/>
    <row r="5"/>
    <row r="6"/>
    <row r="7"/>
    <row r="8"/>
    <row r="9"/>
    <row r="10"/>
    <row r="11"/>
    <row r="12"/>
    <row r="13"/>
    <row r="14"/>
    <row r="15"/>
    <row r="16"/>
    <row r="17"/>
    <row r="18"/>
    <row r="19"/>
    <row r="20"/>
    <row r="21"/>
    <row r="22"/>
    <row r="23"/>
    <row r="24"/>
    <row r="25"/>
    <row r="26"/>
    <row r="27"/>
    <row r="28"/>
    <row r="29"/>
    <row r="30"/>
    <row r="31"/>
    <row r="32"/>
    <row r="34">
      <c r="A34" s="275" t="s">
        <v>8</v>
      </c>
      <c r="B34" s="276" t="s">
        <v>7837</v>
      </c>
    </row>
    <row r="35">
      <c r="A35" s="276" t="s">
        <v>3042</v>
      </c>
      <c r="B35" s="276">
        <v>18.0</v>
      </c>
    </row>
    <row r="36">
      <c r="A36" s="276" t="s">
        <v>4457</v>
      </c>
      <c r="B36" s="276">
        <v>3.0</v>
      </c>
    </row>
    <row r="37">
      <c r="A37" s="276" t="s">
        <v>4956</v>
      </c>
      <c r="B37" s="276">
        <v>10.0</v>
      </c>
    </row>
    <row r="38">
      <c r="A38" s="276" t="s">
        <v>2752</v>
      </c>
      <c r="B38" s="276">
        <v>1.0</v>
      </c>
    </row>
    <row r="39">
      <c r="A39" s="276" t="s">
        <v>1424</v>
      </c>
      <c r="B39" s="276">
        <v>20.0</v>
      </c>
    </row>
    <row r="40">
      <c r="A40" s="276" t="s">
        <v>2869</v>
      </c>
      <c r="B40" s="276">
        <v>12.0</v>
      </c>
    </row>
    <row r="41">
      <c r="A41" s="276" t="s">
        <v>7838</v>
      </c>
      <c r="B41" s="276">
        <v>19.0</v>
      </c>
    </row>
    <row r="42">
      <c r="A42" s="276" t="s">
        <v>1105</v>
      </c>
      <c r="B42" s="276">
        <v>2.0</v>
      </c>
    </row>
    <row r="43">
      <c r="A43" s="276" t="s">
        <v>2016</v>
      </c>
      <c r="B43" s="276">
        <v>12.0</v>
      </c>
    </row>
    <row r="44">
      <c r="A44" s="276" t="s">
        <v>421</v>
      </c>
      <c r="B44" s="276">
        <v>14.0</v>
      </c>
    </row>
    <row r="45">
      <c r="A45" s="276" t="s">
        <v>389</v>
      </c>
      <c r="B45" s="276">
        <v>40.0</v>
      </c>
    </row>
    <row r="46">
      <c r="A46" s="276" t="s">
        <v>647</v>
      </c>
      <c r="B46" s="276">
        <v>3.0</v>
      </c>
    </row>
    <row r="47">
      <c r="A47" s="276" t="s">
        <v>1165</v>
      </c>
      <c r="B47" s="276">
        <v>88.0</v>
      </c>
    </row>
    <row r="48">
      <c r="A48" s="276" t="s">
        <v>2162</v>
      </c>
      <c r="B48" s="276">
        <v>38.0</v>
      </c>
    </row>
    <row r="49">
      <c r="A49" s="276" t="s">
        <v>2722</v>
      </c>
      <c r="B49" s="276">
        <v>45.0</v>
      </c>
    </row>
    <row r="50">
      <c r="A50" s="276" t="s">
        <v>1038</v>
      </c>
      <c r="B50" s="276">
        <v>34.0</v>
      </c>
    </row>
    <row r="51">
      <c r="A51" s="276" t="s">
        <v>7839</v>
      </c>
      <c r="B51" s="276">
        <v>6.0</v>
      </c>
    </row>
    <row r="52">
      <c r="A52" s="276" t="s">
        <v>2522</v>
      </c>
      <c r="B52" s="276">
        <v>39.0</v>
      </c>
    </row>
    <row r="53">
      <c r="A53" s="276" t="s">
        <v>1961</v>
      </c>
      <c r="B53" s="276">
        <v>62.0</v>
      </c>
    </row>
    <row r="54">
      <c r="A54" s="276" t="s">
        <v>7840</v>
      </c>
      <c r="B54" s="276">
        <v>10.0</v>
      </c>
    </row>
    <row r="55">
      <c r="A55" s="276" t="s">
        <v>68</v>
      </c>
      <c r="B55" s="276">
        <v>6.0</v>
      </c>
    </row>
    <row r="56">
      <c r="A56" s="277" t="s">
        <v>2004</v>
      </c>
      <c r="B56" s="276">
        <v>8.0</v>
      </c>
    </row>
    <row r="57">
      <c r="A57" s="276" t="s">
        <v>4918</v>
      </c>
      <c r="B57" s="276">
        <v>20.0</v>
      </c>
    </row>
    <row r="58">
      <c r="A58" s="276" t="s">
        <v>2686</v>
      </c>
      <c r="B58" s="276">
        <v>2.0</v>
      </c>
    </row>
    <row r="59">
      <c r="A59" s="276" t="s">
        <v>735</v>
      </c>
      <c r="B59" s="276">
        <v>3.0</v>
      </c>
    </row>
    <row r="60">
      <c r="A60" s="276" t="s">
        <v>7841</v>
      </c>
      <c r="B60" s="276">
        <v>8.0</v>
      </c>
    </row>
    <row r="61">
      <c r="A61" s="276" t="s">
        <v>7842</v>
      </c>
      <c r="B61" s="276">
        <v>4.0</v>
      </c>
    </row>
    <row r="62">
      <c r="A62" s="276" t="s">
        <v>890</v>
      </c>
      <c r="B62" s="276">
        <v>28.0</v>
      </c>
    </row>
    <row r="63">
      <c r="A63" s="276" t="e">
        <v>#N/A</v>
      </c>
      <c r="B63" s="276">
        <v>4.0</v>
      </c>
    </row>
    <row r="64">
      <c r="B64" s="276">
        <v>0.0</v>
      </c>
    </row>
  </sheetData>
  <autoFilter ref="$A$34:$Z$64">
    <sortState ref="A34:Z64">
      <sortCondition ref="A34:A64"/>
      <sortCondition descending="1" ref="B34:B64"/>
    </sortState>
  </autoFil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4" max="4" width="20.63"/>
    <col customWidth="1" min="5" max="5" width="22.38"/>
    <col customWidth="1" min="6" max="6" width="20.75"/>
    <col customWidth="1" min="8" max="8" width="21.38"/>
    <col customWidth="1" min="10" max="10" width="15.13"/>
  </cols>
  <sheetData>
    <row r="1">
      <c r="A1" s="278" t="s">
        <v>7845</v>
      </c>
      <c r="B1" s="278" t="s">
        <v>9</v>
      </c>
      <c r="E1" s="278"/>
      <c r="H1" s="279" t="s">
        <v>9</v>
      </c>
      <c r="I1" s="280" t="s">
        <v>8</v>
      </c>
      <c r="J1" s="280" t="s">
        <v>7846</v>
      </c>
    </row>
    <row r="2">
      <c r="A2" s="278" t="s">
        <v>421</v>
      </c>
      <c r="B2" s="276" t="s">
        <v>50</v>
      </c>
      <c r="D2" s="276" t="s">
        <v>7847</v>
      </c>
      <c r="E2" s="278" t="s">
        <v>7845</v>
      </c>
      <c r="F2" s="278" t="s">
        <v>9</v>
      </c>
      <c r="H2" s="281" t="s">
        <v>7848</v>
      </c>
      <c r="I2" s="282" t="s">
        <v>421</v>
      </c>
      <c r="J2" s="283">
        <f>iferror(VLOOKUP(I2,'Pivot Table 11'!B:C,2,0),0)</f>
        <v>17</v>
      </c>
    </row>
    <row r="3">
      <c r="A3" s="278" t="s">
        <v>49</v>
      </c>
      <c r="B3" s="276" t="s">
        <v>50</v>
      </c>
      <c r="D3" s="276" t="s">
        <v>575</v>
      </c>
      <c r="E3" s="278" t="s">
        <v>4956</v>
      </c>
      <c r="F3" s="278" t="s">
        <v>1105</v>
      </c>
      <c r="H3" s="284"/>
      <c r="I3" s="282" t="s">
        <v>49</v>
      </c>
      <c r="J3" s="283">
        <f>iferror(VLOOKUP(I3,'Pivot Table 11'!B:C,2,0),0)</f>
        <v>6</v>
      </c>
    </row>
    <row r="4">
      <c r="A4" s="278" t="s">
        <v>64</v>
      </c>
      <c r="B4" s="276" t="s">
        <v>50</v>
      </c>
      <c r="D4" s="276" t="s">
        <v>1105</v>
      </c>
      <c r="E4" s="278" t="s">
        <v>1105</v>
      </c>
      <c r="F4" s="278" t="s">
        <v>1105</v>
      </c>
      <c r="H4" s="284"/>
      <c r="I4" s="282" t="s">
        <v>64</v>
      </c>
      <c r="J4" s="283">
        <f>iferror(VLOOKUP(I4,'Pivot Table 11'!B:C,2,0),0)</f>
        <v>39</v>
      </c>
    </row>
    <row r="5">
      <c r="A5" s="278" t="s">
        <v>1359</v>
      </c>
      <c r="B5" s="276" t="s">
        <v>50</v>
      </c>
      <c r="D5" s="276" t="s">
        <v>68</v>
      </c>
      <c r="E5" s="276" t="s">
        <v>68</v>
      </c>
      <c r="F5" s="278" t="s">
        <v>69</v>
      </c>
      <c r="H5" s="285"/>
      <c r="I5" s="282" t="s">
        <v>1359</v>
      </c>
      <c r="J5" s="283">
        <f>iferror(VLOOKUP(I5,'Pivot Table 11'!B:C,2,0),0)</f>
        <v>3</v>
      </c>
    </row>
    <row r="6">
      <c r="A6" s="278" t="s">
        <v>137</v>
      </c>
      <c r="B6" s="276" t="s">
        <v>86</v>
      </c>
      <c r="D6" s="276" t="s">
        <v>7849</v>
      </c>
      <c r="E6" s="278" t="s">
        <v>7850</v>
      </c>
      <c r="F6" s="278" t="s">
        <v>7850</v>
      </c>
      <c r="H6" s="281" t="s">
        <v>7851</v>
      </c>
      <c r="I6" s="282" t="s">
        <v>137</v>
      </c>
      <c r="J6" s="283">
        <f>iferror(VLOOKUP(I6,'Pivot Table 11'!B:C,2,0),0)</f>
        <v>4</v>
      </c>
    </row>
    <row r="7">
      <c r="A7" s="278" t="s">
        <v>2162</v>
      </c>
      <c r="B7" s="276" t="s">
        <v>86</v>
      </c>
      <c r="D7" s="276" t="s">
        <v>7852</v>
      </c>
      <c r="E7" s="278" t="s">
        <v>7850</v>
      </c>
      <c r="F7" s="278" t="s">
        <v>7850</v>
      </c>
      <c r="H7" s="284"/>
      <c r="I7" s="282" t="s">
        <v>2162</v>
      </c>
      <c r="J7" s="283">
        <f>iferror(VLOOKUP(I7,'Pivot Table 11'!B:C,2,0),0)</f>
        <v>16</v>
      </c>
    </row>
    <row r="8">
      <c r="A8" s="278" t="s">
        <v>4320</v>
      </c>
      <c r="B8" s="276" t="s">
        <v>86</v>
      </c>
      <c r="D8" s="276" t="s">
        <v>1009</v>
      </c>
      <c r="E8" s="278" t="s">
        <v>2522</v>
      </c>
      <c r="F8" s="276" t="str">
        <f t="shared" ref="F8:F58" si="1">VLOOKUP(E8,A:B,2,0)</f>
        <v>Zone 1 Mehdipatnam</v>
      </c>
      <c r="H8" s="284"/>
      <c r="I8" s="282" t="s">
        <v>4320</v>
      </c>
      <c r="J8" s="283">
        <f>iferror(VLOOKUP(I8,'Pivot Table 11'!B:C,2,0),0)</f>
        <v>0</v>
      </c>
    </row>
    <row r="9">
      <c r="A9" s="278" t="s">
        <v>3356</v>
      </c>
      <c r="B9" s="276" t="s">
        <v>86</v>
      </c>
      <c r="D9" s="276" t="s">
        <v>99</v>
      </c>
      <c r="E9" s="278" t="s">
        <v>2522</v>
      </c>
      <c r="F9" s="276" t="str">
        <f t="shared" si="1"/>
        <v>Zone 1 Mehdipatnam</v>
      </c>
      <c r="H9" s="285"/>
      <c r="I9" s="282" t="s">
        <v>3356</v>
      </c>
      <c r="J9" s="283">
        <f>iferror(VLOOKUP(I9,'Pivot Table 11'!B:C,2,0),0)</f>
        <v>0</v>
      </c>
    </row>
    <row r="10">
      <c r="A10" s="278" t="s">
        <v>7853</v>
      </c>
      <c r="B10" s="276" t="s">
        <v>303</v>
      </c>
      <c r="D10" s="276" t="s">
        <v>7854</v>
      </c>
      <c r="E10" s="278" t="s">
        <v>7839</v>
      </c>
      <c r="F10" s="276" t="str">
        <f t="shared" si="1"/>
        <v>Zone 1 Mehdipatnam</v>
      </c>
      <c r="H10" s="281" t="s">
        <v>7855</v>
      </c>
      <c r="I10" s="282" t="s">
        <v>7853</v>
      </c>
      <c r="J10" s="283">
        <f>iferror(VLOOKUP(I10,'Pivot Table 11'!B:C,2,0),0)</f>
        <v>3</v>
      </c>
    </row>
    <row r="11">
      <c r="A11" s="278" t="s">
        <v>302</v>
      </c>
      <c r="B11" s="276" t="s">
        <v>303</v>
      </c>
      <c r="D11" s="276" t="s">
        <v>64</v>
      </c>
      <c r="E11" s="278" t="s">
        <v>2522</v>
      </c>
      <c r="F11" s="276" t="str">
        <f t="shared" si="1"/>
        <v>Zone 1 Mehdipatnam</v>
      </c>
      <c r="H11" s="284"/>
      <c r="I11" s="282" t="s">
        <v>302</v>
      </c>
      <c r="J11" s="283">
        <f>iferror(VLOOKUP(I11,'Pivot Table 11'!B:C,2,0),0)</f>
        <v>34</v>
      </c>
    </row>
    <row r="12">
      <c r="A12" s="278" t="s">
        <v>2686</v>
      </c>
      <c r="B12" s="276" t="s">
        <v>303</v>
      </c>
      <c r="D12" s="276" t="s">
        <v>432</v>
      </c>
      <c r="E12" s="278" t="s">
        <v>2522</v>
      </c>
      <c r="F12" s="276" t="str">
        <f t="shared" si="1"/>
        <v>Zone 1 Mehdipatnam</v>
      </c>
      <c r="H12" s="284"/>
      <c r="I12" s="282" t="s">
        <v>2686</v>
      </c>
      <c r="J12" s="283">
        <f>iferror(VLOOKUP(I12,'Pivot Table 11'!B:C,2,0),0)</f>
        <v>2</v>
      </c>
    </row>
    <row r="13">
      <c r="A13" s="278" t="s">
        <v>1559</v>
      </c>
      <c r="B13" s="276" t="s">
        <v>303</v>
      </c>
      <c r="D13" s="276" t="s">
        <v>366</v>
      </c>
      <c r="E13" s="278" t="s">
        <v>7839</v>
      </c>
      <c r="F13" s="276" t="str">
        <f t="shared" si="1"/>
        <v>Zone 1 Mehdipatnam</v>
      </c>
      <c r="H13" s="284"/>
      <c r="I13" s="282" t="s">
        <v>1559</v>
      </c>
      <c r="J13" s="283">
        <f>iferror(VLOOKUP(I13,'Pivot Table 11'!B:C,2,0),0)</f>
        <v>0</v>
      </c>
    </row>
    <row r="14">
      <c r="A14" s="278" t="s">
        <v>716</v>
      </c>
      <c r="B14" s="276" t="s">
        <v>303</v>
      </c>
      <c r="D14" s="276" t="s">
        <v>421</v>
      </c>
      <c r="E14" s="276" t="s">
        <v>421</v>
      </c>
      <c r="F14" s="276" t="str">
        <f t="shared" si="1"/>
        <v>Zone 1 Mehdipatnam</v>
      </c>
      <c r="H14" s="285"/>
      <c r="I14" s="282" t="s">
        <v>716</v>
      </c>
      <c r="J14" s="283">
        <f>iferror(VLOOKUP(I14,'Pivot Table 11'!B:C,2,0),0)</f>
        <v>10</v>
      </c>
    </row>
    <row r="15">
      <c r="A15" s="278" t="s">
        <v>147</v>
      </c>
      <c r="B15" s="276" t="s">
        <v>148</v>
      </c>
      <c r="D15" s="276" t="s">
        <v>49</v>
      </c>
      <c r="E15" s="278" t="s">
        <v>7839</v>
      </c>
      <c r="F15" s="276" t="str">
        <f t="shared" si="1"/>
        <v>Zone 1 Mehdipatnam</v>
      </c>
      <c r="H15" s="281" t="s">
        <v>7856</v>
      </c>
      <c r="I15" s="282" t="s">
        <v>147</v>
      </c>
      <c r="J15" s="283">
        <f>iferror(VLOOKUP(I15,'Pivot Table 11'!B:C,2,0),0)</f>
        <v>45</v>
      </c>
    </row>
    <row r="16">
      <c r="A16" s="278" t="s">
        <v>903</v>
      </c>
      <c r="B16" s="276" t="s">
        <v>148</v>
      </c>
      <c r="D16" s="276" t="s">
        <v>1359</v>
      </c>
      <c r="E16" s="278" t="s">
        <v>4457</v>
      </c>
      <c r="F16" s="276" t="str">
        <f t="shared" si="1"/>
        <v>Zone 1 Mehdipatnam</v>
      </c>
      <c r="H16" s="284"/>
      <c r="I16" s="282" t="s">
        <v>903</v>
      </c>
      <c r="J16" s="283">
        <f>iferror(VLOOKUP(I16,'Pivot Table 11'!B:C,2,0),0)</f>
        <v>20</v>
      </c>
    </row>
    <row r="17">
      <c r="A17" s="278" t="s">
        <v>7838</v>
      </c>
      <c r="B17" s="276" t="s">
        <v>148</v>
      </c>
      <c r="D17" s="276" t="s">
        <v>358</v>
      </c>
      <c r="E17" s="278" t="s">
        <v>2522</v>
      </c>
      <c r="F17" s="276" t="str">
        <f t="shared" si="1"/>
        <v>Zone 1 Mehdipatnam</v>
      </c>
      <c r="H17" s="285"/>
      <c r="I17" s="282" t="s">
        <v>7838</v>
      </c>
      <c r="J17" s="283">
        <f>iferror(VLOOKUP(I17,'Pivot Table 11'!B:C,2,0),0)</f>
        <v>19</v>
      </c>
    </row>
    <row r="18">
      <c r="A18" s="278" t="s">
        <v>7841</v>
      </c>
      <c r="B18" s="276" t="s">
        <v>390</v>
      </c>
      <c r="D18" s="276" t="s">
        <v>1605</v>
      </c>
      <c r="E18" s="278" t="s">
        <v>421</v>
      </c>
      <c r="F18" s="276" t="str">
        <f t="shared" si="1"/>
        <v>Zone 1 Mehdipatnam</v>
      </c>
      <c r="H18" s="281" t="s">
        <v>7857</v>
      </c>
      <c r="I18" s="282" t="s">
        <v>7841</v>
      </c>
      <c r="J18" s="283">
        <f>iferror(VLOOKUP(I18,'Pivot Table 11'!B:C,2,0),0)</f>
        <v>8</v>
      </c>
    </row>
    <row r="19">
      <c r="A19" s="278" t="s">
        <v>1198</v>
      </c>
      <c r="B19" s="276" t="s">
        <v>390</v>
      </c>
      <c r="D19" s="276" t="s">
        <v>1621</v>
      </c>
      <c r="E19" s="278" t="s">
        <v>7839</v>
      </c>
      <c r="F19" s="276" t="str">
        <f t="shared" si="1"/>
        <v>Zone 1 Mehdipatnam</v>
      </c>
      <c r="H19" s="284"/>
      <c r="I19" s="282" t="s">
        <v>1198</v>
      </c>
      <c r="J19" s="283">
        <f>iferror(VLOOKUP(I19,'Pivot Table 11'!B:C,2,0),0)</f>
        <v>12</v>
      </c>
    </row>
    <row r="20">
      <c r="A20" s="278" t="s">
        <v>1165</v>
      </c>
      <c r="B20" s="276" t="s">
        <v>390</v>
      </c>
      <c r="D20" s="276" t="s">
        <v>7858</v>
      </c>
      <c r="E20" s="278" t="s">
        <v>2522</v>
      </c>
      <c r="F20" s="276" t="str">
        <f t="shared" si="1"/>
        <v>Zone 1 Mehdipatnam</v>
      </c>
      <c r="H20" s="284"/>
      <c r="I20" s="282" t="s">
        <v>1165</v>
      </c>
      <c r="J20" s="283">
        <f>iferror(VLOOKUP(I20,'Pivot Table 11'!B:C,2,0),0)</f>
        <v>89</v>
      </c>
    </row>
    <row r="21">
      <c r="A21" s="278" t="s">
        <v>389</v>
      </c>
      <c r="B21" s="276" t="s">
        <v>390</v>
      </c>
      <c r="D21" s="286" t="s">
        <v>117</v>
      </c>
      <c r="E21" s="278" t="s">
        <v>2522</v>
      </c>
      <c r="F21" s="276" t="str">
        <f t="shared" si="1"/>
        <v>Zone 1 Mehdipatnam</v>
      </c>
      <c r="H21" s="284"/>
      <c r="I21" s="282" t="s">
        <v>389</v>
      </c>
      <c r="J21" s="283">
        <f>iferror(VLOOKUP(I21,'Pivot Table 11'!B:C,2,0),0)</f>
        <v>40</v>
      </c>
    </row>
    <row r="22">
      <c r="A22" s="278" t="s">
        <v>680</v>
      </c>
      <c r="B22" s="276" t="s">
        <v>390</v>
      </c>
      <c r="D22" s="286" t="s">
        <v>1966</v>
      </c>
      <c r="E22" s="278" t="s">
        <v>2522</v>
      </c>
      <c r="F22" s="276" t="str">
        <f t="shared" si="1"/>
        <v>Zone 1 Mehdipatnam</v>
      </c>
      <c r="H22" s="285"/>
      <c r="I22" s="282" t="s">
        <v>680</v>
      </c>
      <c r="J22" s="283">
        <f>iferror(VLOOKUP(I22,'Pivot Table 11'!B:C,2,0),0)</f>
        <v>65</v>
      </c>
    </row>
    <row r="23">
      <c r="A23" s="278" t="s">
        <v>4343</v>
      </c>
      <c r="B23" s="276" t="s">
        <v>161</v>
      </c>
      <c r="D23" s="276" t="s">
        <v>126</v>
      </c>
      <c r="E23" s="278" t="s">
        <v>2162</v>
      </c>
      <c r="F23" s="276" t="str">
        <f t="shared" si="1"/>
        <v>Zone 2 Jubliee hils</v>
      </c>
      <c r="H23" s="281" t="s">
        <v>7859</v>
      </c>
      <c r="I23" s="282" t="s">
        <v>4343</v>
      </c>
      <c r="J23" s="283">
        <f>iferror(VLOOKUP(I23,'Pivot Table 11'!B:C,2,0),0)</f>
        <v>0</v>
      </c>
    </row>
    <row r="24">
      <c r="A24" s="278" t="s">
        <v>203</v>
      </c>
      <c r="B24" s="276" t="s">
        <v>161</v>
      </c>
      <c r="D24" s="276" t="s">
        <v>85</v>
      </c>
      <c r="E24" s="278" t="s">
        <v>2162</v>
      </c>
      <c r="F24" s="276" t="str">
        <f t="shared" si="1"/>
        <v>Zone 2 Jubliee hils</v>
      </c>
      <c r="H24" s="284"/>
      <c r="I24" s="282" t="s">
        <v>203</v>
      </c>
      <c r="J24" s="283">
        <f>iferror(VLOOKUP(I24,'Pivot Table 11'!B:C,2,0),0)</f>
        <v>18</v>
      </c>
    </row>
    <row r="25">
      <c r="A25" s="278" t="s">
        <v>1550</v>
      </c>
      <c r="B25" s="276" t="s">
        <v>161</v>
      </c>
      <c r="D25" s="276" t="s">
        <v>171</v>
      </c>
      <c r="E25" s="278" t="s">
        <v>2162</v>
      </c>
      <c r="F25" s="276" t="str">
        <f t="shared" si="1"/>
        <v>Zone 2 Jubliee hils</v>
      </c>
      <c r="H25" s="284"/>
      <c r="I25" s="282" t="s">
        <v>1550</v>
      </c>
      <c r="J25" s="283">
        <f>iferror(VLOOKUP(I25,'Pivot Table 11'!B:C,2,0),0)</f>
        <v>1</v>
      </c>
    </row>
    <row r="26">
      <c r="A26" s="278" t="s">
        <v>1041</v>
      </c>
      <c r="B26" s="276" t="s">
        <v>161</v>
      </c>
      <c r="D26" s="276" t="s">
        <v>137</v>
      </c>
      <c r="E26" s="278" t="s">
        <v>7842</v>
      </c>
      <c r="F26" s="276" t="str">
        <f t="shared" si="1"/>
        <v>Zone 2 Jubliee hils</v>
      </c>
      <c r="H26" s="284"/>
      <c r="I26" s="282" t="s">
        <v>1041</v>
      </c>
      <c r="J26" s="283">
        <f>iferror(VLOOKUP(I26,'Pivot Table 11'!B:C,2,0),0)</f>
        <v>28</v>
      </c>
    </row>
    <row r="27">
      <c r="A27" s="278" t="s">
        <v>3257</v>
      </c>
      <c r="B27" s="276" t="s">
        <v>161</v>
      </c>
      <c r="D27" s="276" t="s">
        <v>302</v>
      </c>
      <c r="E27" s="278" t="s">
        <v>1038</v>
      </c>
      <c r="F27" s="276" t="str">
        <f t="shared" si="1"/>
        <v>Zone 3 Raidurg</v>
      </c>
      <c r="H27" s="284"/>
      <c r="I27" s="282" t="s">
        <v>3257</v>
      </c>
      <c r="J27" s="283">
        <f>iferror(VLOOKUP(I27,'Pivot Table 11'!B:C,2,0),0)</f>
        <v>0</v>
      </c>
    </row>
    <row r="28">
      <c r="A28" s="278" t="s">
        <v>7860</v>
      </c>
      <c r="B28" s="276" t="s">
        <v>161</v>
      </c>
      <c r="D28" s="276" t="s">
        <v>716</v>
      </c>
      <c r="E28" s="278" t="s">
        <v>7840</v>
      </c>
      <c r="F28" s="276" t="str">
        <f t="shared" si="1"/>
        <v>Zone 3 Raidurg</v>
      </c>
      <c r="H28" s="285"/>
      <c r="I28" s="282" t="s">
        <v>7860</v>
      </c>
      <c r="J28" s="283">
        <f>iferror(VLOOKUP(I28,'Pivot Table 11'!B:C,2,0),0)</f>
        <v>0</v>
      </c>
    </row>
    <row r="29">
      <c r="D29" s="276" t="s">
        <v>735</v>
      </c>
      <c r="E29" s="278" t="s">
        <v>735</v>
      </c>
      <c r="F29" s="276" t="str">
        <f t="shared" si="1"/>
        <v>Zone 3 Raidurg</v>
      </c>
      <c r="H29" s="287"/>
      <c r="I29" s="288"/>
      <c r="J29" s="288">
        <f>sum(J2:J28)</f>
        <v>479</v>
      </c>
    </row>
    <row r="30">
      <c r="D30" s="276" t="s">
        <v>1559</v>
      </c>
      <c r="E30" s="278" t="s">
        <v>716</v>
      </c>
      <c r="F30" s="276" t="str">
        <f t="shared" si="1"/>
        <v>Zone 3 Raidurg</v>
      </c>
      <c r="H30" s="287"/>
      <c r="I30" s="288"/>
      <c r="J30" s="289"/>
    </row>
    <row r="31">
      <c r="D31" s="276" t="s">
        <v>147</v>
      </c>
      <c r="E31" s="278" t="s">
        <v>2722</v>
      </c>
      <c r="F31" s="276" t="str">
        <f t="shared" si="1"/>
        <v>Zone 4 Hi-tech City</v>
      </c>
      <c r="H31" s="287"/>
      <c r="I31" s="288"/>
      <c r="J31" s="288"/>
    </row>
    <row r="32">
      <c r="D32" s="276" t="s">
        <v>903</v>
      </c>
      <c r="E32" s="278" t="s">
        <v>1424</v>
      </c>
      <c r="F32" s="276" t="str">
        <f t="shared" si="1"/>
        <v>Zone 4 Hi-tech City</v>
      </c>
      <c r="H32" s="287"/>
      <c r="I32" s="288"/>
      <c r="J32" s="288"/>
    </row>
    <row r="33">
      <c r="D33" s="276" t="s">
        <v>1804</v>
      </c>
      <c r="E33" s="278" t="s">
        <v>7838</v>
      </c>
      <c r="F33" s="276" t="str">
        <f t="shared" si="1"/>
        <v>Zone 4 Hi-tech City</v>
      </c>
      <c r="H33" s="287"/>
      <c r="I33" s="288"/>
      <c r="J33" s="288"/>
    </row>
    <row r="34">
      <c r="D34" s="286" t="s">
        <v>1982</v>
      </c>
      <c r="E34" s="278" t="s">
        <v>7838</v>
      </c>
      <c r="F34" s="276" t="str">
        <f t="shared" si="1"/>
        <v>Zone 4 Hi-tech City</v>
      </c>
      <c r="H34" s="287"/>
      <c r="I34" s="288"/>
      <c r="J34" s="288"/>
    </row>
    <row r="35">
      <c r="D35" s="276" t="s">
        <v>610</v>
      </c>
      <c r="E35" s="278" t="s">
        <v>1165</v>
      </c>
      <c r="F35" s="276" t="str">
        <f t="shared" si="1"/>
        <v>Zone 5 Kukatpally</v>
      </c>
      <c r="H35" s="287"/>
      <c r="I35" s="288"/>
      <c r="J35" s="288"/>
    </row>
    <row r="36">
      <c r="D36" s="276" t="s">
        <v>680</v>
      </c>
      <c r="E36" s="278" t="s">
        <v>1961</v>
      </c>
      <c r="F36" s="276" t="str">
        <f t="shared" si="1"/>
        <v>Zone 5 Kukatpally</v>
      </c>
      <c r="H36" s="287"/>
      <c r="I36" s="288"/>
      <c r="J36" s="288"/>
    </row>
    <row r="37">
      <c r="D37" s="276" t="s">
        <v>512</v>
      </c>
      <c r="E37" s="278" t="s">
        <v>1961</v>
      </c>
      <c r="F37" s="276" t="str">
        <f t="shared" si="1"/>
        <v>Zone 5 Kukatpally</v>
      </c>
      <c r="H37" s="287"/>
      <c r="I37" s="288"/>
      <c r="J37" s="288"/>
    </row>
    <row r="38">
      <c r="D38" s="276" t="s">
        <v>1530</v>
      </c>
      <c r="E38" s="278" t="s">
        <v>2869</v>
      </c>
      <c r="F38" s="276" t="str">
        <f t="shared" si="1"/>
        <v>Zone 5 Kukatpally</v>
      </c>
      <c r="H38" s="287"/>
      <c r="J38" s="288"/>
    </row>
    <row r="39">
      <c r="D39" s="276" t="s">
        <v>1198</v>
      </c>
      <c r="E39" s="278" t="s">
        <v>1165</v>
      </c>
      <c r="F39" s="276" t="str">
        <f t="shared" si="1"/>
        <v>Zone 5 Kukatpally</v>
      </c>
      <c r="H39" s="287"/>
      <c r="J39" s="288"/>
    </row>
    <row r="40">
      <c r="D40" s="278" t="s">
        <v>2515</v>
      </c>
      <c r="E40" s="278" t="s">
        <v>1961</v>
      </c>
      <c r="F40" s="276" t="str">
        <f t="shared" si="1"/>
        <v>Zone 5 Kukatpally</v>
      </c>
      <c r="H40" s="287"/>
      <c r="J40" s="288"/>
    </row>
    <row r="41">
      <c r="D41" s="276" t="s">
        <v>1815</v>
      </c>
      <c r="E41" s="278" t="s">
        <v>1961</v>
      </c>
      <c r="F41" s="276" t="str">
        <f t="shared" si="1"/>
        <v>Zone 5 Kukatpally</v>
      </c>
      <c r="H41" s="287"/>
      <c r="J41" s="288"/>
    </row>
    <row r="42">
      <c r="D42" s="276" t="s">
        <v>1079</v>
      </c>
      <c r="E42" s="278" t="s">
        <v>1961</v>
      </c>
      <c r="F42" s="276" t="str">
        <f t="shared" si="1"/>
        <v>Zone 5 Kukatpally</v>
      </c>
      <c r="H42" s="287"/>
      <c r="J42" s="288"/>
    </row>
    <row r="43">
      <c r="D43" s="276" t="s">
        <v>1599</v>
      </c>
      <c r="E43" s="278" t="s">
        <v>7841</v>
      </c>
      <c r="F43" s="276" t="str">
        <f t="shared" si="1"/>
        <v>Zone 5 Kukatpally</v>
      </c>
      <c r="H43" s="287"/>
      <c r="J43" s="288"/>
    </row>
    <row r="44">
      <c r="D44" s="276" t="s">
        <v>1691</v>
      </c>
      <c r="E44" s="278" t="s">
        <v>1961</v>
      </c>
      <c r="F44" s="276" t="str">
        <f t="shared" si="1"/>
        <v>Zone 5 Kukatpally</v>
      </c>
      <c r="H44" s="287"/>
      <c r="I44" s="288"/>
      <c r="J44" s="288"/>
    </row>
    <row r="45">
      <c r="D45" s="276" t="s">
        <v>623</v>
      </c>
      <c r="E45" s="278" t="s">
        <v>7841</v>
      </c>
      <c r="F45" s="276" t="str">
        <f t="shared" si="1"/>
        <v>Zone 5 Kukatpally</v>
      </c>
      <c r="H45" s="287"/>
      <c r="I45" s="288"/>
      <c r="J45" s="288"/>
    </row>
    <row r="46">
      <c r="D46" s="276" t="s">
        <v>7861</v>
      </c>
      <c r="E46" s="278" t="s">
        <v>7841</v>
      </c>
      <c r="F46" s="276" t="str">
        <f t="shared" si="1"/>
        <v>Zone 5 Kukatpally</v>
      </c>
      <c r="H46" s="287"/>
      <c r="I46" s="288"/>
      <c r="J46" s="288"/>
    </row>
    <row r="47">
      <c r="D47" s="278" t="s">
        <v>389</v>
      </c>
      <c r="E47" s="278" t="s">
        <v>389</v>
      </c>
      <c r="F47" s="276" t="str">
        <f t="shared" si="1"/>
        <v>Zone 5 Kukatpally</v>
      </c>
      <c r="H47" s="287"/>
      <c r="I47" s="288"/>
      <c r="J47" s="288"/>
    </row>
    <row r="48">
      <c r="D48" s="276" t="s">
        <v>890</v>
      </c>
      <c r="E48" s="278" t="s">
        <v>890</v>
      </c>
      <c r="F48" s="276" t="str">
        <f t="shared" si="1"/>
        <v>Zone 6 Ameerpet</v>
      </c>
      <c r="H48" s="287"/>
      <c r="I48" s="288"/>
      <c r="J48" s="288"/>
    </row>
    <row r="49">
      <c r="D49" s="276" t="s">
        <v>160</v>
      </c>
      <c r="E49" s="278" t="s">
        <v>3042</v>
      </c>
      <c r="F49" s="276" t="str">
        <f t="shared" si="1"/>
        <v>Zone 6 Ameerpet</v>
      </c>
      <c r="H49" s="287"/>
      <c r="I49" s="288"/>
      <c r="J49" s="288"/>
    </row>
    <row r="50">
      <c r="D50" s="276" t="s">
        <v>203</v>
      </c>
      <c r="E50" s="278" t="s">
        <v>4918</v>
      </c>
      <c r="F50" s="276" t="str">
        <f t="shared" si="1"/>
        <v>Zone 6 Ameerpet</v>
      </c>
      <c r="H50" s="287"/>
      <c r="I50" s="288"/>
      <c r="J50" s="288"/>
    </row>
    <row r="51">
      <c r="D51" s="276" t="s">
        <v>881</v>
      </c>
      <c r="E51" s="278" t="s">
        <v>3042</v>
      </c>
      <c r="F51" s="276" t="str">
        <f t="shared" si="1"/>
        <v>Zone 6 Ameerpet</v>
      </c>
      <c r="H51" s="287"/>
      <c r="I51" s="288"/>
      <c r="J51" s="288"/>
    </row>
    <row r="52">
      <c r="D52" s="276" t="s">
        <v>809</v>
      </c>
      <c r="E52" s="278" t="s">
        <v>3042</v>
      </c>
      <c r="F52" s="276" t="str">
        <f t="shared" si="1"/>
        <v>Zone 6 Ameerpet</v>
      </c>
      <c r="H52" s="287"/>
      <c r="I52" s="288"/>
      <c r="J52" s="288"/>
    </row>
    <row r="53">
      <c r="D53" s="276" t="s">
        <v>690</v>
      </c>
      <c r="E53" s="278" t="s">
        <v>4918</v>
      </c>
      <c r="F53" s="276" t="str">
        <f t="shared" si="1"/>
        <v>Zone 6 Ameerpet</v>
      </c>
      <c r="H53" s="287"/>
      <c r="I53" s="288"/>
      <c r="J53" s="288"/>
    </row>
    <row r="54">
      <c r="D54" s="276" t="s">
        <v>842</v>
      </c>
      <c r="E54" s="278" t="s">
        <v>890</v>
      </c>
      <c r="F54" s="276" t="str">
        <f t="shared" si="1"/>
        <v>Zone 6 Ameerpet</v>
      </c>
      <c r="H54" s="287"/>
      <c r="I54" s="288"/>
      <c r="J54" s="288"/>
    </row>
    <row r="55">
      <c r="D55" s="276" t="s">
        <v>1550</v>
      </c>
      <c r="E55" s="278" t="s">
        <v>4918</v>
      </c>
      <c r="F55" s="276" t="str">
        <f t="shared" si="1"/>
        <v>Zone 6 Ameerpet</v>
      </c>
      <c r="H55" s="287"/>
      <c r="I55" s="288"/>
      <c r="J55" s="288"/>
    </row>
    <row r="56">
      <c r="D56" s="276" t="s">
        <v>231</v>
      </c>
      <c r="E56" s="278" t="s">
        <v>4918</v>
      </c>
      <c r="F56" s="276" t="str">
        <f t="shared" si="1"/>
        <v>Zone 6 Ameerpet</v>
      </c>
      <c r="H56" s="287"/>
      <c r="I56" s="288"/>
      <c r="J56" s="288"/>
    </row>
    <row r="57">
      <c r="D57" s="276" t="s">
        <v>487</v>
      </c>
      <c r="E57" s="278" t="s">
        <v>3042</v>
      </c>
      <c r="F57" s="276" t="str">
        <f t="shared" si="1"/>
        <v>Zone 6 Ameerpet</v>
      </c>
      <c r="H57" s="287"/>
      <c r="I57" s="288"/>
      <c r="J57" s="288"/>
    </row>
    <row r="58">
      <c r="D58" s="276" t="s">
        <v>819</v>
      </c>
      <c r="E58" s="278" t="s">
        <v>3042</v>
      </c>
      <c r="F58" s="276" t="str">
        <f t="shared" si="1"/>
        <v>Zone 6 Ameerpet</v>
      </c>
      <c r="H58" s="287"/>
      <c r="I58" s="288"/>
      <c r="J58" s="288"/>
    </row>
    <row r="59">
      <c r="H59" s="287"/>
      <c r="I59" s="288"/>
      <c r="J59" s="288"/>
    </row>
    <row r="60">
      <c r="H60" s="287"/>
      <c r="I60" s="288"/>
      <c r="J60" s="288"/>
    </row>
    <row r="61">
      <c r="H61" s="287"/>
      <c r="I61" s="288"/>
      <c r="J61" s="288"/>
    </row>
    <row r="62">
      <c r="H62" s="287"/>
      <c r="I62" s="288"/>
      <c r="J62" s="288"/>
    </row>
    <row r="63">
      <c r="H63" s="287"/>
      <c r="I63" s="288"/>
      <c r="J63" s="288"/>
    </row>
    <row r="64">
      <c r="H64" s="287"/>
      <c r="I64" s="288"/>
      <c r="J64" s="288"/>
    </row>
    <row r="65">
      <c r="H65" s="287"/>
      <c r="I65" s="288"/>
      <c r="J65" s="288"/>
    </row>
    <row r="66">
      <c r="H66" s="287"/>
      <c r="I66" s="288"/>
      <c r="J66" s="288"/>
    </row>
    <row r="67">
      <c r="H67" s="287"/>
      <c r="I67" s="288"/>
      <c r="J67" s="288"/>
    </row>
    <row r="68">
      <c r="H68" s="287"/>
      <c r="I68" s="288"/>
      <c r="J68" s="288"/>
    </row>
    <row r="69">
      <c r="H69" s="287"/>
      <c r="I69" s="288"/>
      <c r="J69" s="288"/>
    </row>
    <row r="70">
      <c r="H70" s="287"/>
      <c r="I70" s="288"/>
      <c r="J70" s="288"/>
    </row>
    <row r="71">
      <c r="H71" s="287"/>
      <c r="I71" s="288"/>
      <c r="J71" s="288"/>
    </row>
    <row r="72">
      <c r="H72" s="287"/>
      <c r="I72" s="288"/>
      <c r="J72" s="288"/>
    </row>
    <row r="73">
      <c r="H73" s="287"/>
      <c r="I73" s="288"/>
      <c r="J73" s="288"/>
    </row>
    <row r="74">
      <c r="H74" s="287"/>
      <c r="I74" s="288"/>
      <c r="J74" s="288"/>
    </row>
    <row r="75">
      <c r="H75" s="287"/>
      <c r="I75" s="288"/>
      <c r="J75" s="288"/>
    </row>
    <row r="76">
      <c r="H76" s="287"/>
      <c r="I76" s="288"/>
      <c r="J76" s="288"/>
    </row>
    <row r="77">
      <c r="H77" s="287"/>
      <c r="I77" s="288"/>
      <c r="J77" s="288"/>
    </row>
    <row r="78">
      <c r="H78" s="287"/>
      <c r="I78" s="288"/>
      <c r="J78" s="288"/>
    </row>
    <row r="79">
      <c r="H79" s="287"/>
      <c r="I79" s="288"/>
      <c r="J79" s="288"/>
    </row>
    <row r="80">
      <c r="H80" s="287"/>
      <c r="I80" s="288"/>
      <c r="J80" s="288"/>
    </row>
    <row r="81">
      <c r="H81" s="287"/>
      <c r="I81" s="288"/>
      <c r="J81" s="288"/>
    </row>
    <row r="82">
      <c r="H82" s="287"/>
      <c r="I82" s="288"/>
      <c r="J82" s="288"/>
    </row>
    <row r="83">
      <c r="H83" s="287"/>
      <c r="I83" s="288"/>
      <c r="J83" s="288"/>
    </row>
    <row r="84">
      <c r="H84" s="287"/>
      <c r="I84" s="288"/>
      <c r="J84" s="288"/>
    </row>
    <row r="85">
      <c r="H85" s="287"/>
      <c r="I85" s="288"/>
      <c r="J85" s="288"/>
    </row>
    <row r="86">
      <c r="H86" s="287"/>
      <c r="I86" s="288"/>
      <c r="J86" s="288"/>
    </row>
    <row r="87">
      <c r="H87" s="287"/>
      <c r="I87" s="288"/>
      <c r="J87" s="288"/>
    </row>
    <row r="88">
      <c r="H88" s="287"/>
      <c r="I88" s="288"/>
      <c r="J88" s="288"/>
    </row>
    <row r="89">
      <c r="H89" s="287"/>
      <c r="I89" s="288"/>
      <c r="J89" s="288"/>
    </row>
    <row r="90">
      <c r="H90" s="287"/>
      <c r="I90" s="288"/>
      <c r="J90" s="288"/>
    </row>
    <row r="91">
      <c r="H91" s="287"/>
      <c r="I91" s="288"/>
      <c r="J91" s="288"/>
    </row>
    <row r="92">
      <c r="H92" s="287"/>
      <c r="I92" s="288"/>
      <c r="J92" s="288"/>
    </row>
    <row r="93">
      <c r="H93" s="287"/>
      <c r="I93" s="288"/>
      <c r="J93" s="288"/>
    </row>
    <row r="94">
      <c r="H94" s="287"/>
      <c r="I94" s="288"/>
      <c r="J94" s="288"/>
    </row>
    <row r="95">
      <c r="H95" s="287"/>
      <c r="I95" s="288"/>
      <c r="J95" s="288"/>
    </row>
    <row r="96">
      <c r="H96" s="287"/>
      <c r="I96" s="288"/>
      <c r="J96" s="288"/>
    </row>
    <row r="97">
      <c r="H97" s="287"/>
      <c r="I97" s="288"/>
      <c r="J97" s="288"/>
    </row>
    <row r="98">
      <c r="H98" s="287"/>
      <c r="I98" s="288"/>
      <c r="J98" s="288"/>
    </row>
    <row r="99">
      <c r="H99" s="287"/>
      <c r="I99" s="288"/>
      <c r="J99" s="288"/>
    </row>
    <row r="100">
      <c r="H100" s="287"/>
      <c r="I100" s="288"/>
      <c r="J100" s="288"/>
    </row>
    <row r="101">
      <c r="H101" s="287"/>
      <c r="I101" s="288"/>
      <c r="J101" s="288"/>
    </row>
    <row r="102">
      <c r="H102" s="287"/>
      <c r="I102" s="288"/>
      <c r="J102" s="288"/>
    </row>
    <row r="103">
      <c r="H103" s="287"/>
      <c r="I103" s="288"/>
      <c r="J103" s="288"/>
    </row>
    <row r="104">
      <c r="H104" s="287"/>
      <c r="I104" s="288"/>
      <c r="J104" s="288"/>
    </row>
    <row r="105">
      <c r="H105" s="287"/>
      <c r="I105" s="288"/>
      <c r="J105" s="288"/>
    </row>
    <row r="106">
      <c r="H106" s="287"/>
      <c r="I106" s="288"/>
      <c r="J106" s="288"/>
    </row>
    <row r="107">
      <c r="H107" s="287"/>
      <c r="I107" s="288"/>
      <c r="J107" s="288"/>
    </row>
    <row r="108">
      <c r="H108" s="287"/>
      <c r="I108" s="288"/>
      <c r="J108" s="288"/>
    </row>
    <row r="109">
      <c r="H109" s="287"/>
      <c r="I109" s="288"/>
      <c r="J109" s="288"/>
    </row>
    <row r="110">
      <c r="H110" s="287"/>
      <c r="I110" s="288"/>
      <c r="J110" s="288"/>
    </row>
    <row r="111">
      <c r="H111" s="287"/>
      <c r="I111" s="288"/>
      <c r="J111" s="288"/>
    </row>
    <row r="112">
      <c r="H112" s="287"/>
      <c r="I112" s="288"/>
      <c r="J112" s="288"/>
    </row>
    <row r="113">
      <c r="H113" s="287"/>
      <c r="I113" s="288"/>
      <c r="J113" s="288"/>
    </row>
    <row r="114">
      <c r="H114" s="287"/>
      <c r="I114" s="288"/>
      <c r="J114" s="288"/>
    </row>
    <row r="115">
      <c r="H115" s="287"/>
      <c r="I115" s="288"/>
      <c r="J115" s="288"/>
    </row>
    <row r="116">
      <c r="H116" s="287"/>
      <c r="I116" s="288"/>
      <c r="J116" s="288"/>
    </row>
    <row r="117">
      <c r="H117" s="287"/>
      <c r="I117" s="288"/>
      <c r="J117" s="288"/>
    </row>
    <row r="118">
      <c r="H118" s="287"/>
      <c r="I118" s="288"/>
      <c r="J118" s="288"/>
    </row>
    <row r="119">
      <c r="H119" s="287"/>
      <c r="I119" s="288"/>
      <c r="J119" s="288"/>
    </row>
    <row r="120">
      <c r="H120" s="287"/>
      <c r="I120" s="288"/>
      <c r="J120" s="288"/>
    </row>
    <row r="121">
      <c r="H121" s="287"/>
      <c r="I121" s="288"/>
      <c r="J121" s="288"/>
    </row>
    <row r="122">
      <c r="H122" s="287"/>
      <c r="I122" s="288"/>
      <c r="J122" s="288"/>
    </row>
    <row r="123">
      <c r="H123" s="287"/>
      <c r="I123" s="288"/>
      <c r="J123" s="288"/>
    </row>
    <row r="124">
      <c r="H124" s="287"/>
      <c r="I124" s="288"/>
      <c r="J124" s="288"/>
    </row>
    <row r="125">
      <c r="H125" s="287"/>
      <c r="I125" s="288"/>
      <c r="J125" s="288"/>
    </row>
    <row r="126">
      <c r="H126" s="287"/>
      <c r="I126" s="288"/>
      <c r="J126" s="288"/>
    </row>
    <row r="127">
      <c r="H127" s="287"/>
      <c r="I127" s="288"/>
      <c r="J127" s="288"/>
    </row>
    <row r="128">
      <c r="H128" s="287"/>
      <c r="I128" s="288"/>
      <c r="J128" s="288"/>
    </row>
    <row r="129">
      <c r="H129" s="287"/>
      <c r="I129" s="288"/>
      <c r="J129" s="288"/>
    </row>
    <row r="130">
      <c r="H130" s="287"/>
      <c r="I130" s="288"/>
      <c r="J130" s="288"/>
    </row>
    <row r="131">
      <c r="H131" s="287"/>
      <c r="I131" s="288"/>
      <c r="J131" s="288"/>
    </row>
    <row r="132">
      <c r="H132" s="287"/>
      <c r="I132" s="288"/>
      <c r="J132" s="288"/>
    </row>
    <row r="133">
      <c r="H133" s="287"/>
      <c r="I133" s="288"/>
      <c r="J133" s="288"/>
    </row>
    <row r="134">
      <c r="H134" s="287"/>
      <c r="I134" s="288"/>
      <c r="J134" s="288"/>
    </row>
    <row r="135">
      <c r="H135" s="287"/>
      <c r="I135" s="288"/>
      <c r="J135" s="288"/>
    </row>
    <row r="136">
      <c r="H136" s="287"/>
      <c r="I136" s="288"/>
      <c r="J136" s="288"/>
    </row>
    <row r="137">
      <c r="H137" s="287"/>
      <c r="I137" s="288"/>
      <c r="J137" s="288"/>
    </row>
    <row r="138">
      <c r="H138" s="287"/>
      <c r="I138" s="288"/>
      <c r="J138" s="288"/>
    </row>
    <row r="139">
      <c r="H139" s="287"/>
      <c r="I139" s="288"/>
      <c r="J139" s="288"/>
    </row>
    <row r="140">
      <c r="H140" s="287"/>
      <c r="I140" s="288"/>
      <c r="J140" s="288"/>
    </row>
    <row r="141">
      <c r="H141" s="287"/>
      <c r="I141" s="288"/>
      <c r="J141" s="288"/>
    </row>
    <row r="142">
      <c r="H142" s="287"/>
      <c r="I142" s="288"/>
      <c r="J142" s="288"/>
    </row>
    <row r="143">
      <c r="H143" s="287"/>
      <c r="I143" s="288"/>
      <c r="J143" s="288"/>
    </row>
    <row r="144">
      <c r="H144" s="287"/>
      <c r="I144" s="288"/>
      <c r="J144" s="288"/>
    </row>
    <row r="145">
      <c r="H145" s="287"/>
      <c r="I145" s="288"/>
      <c r="J145" s="288"/>
    </row>
    <row r="146">
      <c r="H146" s="287"/>
      <c r="I146" s="288"/>
      <c r="J146" s="288"/>
    </row>
    <row r="147">
      <c r="H147" s="287"/>
      <c r="I147" s="288"/>
      <c r="J147" s="288"/>
    </row>
    <row r="148">
      <c r="H148" s="287"/>
      <c r="I148" s="288"/>
      <c r="J148" s="288"/>
    </row>
    <row r="149">
      <c r="H149" s="287"/>
      <c r="I149" s="288"/>
      <c r="J149" s="288"/>
    </row>
    <row r="150">
      <c r="H150" s="287"/>
      <c r="I150" s="288"/>
      <c r="J150" s="288"/>
    </row>
    <row r="151">
      <c r="H151" s="287"/>
      <c r="I151" s="288"/>
      <c r="J151" s="288"/>
    </row>
    <row r="152">
      <c r="H152" s="287"/>
      <c r="I152" s="288"/>
      <c r="J152" s="288"/>
    </row>
    <row r="153">
      <c r="H153" s="287"/>
      <c r="I153" s="288"/>
      <c r="J153" s="288"/>
    </row>
    <row r="154">
      <c r="H154" s="287"/>
      <c r="I154" s="288"/>
      <c r="J154" s="288"/>
    </row>
    <row r="155">
      <c r="H155" s="287"/>
      <c r="I155" s="288"/>
      <c r="J155" s="288"/>
    </row>
    <row r="156">
      <c r="H156" s="287"/>
      <c r="I156" s="288"/>
      <c r="J156" s="288"/>
    </row>
    <row r="157">
      <c r="H157" s="287"/>
      <c r="I157" s="288"/>
      <c r="J157" s="288"/>
    </row>
    <row r="158">
      <c r="H158" s="287"/>
      <c r="I158" s="288"/>
      <c r="J158" s="288"/>
    </row>
    <row r="159">
      <c r="H159" s="287"/>
      <c r="I159" s="288"/>
      <c r="J159" s="288"/>
    </row>
    <row r="160">
      <c r="H160" s="287"/>
      <c r="I160" s="288"/>
      <c r="J160" s="288"/>
    </row>
    <row r="161">
      <c r="H161" s="287"/>
      <c r="I161" s="288"/>
      <c r="J161" s="288"/>
    </row>
    <row r="162">
      <c r="H162" s="287"/>
      <c r="I162" s="288"/>
      <c r="J162" s="288"/>
    </row>
    <row r="163">
      <c r="H163" s="287"/>
      <c r="I163" s="288"/>
      <c r="J163" s="288"/>
    </row>
    <row r="164">
      <c r="H164" s="287"/>
      <c r="I164" s="288"/>
      <c r="J164" s="288"/>
    </row>
    <row r="165">
      <c r="H165" s="287"/>
      <c r="I165" s="288"/>
      <c r="J165" s="288"/>
    </row>
    <row r="166">
      <c r="H166" s="287"/>
      <c r="I166" s="288"/>
      <c r="J166" s="288"/>
    </row>
    <row r="167">
      <c r="H167" s="287"/>
      <c r="I167" s="288"/>
      <c r="J167" s="288"/>
    </row>
    <row r="168">
      <c r="H168" s="287"/>
      <c r="I168" s="288"/>
      <c r="J168" s="288"/>
    </row>
    <row r="169">
      <c r="H169" s="287"/>
      <c r="I169" s="288"/>
      <c r="J169" s="288"/>
    </row>
    <row r="170">
      <c r="H170" s="287"/>
      <c r="I170" s="288"/>
      <c r="J170" s="288"/>
    </row>
    <row r="171">
      <c r="H171" s="287"/>
      <c r="I171" s="288"/>
      <c r="J171" s="288"/>
    </row>
    <row r="172">
      <c r="H172" s="287"/>
      <c r="I172" s="288"/>
      <c r="J172" s="288"/>
    </row>
    <row r="173">
      <c r="H173" s="287"/>
      <c r="I173" s="288"/>
      <c r="J173" s="288"/>
    </row>
    <row r="174">
      <c r="H174" s="287"/>
      <c r="I174" s="288"/>
      <c r="J174" s="288"/>
    </row>
    <row r="175">
      <c r="H175" s="287"/>
      <c r="I175" s="288"/>
      <c r="J175" s="288"/>
    </row>
    <row r="176">
      <c r="H176" s="287"/>
      <c r="I176" s="288"/>
      <c r="J176" s="288"/>
    </row>
    <row r="177">
      <c r="H177" s="287"/>
      <c r="I177" s="288"/>
      <c r="J177" s="288"/>
    </row>
    <row r="178">
      <c r="H178" s="287"/>
      <c r="I178" s="288"/>
      <c r="J178" s="288"/>
    </row>
    <row r="179">
      <c r="H179" s="287"/>
      <c r="I179" s="288"/>
      <c r="J179" s="288"/>
    </row>
    <row r="180">
      <c r="H180" s="287"/>
      <c r="I180" s="288"/>
      <c r="J180" s="288"/>
    </row>
    <row r="181">
      <c r="H181" s="287"/>
      <c r="I181" s="288"/>
      <c r="J181" s="288"/>
    </row>
    <row r="182">
      <c r="H182" s="287"/>
      <c r="I182" s="288"/>
      <c r="J182" s="288"/>
    </row>
    <row r="183">
      <c r="H183" s="287"/>
      <c r="I183" s="288"/>
      <c r="J183" s="288"/>
    </row>
    <row r="184">
      <c r="H184" s="287"/>
      <c r="I184" s="288"/>
      <c r="J184" s="288"/>
    </row>
    <row r="185">
      <c r="H185" s="287"/>
      <c r="I185" s="288"/>
      <c r="J185" s="288"/>
    </row>
    <row r="186">
      <c r="H186" s="287"/>
      <c r="I186" s="288"/>
      <c r="J186" s="288"/>
    </row>
    <row r="187">
      <c r="H187" s="287"/>
      <c r="I187" s="288"/>
      <c r="J187" s="288"/>
    </row>
    <row r="188">
      <c r="H188" s="287"/>
      <c r="I188" s="288"/>
      <c r="J188" s="288"/>
    </row>
    <row r="189">
      <c r="H189" s="287"/>
      <c r="I189" s="288"/>
      <c r="J189" s="288"/>
    </row>
    <row r="190">
      <c r="H190" s="287"/>
      <c r="I190" s="288"/>
      <c r="J190" s="288"/>
    </row>
    <row r="191">
      <c r="H191" s="287"/>
      <c r="I191" s="288"/>
      <c r="J191" s="288"/>
    </row>
    <row r="192">
      <c r="H192" s="287"/>
      <c r="I192" s="288"/>
      <c r="J192" s="288"/>
    </row>
    <row r="193">
      <c r="H193" s="287"/>
      <c r="I193" s="288"/>
      <c r="J193" s="288"/>
    </row>
    <row r="194">
      <c r="H194" s="287"/>
      <c r="I194" s="288"/>
      <c r="J194" s="288"/>
    </row>
    <row r="195">
      <c r="H195" s="287"/>
      <c r="I195" s="288"/>
      <c r="J195" s="288"/>
    </row>
    <row r="196">
      <c r="H196" s="287"/>
      <c r="I196" s="288"/>
      <c r="J196" s="288"/>
    </row>
    <row r="197">
      <c r="H197" s="287"/>
      <c r="I197" s="288"/>
      <c r="J197" s="288"/>
    </row>
    <row r="198">
      <c r="H198" s="287"/>
      <c r="I198" s="288"/>
      <c r="J198" s="288"/>
    </row>
    <row r="199">
      <c r="H199" s="287"/>
      <c r="I199" s="288"/>
      <c r="J199" s="288"/>
    </row>
    <row r="200">
      <c r="H200" s="287"/>
      <c r="I200" s="288"/>
      <c r="J200" s="288"/>
    </row>
    <row r="201">
      <c r="H201" s="287"/>
      <c r="I201" s="288"/>
      <c r="J201" s="288"/>
    </row>
    <row r="202">
      <c r="H202" s="287"/>
      <c r="I202" s="288"/>
      <c r="J202" s="288"/>
    </row>
    <row r="203">
      <c r="H203" s="287"/>
      <c r="I203" s="288"/>
      <c r="J203" s="288"/>
    </row>
    <row r="204">
      <c r="H204" s="287"/>
      <c r="I204" s="288"/>
      <c r="J204" s="288"/>
    </row>
    <row r="205">
      <c r="H205" s="287"/>
      <c r="I205" s="288"/>
      <c r="J205" s="288"/>
    </row>
    <row r="206">
      <c r="H206" s="287"/>
      <c r="I206" s="288"/>
      <c r="J206" s="288"/>
    </row>
    <row r="207">
      <c r="H207" s="287"/>
      <c r="I207" s="288"/>
      <c r="J207" s="288"/>
    </row>
    <row r="208">
      <c r="H208" s="287"/>
      <c r="I208" s="288"/>
      <c r="J208" s="288"/>
    </row>
    <row r="209">
      <c r="H209" s="287"/>
      <c r="I209" s="288"/>
      <c r="J209" s="288"/>
    </row>
    <row r="210">
      <c r="H210" s="287"/>
      <c r="I210" s="288"/>
      <c r="J210" s="288"/>
    </row>
    <row r="211">
      <c r="H211" s="287"/>
      <c r="I211" s="288"/>
      <c r="J211" s="288"/>
    </row>
    <row r="212">
      <c r="H212" s="287"/>
      <c r="I212" s="288"/>
      <c r="J212" s="288"/>
    </row>
    <row r="213">
      <c r="H213" s="287"/>
      <c r="I213" s="288"/>
      <c r="J213" s="288"/>
    </row>
    <row r="214">
      <c r="H214" s="287"/>
      <c r="I214" s="288"/>
      <c r="J214" s="288"/>
    </row>
    <row r="215">
      <c r="H215" s="287"/>
      <c r="I215" s="288"/>
      <c r="J215" s="288"/>
    </row>
    <row r="216">
      <c r="H216" s="287"/>
      <c r="I216" s="288"/>
      <c r="J216" s="288"/>
    </row>
    <row r="217">
      <c r="H217" s="287"/>
      <c r="I217" s="288"/>
      <c r="J217" s="288"/>
    </row>
    <row r="218">
      <c r="H218" s="287"/>
      <c r="I218" s="288"/>
      <c r="J218" s="288"/>
    </row>
    <row r="219">
      <c r="H219" s="287"/>
      <c r="I219" s="288"/>
      <c r="J219" s="288"/>
    </row>
    <row r="220">
      <c r="H220" s="287"/>
      <c r="I220" s="288"/>
      <c r="J220" s="288"/>
    </row>
    <row r="221">
      <c r="H221" s="287"/>
      <c r="I221" s="288"/>
      <c r="J221" s="288"/>
    </row>
    <row r="222">
      <c r="H222" s="287"/>
      <c r="I222" s="288"/>
      <c r="J222" s="288"/>
    </row>
    <row r="223">
      <c r="H223" s="287"/>
      <c r="I223" s="288"/>
      <c r="J223" s="288"/>
    </row>
    <row r="224">
      <c r="H224" s="287"/>
      <c r="I224" s="288"/>
      <c r="J224" s="288"/>
    </row>
    <row r="225">
      <c r="H225" s="287"/>
      <c r="I225" s="288"/>
      <c r="J225" s="288"/>
    </row>
    <row r="226">
      <c r="H226" s="287"/>
      <c r="I226" s="288"/>
      <c r="J226" s="288"/>
    </row>
    <row r="227">
      <c r="H227" s="287"/>
      <c r="I227" s="288"/>
      <c r="J227" s="288"/>
    </row>
    <row r="228">
      <c r="H228" s="287"/>
      <c r="I228" s="288"/>
      <c r="J228" s="288"/>
    </row>
    <row r="229">
      <c r="H229" s="287"/>
      <c r="I229" s="288"/>
      <c r="J229" s="288"/>
    </row>
    <row r="230">
      <c r="H230" s="287"/>
      <c r="I230" s="288"/>
      <c r="J230" s="288"/>
    </row>
    <row r="231">
      <c r="H231" s="287"/>
      <c r="I231" s="288"/>
      <c r="J231" s="288"/>
    </row>
    <row r="232">
      <c r="H232" s="287"/>
      <c r="I232" s="288"/>
      <c r="J232" s="288"/>
    </row>
    <row r="233">
      <c r="H233" s="287"/>
      <c r="I233" s="288"/>
      <c r="J233" s="288"/>
    </row>
    <row r="234">
      <c r="H234" s="287"/>
      <c r="I234" s="288"/>
      <c r="J234" s="288"/>
    </row>
    <row r="235">
      <c r="H235" s="287"/>
      <c r="I235" s="288"/>
      <c r="J235" s="288"/>
    </row>
    <row r="236">
      <c r="H236" s="287"/>
      <c r="I236" s="288"/>
      <c r="J236" s="288"/>
    </row>
    <row r="237">
      <c r="H237" s="287"/>
      <c r="I237" s="288"/>
      <c r="J237" s="288"/>
    </row>
    <row r="238">
      <c r="H238" s="287"/>
      <c r="I238" s="288"/>
      <c r="J238" s="288"/>
    </row>
    <row r="239">
      <c r="H239" s="287"/>
      <c r="I239" s="288"/>
      <c r="J239" s="288"/>
    </row>
    <row r="240">
      <c r="H240" s="287"/>
      <c r="I240" s="288"/>
      <c r="J240" s="288"/>
    </row>
    <row r="241">
      <c r="H241" s="287"/>
      <c r="I241" s="288"/>
      <c r="J241" s="288"/>
    </row>
    <row r="242">
      <c r="H242" s="287"/>
      <c r="I242" s="288"/>
      <c r="J242" s="288"/>
    </row>
    <row r="243">
      <c r="H243" s="287"/>
      <c r="I243" s="288"/>
      <c r="J243" s="288"/>
    </row>
    <row r="244">
      <c r="H244" s="287"/>
      <c r="I244" s="288"/>
      <c r="J244" s="288"/>
    </row>
    <row r="245">
      <c r="H245" s="287"/>
      <c r="I245" s="288"/>
      <c r="J245" s="288"/>
    </row>
    <row r="246">
      <c r="H246" s="287"/>
      <c r="I246" s="288"/>
      <c r="J246" s="288"/>
    </row>
    <row r="247">
      <c r="H247" s="287"/>
      <c r="I247" s="288"/>
      <c r="J247" s="288"/>
    </row>
    <row r="248">
      <c r="H248" s="287"/>
      <c r="I248" s="288"/>
      <c r="J248" s="288"/>
    </row>
    <row r="249">
      <c r="H249" s="287"/>
      <c r="I249" s="288"/>
      <c r="J249" s="288"/>
    </row>
    <row r="250">
      <c r="H250" s="287"/>
      <c r="I250" s="288"/>
      <c r="J250" s="288"/>
    </row>
    <row r="251">
      <c r="H251" s="287"/>
      <c r="I251" s="288"/>
      <c r="J251" s="288"/>
    </row>
    <row r="252">
      <c r="H252" s="287"/>
      <c r="I252" s="288"/>
      <c r="J252" s="288"/>
    </row>
    <row r="253">
      <c r="H253" s="287"/>
      <c r="I253" s="288"/>
      <c r="J253" s="288"/>
    </row>
    <row r="254">
      <c r="H254" s="287"/>
      <c r="I254" s="288"/>
      <c r="J254" s="288"/>
    </row>
    <row r="255">
      <c r="H255" s="287"/>
      <c r="I255" s="288"/>
      <c r="J255" s="288"/>
    </row>
    <row r="256">
      <c r="H256" s="287"/>
      <c r="I256" s="288"/>
      <c r="J256" s="288"/>
    </row>
    <row r="257">
      <c r="H257" s="287"/>
      <c r="I257" s="288"/>
      <c r="J257" s="288"/>
    </row>
    <row r="258">
      <c r="H258" s="287"/>
      <c r="I258" s="288"/>
      <c r="J258" s="288"/>
    </row>
    <row r="259">
      <c r="H259" s="287"/>
      <c r="I259" s="288"/>
      <c r="J259" s="288"/>
    </row>
    <row r="260">
      <c r="H260" s="287"/>
      <c r="I260" s="288"/>
      <c r="J260" s="288"/>
    </row>
    <row r="261">
      <c r="H261" s="287"/>
      <c r="I261" s="288"/>
      <c r="J261" s="288"/>
    </row>
    <row r="262">
      <c r="H262" s="287"/>
      <c r="I262" s="288"/>
      <c r="J262" s="288"/>
    </row>
    <row r="263">
      <c r="H263" s="287"/>
      <c r="I263" s="288"/>
      <c r="J263" s="288"/>
    </row>
    <row r="264">
      <c r="H264" s="287"/>
      <c r="I264" s="288"/>
      <c r="J264" s="288"/>
    </row>
    <row r="265">
      <c r="H265" s="287"/>
      <c r="I265" s="288"/>
      <c r="J265" s="288"/>
    </row>
    <row r="266">
      <c r="H266" s="287"/>
      <c r="I266" s="288"/>
      <c r="J266" s="288"/>
    </row>
    <row r="267">
      <c r="H267" s="287"/>
      <c r="I267" s="288"/>
      <c r="J267" s="288"/>
    </row>
    <row r="268">
      <c r="H268" s="287"/>
      <c r="I268" s="288"/>
      <c r="J268" s="288"/>
    </row>
    <row r="269">
      <c r="H269" s="287"/>
      <c r="I269" s="288"/>
      <c r="J269" s="288"/>
    </row>
    <row r="270">
      <c r="H270" s="287"/>
      <c r="I270" s="288"/>
      <c r="J270" s="288"/>
    </row>
    <row r="271">
      <c r="H271" s="287"/>
      <c r="I271" s="288"/>
      <c r="J271" s="288"/>
    </row>
    <row r="272">
      <c r="H272" s="287"/>
      <c r="I272" s="288"/>
      <c r="J272" s="288"/>
    </row>
    <row r="273">
      <c r="H273" s="287"/>
      <c r="I273" s="288"/>
      <c r="J273" s="288"/>
    </row>
    <row r="274">
      <c r="H274" s="287"/>
      <c r="I274" s="288"/>
      <c r="J274" s="288"/>
    </row>
    <row r="275">
      <c r="H275" s="287"/>
      <c r="I275" s="288"/>
      <c r="J275" s="288"/>
    </row>
    <row r="276">
      <c r="H276" s="287"/>
      <c r="I276" s="288"/>
      <c r="J276" s="288"/>
    </row>
    <row r="277">
      <c r="H277" s="287"/>
      <c r="I277" s="288"/>
      <c r="J277" s="288"/>
    </row>
    <row r="278">
      <c r="H278" s="287"/>
      <c r="I278" s="288"/>
      <c r="J278" s="288"/>
    </row>
    <row r="279">
      <c r="H279" s="287"/>
      <c r="I279" s="288"/>
      <c r="J279" s="288"/>
    </row>
    <row r="280">
      <c r="H280" s="287"/>
      <c r="I280" s="288"/>
      <c r="J280" s="288"/>
    </row>
    <row r="281">
      <c r="H281" s="287"/>
      <c r="I281" s="288"/>
      <c r="J281" s="288"/>
    </row>
    <row r="282">
      <c r="H282" s="287"/>
      <c r="I282" s="288"/>
      <c r="J282" s="288"/>
    </row>
    <row r="283">
      <c r="H283" s="287"/>
      <c r="I283" s="288"/>
      <c r="J283" s="288"/>
    </row>
    <row r="284">
      <c r="H284" s="287"/>
      <c r="I284" s="288"/>
      <c r="J284" s="288"/>
    </row>
    <row r="285">
      <c r="H285" s="287"/>
      <c r="I285" s="288"/>
      <c r="J285" s="288"/>
    </row>
    <row r="286">
      <c r="H286" s="287"/>
      <c r="I286" s="288"/>
      <c r="J286" s="288"/>
    </row>
    <row r="287">
      <c r="H287" s="287"/>
      <c r="I287" s="288"/>
      <c r="J287" s="288"/>
    </row>
    <row r="288">
      <c r="H288" s="287"/>
      <c r="I288" s="288"/>
      <c r="J288" s="288"/>
    </row>
    <row r="289">
      <c r="H289" s="287"/>
      <c r="I289" s="288"/>
      <c r="J289" s="288"/>
    </row>
    <row r="290">
      <c r="H290" s="287"/>
      <c r="I290" s="288"/>
      <c r="J290" s="288"/>
    </row>
    <row r="291">
      <c r="H291" s="287"/>
      <c r="I291" s="288"/>
      <c r="J291" s="288"/>
    </row>
    <row r="292">
      <c r="H292" s="287"/>
      <c r="I292" s="288"/>
      <c r="J292" s="288"/>
    </row>
    <row r="293">
      <c r="H293" s="287"/>
      <c r="I293" s="288"/>
      <c r="J293" s="288"/>
    </row>
    <row r="294">
      <c r="H294" s="287"/>
      <c r="I294" s="288"/>
      <c r="J294" s="288"/>
    </row>
    <row r="295">
      <c r="H295" s="287"/>
      <c r="I295" s="288"/>
      <c r="J295" s="288"/>
    </row>
    <row r="296">
      <c r="H296" s="287"/>
      <c r="I296" s="288"/>
      <c r="J296" s="288"/>
    </row>
    <row r="297">
      <c r="H297" s="287"/>
      <c r="I297" s="288"/>
      <c r="J297" s="288"/>
    </row>
    <row r="298">
      <c r="H298" s="287"/>
      <c r="I298" s="288"/>
      <c r="J298" s="288"/>
    </row>
    <row r="299">
      <c r="H299" s="287"/>
      <c r="I299" s="288"/>
      <c r="J299" s="288"/>
    </row>
    <row r="300">
      <c r="H300" s="287"/>
      <c r="I300" s="288"/>
      <c r="J300" s="288"/>
    </row>
    <row r="301">
      <c r="H301" s="287"/>
      <c r="I301" s="288"/>
      <c r="J301" s="288"/>
    </row>
    <row r="302">
      <c r="H302" s="287"/>
      <c r="I302" s="288"/>
      <c r="J302" s="288"/>
    </row>
    <row r="303">
      <c r="H303" s="287"/>
      <c r="I303" s="288"/>
      <c r="J303" s="288"/>
    </row>
    <row r="304">
      <c r="H304" s="287"/>
      <c r="I304" s="288"/>
      <c r="J304" s="288"/>
    </row>
    <row r="305">
      <c r="H305" s="287"/>
      <c r="I305" s="288"/>
      <c r="J305" s="288"/>
    </row>
    <row r="306">
      <c r="H306" s="287"/>
      <c r="I306" s="288"/>
      <c r="J306" s="288"/>
    </row>
    <row r="307">
      <c r="H307" s="287"/>
      <c r="I307" s="288"/>
      <c r="J307" s="288"/>
    </row>
    <row r="308">
      <c r="H308" s="287"/>
      <c r="I308" s="288"/>
      <c r="J308" s="288"/>
    </row>
    <row r="309">
      <c r="H309" s="287"/>
      <c r="I309" s="288"/>
      <c r="J309" s="288"/>
    </row>
    <row r="310">
      <c r="H310" s="287"/>
      <c r="I310" s="288"/>
      <c r="J310" s="288"/>
    </row>
    <row r="311">
      <c r="H311" s="287"/>
      <c r="I311" s="288"/>
      <c r="J311" s="288"/>
    </row>
    <row r="312">
      <c r="H312" s="287"/>
      <c r="I312" s="288"/>
      <c r="J312" s="288"/>
    </row>
    <row r="313">
      <c r="H313" s="287"/>
      <c r="I313" s="288"/>
      <c r="J313" s="288"/>
    </row>
    <row r="314">
      <c r="H314" s="287"/>
      <c r="I314" s="288"/>
      <c r="J314" s="288"/>
    </row>
    <row r="315">
      <c r="H315" s="287"/>
      <c r="I315" s="288"/>
      <c r="J315" s="288"/>
    </row>
    <row r="316">
      <c r="H316" s="287"/>
      <c r="I316" s="288"/>
      <c r="J316" s="288"/>
    </row>
    <row r="317">
      <c r="H317" s="287"/>
      <c r="I317" s="288"/>
      <c r="J317" s="288"/>
    </row>
    <row r="318">
      <c r="H318" s="287"/>
      <c r="I318" s="288"/>
      <c r="J318" s="288"/>
    </row>
    <row r="319">
      <c r="H319" s="287"/>
      <c r="I319" s="288"/>
      <c r="J319" s="288"/>
    </row>
    <row r="320">
      <c r="H320" s="287"/>
      <c r="I320" s="288"/>
      <c r="J320" s="288"/>
    </row>
    <row r="321">
      <c r="H321" s="287"/>
      <c r="I321" s="288"/>
      <c r="J321" s="288"/>
    </row>
    <row r="322">
      <c r="H322" s="287"/>
      <c r="I322" s="288"/>
      <c r="J322" s="288"/>
    </row>
    <row r="323">
      <c r="H323" s="287"/>
      <c r="I323" s="288"/>
      <c r="J323" s="288"/>
    </row>
    <row r="324">
      <c r="H324" s="287"/>
      <c r="I324" s="288"/>
      <c r="J324" s="288"/>
    </row>
    <row r="325">
      <c r="H325" s="287"/>
      <c r="I325" s="288"/>
      <c r="J325" s="288"/>
    </row>
    <row r="326">
      <c r="H326" s="287"/>
      <c r="I326" s="288"/>
      <c r="J326" s="288"/>
    </row>
    <row r="327">
      <c r="H327" s="287"/>
      <c r="I327" s="288"/>
      <c r="J327" s="288"/>
    </row>
    <row r="328">
      <c r="H328" s="287"/>
      <c r="I328" s="288"/>
      <c r="J328" s="288"/>
    </row>
    <row r="329">
      <c r="H329" s="287"/>
      <c r="I329" s="288"/>
      <c r="J329" s="288"/>
    </row>
    <row r="330">
      <c r="H330" s="287"/>
      <c r="I330" s="288"/>
      <c r="J330" s="288"/>
    </row>
    <row r="331">
      <c r="H331" s="287"/>
      <c r="I331" s="288"/>
      <c r="J331" s="288"/>
    </row>
    <row r="332">
      <c r="H332" s="287"/>
      <c r="I332" s="288"/>
      <c r="J332" s="288"/>
    </row>
    <row r="333">
      <c r="H333" s="287"/>
      <c r="I333" s="288"/>
      <c r="J333" s="288"/>
    </row>
    <row r="334">
      <c r="H334" s="287"/>
      <c r="I334" s="288"/>
      <c r="J334" s="288"/>
    </row>
    <row r="335">
      <c r="H335" s="287"/>
      <c r="I335" s="288"/>
      <c r="J335" s="288"/>
    </row>
    <row r="336">
      <c r="H336" s="287"/>
      <c r="I336" s="288"/>
      <c r="J336" s="288"/>
    </row>
    <row r="337">
      <c r="H337" s="287"/>
      <c r="I337" s="288"/>
      <c r="J337" s="288"/>
    </row>
    <row r="338">
      <c r="H338" s="287"/>
      <c r="I338" s="288"/>
      <c r="J338" s="288"/>
    </row>
    <row r="339">
      <c r="H339" s="287"/>
      <c r="I339" s="288"/>
      <c r="J339" s="288"/>
    </row>
    <row r="340">
      <c r="H340" s="287"/>
      <c r="I340" s="288"/>
      <c r="J340" s="288"/>
    </row>
    <row r="341">
      <c r="H341" s="287"/>
      <c r="I341" s="288"/>
      <c r="J341" s="288"/>
    </row>
    <row r="342">
      <c r="H342" s="287"/>
      <c r="I342" s="288"/>
      <c r="J342" s="288"/>
    </row>
    <row r="343">
      <c r="H343" s="287"/>
      <c r="I343" s="288"/>
      <c r="J343" s="288"/>
    </row>
    <row r="344">
      <c r="H344" s="287"/>
      <c r="I344" s="288"/>
      <c r="J344" s="288"/>
    </row>
    <row r="345">
      <c r="H345" s="287"/>
      <c r="I345" s="288"/>
      <c r="J345" s="288"/>
    </row>
    <row r="346">
      <c r="H346" s="287"/>
      <c r="I346" s="288"/>
      <c r="J346" s="288"/>
    </row>
    <row r="347">
      <c r="H347" s="287"/>
      <c r="I347" s="288"/>
      <c r="J347" s="288"/>
    </row>
    <row r="348">
      <c r="H348" s="287"/>
      <c r="I348" s="288"/>
      <c r="J348" s="288"/>
    </row>
    <row r="349">
      <c r="H349" s="287"/>
      <c r="I349" s="288"/>
      <c r="J349" s="288"/>
    </row>
    <row r="350">
      <c r="H350" s="287"/>
      <c r="I350" s="288"/>
      <c r="J350" s="288"/>
    </row>
    <row r="351">
      <c r="H351" s="287"/>
      <c r="I351" s="288"/>
      <c r="J351" s="288"/>
    </row>
    <row r="352">
      <c r="H352" s="287"/>
      <c r="I352" s="288"/>
      <c r="J352" s="288"/>
    </row>
    <row r="353">
      <c r="H353" s="287"/>
      <c r="I353" s="288"/>
      <c r="J353" s="288"/>
    </row>
    <row r="354">
      <c r="H354" s="287"/>
      <c r="I354" s="288"/>
      <c r="J354" s="288"/>
    </row>
    <row r="355">
      <c r="H355" s="287"/>
      <c r="I355" s="288"/>
      <c r="J355" s="288"/>
    </row>
    <row r="356">
      <c r="H356" s="287"/>
      <c r="I356" s="288"/>
      <c r="J356" s="288"/>
    </row>
    <row r="357">
      <c r="H357" s="287"/>
      <c r="I357" s="288"/>
      <c r="J357" s="288"/>
    </row>
    <row r="358">
      <c r="H358" s="287"/>
      <c r="I358" s="288"/>
      <c r="J358" s="288"/>
    </row>
    <row r="359">
      <c r="H359" s="287"/>
      <c r="I359" s="288"/>
      <c r="J359" s="288"/>
    </row>
    <row r="360">
      <c r="H360" s="287"/>
      <c r="I360" s="288"/>
      <c r="J360" s="288"/>
    </row>
    <row r="361">
      <c r="H361" s="287"/>
      <c r="I361" s="288"/>
      <c r="J361" s="288"/>
    </row>
    <row r="362">
      <c r="H362" s="287"/>
      <c r="I362" s="288"/>
      <c r="J362" s="288"/>
    </row>
    <row r="363">
      <c r="H363" s="287"/>
      <c r="I363" s="288"/>
      <c r="J363" s="288"/>
    </row>
    <row r="364">
      <c r="H364" s="287"/>
      <c r="I364" s="288"/>
      <c r="J364" s="288"/>
    </row>
    <row r="365">
      <c r="H365" s="287"/>
      <c r="I365" s="288"/>
      <c r="J365" s="288"/>
    </row>
    <row r="366">
      <c r="H366" s="287"/>
      <c r="I366" s="288"/>
      <c r="J366" s="288"/>
    </row>
    <row r="367">
      <c r="H367" s="287"/>
      <c r="I367" s="288"/>
      <c r="J367" s="288"/>
    </row>
    <row r="368">
      <c r="H368" s="287"/>
      <c r="I368" s="288"/>
      <c r="J368" s="288"/>
    </row>
    <row r="369">
      <c r="H369" s="287"/>
      <c r="I369" s="288"/>
      <c r="J369" s="288"/>
    </row>
    <row r="370">
      <c r="H370" s="287"/>
      <c r="I370" s="288"/>
      <c r="J370" s="288"/>
    </row>
    <row r="371">
      <c r="H371" s="287"/>
      <c r="I371" s="288"/>
      <c r="J371" s="288"/>
    </row>
    <row r="372">
      <c r="H372" s="287"/>
      <c r="I372" s="288"/>
      <c r="J372" s="288"/>
    </row>
    <row r="373">
      <c r="H373" s="287"/>
      <c r="I373" s="288"/>
      <c r="J373" s="288"/>
    </row>
    <row r="374">
      <c r="H374" s="287"/>
      <c r="I374" s="288"/>
      <c r="J374" s="288"/>
    </row>
    <row r="375">
      <c r="H375" s="287"/>
      <c r="I375" s="288"/>
      <c r="J375" s="288"/>
    </row>
    <row r="376">
      <c r="H376" s="287"/>
      <c r="I376" s="288"/>
      <c r="J376" s="288"/>
    </row>
    <row r="377">
      <c r="H377" s="287"/>
      <c r="I377" s="288"/>
      <c r="J377" s="288"/>
    </row>
    <row r="378">
      <c r="H378" s="287"/>
      <c r="I378" s="288"/>
      <c r="J378" s="288"/>
    </row>
    <row r="379">
      <c r="H379" s="287"/>
      <c r="I379" s="288"/>
      <c r="J379" s="288"/>
    </row>
    <row r="380">
      <c r="H380" s="287"/>
      <c r="I380" s="288"/>
      <c r="J380" s="288"/>
    </row>
    <row r="381">
      <c r="H381" s="287"/>
      <c r="I381" s="288"/>
      <c r="J381" s="288"/>
    </row>
    <row r="382">
      <c r="H382" s="287"/>
      <c r="I382" s="288"/>
      <c r="J382" s="288"/>
    </row>
    <row r="383">
      <c r="H383" s="287"/>
      <c r="I383" s="288"/>
      <c r="J383" s="288"/>
    </row>
    <row r="384">
      <c r="H384" s="287"/>
      <c r="I384" s="288"/>
      <c r="J384" s="288"/>
    </row>
    <row r="385">
      <c r="H385" s="287"/>
      <c r="I385" s="288"/>
      <c r="J385" s="288"/>
    </row>
    <row r="386">
      <c r="H386" s="287"/>
      <c r="I386" s="288"/>
      <c r="J386" s="288"/>
    </row>
    <row r="387">
      <c r="H387" s="287"/>
      <c r="I387" s="288"/>
      <c r="J387" s="288"/>
    </row>
    <row r="388">
      <c r="H388" s="287"/>
      <c r="I388" s="288"/>
      <c r="J388" s="288"/>
    </row>
    <row r="389">
      <c r="H389" s="287"/>
      <c r="I389" s="288"/>
      <c r="J389" s="288"/>
    </row>
    <row r="390">
      <c r="H390" s="287"/>
      <c r="I390" s="288"/>
      <c r="J390" s="288"/>
    </row>
    <row r="391">
      <c r="H391" s="287"/>
      <c r="I391" s="288"/>
      <c r="J391" s="288"/>
    </row>
    <row r="392">
      <c r="H392" s="287"/>
      <c r="I392" s="288"/>
      <c r="J392" s="288"/>
    </row>
    <row r="393">
      <c r="H393" s="287"/>
      <c r="I393" s="288"/>
      <c r="J393" s="288"/>
    </row>
    <row r="394">
      <c r="H394" s="287"/>
      <c r="I394" s="288"/>
      <c r="J394" s="288"/>
    </row>
    <row r="395">
      <c r="H395" s="287"/>
      <c r="I395" s="288"/>
      <c r="J395" s="288"/>
    </row>
    <row r="396">
      <c r="H396" s="287"/>
      <c r="I396" s="288"/>
      <c r="J396" s="288"/>
    </row>
    <row r="397">
      <c r="H397" s="287"/>
      <c r="I397" s="288"/>
      <c r="J397" s="288"/>
    </row>
    <row r="398">
      <c r="H398" s="287"/>
      <c r="I398" s="288"/>
      <c r="J398" s="288"/>
    </row>
    <row r="399">
      <c r="H399" s="287"/>
      <c r="I399" s="288"/>
      <c r="J399" s="288"/>
    </row>
    <row r="400">
      <c r="H400" s="287"/>
      <c r="I400" s="288"/>
      <c r="J400" s="288"/>
    </row>
    <row r="401">
      <c r="H401" s="287"/>
      <c r="I401" s="288"/>
      <c r="J401" s="288"/>
    </row>
    <row r="402">
      <c r="H402" s="287"/>
      <c r="I402" s="288"/>
      <c r="J402" s="288"/>
    </row>
    <row r="403">
      <c r="H403" s="287"/>
      <c r="I403" s="288"/>
      <c r="J403" s="288"/>
    </row>
    <row r="404">
      <c r="H404" s="287"/>
      <c r="I404" s="288"/>
      <c r="J404" s="288"/>
    </row>
    <row r="405">
      <c r="H405" s="287"/>
      <c r="I405" s="288"/>
      <c r="J405" s="288"/>
    </row>
    <row r="406">
      <c r="H406" s="287"/>
      <c r="I406" s="288"/>
      <c r="J406" s="288"/>
    </row>
    <row r="407">
      <c r="H407" s="287"/>
      <c r="I407" s="288"/>
      <c r="J407" s="288"/>
    </row>
    <row r="408">
      <c r="H408" s="287"/>
      <c r="I408" s="288"/>
      <c r="J408" s="288"/>
    </row>
    <row r="409">
      <c r="H409" s="287"/>
      <c r="I409" s="288"/>
      <c r="J409" s="288"/>
    </row>
    <row r="410">
      <c r="H410" s="287"/>
      <c r="I410" s="288"/>
      <c r="J410" s="288"/>
    </row>
    <row r="411">
      <c r="H411" s="287"/>
      <c r="I411" s="288"/>
      <c r="J411" s="288"/>
    </row>
    <row r="412">
      <c r="H412" s="287"/>
      <c r="I412" s="288"/>
      <c r="J412" s="288"/>
    </row>
    <row r="413">
      <c r="H413" s="287"/>
      <c r="I413" s="288"/>
      <c r="J413" s="288"/>
    </row>
    <row r="414">
      <c r="H414" s="287"/>
      <c r="I414" s="288"/>
      <c r="J414" s="288"/>
    </row>
    <row r="415">
      <c r="H415" s="287"/>
      <c r="I415" s="288"/>
      <c r="J415" s="288"/>
    </row>
    <row r="416">
      <c r="H416" s="287"/>
      <c r="I416" s="288"/>
      <c r="J416" s="288"/>
    </row>
    <row r="417">
      <c r="H417" s="287"/>
      <c r="I417" s="288"/>
      <c r="J417" s="288"/>
    </row>
    <row r="418">
      <c r="H418" s="287"/>
      <c r="I418" s="288"/>
      <c r="J418" s="288"/>
    </row>
    <row r="419">
      <c r="H419" s="287"/>
      <c r="I419" s="288"/>
      <c r="J419" s="288"/>
    </row>
    <row r="420">
      <c r="H420" s="287"/>
      <c r="I420" s="288"/>
      <c r="J420" s="288"/>
    </row>
    <row r="421">
      <c r="H421" s="287"/>
      <c r="I421" s="288"/>
      <c r="J421" s="288"/>
    </row>
    <row r="422">
      <c r="H422" s="287"/>
      <c r="I422" s="288"/>
      <c r="J422" s="288"/>
    </row>
    <row r="423">
      <c r="H423" s="287"/>
      <c r="I423" s="288"/>
      <c r="J423" s="288"/>
    </row>
    <row r="424">
      <c r="H424" s="287"/>
      <c r="I424" s="288"/>
      <c r="J424" s="288"/>
    </row>
    <row r="425">
      <c r="H425" s="287"/>
      <c r="I425" s="288"/>
      <c r="J425" s="288"/>
    </row>
    <row r="426">
      <c r="H426" s="287"/>
      <c r="I426" s="288"/>
      <c r="J426" s="288"/>
    </row>
    <row r="427">
      <c r="H427" s="287"/>
      <c r="I427" s="288"/>
      <c r="J427" s="288"/>
    </row>
    <row r="428">
      <c r="H428" s="287"/>
      <c r="I428" s="288"/>
      <c r="J428" s="288"/>
    </row>
    <row r="429">
      <c r="H429" s="287"/>
      <c r="I429" s="288"/>
      <c r="J429" s="288"/>
    </row>
    <row r="430">
      <c r="H430" s="287"/>
      <c r="I430" s="288"/>
      <c r="J430" s="288"/>
    </row>
    <row r="431">
      <c r="H431" s="287"/>
      <c r="I431" s="288"/>
      <c r="J431" s="288"/>
    </row>
    <row r="432">
      <c r="H432" s="287"/>
      <c r="I432" s="288"/>
      <c r="J432" s="288"/>
    </row>
    <row r="433">
      <c r="H433" s="287"/>
      <c r="I433" s="288"/>
      <c r="J433" s="288"/>
    </row>
    <row r="434">
      <c r="H434" s="287"/>
      <c r="I434" s="288"/>
      <c r="J434" s="288"/>
    </row>
    <row r="435">
      <c r="H435" s="287"/>
      <c r="I435" s="288"/>
      <c r="J435" s="288"/>
    </row>
    <row r="436">
      <c r="H436" s="287"/>
      <c r="I436" s="288"/>
      <c r="J436" s="288"/>
    </row>
    <row r="437">
      <c r="H437" s="287"/>
      <c r="I437" s="288"/>
      <c r="J437" s="288"/>
    </row>
    <row r="438">
      <c r="H438" s="287"/>
      <c r="I438" s="288"/>
      <c r="J438" s="288"/>
    </row>
    <row r="439">
      <c r="H439" s="287"/>
      <c r="I439" s="288"/>
      <c r="J439" s="288"/>
    </row>
    <row r="440">
      <c r="H440" s="287"/>
      <c r="I440" s="288"/>
      <c r="J440" s="288"/>
    </row>
    <row r="441">
      <c r="H441" s="287"/>
      <c r="I441" s="288"/>
      <c r="J441" s="288"/>
    </row>
    <row r="442">
      <c r="H442" s="287"/>
      <c r="I442" s="288"/>
      <c r="J442" s="288"/>
    </row>
    <row r="443">
      <c r="H443" s="287"/>
      <c r="I443" s="288"/>
      <c r="J443" s="288"/>
    </row>
    <row r="444">
      <c r="H444" s="287"/>
      <c r="I444" s="288"/>
      <c r="J444" s="288"/>
    </row>
    <row r="445">
      <c r="H445" s="287"/>
      <c r="I445" s="288"/>
      <c r="J445" s="288"/>
    </row>
    <row r="446">
      <c r="H446" s="287"/>
      <c r="I446" s="288"/>
      <c r="J446" s="288"/>
    </row>
    <row r="447">
      <c r="H447" s="287"/>
      <c r="I447" s="288"/>
      <c r="J447" s="288"/>
    </row>
    <row r="448">
      <c r="H448" s="287"/>
      <c r="I448" s="288"/>
      <c r="J448" s="288"/>
    </row>
    <row r="449">
      <c r="H449" s="287"/>
      <c r="I449" s="288"/>
      <c r="J449" s="288"/>
    </row>
    <row r="450">
      <c r="H450" s="287"/>
      <c r="I450" s="288"/>
      <c r="J450" s="288"/>
    </row>
    <row r="451">
      <c r="H451" s="287"/>
      <c r="I451" s="288"/>
      <c r="J451" s="288"/>
    </row>
    <row r="452">
      <c r="H452" s="287"/>
      <c r="I452" s="288"/>
      <c r="J452" s="288"/>
    </row>
    <row r="453">
      <c r="H453" s="287"/>
      <c r="I453" s="288"/>
      <c r="J453" s="288"/>
    </row>
    <row r="454">
      <c r="H454" s="287"/>
      <c r="I454" s="288"/>
      <c r="J454" s="288"/>
    </row>
    <row r="455">
      <c r="H455" s="287"/>
      <c r="I455" s="288"/>
      <c r="J455" s="288"/>
    </row>
    <row r="456">
      <c r="H456" s="287"/>
      <c r="I456" s="288"/>
      <c r="J456" s="288"/>
    </row>
    <row r="457">
      <c r="H457" s="287"/>
      <c r="I457" s="288"/>
      <c r="J457" s="288"/>
    </row>
    <row r="458">
      <c r="H458" s="287"/>
      <c r="I458" s="288"/>
      <c r="J458" s="288"/>
    </row>
    <row r="459">
      <c r="H459" s="287"/>
      <c r="I459" s="288"/>
      <c r="J459" s="288"/>
    </row>
    <row r="460">
      <c r="H460" s="287"/>
      <c r="I460" s="288"/>
      <c r="J460" s="288"/>
    </row>
    <row r="461">
      <c r="H461" s="287"/>
      <c r="I461" s="288"/>
      <c r="J461" s="288"/>
    </row>
    <row r="462">
      <c r="H462" s="287"/>
      <c r="I462" s="288"/>
      <c r="J462" s="288"/>
    </row>
    <row r="463">
      <c r="H463" s="287"/>
      <c r="I463" s="288"/>
      <c r="J463" s="288"/>
    </row>
    <row r="464">
      <c r="H464" s="287"/>
      <c r="I464" s="288"/>
      <c r="J464" s="288"/>
    </row>
    <row r="465">
      <c r="H465" s="287"/>
      <c r="I465" s="288"/>
      <c r="J465" s="288"/>
    </row>
    <row r="466">
      <c r="H466" s="287"/>
      <c r="I466" s="288"/>
      <c r="J466" s="288"/>
    </row>
    <row r="467">
      <c r="H467" s="287"/>
      <c r="I467" s="288"/>
      <c r="J467" s="288"/>
    </row>
    <row r="468">
      <c r="H468" s="287"/>
      <c r="I468" s="288"/>
      <c r="J468" s="288"/>
    </row>
    <row r="469">
      <c r="H469" s="287"/>
      <c r="I469" s="288"/>
      <c r="J469" s="288"/>
    </row>
    <row r="470">
      <c r="H470" s="287"/>
      <c r="I470" s="288"/>
      <c r="J470" s="288"/>
    </row>
    <row r="471">
      <c r="H471" s="287"/>
      <c r="I471" s="288"/>
      <c r="J471" s="288"/>
    </row>
    <row r="472">
      <c r="H472" s="287"/>
      <c r="I472" s="288"/>
      <c r="J472" s="288"/>
    </row>
    <row r="473">
      <c r="H473" s="287"/>
      <c r="I473" s="288"/>
      <c r="J473" s="288"/>
    </row>
    <row r="474">
      <c r="H474" s="287"/>
      <c r="I474" s="288"/>
      <c r="J474" s="288"/>
    </row>
    <row r="475">
      <c r="H475" s="287"/>
      <c r="I475" s="288"/>
      <c r="J475" s="288"/>
    </row>
    <row r="476">
      <c r="H476" s="287"/>
      <c r="I476" s="288"/>
      <c r="J476" s="288"/>
    </row>
    <row r="477">
      <c r="H477" s="287"/>
      <c r="I477" s="288"/>
      <c r="J477" s="288"/>
    </row>
    <row r="478">
      <c r="H478" s="287"/>
      <c r="I478" s="288"/>
      <c r="J478" s="288"/>
    </row>
    <row r="479">
      <c r="H479" s="287"/>
      <c r="I479" s="288"/>
      <c r="J479" s="288"/>
    </row>
    <row r="480">
      <c r="H480" s="287"/>
      <c r="I480" s="288"/>
      <c r="J480" s="288"/>
    </row>
    <row r="481">
      <c r="H481" s="287"/>
      <c r="I481" s="288"/>
      <c r="J481" s="288"/>
    </row>
    <row r="482">
      <c r="H482" s="287"/>
      <c r="I482" s="288"/>
      <c r="J482" s="288"/>
    </row>
    <row r="483">
      <c r="H483" s="287"/>
      <c r="I483" s="288"/>
      <c r="J483" s="288"/>
    </row>
    <row r="484">
      <c r="H484" s="287"/>
      <c r="I484" s="288"/>
      <c r="J484" s="288"/>
    </row>
    <row r="485">
      <c r="H485" s="287"/>
      <c r="I485" s="288"/>
      <c r="J485" s="288"/>
    </row>
    <row r="486">
      <c r="H486" s="287"/>
      <c r="I486" s="288"/>
      <c r="J486" s="288"/>
    </row>
    <row r="487">
      <c r="H487" s="287"/>
      <c r="I487" s="288"/>
      <c r="J487" s="288"/>
    </row>
    <row r="488">
      <c r="H488" s="287"/>
      <c r="I488" s="288"/>
      <c r="J488" s="288"/>
    </row>
    <row r="489">
      <c r="H489" s="287"/>
      <c r="I489" s="288"/>
      <c r="J489" s="288"/>
    </row>
    <row r="490">
      <c r="H490" s="287"/>
      <c r="I490" s="288"/>
      <c r="J490" s="288"/>
    </row>
    <row r="491">
      <c r="H491" s="287"/>
      <c r="I491" s="288"/>
      <c r="J491" s="288"/>
    </row>
    <row r="492">
      <c r="H492" s="287"/>
      <c r="I492" s="288"/>
      <c r="J492" s="288"/>
    </row>
    <row r="493">
      <c r="H493" s="287"/>
      <c r="I493" s="288"/>
      <c r="J493" s="288"/>
    </row>
    <row r="494">
      <c r="H494" s="287"/>
      <c r="I494" s="288"/>
      <c r="J494" s="288"/>
    </row>
    <row r="495">
      <c r="H495" s="287"/>
      <c r="I495" s="288"/>
      <c r="J495" s="288"/>
    </row>
    <row r="496">
      <c r="H496" s="287"/>
      <c r="I496" s="288"/>
      <c r="J496" s="288"/>
    </row>
    <row r="497">
      <c r="H497" s="287"/>
      <c r="I497" s="288"/>
      <c r="J497" s="288"/>
    </row>
    <row r="498">
      <c r="H498" s="287"/>
      <c r="I498" s="288"/>
      <c r="J498" s="288"/>
    </row>
    <row r="499">
      <c r="H499" s="287"/>
      <c r="I499" s="288"/>
      <c r="J499" s="288"/>
    </row>
    <row r="500">
      <c r="H500" s="287"/>
      <c r="I500" s="288"/>
      <c r="J500" s="288"/>
    </row>
    <row r="501">
      <c r="H501" s="287"/>
      <c r="I501" s="288"/>
      <c r="J501" s="288"/>
    </row>
    <row r="502">
      <c r="H502" s="287"/>
      <c r="I502" s="288"/>
      <c r="J502" s="288"/>
    </row>
    <row r="503">
      <c r="H503" s="287"/>
      <c r="I503" s="288"/>
      <c r="J503" s="288"/>
    </row>
    <row r="504">
      <c r="H504" s="287"/>
      <c r="I504" s="288"/>
      <c r="J504" s="288"/>
    </row>
    <row r="505">
      <c r="H505" s="287"/>
      <c r="I505" s="288"/>
      <c r="J505" s="288"/>
    </row>
    <row r="506">
      <c r="H506" s="287"/>
      <c r="I506" s="288"/>
      <c r="J506" s="288"/>
    </row>
    <row r="507">
      <c r="H507" s="287"/>
      <c r="I507" s="288"/>
      <c r="J507" s="288"/>
    </row>
    <row r="508">
      <c r="H508" s="287"/>
      <c r="I508" s="288"/>
      <c r="J508" s="288"/>
    </row>
    <row r="509">
      <c r="H509" s="287"/>
      <c r="I509" s="288"/>
      <c r="J509" s="288"/>
    </row>
    <row r="510">
      <c r="H510" s="287"/>
      <c r="I510" s="288"/>
      <c r="J510" s="288"/>
    </row>
    <row r="511">
      <c r="H511" s="287"/>
      <c r="I511" s="288"/>
      <c r="J511" s="288"/>
    </row>
    <row r="512">
      <c r="H512" s="287"/>
      <c r="I512" s="288"/>
      <c r="J512" s="288"/>
    </row>
    <row r="513">
      <c r="H513" s="287"/>
      <c r="I513" s="288"/>
      <c r="J513" s="288"/>
    </row>
    <row r="514">
      <c r="H514" s="287"/>
      <c r="I514" s="288"/>
      <c r="J514" s="288"/>
    </row>
    <row r="515">
      <c r="H515" s="287"/>
      <c r="I515" s="288"/>
      <c r="J515" s="288"/>
    </row>
    <row r="516">
      <c r="H516" s="287"/>
      <c r="I516" s="288"/>
      <c r="J516" s="288"/>
    </row>
    <row r="517">
      <c r="H517" s="287"/>
      <c r="I517" s="288"/>
      <c r="J517" s="288"/>
    </row>
    <row r="518">
      <c r="H518" s="287"/>
      <c r="I518" s="288"/>
      <c r="J518" s="288"/>
    </row>
    <row r="519">
      <c r="H519" s="287"/>
      <c r="I519" s="288"/>
      <c r="J519" s="288"/>
    </row>
    <row r="520">
      <c r="H520" s="287"/>
      <c r="I520" s="288"/>
      <c r="J520" s="288"/>
    </row>
    <row r="521">
      <c r="H521" s="287"/>
      <c r="I521" s="288"/>
      <c r="J521" s="288"/>
    </row>
    <row r="522">
      <c r="H522" s="287"/>
      <c r="I522" s="288"/>
      <c r="J522" s="288"/>
    </row>
    <row r="523">
      <c r="H523" s="287"/>
      <c r="I523" s="288"/>
      <c r="J523" s="288"/>
    </row>
    <row r="524">
      <c r="H524" s="287"/>
      <c r="I524" s="288"/>
      <c r="J524" s="288"/>
    </row>
    <row r="525">
      <c r="H525" s="287"/>
      <c r="I525" s="288"/>
      <c r="J525" s="288"/>
    </row>
    <row r="526">
      <c r="H526" s="287"/>
      <c r="I526" s="288"/>
      <c r="J526" s="288"/>
    </row>
    <row r="527">
      <c r="H527" s="287"/>
      <c r="I527" s="288"/>
      <c r="J527" s="288"/>
    </row>
    <row r="528">
      <c r="H528" s="287"/>
      <c r="I528" s="288"/>
      <c r="J528" s="288"/>
    </row>
    <row r="529">
      <c r="H529" s="287"/>
      <c r="I529" s="288"/>
      <c r="J529" s="288"/>
    </row>
    <row r="530">
      <c r="H530" s="287"/>
      <c r="I530" s="288"/>
      <c r="J530" s="288"/>
    </row>
    <row r="531">
      <c r="H531" s="287"/>
      <c r="I531" s="288"/>
      <c r="J531" s="288"/>
    </row>
    <row r="532">
      <c r="H532" s="287"/>
      <c r="I532" s="288"/>
      <c r="J532" s="288"/>
    </row>
    <row r="533">
      <c r="H533" s="287"/>
      <c r="I533" s="288"/>
      <c r="J533" s="288"/>
    </row>
    <row r="534">
      <c r="H534" s="287"/>
      <c r="I534" s="288"/>
      <c r="J534" s="288"/>
    </row>
    <row r="535">
      <c r="H535" s="287"/>
      <c r="I535" s="288"/>
      <c r="J535" s="288"/>
    </row>
    <row r="536">
      <c r="H536" s="287"/>
      <c r="I536" s="288"/>
      <c r="J536" s="288"/>
    </row>
    <row r="537">
      <c r="H537" s="287"/>
      <c r="I537" s="288"/>
      <c r="J537" s="288"/>
    </row>
    <row r="538">
      <c r="H538" s="287"/>
      <c r="I538" s="288"/>
      <c r="J538" s="288"/>
    </row>
    <row r="539">
      <c r="H539" s="287"/>
      <c r="I539" s="288"/>
      <c r="J539" s="288"/>
    </row>
    <row r="540">
      <c r="H540" s="287"/>
      <c r="I540" s="288"/>
      <c r="J540" s="288"/>
    </row>
    <row r="541">
      <c r="H541" s="287"/>
      <c r="I541" s="288"/>
      <c r="J541" s="288"/>
    </row>
    <row r="542">
      <c r="H542" s="287"/>
      <c r="I542" s="288"/>
      <c r="J542" s="288"/>
    </row>
    <row r="543">
      <c r="H543" s="287"/>
      <c r="I543" s="288"/>
      <c r="J543" s="288"/>
    </row>
    <row r="544">
      <c r="H544" s="287"/>
      <c r="I544" s="288"/>
      <c r="J544" s="288"/>
    </row>
    <row r="545">
      <c r="H545" s="287"/>
      <c r="I545" s="288"/>
      <c r="J545" s="288"/>
    </row>
    <row r="546">
      <c r="H546" s="287"/>
      <c r="I546" s="288"/>
      <c r="J546" s="288"/>
    </row>
    <row r="547">
      <c r="H547" s="287"/>
      <c r="I547" s="288"/>
      <c r="J547" s="288"/>
    </row>
    <row r="548">
      <c r="H548" s="287"/>
      <c r="I548" s="288"/>
      <c r="J548" s="288"/>
    </row>
    <row r="549">
      <c r="H549" s="287"/>
      <c r="I549" s="288"/>
      <c r="J549" s="288"/>
    </row>
    <row r="550">
      <c r="H550" s="287"/>
      <c r="I550" s="288"/>
      <c r="J550" s="288"/>
    </row>
    <row r="551">
      <c r="H551" s="287"/>
      <c r="I551" s="288"/>
      <c r="J551" s="288"/>
    </row>
    <row r="552">
      <c r="H552" s="287"/>
      <c r="I552" s="288"/>
      <c r="J552" s="288"/>
    </row>
    <row r="553">
      <c r="H553" s="287"/>
      <c r="I553" s="288"/>
      <c r="J553" s="288"/>
    </row>
    <row r="554">
      <c r="H554" s="287"/>
      <c r="I554" s="288"/>
      <c r="J554" s="288"/>
    </row>
    <row r="555">
      <c r="H555" s="287"/>
      <c r="I555" s="288"/>
      <c r="J555" s="288"/>
    </row>
    <row r="556">
      <c r="H556" s="287"/>
      <c r="I556" s="288"/>
      <c r="J556" s="288"/>
    </row>
    <row r="557">
      <c r="H557" s="287"/>
      <c r="I557" s="288"/>
      <c r="J557" s="288"/>
    </row>
    <row r="558">
      <c r="H558" s="287"/>
      <c r="I558" s="288"/>
      <c r="J558" s="288"/>
    </row>
    <row r="559">
      <c r="H559" s="287"/>
      <c r="I559" s="288"/>
      <c r="J559" s="288"/>
    </row>
    <row r="560">
      <c r="H560" s="287"/>
      <c r="I560" s="288"/>
      <c r="J560" s="288"/>
    </row>
    <row r="561">
      <c r="H561" s="287"/>
      <c r="I561" s="288"/>
      <c r="J561" s="288"/>
    </row>
    <row r="562">
      <c r="H562" s="287"/>
      <c r="I562" s="288"/>
      <c r="J562" s="288"/>
    </row>
    <row r="563">
      <c r="H563" s="287"/>
      <c r="I563" s="288"/>
      <c r="J563" s="288"/>
    </row>
    <row r="564">
      <c r="H564" s="287"/>
      <c r="I564" s="288"/>
      <c r="J564" s="288"/>
    </row>
    <row r="565">
      <c r="H565" s="287"/>
      <c r="I565" s="288"/>
      <c r="J565" s="288"/>
    </row>
    <row r="566">
      <c r="H566" s="287"/>
      <c r="I566" s="288"/>
      <c r="J566" s="288"/>
    </row>
    <row r="567">
      <c r="H567" s="287"/>
      <c r="I567" s="288"/>
      <c r="J567" s="288"/>
    </row>
    <row r="568">
      <c r="H568" s="287"/>
      <c r="I568" s="288"/>
      <c r="J568" s="288"/>
    </row>
    <row r="569">
      <c r="H569" s="287"/>
      <c r="I569" s="288"/>
      <c r="J569" s="288"/>
    </row>
    <row r="570">
      <c r="H570" s="287"/>
      <c r="I570" s="288"/>
      <c r="J570" s="288"/>
    </row>
    <row r="571">
      <c r="H571" s="287"/>
      <c r="I571" s="288"/>
      <c r="J571" s="288"/>
    </row>
    <row r="572">
      <c r="H572" s="287"/>
      <c r="I572" s="288"/>
      <c r="J572" s="288"/>
    </row>
    <row r="573">
      <c r="H573" s="287"/>
      <c r="I573" s="288"/>
      <c r="J573" s="288"/>
    </row>
    <row r="574">
      <c r="H574" s="287"/>
      <c r="I574" s="288"/>
      <c r="J574" s="288"/>
    </row>
    <row r="575">
      <c r="H575" s="287"/>
      <c r="I575" s="288"/>
      <c r="J575" s="288"/>
    </row>
    <row r="576">
      <c r="H576" s="287"/>
      <c r="I576" s="288"/>
      <c r="J576" s="288"/>
    </row>
    <row r="577">
      <c r="H577" s="287"/>
      <c r="I577" s="288"/>
      <c r="J577" s="288"/>
    </row>
    <row r="578">
      <c r="H578" s="287"/>
      <c r="I578" s="288"/>
      <c r="J578" s="288"/>
    </row>
    <row r="579">
      <c r="H579" s="287"/>
      <c r="I579" s="288"/>
      <c r="J579" s="288"/>
    </row>
    <row r="580">
      <c r="H580" s="287"/>
      <c r="I580" s="288"/>
      <c r="J580" s="288"/>
    </row>
    <row r="581">
      <c r="H581" s="287"/>
      <c r="I581" s="288"/>
      <c r="J581" s="288"/>
    </row>
    <row r="582">
      <c r="H582" s="287"/>
      <c r="I582" s="288"/>
      <c r="J582" s="288"/>
    </row>
    <row r="583">
      <c r="H583" s="287"/>
      <c r="I583" s="288"/>
      <c r="J583" s="288"/>
    </row>
    <row r="584">
      <c r="H584" s="287"/>
      <c r="I584" s="288"/>
      <c r="J584" s="288"/>
    </row>
    <row r="585">
      <c r="H585" s="287"/>
      <c r="I585" s="288"/>
      <c r="J585" s="288"/>
    </row>
    <row r="586">
      <c r="H586" s="287"/>
      <c r="I586" s="288"/>
      <c r="J586" s="288"/>
    </row>
    <row r="587">
      <c r="H587" s="287"/>
      <c r="I587" s="288"/>
      <c r="J587" s="288"/>
    </row>
    <row r="588">
      <c r="H588" s="287"/>
      <c r="I588" s="288"/>
      <c r="J588" s="288"/>
    </row>
    <row r="589">
      <c r="H589" s="287"/>
      <c r="I589" s="288"/>
      <c r="J589" s="288"/>
    </row>
    <row r="590">
      <c r="H590" s="287"/>
      <c r="I590" s="288"/>
      <c r="J590" s="288"/>
    </row>
    <row r="591">
      <c r="H591" s="287"/>
      <c r="I591" s="288"/>
      <c r="J591" s="288"/>
    </row>
    <row r="592">
      <c r="H592" s="287"/>
      <c r="I592" s="288"/>
      <c r="J592" s="288"/>
    </row>
    <row r="593">
      <c r="H593" s="287"/>
      <c r="I593" s="288"/>
      <c r="J593" s="288"/>
    </row>
    <row r="594">
      <c r="H594" s="287"/>
      <c r="I594" s="288"/>
      <c r="J594" s="288"/>
    </row>
    <row r="595">
      <c r="H595" s="287"/>
      <c r="I595" s="288"/>
      <c r="J595" s="288"/>
    </row>
    <row r="596">
      <c r="H596" s="287"/>
      <c r="I596" s="288"/>
      <c r="J596" s="288"/>
    </row>
    <row r="597">
      <c r="H597" s="287"/>
      <c r="I597" s="288"/>
      <c r="J597" s="288"/>
    </row>
    <row r="598">
      <c r="H598" s="287"/>
      <c r="I598" s="288"/>
      <c r="J598" s="288"/>
    </row>
    <row r="599">
      <c r="H599" s="287"/>
      <c r="I599" s="288"/>
      <c r="J599" s="288"/>
    </row>
    <row r="600">
      <c r="H600" s="287"/>
      <c r="I600" s="288"/>
      <c r="J600" s="288"/>
    </row>
    <row r="601">
      <c r="H601" s="287"/>
      <c r="I601" s="288"/>
      <c r="J601" s="288"/>
    </row>
    <row r="602">
      <c r="H602" s="287"/>
      <c r="I602" s="288"/>
      <c r="J602" s="288"/>
    </row>
    <row r="603">
      <c r="H603" s="287"/>
      <c r="I603" s="288"/>
      <c r="J603" s="288"/>
    </row>
    <row r="604">
      <c r="H604" s="287"/>
      <c r="I604" s="288"/>
      <c r="J604" s="288"/>
    </row>
    <row r="605">
      <c r="H605" s="287"/>
      <c r="I605" s="288"/>
      <c r="J605" s="288"/>
    </row>
    <row r="606">
      <c r="H606" s="287"/>
      <c r="I606" s="288"/>
      <c r="J606" s="288"/>
    </row>
    <row r="607">
      <c r="H607" s="287"/>
      <c r="I607" s="288"/>
      <c r="J607" s="288"/>
    </row>
    <row r="608">
      <c r="H608" s="287"/>
      <c r="I608" s="288"/>
      <c r="J608" s="288"/>
    </row>
    <row r="609">
      <c r="H609" s="287"/>
      <c r="I609" s="288"/>
      <c r="J609" s="288"/>
    </row>
    <row r="610">
      <c r="H610" s="287"/>
      <c r="I610" s="288"/>
      <c r="J610" s="288"/>
    </row>
    <row r="611">
      <c r="H611" s="287"/>
      <c r="I611" s="288"/>
      <c r="J611" s="288"/>
    </row>
    <row r="612">
      <c r="H612" s="287"/>
      <c r="I612" s="288"/>
      <c r="J612" s="288"/>
    </row>
    <row r="613">
      <c r="H613" s="287"/>
      <c r="I613" s="288"/>
      <c r="J613" s="288"/>
    </row>
    <row r="614">
      <c r="H614" s="287"/>
      <c r="I614" s="288"/>
      <c r="J614" s="288"/>
    </row>
    <row r="615">
      <c r="H615" s="287"/>
      <c r="I615" s="288"/>
      <c r="J615" s="288"/>
    </row>
    <row r="616">
      <c r="H616" s="287"/>
      <c r="I616" s="288"/>
      <c r="J616" s="288"/>
    </row>
    <row r="617">
      <c r="H617" s="287"/>
      <c r="I617" s="288"/>
      <c r="J617" s="288"/>
    </row>
    <row r="618">
      <c r="H618" s="287"/>
      <c r="I618" s="288"/>
      <c r="J618" s="288"/>
    </row>
    <row r="619">
      <c r="H619" s="287"/>
      <c r="I619" s="288"/>
      <c r="J619" s="288"/>
    </row>
    <row r="620">
      <c r="H620" s="287"/>
      <c r="I620" s="288"/>
      <c r="J620" s="288"/>
    </row>
    <row r="621">
      <c r="H621" s="287"/>
      <c r="I621" s="288"/>
      <c r="J621" s="288"/>
    </row>
    <row r="622">
      <c r="H622" s="287"/>
      <c r="I622" s="288"/>
      <c r="J622" s="288"/>
    </row>
    <row r="623">
      <c r="H623" s="287"/>
      <c r="I623" s="288"/>
      <c r="J623" s="288"/>
    </row>
    <row r="624">
      <c r="H624" s="287"/>
      <c r="I624" s="288"/>
      <c r="J624" s="288"/>
    </row>
    <row r="625">
      <c r="H625" s="287"/>
      <c r="I625" s="288"/>
      <c r="J625" s="288"/>
    </row>
    <row r="626">
      <c r="H626" s="287"/>
      <c r="I626" s="288"/>
      <c r="J626" s="288"/>
    </row>
    <row r="627">
      <c r="H627" s="287"/>
      <c r="I627" s="288"/>
      <c r="J627" s="288"/>
    </row>
    <row r="628">
      <c r="H628" s="287"/>
      <c r="I628" s="288"/>
      <c r="J628" s="288"/>
    </row>
    <row r="629">
      <c r="H629" s="287"/>
      <c r="I629" s="288"/>
      <c r="J629" s="288"/>
    </row>
    <row r="630">
      <c r="H630" s="287"/>
      <c r="I630" s="288"/>
      <c r="J630" s="288"/>
    </row>
    <row r="631">
      <c r="H631" s="287"/>
      <c r="I631" s="288"/>
      <c r="J631" s="288"/>
    </row>
    <row r="632">
      <c r="H632" s="287"/>
      <c r="I632" s="288"/>
      <c r="J632" s="288"/>
    </row>
    <row r="633">
      <c r="H633" s="287"/>
      <c r="I633" s="288"/>
      <c r="J633" s="288"/>
    </row>
    <row r="634">
      <c r="H634" s="287"/>
      <c r="I634" s="288"/>
      <c r="J634" s="288"/>
    </row>
    <row r="635">
      <c r="H635" s="287"/>
      <c r="I635" s="288"/>
      <c r="J635" s="288"/>
    </row>
    <row r="636">
      <c r="H636" s="287"/>
      <c r="I636" s="288"/>
      <c r="J636" s="288"/>
    </row>
    <row r="637">
      <c r="H637" s="287"/>
      <c r="I637" s="288"/>
      <c r="J637" s="288"/>
    </row>
    <row r="638">
      <c r="H638" s="287"/>
      <c r="I638" s="288"/>
      <c r="J638" s="288"/>
    </row>
    <row r="639">
      <c r="H639" s="287"/>
      <c r="I639" s="288"/>
      <c r="J639" s="288"/>
    </row>
    <row r="640">
      <c r="H640" s="287"/>
      <c r="I640" s="288"/>
      <c r="J640" s="288"/>
    </row>
    <row r="641">
      <c r="H641" s="287"/>
      <c r="I641" s="288"/>
      <c r="J641" s="288"/>
    </row>
    <row r="642">
      <c r="H642" s="287"/>
      <c r="I642" s="288"/>
      <c r="J642" s="288"/>
    </row>
    <row r="643">
      <c r="H643" s="287"/>
      <c r="I643" s="288"/>
      <c r="J643" s="288"/>
    </row>
    <row r="644">
      <c r="H644" s="287"/>
      <c r="I644" s="288"/>
      <c r="J644" s="288"/>
    </row>
    <row r="645">
      <c r="H645" s="287"/>
      <c r="I645" s="288"/>
      <c r="J645" s="288"/>
    </row>
    <row r="646">
      <c r="H646" s="287"/>
      <c r="I646" s="288"/>
      <c r="J646" s="288"/>
    </row>
    <row r="647">
      <c r="H647" s="287"/>
      <c r="I647" s="288"/>
      <c r="J647" s="288"/>
    </row>
    <row r="648">
      <c r="H648" s="287"/>
      <c r="I648" s="288"/>
      <c r="J648" s="288"/>
    </row>
    <row r="649">
      <c r="H649" s="287"/>
      <c r="I649" s="288"/>
      <c r="J649" s="288"/>
    </row>
    <row r="650">
      <c r="H650" s="287"/>
      <c r="I650" s="288"/>
      <c r="J650" s="288"/>
    </row>
    <row r="651">
      <c r="H651" s="287"/>
      <c r="I651" s="288"/>
      <c r="J651" s="288"/>
    </row>
    <row r="652">
      <c r="H652" s="287"/>
      <c r="I652" s="288"/>
      <c r="J652" s="288"/>
    </row>
    <row r="653">
      <c r="H653" s="287"/>
      <c r="I653" s="288"/>
      <c r="J653" s="288"/>
    </row>
    <row r="654">
      <c r="H654" s="287"/>
      <c r="I654" s="288"/>
      <c r="J654" s="288"/>
    </row>
    <row r="655">
      <c r="H655" s="287"/>
      <c r="I655" s="288"/>
      <c r="J655" s="288"/>
    </row>
    <row r="656">
      <c r="H656" s="287"/>
      <c r="I656" s="288"/>
      <c r="J656" s="288"/>
    </row>
    <row r="657">
      <c r="H657" s="287"/>
      <c r="I657" s="288"/>
      <c r="J657" s="288"/>
    </row>
    <row r="658">
      <c r="H658" s="287"/>
      <c r="I658" s="288"/>
      <c r="J658" s="288"/>
    </row>
    <row r="659">
      <c r="H659" s="287"/>
      <c r="I659" s="288"/>
      <c r="J659" s="288"/>
    </row>
    <row r="660">
      <c r="H660" s="287"/>
      <c r="I660" s="288"/>
      <c r="J660" s="288"/>
    </row>
    <row r="661">
      <c r="H661" s="287"/>
      <c r="I661" s="288"/>
      <c r="J661" s="288"/>
    </row>
    <row r="662">
      <c r="H662" s="287"/>
      <c r="I662" s="288"/>
      <c r="J662" s="288"/>
    </row>
    <row r="663">
      <c r="H663" s="287"/>
      <c r="I663" s="288"/>
      <c r="J663" s="288"/>
    </row>
    <row r="664">
      <c r="H664" s="287"/>
      <c r="I664" s="288"/>
      <c r="J664" s="288"/>
    </row>
    <row r="665">
      <c r="H665" s="287"/>
      <c r="I665" s="288"/>
      <c r="J665" s="288"/>
    </row>
    <row r="666">
      <c r="H666" s="287"/>
      <c r="I666" s="288"/>
      <c r="J666" s="288"/>
    </row>
    <row r="667">
      <c r="H667" s="287"/>
      <c r="I667" s="288"/>
      <c r="J667" s="288"/>
    </row>
    <row r="668">
      <c r="H668" s="287"/>
      <c r="I668" s="288"/>
      <c r="J668" s="288"/>
    </row>
    <row r="669">
      <c r="H669" s="287"/>
      <c r="I669" s="288"/>
      <c r="J669" s="288"/>
    </row>
    <row r="670">
      <c r="H670" s="287"/>
      <c r="I670" s="288"/>
      <c r="J670" s="288"/>
    </row>
    <row r="671">
      <c r="H671" s="287"/>
      <c r="I671" s="288"/>
      <c r="J671" s="288"/>
    </row>
    <row r="672">
      <c r="H672" s="287"/>
      <c r="I672" s="288"/>
      <c r="J672" s="288"/>
    </row>
    <row r="673">
      <c r="H673" s="287"/>
      <c r="I673" s="288"/>
      <c r="J673" s="288"/>
    </row>
    <row r="674">
      <c r="H674" s="287"/>
      <c r="I674" s="288"/>
      <c r="J674" s="288"/>
    </row>
    <row r="675">
      <c r="H675" s="287"/>
      <c r="I675" s="288"/>
      <c r="J675" s="288"/>
    </row>
    <row r="676">
      <c r="H676" s="287"/>
      <c r="I676" s="288"/>
      <c r="J676" s="288"/>
    </row>
    <row r="677">
      <c r="H677" s="287"/>
      <c r="I677" s="288"/>
      <c r="J677" s="288"/>
    </row>
    <row r="678">
      <c r="H678" s="287"/>
      <c r="I678" s="288"/>
      <c r="J678" s="288"/>
    </row>
    <row r="679">
      <c r="H679" s="287"/>
      <c r="I679" s="288"/>
      <c r="J679" s="288"/>
    </row>
    <row r="680">
      <c r="H680" s="287"/>
      <c r="I680" s="288"/>
      <c r="J680" s="288"/>
    </row>
    <row r="681">
      <c r="H681" s="287"/>
      <c r="I681" s="288"/>
      <c r="J681" s="288"/>
    </row>
    <row r="682">
      <c r="H682" s="287"/>
      <c r="I682" s="288"/>
      <c r="J682" s="288"/>
    </row>
    <row r="683">
      <c r="H683" s="287"/>
      <c r="I683" s="288"/>
      <c r="J683" s="288"/>
    </row>
    <row r="684">
      <c r="H684" s="287"/>
      <c r="I684" s="288"/>
      <c r="J684" s="288"/>
    </row>
    <row r="685">
      <c r="H685" s="287"/>
      <c r="I685" s="288"/>
      <c r="J685" s="288"/>
    </row>
    <row r="686">
      <c r="H686" s="287"/>
      <c r="I686" s="288"/>
      <c r="J686" s="288"/>
    </row>
    <row r="687">
      <c r="H687" s="287"/>
      <c r="I687" s="288"/>
      <c r="J687" s="288"/>
    </row>
    <row r="688">
      <c r="H688" s="287"/>
      <c r="I688" s="288"/>
      <c r="J688" s="288"/>
    </row>
    <row r="689">
      <c r="H689" s="287"/>
      <c r="I689" s="288"/>
      <c r="J689" s="288"/>
    </row>
    <row r="690">
      <c r="H690" s="287"/>
      <c r="I690" s="288"/>
      <c r="J690" s="288"/>
    </row>
    <row r="691">
      <c r="H691" s="287"/>
      <c r="I691" s="288"/>
      <c r="J691" s="288"/>
    </row>
    <row r="692">
      <c r="H692" s="287"/>
      <c r="I692" s="288"/>
      <c r="J692" s="288"/>
    </row>
    <row r="693">
      <c r="H693" s="287"/>
      <c r="I693" s="288"/>
      <c r="J693" s="288"/>
    </row>
    <row r="694">
      <c r="H694" s="287"/>
      <c r="I694" s="288"/>
      <c r="J694" s="288"/>
    </row>
    <row r="695">
      <c r="H695" s="287"/>
      <c r="I695" s="288"/>
      <c r="J695" s="288"/>
    </row>
    <row r="696">
      <c r="H696" s="287"/>
      <c r="I696" s="288"/>
      <c r="J696" s="288"/>
    </row>
    <row r="697">
      <c r="H697" s="287"/>
      <c r="I697" s="288"/>
      <c r="J697" s="288"/>
    </row>
    <row r="698">
      <c r="H698" s="287"/>
      <c r="I698" s="288"/>
      <c r="J698" s="288"/>
    </row>
    <row r="699">
      <c r="H699" s="287"/>
      <c r="I699" s="288"/>
      <c r="J699" s="288"/>
    </row>
    <row r="700">
      <c r="H700" s="287"/>
      <c r="I700" s="288"/>
      <c r="J700" s="288"/>
    </row>
    <row r="701">
      <c r="H701" s="287"/>
      <c r="I701" s="288"/>
      <c r="J701" s="288"/>
    </row>
    <row r="702">
      <c r="H702" s="287"/>
      <c r="I702" s="288"/>
      <c r="J702" s="288"/>
    </row>
    <row r="703">
      <c r="H703" s="287"/>
      <c r="I703" s="288"/>
      <c r="J703" s="288"/>
    </row>
    <row r="704">
      <c r="H704" s="287"/>
      <c r="I704" s="288"/>
      <c r="J704" s="288"/>
    </row>
    <row r="705">
      <c r="H705" s="287"/>
      <c r="I705" s="288"/>
      <c r="J705" s="288"/>
    </row>
    <row r="706">
      <c r="H706" s="287"/>
      <c r="I706" s="288"/>
      <c r="J706" s="288"/>
    </row>
    <row r="707">
      <c r="H707" s="287"/>
      <c r="I707" s="288"/>
      <c r="J707" s="288"/>
    </row>
    <row r="708">
      <c r="H708" s="287"/>
      <c r="I708" s="288"/>
      <c r="J708" s="288"/>
    </row>
    <row r="709">
      <c r="H709" s="287"/>
      <c r="I709" s="288"/>
      <c r="J709" s="288"/>
    </row>
    <row r="710">
      <c r="H710" s="287"/>
      <c r="I710" s="288"/>
      <c r="J710" s="288"/>
    </row>
    <row r="711">
      <c r="H711" s="287"/>
      <c r="I711" s="288"/>
      <c r="J711" s="288"/>
    </row>
    <row r="712">
      <c r="H712" s="287"/>
      <c r="I712" s="288"/>
      <c r="J712" s="288"/>
    </row>
    <row r="713">
      <c r="H713" s="287"/>
      <c r="I713" s="288"/>
      <c r="J713" s="288"/>
    </row>
    <row r="714">
      <c r="H714" s="287"/>
      <c r="I714" s="288"/>
      <c r="J714" s="288"/>
    </row>
    <row r="715">
      <c r="H715" s="287"/>
      <c r="I715" s="288"/>
      <c r="J715" s="288"/>
    </row>
    <row r="716">
      <c r="H716" s="287"/>
      <c r="I716" s="288"/>
      <c r="J716" s="288"/>
    </row>
    <row r="717">
      <c r="H717" s="287"/>
      <c r="I717" s="288"/>
      <c r="J717" s="288"/>
    </row>
    <row r="718">
      <c r="H718" s="287"/>
      <c r="I718" s="288"/>
      <c r="J718" s="288"/>
    </row>
    <row r="719">
      <c r="H719" s="287"/>
      <c r="I719" s="288"/>
      <c r="J719" s="288"/>
    </row>
    <row r="720">
      <c r="H720" s="287"/>
      <c r="I720" s="288"/>
      <c r="J720" s="288"/>
    </row>
    <row r="721">
      <c r="H721" s="287"/>
      <c r="I721" s="288"/>
      <c r="J721" s="288"/>
    </row>
    <row r="722">
      <c r="H722" s="287"/>
      <c r="I722" s="288"/>
      <c r="J722" s="288"/>
    </row>
    <row r="723">
      <c r="H723" s="287"/>
      <c r="I723" s="288"/>
      <c r="J723" s="288"/>
    </row>
    <row r="724">
      <c r="H724" s="287"/>
      <c r="I724" s="288"/>
      <c r="J724" s="288"/>
    </row>
    <row r="725">
      <c r="H725" s="287"/>
      <c r="I725" s="288"/>
      <c r="J725" s="288"/>
    </row>
    <row r="726">
      <c r="H726" s="287"/>
      <c r="I726" s="288"/>
      <c r="J726" s="288"/>
    </row>
    <row r="727">
      <c r="H727" s="287"/>
      <c r="I727" s="288"/>
      <c r="J727" s="288"/>
    </row>
    <row r="728">
      <c r="H728" s="287"/>
      <c r="I728" s="288"/>
      <c r="J728" s="288"/>
    </row>
    <row r="729">
      <c r="H729" s="287"/>
      <c r="I729" s="288"/>
      <c r="J729" s="288"/>
    </row>
    <row r="730">
      <c r="H730" s="287"/>
      <c r="I730" s="288"/>
      <c r="J730" s="288"/>
    </row>
    <row r="731">
      <c r="H731" s="287"/>
      <c r="I731" s="288"/>
      <c r="J731" s="288"/>
    </row>
    <row r="732">
      <c r="H732" s="287"/>
      <c r="I732" s="288"/>
      <c r="J732" s="288"/>
    </row>
    <row r="733">
      <c r="H733" s="287"/>
      <c r="I733" s="288"/>
      <c r="J733" s="288"/>
    </row>
    <row r="734">
      <c r="H734" s="287"/>
      <c r="I734" s="288"/>
      <c r="J734" s="288"/>
    </row>
    <row r="735">
      <c r="H735" s="287"/>
      <c r="I735" s="288"/>
      <c r="J735" s="288"/>
    </row>
    <row r="736">
      <c r="H736" s="287"/>
      <c r="I736" s="288"/>
      <c r="J736" s="288"/>
    </row>
    <row r="737">
      <c r="H737" s="287"/>
      <c r="I737" s="288"/>
      <c r="J737" s="288"/>
    </row>
    <row r="738">
      <c r="H738" s="287"/>
      <c r="I738" s="288"/>
      <c r="J738" s="288"/>
    </row>
    <row r="739">
      <c r="H739" s="287"/>
      <c r="I739" s="288"/>
      <c r="J739" s="288"/>
    </row>
    <row r="740">
      <c r="H740" s="287"/>
      <c r="I740" s="288"/>
      <c r="J740" s="288"/>
    </row>
    <row r="741">
      <c r="H741" s="287"/>
      <c r="I741" s="288"/>
      <c r="J741" s="288"/>
    </row>
    <row r="742">
      <c r="H742" s="287"/>
      <c r="I742" s="288"/>
      <c r="J742" s="288"/>
    </row>
    <row r="743">
      <c r="H743" s="287"/>
      <c r="I743" s="288"/>
      <c r="J743" s="288"/>
    </row>
    <row r="744">
      <c r="H744" s="287"/>
      <c r="I744" s="288"/>
      <c r="J744" s="288"/>
    </row>
    <row r="745">
      <c r="H745" s="287"/>
      <c r="I745" s="288"/>
      <c r="J745" s="288"/>
    </row>
    <row r="746">
      <c r="H746" s="287"/>
      <c r="I746" s="288"/>
      <c r="J746" s="288"/>
    </row>
    <row r="747">
      <c r="H747" s="287"/>
      <c r="I747" s="288"/>
      <c r="J747" s="288"/>
    </row>
    <row r="748">
      <c r="H748" s="287"/>
      <c r="I748" s="288"/>
      <c r="J748" s="288"/>
    </row>
    <row r="749">
      <c r="H749" s="287"/>
      <c r="I749" s="288"/>
      <c r="J749" s="288"/>
    </row>
    <row r="750">
      <c r="H750" s="287"/>
      <c r="I750" s="288"/>
      <c r="J750" s="288"/>
    </row>
    <row r="751">
      <c r="H751" s="287"/>
      <c r="I751" s="288"/>
      <c r="J751" s="288"/>
    </row>
    <row r="752">
      <c r="H752" s="287"/>
      <c r="I752" s="288"/>
      <c r="J752" s="288"/>
    </row>
    <row r="753">
      <c r="H753" s="287"/>
      <c r="I753" s="288"/>
      <c r="J753" s="288"/>
    </row>
    <row r="754">
      <c r="H754" s="287"/>
      <c r="I754" s="288"/>
      <c r="J754" s="288"/>
    </row>
    <row r="755">
      <c r="H755" s="287"/>
      <c r="I755" s="288"/>
      <c r="J755" s="288"/>
    </row>
    <row r="756">
      <c r="H756" s="287"/>
      <c r="I756" s="288"/>
      <c r="J756" s="288"/>
    </row>
    <row r="757">
      <c r="H757" s="287"/>
      <c r="I757" s="288"/>
      <c r="J757" s="288"/>
    </row>
    <row r="758">
      <c r="H758" s="287"/>
      <c r="I758" s="288"/>
      <c r="J758" s="288"/>
    </row>
    <row r="759">
      <c r="H759" s="287"/>
      <c r="I759" s="288"/>
      <c r="J759" s="288"/>
    </row>
    <row r="760">
      <c r="H760" s="287"/>
      <c r="I760" s="288"/>
      <c r="J760" s="288"/>
    </row>
    <row r="761">
      <c r="H761" s="287"/>
      <c r="I761" s="288"/>
      <c r="J761" s="288"/>
    </row>
    <row r="762">
      <c r="H762" s="287"/>
      <c r="I762" s="288"/>
      <c r="J762" s="288"/>
    </row>
    <row r="763">
      <c r="H763" s="287"/>
      <c r="I763" s="288"/>
      <c r="J763" s="288"/>
    </row>
    <row r="764">
      <c r="H764" s="287"/>
      <c r="I764" s="288"/>
      <c r="J764" s="288"/>
    </row>
    <row r="765">
      <c r="H765" s="287"/>
      <c r="I765" s="288"/>
      <c r="J765" s="288"/>
    </row>
    <row r="766">
      <c r="H766" s="287"/>
      <c r="I766" s="288"/>
      <c r="J766" s="288"/>
    </row>
    <row r="767">
      <c r="H767" s="287"/>
      <c r="I767" s="288"/>
      <c r="J767" s="288"/>
    </row>
    <row r="768">
      <c r="H768" s="287"/>
      <c r="I768" s="288"/>
      <c r="J768" s="288"/>
    </row>
    <row r="769">
      <c r="H769" s="287"/>
      <c r="I769" s="288"/>
      <c r="J769" s="288"/>
    </row>
    <row r="770">
      <c r="H770" s="287"/>
      <c r="I770" s="288"/>
      <c r="J770" s="288"/>
    </row>
    <row r="771">
      <c r="H771" s="287"/>
      <c r="I771" s="288"/>
      <c r="J771" s="288"/>
    </row>
    <row r="772">
      <c r="H772" s="287"/>
      <c r="I772" s="288"/>
      <c r="J772" s="288"/>
    </row>
    <row r="773">
      <c r="H773" s="287"/>
      <c r="I773" s="288"/>
      <c r="J773" s="288"/>
    </row>
    <row r="774">
      <c r="H774" s="287"/>
      <c r="I774" s="288"/>
      <c r="J774" s="288"/>
    </row>
    <row r="775">
      <c r="H775" s="287"/>
      <c r="I775" s="288"/>
      <c r="J775" s="288"/>
    </row>
    <row r="776">
      <c r="H776" s="287"/>
      <c r="I776" s="288"/>
      <c r="J776" s="288"/>
    </row>
    <row r="777">
      <c r="H777" s="287"/>
      <c r="I777" s="288"/>
      <c r="J777" s="288"/>
    </row>
    <row r="778">
      <c r="H778" s="287"/>
      <c r="I778" s="288"/>
      <c r="J778" s="288"/>
    </row>
    <row r="779">
      <c r="H779" s="287"/>
      <c r="I779" s="288"/>
      <c r="J779" s="288"/>
    </row>
    <row r="780">
      <c r="H780" s="287"/>
      <c r="I780" s="288"/>
      <c r="J780" s="288"/>
    </row>
    <row r="781">
      <c r="H781" s="287"/>
      <c r="I781" s="288"/>
      <c r="J781" s="288"/>
    </row>
    <row r="782">
      <c r="H782" s="287"/>
      <c r="I782" s="288"/>
      <c r="J782" s="288"/>
    </row>
    <row r="783">
      <c r="H783" s="287"/>
      <c r="I783" s="288"/>
      <c r="J783" s="288"/>
    </row>
    <row r="784">
      <c r="H784" s="287"/>
      <c r="I784" s="288"/>
      <c r="J784" s="288"/>
    </row>
    <row r="785">
      <c r="H785" s="287"/>
      <c r="I785" s="288"/>
      <c r="J785" s="288"/>
    </row>
    <row r="786">
      <c r="H786" s="287"/>
      <c r="I786" s="288"/>
      <c r="J786" s="288"/>
    </row>
    <row r="787">
      <c r="H787" s="287"/>
      <c r="I787" s="288"/>
      <c r="J787" s="288"/>
    </row>
    <row r="788">
      <c r="H788" s="287"/>
      <c r="I788" s="288"/>
      <c r="J788" s="288"/>
    </row>
    <row r="789">
      <c r="H789" s="287"/>
      <c r="I789" s="288"/>
      <c r="J789" s="288"/>
    </row>
    <row r="790">
      <c r="H790" s="287"/>
      <c r="I790" s="288"/>
      <c r="J790" s="288"/>
    </row>
    <row r="791">
      <c r="H791" s="287"/>
      <c r="I791" s="288"/>
      <c r="J791" s="288"/>
    </row>
    <row r="792">
      <c r="H792" s="287"/>
      <c r="I792" s="288"/>
      <c r="J792" s="288"/>
    </row>
    <row r="793">
      <c r="H793" s="287"/>
      <c r="I793" s="288"/>
      <c r="J793" s="288"/>
    </row>
    <row r="794">
      <c r="H794" s="287"/>
      <c r="I794" s="288"/>
      <c r="J794" s="288"/>
    </row>
    <row r="795">
      <c r="H795" s="287"/>
      <c r="I795" s="288"/>
      <c r="J795" s="288"/>
    </row>
    <row r="796">
      <c r="H796" s="287"/>
      <c r="I796" s="288"/>
      <c r="J796" s="288"/>
    </row>
    <row r="797">
      <c r="H797" s="287"/>
      <c r="I797" s="288"/>
      <c r="J797" s="288"/>
    </row>
    <row r="798">
      <c r="H798" s="287"/>
      <c r="I798" s="288"/>
      <c r="J798" s="288"/>
    </row>
    <row r="799">
      <c r="H799" s="287"/>
      <c r="I799" s="288"/>
      <c r="J799" s="288"/>
    </row>
    <row r="800">
      <c r="H800" s="287"/>
      <c r="I800" s="288"/>
      <c r="J800" s="288"/>
    </row>
    <row r="801">
      <c r="H801" s="287"/>
      <c r="I801" s="288"/>
      <c r="J801" s="288"/>
    </row>
    <row r="802">
      <c r="H802" s="287"/>
      <c r="I802" s="288"/>
      <c r="J802" s="288"/>
    </row>
    <row r="803">
      <c r="H803" s="287"/>
      <c r="I803" s="288"/>
      <c r="J803" s="288"/>
    </row>
    <row r="804">
      <c r="H804" s="287"/>
      <c r="I804" s="288"/>
      <c r="J804" s="288"/>
    </row>
    <row r="805">
      <c r="H805" s="287"/>
      <c r="I805" s="288"/>
      <c r="J805" s="288"/>
    </row>
    <row r="806">
      <c r="H806" s="287"/>
      <c r="I806" s="288"/>
      <c r="J806" s="288"/>
    </row>
    <row r="807">
      <c r="H807" s="287"/>
      <c r="I807" s="288"/>
      <c r="J807" s="288"/>
    </row>
    <row r="808">
      <c r="H808" s="287"/>
      <c r="I808" s="288"/>
      <c r="J808" s="288"/>
    </row>
    <row r="809">
      <c r="H809" s="287"/>
      <c r="I809" s="288"/>
      <c r="J809" s="288"/>
    </row>
    <row r="810">
      <c r="H810" s="287"/>
      <c r="I810" s="288"/>
      <c r="J810" s="288"/>
    </row>
    <row r="811">
      <c r="H811" s="287"/>
      <c r="I811" s="288"/>
      <c r="J811" s="288"/>
    </row>
    <row r="812">
      <c r="H812" s="287"/>
      <c r="I812" s="288"/>
      <c r="J812" s="288"/>
    </row>
    <row r="813">
      <c r="H813" s="287"/>
      <c r="I813" s="288"/>
      <c r="J813" s="288"/>
    </row>
    <row r="814">
      <c r="H814" s="287"/>
      <c r="I814" s="288"/>
      <c r="J814" s="288"/>
    </row>
    <row r="815">
      <c r="H815" s="287"/>
      <c r="I815" s="288"/>
      <c r="J815" s="288"/>
    </row>
    <row r="816">
      <c r="H816" s="287"/>
      <c r="I816" s="288"/>
      <c r="J816" s="288"/>
    </row>
    <row r="817">
      <c r="H817" s="287"/>
      <c r="I817" s="288"/>
      <c r="J817" s="288"/>
    </row>
    <row r="818">
      <c r="H818" s="287"/>
      <c r="I818" s="288"/>
      <c r="J818" s="288"/>
    </row>
    <row r="819">
      <c r="H819" s="287"/>
      <c r="I819" s="288"/>
      <c r="J819" s="288"/>
    </row>
    <row r="820">
      <c r="H820" s="287"/>
      <c r="I820" s="288"/>
      <c r="J820" s="288"/>
    </row>
    <row r="821">
      <c r="H821" s="287"/>
      <c r="I821" s="288"/>
      <c r="J821" s="288"/>
    </row>
    <row r="822">
      <c r="H822" s="287"/>
      <c r="I822" s="288"/>
      <c r="J822" s="288"/>
    </row>
    <row r="823">
      <c r="H823" s="287"/>
      <c r="I823" s="288"/>
      <c r="J823" s="288"/>
    </row>
    <row r="824">
      <c r="H824" s="287"/>
      <c r="I824" s="288"/>
      <c r="J824" s="288"/>
    </row>
    <row r="825">
      <c r="H825" s="287"/>
      <c r="I825" s="288"/>
      <c r="J825" s="288"/>
    </row>
    <row r="826">
      <c r="H826" s="287"/>
      <c r="I826" s="288"/>
      <c r="J826" s="288"/>
    </row>
    <row r="827">
      <c r="H827" s="287"/>
      <c r="I827" s="288"/>
      <c r="J827" s="288"/>
    </row>
    <row r="828">
      <c r="H828" s="287"/>
      <c r="I828" s="288"/>
      <c r="J828" s="288"/>
    </row>
    <row r="829">
      <c r="H829" s="287"/>
      <c r="I829" s="288"/>
      <c r="J829" s="288"/>
    </row>
    <row r="830">
      <c r="H830" s="287"/>
      <c r="I830" s="288"/>
      <c r="J830" s="288"/>
    </row>
    <row r="831">
      <c r="H831" s="287"/>
      <c r="I831" s="288"/>
      <c r="J831" s="288"/>
    </row>
    <row r="832">
      <c r="H832" s="287"/>
      <c r="I832" s="288"/>
      <c r="J832" s="288"/>
    </row>
    <row r="833">
      <c r="H833" s="287"/>
      <c r="I833" s="288"/>
      <c r="J833" s="288"/>
    </row>
    <row r="834">
      <c r="H834" s="287"/>
      <c r="I834" s="288"/>
      <c r="J834" s="288"/>
    </row>
    <row r="835">
      <c r="H835" s="287"/>
      <c r="I835" s="288"/>
      <c r="J835" s="288"/>
    </row>
    <row r="836">
      <c r="H836" s="287"/>
      <c r="I836" s="288"/>
      <c r="J836" s="288"/>
    </row>
    <row r="837">
      <c r="H837" s="287"/>
      <c r="I837" s="288"/>
      <c r="J837" s="288"/>
    </row>
    <row r="838">
      <c r="H838" s="287"/>
      <c r="I838" s="288"/>
      <c r="J838" s="288"/>
    </row>
    <row r="839">
      <c r="H839" s="287"/>
      <c r="I839" s="288"/>
      <c r="J839" s="288"/>
    </row>
    <row r="840">
      <c r="H840" s="287"/>
      <c r="I840" s="288"/>
      <c r="J840" s="288"/>
    </row>
    <row r="841">
      <c r="H841" s="287"/>
      <c r="I841" s="288"/>
      <c r="J841" s="288"/>
    </row>
    <row r="842">
      <c r="H842" s="287"/>
      <c r="I842" s="288"/>
      <c r="J842" s="288"/>
    </row>
    <row r="843">
      <c r="H843" s="287"/>
      <c r="I843" s="288"/>
      <c r="J843" s="288"/>
    </row>
    <row r="844">
      <c r="H844" s="287"/>
      <c r="I844" s="288"/>
      <c r="J844" s="288"/>
    </row>
    <row r="845">
      <c r="H845" s="287"/>
      <c r="I845" s="288"/>
      <c r="J845" s="288"/>
    </row>
    <row r="846">
      <c r="H846" s="287"/>
      <c r="I846" s="288"/>
      <c r="J846" s="288"/>
    </row>
    <row r="847">
      <c r="H847" s="287"/>
      <c r="I847" s="288"/>
      <c r="J847" s="288"/>
    </row>
    <row r="848">
      <c r="H848" s="287"/>
      <c r="I848" s="288"/>
      <c r="J848" s="288"/>
    </row>
    <row r="849">
      <c r="H849" s="287"/>
      <c r="I849" s="288"/>
      <c r="J849" s="288"/>
    </row>
    <row r="850">
      <c r="H850" s="287"/>
      <c r="I850" s="288"/>
      <c r="J850" s="288"/>
    </row>
    <row r="851">
      <c r="H851" s="287"/>
      <c r="I851" s="288"/>
      <c r="J851" s="288"/>
    </row>
    <row r="852">
      <c r="H852" s="287"/>
      <c r="I852" s="288"/>
      <c r="J852" s="288"/>
    </row>
    <row r="853">
      <c r="H853" s="287"/>
      <c r="I853" s="288"/>
      <c r="J853" s="288"/>
    </row>
    <row r="854">
      <c r="H854" s="287"/>
      <c r="I854" s="288"/>
      <c r="J854" s="288"/>
    </row>
    <row r="855">
      <c r="H855" s="287"/>
      <c r="I855" s="288"/>
      <c r="J855" s="288"/>
    </row>
    <row r="856">
      <c r="H856" s="287"/>
      <c r="I856" s="288"/>
      <c r="J856" s="288"/>
    </row>
    <row r="857">
      <c r="H857" s="287"/>
      <c r="I857" s="288"/>
      <c r="J857" s="288"/>
    </row>
    <row r="858">
      <c r="H858" s="287"/>
      <c r="I858" s="288"/>
      <c r="J858" s="288"/>
    </row>
    <row r="859">
      <c r="H859" s="287"/>
      <c r="I859" s="288"/>
      <c r="J859" s="288"/>
    </row>
    <row r="860">
      <c r="H860" s="287"/>
      <c r="I860" s="288"/>
      <c r="J860" s="288"/>
    </row>
    <row r="861">
      <c r="H861" s="287"/>
      <c r="I861" s="288"/>
      <c r="J861" s="288"/>
    </row>
    <row r="862">
      <c r="H862" s="287"/>
      <c r="I862" s="288"/>
      <c r="J862" s="288"/>
    </row>
    <row r="863">
      <c r="H863" s="287"/>
      <c r="I863" s="288"/>
      <c r="J863" s="288"/>
    </row>
    <row r="864">
      <c r="H864" s="287"/>
      <c r="I864" s="288"/>
      <c r="J864" s="288"/>
    </row>
    <row r="865">
      <c r="H865" s="287"/>
      <c r="I865" s="288"/>
      <c r="J865" s="288"/>
    </row>
    <row r="866">
      <c r="H866" s="287"/>
      <c r="I866" s="288"/>
      <c r="J866" s="288"/>
    </row>
    <row r="867">
      <c r="H867" s="287"/>
      <c r="I867" s="288"/>
      <c r="J867" s="288"/>
    </row>
    <row r="868">
      <c r="H868" s="287"/>
      <c r="I868" s="288"/>
      <c r="J868" s="288"/>
    </row>
    <row r="869">
      <c r="H869" s="287"/>
      <c r="I869" s="288"/>
      <c r="J869" s="288"/>
    </row>
    <row r="870">
      <c r="H870" s="287"/>
      <c r="I870" s="288"/>
      <c r="J870" s="288"/>
    </row>
    <row r="871">
      <c r="H871" s="287"/>
      <c r="I871" s="288"/>
      <c r="J871" s="288"/>
    </row>
    <row r="872">
      <c r="H872" s="287"/>
      <c r="I872" s="288"/>
      <c r="J872" s="288"/>
    </row>
    <row r="873">
      <c r="H873" s="287"/>
      <c r="I873" s="288"/>
      <c r="J873" s="288"/>
    </row>
    <row r="874">
      <c r="H874" s="287"/>
      <c r="I874" s="288"/>
      <c r="J874" s="288"/>
    </row>
    <row r="875">
      <c r="H875" s="287"/>
      <c r="I875" s="288"/>
      <c r="J875" s="288"/>
    </row>
    <row r="876">
      <c r="H876" s="287"/>
      <c r="I876" s="288"/>
      <c r="J876" s="288"/>
    </row>
    <row r="877">
      <c r="H877" s="287"/>
      <c r="I877" s="288"/>
      <c r="J877" s="288"/>
    </row>
    <row r="878">
      <c r="H878" s="287"/>
      <c r="I878" s="288"/>
      <c r="J878" s="288"/>
    </row>
    <row r="879">
      <c r="H879" s="287"/>
      <c r="I879" s="288"/>
      <c r="J879" s="288"/>
    </row>
    <row r="880">
      <c r="H880" s="287"/>
      <c r="I880" s="288"/>
      <c r="J880" s="288"/>
    </row>
    <row r="881">
      <c r="H881" s="287"/>
      <c r="I881" s="288"/>
      <c r="J881" s="288"/>
    </row>
    <row r="882">
      <c r="H882" s="287"/>
      <c r="I882" s="288"/>
      <c r="J882" s="288"/>
    </row>
    <row r="883">
      <c r="H883" s="287"/>
      <c r="I883" s="288"/>
      <c r="J883" s="288"/>
    </row>
    <row r="884">
      <c r="H884" s="287"/>
      <c r="I884" s="288"/>
      <c r="J884" s="288"/>
    </row>
    <row r="885">
      <c r="H885" s="287"/>
      <c r="I885" s="288"/>
      <c r="J885" s="288"/>
    </row>
    <row r="886">
      <c r="H886" s="287"/>
      <c r="I886" s="288"/>
      <c r="J886" s="288"/>
    </row>
    <row r="887">
      <c r="H887" s="287"/>
      <c r="I887" s="288"/>
      <c r="J887" s="288"/>
    </row>
    <row r="888">
      <c r="H888" s="287"/>
      <c r="I888" s="288"/>
      <c r="J888" s="288"/>
    </row>
    <row r="889">
      <c r="H889" s="287"/>
      <c r="I889" s="288"/>
      <c r="J889" s="288"/>
    </row>
    <row r="890">
      <c r="H890" s="287"/>
      <c r="I890" s="288"/>
      <c r="J890" s="288"/>
    </row>
    <row r="891">
      <c r="H891" s="287"/>
      <c r="I891" s="288"/>
      <c r="J891" s="288"/>
    </row>
    <row r="892">
      <c r="H892" s="287"/>
      <c r="I892" s="288"/>
      <c r="J892" s="288"/>
    </row>
    <row r="893">
      <c r="H893" s="287"/>
      <c r="I893" s="288"/>
      <c r="J893" s="288"/>
    </row>
    <row r="894">
      <c r="H894" s="287"/>
      <c r="I894" s="288"/>
      <c r="J894" s="288"/>
    </row>
    <row r="895">
      <c r="H895" s="287"/>
      <c r="I895" s="288"/>
      <c r="J895" s="288"/>
    </row>
    <row r="896">
      <c r="H896" s="287"/>
      <c r="I896" s="288"/>
      <c r="J896" s="288"/>
    </row>
    <row r="897">
      <c r="H897" s="287"/>
      <c r="I897" s="288"/>
      <c r="J897" s="288"/>
    </row>
    <row r="898">
      <c r="H898" s="287"/>
      <c r="I898" s="288"/>
      <c r="J898" s="288"/>
    </row>
    <row r="899">
      <c r="H899" s="287"/>
      <c r="I899" s="288"/>
      <c r="J899" s="288"/>
    </row>
    <row r="900">
      <c r="H900" s="287"/>
      <c r="I900" s="288"/>
      <c r="J900" s="288"/>
    </row>
    <row r="901">
      <c r="H901" s="287"/>
      <c r="I901" s="288"/>
      <c r="J901" s="288"/>
    </row>
    <row r="902">
      <c r="H902" s="287"/>
      <c r="I902" s="288"/>
      <c r="J902" s="288"/>
    </row>
    <row r="903">
      <c r="H903" s="287"/>
      <c r="I903" s="288"/>
      <c r="J903" s="288"/>
    </row>
    <row r="904">
      <c r="H904" s="287"/>
      <c r="I904" s="288"/>
      <c r="J904" s="288"/>
    </row>
    <row r="905">
      <c r="H905" s="287"/>
      <c r="I905" s="288"/>
      <c r="J905" s="288"/>
    </row>
    <row r="906">
      <c r="H906" s="287"/>
      <c r="I906" s="288"/>
      <c r="J906" s="288"/>
    </row>
    <row r="907">
      <c r="H907" s="287"/>
      <c r="I907" s="288"/>
      <c r="J907" s="288"/>
    </row>
    <row r="908">
      <c r="H908" s="287"/>
      <c r="I908" s="288"/>
      <c r="J908" s="288"/>
    </row>
    <row r="909">
      <c r="H909" s="287"/>
      <c r="I909" s="288"/>
      <c r="J909" s="288"/>
    </row>
    <row r="910">
      <c r="H910" s="287"/>
      <c r="I910" s="288"/>
      <c r="J910" s="288"/>
    </row>
    <row r="911">
      <c r="H911" s="287"/>
      <c r="I911" s="288"/>
      <c r="J911" s="288"/>
    </row>
    <row r="912">
      <c r="H912" s="287"/>
      <c r="I912" s="288"/>
      <c r="J912" s="288"/>
    </row>
    <row r="913">
      <c r="H913" s="287"/>
      <c r="I913" s="288"/>
      <c r="J913" s="288"/>
    </row>
    <row r="914">
      <c r="H914" s="287"/>
      <c r="I914" s="288"/>
      <c r="J914" s="288"/>
    </row>
    <row r="915">
      <c r="H915" s="287"/>
      <c r="I915" s="288"/>
      <c r="J915" s="288"/>
    </row>
    <row r="916">
      <c r="H916" s="287"/>
      <c r="I916" s="288"/>
      <c r="J916" s="288"/>
    </row>
    <row r="917">
      <c r="H917" s="287"/>
      <c r="I917" s="288"/>
      <c r="J917" s="288"/>
    </row>
    <row r="918">
      <c r="H918" s="287"/>
      <c r="I918" s="288"/>
      <c r="J918" s="288"/>
    </row>
    <row r="919">
      <c r="H919" s="287"/>
      <c r="I919" s="288"/>
      <c r="J919" s="288"/>
    </row>
    <row r="920">
      <c r="H920" s="287"/>
      <c r="I920" s="288"/>
      <c r="J920" s="288"/>
    </row>
    <row r="921">
      <c r="H921" s="287"/>
      <c r="I921" s="288"/>
      <c r="J921" s="288"/>
    </row>
    <row r="922">
      <c r="H922" s="287"/>
      <c r="I922" s="288"/>
      <c r="J922" s="288"/>
    </row>
    <row r="923">
      <c r="H923" s="287"/>
      <c r="I923" s="288"/>
      <c r="J923" s="288"/>
    </row>
    <row r="924">
      <c r="H924" s="287"/>
      <c r="I924" s="288"/>
      <c r="J924" s="288"/>
    </row>
    <row r="925">
      <c r="H925" s="287"/>
      <c r="I925" s="288"/>
      <c r="J925" s="288"/>
    </row>
    <row r="926">
      <c r="H926" s="287"/>
      <c r="I926" s="288"/>
      <c r="J926" s="288"/>
    </row>
    <row r="927">
      <c r="H927" s="287"/>
      <c r="I927" s="288"/>
      <c r="J927" s="288"/>
    </row>
    <row r="928">
      <c r="H928" s="287"/>
      <c r="I928" s="288"/>
      <c r="J928" s="288"/>
    </row>
    <row r="929">
      <c r="H929" s="287"/>
      <c r="I929" s="288"/>
      <c r="J929" s="288"/>
    </row>
    <row r="930">
      <c r="H930" s="287"/>
      <c r="I930" s="288"/>
      <c r="J930" s="288"/>
    </row>
    <row r="931">
      <c r="H931" s="287"/>
      <c r="I931" s="288"/>
      <c r="J931" s="288"/>
    </row>
    <row r="932">
      <c r="H932" s="287"/>
      <c r="I932" s="288"/>
      <c r="J932" s="288"/>
    </row>
    <row r="933">
      <c r="H933" s="287"/>
      <c r="I933" s="288"/>
      <c r="J933" s="288"/>
    </row>
    <row r="934">
      <c r="H934" s="287"/>
      <c r="I934" s="288"/>
      <c r="J934" s="288"/>
    </row>
    <row r="935">
      <c r="H935" s="287"/>
      <c r="I935" s="288"/>
      <c r="J935" s="288"/>
    </row>
    <row r="936">
      <c r="H936" s="287"/>
      <c r="I936" s="288"/>
      <c r="J936" s="288"/>
    </row>
    <row r="937">
      <c r="H937" s="287"/>
      <c r="I937" s="288"/>
      <c r="J937" s="288"/>
    </row>
    <row r="938">
      <c r="H938" s="287"/>
      <c r="I938" s="288"/>
      <c r="J938" s="288"/>
    </row>
    <row r="939">
      <c r="H939" s="287"/>
      <c r="I939" s="288"/>
      <c r="J939" s="288"/>
    </row>
    <row r="940">
      <c r="H940" s="287"/>
      <c r="I940" s="288"/>
      <c r="J940" s="288"/>
    </row>
    <row r="941">
      <c r="H941" s="287"/>
      <c r="I941" s="288"/>
      <c r="J941" s="288"/>
    </row>
    <row r="942">
      <c r="H942" s="287"/>
      <c r="I942" s="288"/>
      <c r="J942" s="288"/>
    </row>
    <row r="943">
      <c r="H943" s="287"/>
      <c r="I943" s="288"/>
      <c r="J943" s="288"/>
    </row>
    <row r="944">
      <c r="H944" s="287"/>
      <c r="I944" s="288"/>
      <c r="J944" s="288"/>
    </row>
    <row r="945">
      <c r="H945" s="287"/>
      <c r="I945" s="288"/>
      <c r="J945" s="288"/>
    </row>
    <row r="946">
      <c r="H946" s="287"/>
      <c r="I946" s="288"/>
      <c r="J946" s="288"/>
    </row>
    <row r="947">
      <c r="H947" s="287"/>
      <c r="I947" s="288"/>
      <c r="J947" s="288"/>
    </row>
    <row r="948">
      <c r="H948" s="287"/>
      <c r="I948" s="288"/>
      <c r="J948" s="288"/>
    </row>
    <row r="949">
      <c r="H949" s="287"/>
      <c r="I949" s="288"/>
      <c r="J949" s="288"/>
    </row>
    <row r="950">
      <c r="H950" s="287"/>
      <c r="I950" s="288"/>
      <c r="J950" s="288"/>
    </row>
    <row r="951">
      <c r="H951" s="287"/>
      <c r="I951" s="288"/>
      <c r="J951" s="288"/>
    </row>
    <row r="952">
      <c r="H952" s="287"/>
      <c r="I952" s="288"/>
      <c r="J952" s="288"/>
    </row>
    <row r="953">
      <c r="H953" s="287"/>
      <c r="I953" s="288"/>
      <c r="J953" s="288"/>
    </row>
    <row r="954">
      <c r="H954" s="287"/>
      <c r="I954" s="288"/>
      <c r="J954" s="288"/>
    </row>
    <row r="955">
      <c r="H955" s="287"/>
      <c r="I955" s="288"/>
      <c r="J955" s="288"/>
    </row>
    <row r="956">
      <c r="H956" s="287"/>
      <c r="I956" s="288"/>
      <c r="J956" s="288"/>
    </row>
    <row r="957">
      <c r="H957" s="287"/>
      <c r="I957" s="288"/>
      <c r="J957" s="288"/>
    </row>
    <row r="958">
      <c r="H958" s="287"/>
      <c r="I958" s="288"/>
      <c r="J958" s="288"/>
    </row>
    <row r="959">
      <c r="H959" s="287"/>
      <c r="I959" s="288"/>
      <c r="J959" s="288"/>
    </row>
    <row r="960">
      <c r="H960" s="287"/>
      <c r="I960" s="288"/>
      <c r="J960" s="288"/>
    </row>
    <row r="961">
      <c r="H961" s="287"/>
      <c r="I961" s="288"/>
      <c r="J961" s="288"/>
    </row>
    <row r="962">
      <c r="H962" s="287"/>
      <c r="I962" s="288"/>
      <c r="J962" s="288"/>
    </row>
    <row r="963">
      <c r="H963" s="287"/>
      <c r="I963" s="288"/>
      <c r="J963" s="288"/>
    </row>
    <row r="964">
      <c r="H964" s="287"/>
      <c r="I964" s="288"/>
      <c r="J964" s="288"/>
    </row>
    <row r="965">
      <c r="H965" s="287"/>
      <c r="I965" s="288"/>
      <c r="J965" s="288"/>
    </row>
    <row r="966">
      <c r="H966" s="287"/>
      <c r="I966" s="288"/>
      <c r="J966" s="288"/>
    </row>
    <row r="967">
      <c r="H967" s="287"/>
      <c r="I967" s="288"/>
      <c r="J967" s="288"/>
    </row>
    <row r="968">
      <c r="H968" s="287"/>
      <c r="I968" s="288"/>
      <c r="J968" s="288"/>
    </row>
    <row r="969">
      <c r="H969" s="287"/>
      <c r="I969" s="288"/>
      <c r="J969" s="288"/>
    </row>
    <row r="970">
      <c r="H970" s="287"/>
      <c r="I970" s="288"/>
      <c r="J970" s="288"/>
    </row>
    <row r="971">
      <c r="H971" s="287"/>
      <c r="I971" s="288"/>
      <c r="J971" s="288"/>
    </row>
    <row r="972">
      <c r="H972" s="287"/>
      <c r="I972" s="288"/>
      <c r="J972" s="288"/>
    </row>
    <row r="973">
      <c r="H973" s="287"/>
      <c r="I973" s="288"/>
      <c r="J973" s="288"/>
    </row>
    <row r="974">
      <c r="H974" s="287"/>
      <c r="I974" s="288"/>
      <c r="J974" s="288"/>
    </row>
    <row r="975">
      <c r="H975" s="287"/>
      <c r="I975" s="288"/>
      <c r="J975" s="288"/>
    </row>
    <row r="976">
      <c r="H976" s="287"/>
      <c r="I976" s="288"/>
      <c r="J976" s="288"/>
    </row>
    <row r="977">
      <c r="H977" s="287"/>
      <c r="I977" s="288"/>
      <c r="J977" s="288"/>
    </row>
    <row r="978">
      <c r="H978" s="287"/>
      <c r="I978" s="288"/>
      <c r="J978" s="288"/>
    </row>
    <row r="979">
      <c r="H979" s="287"/>
      <c r="I979" s="288"/>
      <c r="J979" s="288"/>
    </row>
    <row r="980">
      <c r="H980" s="287"/>
      <c r="I980" s="288"/>
      <c r="J980" s="288"/>
    </row>
    <row r="981">
      <c r="H981" s="287"/>
      <c r="I981" s="288"/>
      <c r="J981" s="288"/>
    </row>
    <row r="982">
      <c r="H982" s="287"/>
      <c r="I982" s="288"/>
      <c r="J982" s="288"/>
    </row>
    <row r="983">
      <c r="H983" s="287"/>
      <c r="I983" s="288"/>
      <c r="J983" s="288"/>
    </row>
    <row r="984">
      <c r="H984" s="287"/>
      <c r="I984" s="288"/>
      <c r="J984" s="288"/>
    </row>
    <row r="985">
      <c r="H985" s="287"/>
      <c r="I985" s="288"/>
      <c r="J985" s="288"/>
    </row>
    <row r="986">
      <c r="H986" s="287"/>
      <c r="I986" s="288"/>
      <c r="J986" s="288"/>
    </row>
    <row r="987">
      <c r="H987" s="287"/>
      <c r="I987" s="288"/>
      <c r="J987" s="288"/>
    </row>
    <row r="988">
      <c r="H988" s="287"/>
      <c r="I988" s="288"/>
      <c r="J988" s="288"/>
    </row>
    <row r="989">
      <c r="H989" s="287"/>
      <c r="I989" s="288"/>
      <c r="J989" s="288"/>
    </row>
    <row r="990">
      <c r="H990" s="287"/>
      <c r="I990" s="288"/>
      <c r="J990" s="288"/>
    </row>
    <row r="991">
      <c r="H991" s="287"/>
      <c r="I991" s="288"/>
      <c r="J991" s="288"/>
    </row>
    <row r="992">
      <c r="H992" s="287"/>
      <c r="I992" s="288"/>
      <c r="J992" s="288"/>
    </row>
    <row r="993">
      <c r="H993" s="287"/>
      <c r="I993" s="288"/>
      <c r="J993" s="288"/>
    </row>
    <row r="994">
      <c r="H994" s="287"/>
      <c r="I994" s="288"/>
      <c r="J994" s="288"/>
    </row>
    <row r="995">
      <c r="H995" s="287"/>
      <c r="I995" s="288"/>
      <c r="J995" s="288"/>
    </row>
    <row r="996">
      <c r="H996" s="287"/>
      <c r="I996" s="288"/>
      <c r="J996" s="288"/>
    </row>
    <row r="997">
      <c r="H997" s="287"/>
      <c r="I997" s="288"/>
      <c r="J997" s="288"/>
    </row>
    <row r="998">
      <c r="H998" s="287"/>
      <c r="I998" s="288"/>
      <c r="J998" s="288"/>
    </row>
    <row r="999">
      <c r="H999" s="287"/>
      <c r="I999" s="288"/>
      <c r="J999" s="288"/>
    </row>
    <row r="1000">
      <c r="H1000" s="287"/>
      <c r="I1000" s="288"/>
      <c r="J1000" s="288"/>
    </row>
    <row r="1001">
      <c r="H1001" s="287"/>
      <c r="I1001" s="288"/>
      <c r="J1001" s="288"/>
    </row>
  </sheetData>
  <autoFilter ref="$D$2:$F$58">
    <sortState ref="D2:F58">
      <sortCondition ref="F2:F58"/>
    </sortState>
  </autoFilter>
  <mergeCells count="6">
    <mergeCell ref="H2:H5"/>
    <mergeCell ref="H6:H9"/>
    <mergeCell ref="H10:H14"/>
    <mergeCell ref="H15:H17"/>
    <mergeCell ref="H18:H22"/>
    <mergeCell ref="H23:H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0"/>
  </cols>
  <sheetData>
    <row r="1">
      <c r="B1" s="276"/>
    </row>
    <row r="2">
      <c r="B2" s="276"/>
    </row>
    <row r="3">
      <c r="B3" s="276"/>
    </row>
    <row r="4">
      <c r="B4" s="276"/>
    </row>
    <row r="5">
      <c r="B5" s="276"/>
    </row>
    <row r="6">
      <c r="B6" s="276"/>
    </row>
    <row r="7">
      <c r="B7" s="276"/>
    </row>
    <row r="8">
      <c r="B8" s="276"/>
    </row>
    <row r="9">
      <c r="B9" s="276"/>
    </row>
    <row r="10">
      <c r="B10" s="276"/>
    </row>
    <row r="11">
      <c r="B11" s="276"/>
    </row>
    <row r="12">
      <c r="B12" s="276"/>
    </row>
    <row r="13">
      <c r="B13" s="276"/>
    </row>
    <row r="14">
      <c r="B14" s="276"/>
    </row>
    <row r="15">
      <c r="B15" s="276"/>
    </row>
    <row r="16">
      <c r="B16" s="276"/>
    </row>
    <row r="17">
      <c r="B17" s="276"/>
    </row>
    <row r="18">
      <c r="B18" s="276"/>
    </row>
    <row r="19">
      <c r="B19" s="276"/>
    </row>
    <row r="20">
      <c r="B20" s="276"/>
    </row>
    <row r="21">
      <c r="B21" s="276"/>
    </row>
    <row r="22">
      <c r="B22" s="276"/>
    </row>
    <row r="23">
      <c r="B23" s="276"/>
    </row>
    <row r="24">
      <c r="B24" s="276"/>
    </row>
    <row r="25">
      <c r="B25" s="276"/>
    </row>
    <row r="26">
      <c r="B26" s="276"/>
    </row>
    <row r="27">
      <c r="B27" s="276"/>
    </row>
    <row r="28">
      <c r="B28" s="276"/>
    </row>
    <row r="29">
      <c r="B29" s="276"/>
    </row>
    <row r="30">
      <c r="B30" s="276"/>
    </row>
    <row r="31">
      <c r="B31" s="276"/>
    </row>
    <row r="32">
      <c r="B32" s="276"/>
    </row>
    <row r="33">
      <c r="B33" s="276"/>
    </row>
    <row r="34">
      <c r="B34" s="276"/>
    </row>
    <row r="35">
      <c r="B35" s="276"/>
    </row>
    <row r="36">
      <c r="B36" s="276"/>
    </row>
    <row r="37">
      <c r="B37" s="276"/>
    </row>
    <row r="38">
      <c r="B38" s="276"/>
    </row>
    <row r="39">
      <c r="B39" s="276"/>
    </row>
    <row r="40">
      <c r="B40" s="276"/>
    </row>
    <row r="41">
      <c r="B41" s="276"/>
    </row>
    <row r="42">
      <c r="B42" s="276"/>
    </row>
    <row r="43">
      <c r="B43" s="276"/>
    </row>
    <row r="44">
      <c r="B44" s="276"/>
    </row>
    <row r="45">
      <c r="B45" s="276"/>
    </row>
    <row r="46">
      <c r="B46" s="276"/>
    </row>
    <row r="47">
      <c r="B47" s="276"/>
    </row>
    <row r="48">
      <c r="B48" s="276"/>
    </row>
    <row r="49">
      <c r="B49" s="276"/>
    </row>
    <row r="50">
      <c r="B50" s="276"/>
    </row>
    <row r="51">
      <c r="B51" s="276"/>
    </row>
    <row r="52">
      <c r="B52" s="276"/>
    </row>
    <row r="53">
      <c r="B53" s="276"/>
    </row>
    <row r="54">
      <c r="B54" s="276"/>
    </row>
    <row r="55">
      <c r="B55" s="276"/>
    </row>
    <row r="56">
      <c r="B56" s="276"/>
    </row>
    <row r="57">
      <c r="B57" s="276"/>
    </row>
    <row r="58">
      <c r="B58" s="276"/>
    </row>
    <row r="59">
      <c r="B59" s="276"/>
    </row>
    <row r="60">
      <c r="B60" s="276"/>
    </row>
    <row r="61">
      <c r="B61" s="276"/>
    </row>
    <row r="62">
      <c r="B62" s="276"/>
    </row>
    <row r="63">
      <c r="B63" s="276"/>
    </row>
    <row r="64">
      <c r="B64" s="276"/>
    </row>
    <row r="65">
      <c r="B65" s="276"/>
    </row>
    <row r="66">
      <c r="B66" s="276"/>
    </row>
    <row r="67">
      <c r="B67" s="276"/>
    </row>
    <row r="68">
      <c r="B68" s="276"/>
    </row>
    <row r="69">
      <c r="B69" s="276"/>
    </row>
    <row r="70">
      <c r="B70" s="276"/>
    </row>
    <row r="71">
      <c r="B71" s="276"/>
    </row>
    <row r="72">
      <c r="B72" s="276"/>
    </row>
    <row r="73">
      <c r="B73" s="276"/>
    </row>
    <row r="74">
      <c r="B74" s="276"/>
    </row>
    <row r="75">
      <c r="B75" s="276"/>
    </row>
    <row r="76">
      <c r="B76" s="276"/>
    </row>
    <row r="77">
      <c r="B77" s="276"/>
    </row>
    <row r="78">
      <c r="B78" s="276"/>
    </row>
    <row r="79">
      <c r="B79" s="276"/>
    </row>
    <row r="80">
      <c r="B80" s="276"/>
    </row>
    <row r="81">
      <c r="B81" s="276"/>
    </row>
    <row r="82">
      <c r="B82" s="276"/>
    </row>
    <row r="83">
      <c r="B83" s="276"/>
    </row>
    <row r="84">
      <c r="B84" s="276"/>
    </row>
    <row r="85">
      <c r="B85" s="276"/>
    </row>
    <row r="86">
      <c r="B86" s="276"/>
    </row>
    <row r="87">
      <c r="B87" s="276"/>
    </row>
    <row r="88">
      <c r="B88" s="276"/>
    </row>
    <row r="89">
      <c r="B89" s="276"/>
    </row>
    <row r="90">
      <c r="B90" s="276"/>
    </row>
    <row r="91">
      <c r="B91" s="276"/>
    </row>
    <row r="92">
      <c r="B92" s="276"/>
    </row>
    <row r="93">
      <c r="B93" s="276"/>
    </row>
    <row r="94">
      <c r="B94" s="276"/>
    </row>
    <row r="95">
      <c r="B95" s="276"/>
    </row>
    <row r="96">
      <c r="B96" s="276"/>
    </row>
    <row r="97">
      <c r="B97" s="276"/>
    </row>
    <row r="98">
      <c r="B98" s="276"/>
    </row>
    <row r="99">
      <c r="B99" s="276"/>
    </row>
    <row r="100">
      <c r="B100" s="276"/>
    </row>
    <row r="101">
      <c r="B101" s="276"/>
    </row>
    <row r="102">
      <c r="B102" s="276"/>
    </row>
    <row r="103">
      <c r="B103" s="276"/>
    </row>
    <row r="104">
      <c r="B104" s="276"/>
    </row>
    <row r="105">
      <c r="B105" s="276"/>
    </row>
    <row r="106">
      <c r="B106" s="276"/>
    </row>
    <row r="107">
      <c r="B107" s="276"/>
    </row>
    <row r="108">
      <c r="B108" s="276"/>
    </row>
    <row r="109">
      <c r="B109" s="276"/>
    </row>
    <row r="110">
      <c r="B110" s="276"/>
    </row>
    <row r="111">
      <c r="B111" s="276"/>
    </row>
    <row r="112">
      <c r="B112" s="276"/>
    </row>
    <row r="113">
      <c r="B113" s="276"/>
    </row>
    <row r="114">
      <c r="B114" s="276"/>
    </row>
    <row r="115">
      <c r="B115" s="276"/>
    </row>
    <row r="116">
      <c r="B116" s="276"/>
    </row>
    <row r="117">
      <c r="B117" s="276"/>
    </row>
    <row r="118">
      <c r="B118" s="276"/>
    </row>
    <row r="119">
      <c r="B119" s="276"/>
    </row>
    <row r="120">
      <c r="B120" s="276"/>
    </row>
    <row r="121">
      <c r="B121" s="276"/>
    </row>
    <row r="122">
      <c r="B122" s="276"/>
    </row>
    <row r="123">
      <c r="B123" s="276"/>
    </row>
    <row r="124">
      <c r="B124" s="276"/>
    </row>
    <row r="125">
      <c r="B125" s="276"/>
    </row>
    <row r="126">
      <c r="B126" s="276"/>
    </row>
    <row r="127">
      <c r="B127" s="276"/>
    </row>
    <row r="128">
      <c r="B128" s="276"/>
    </row>
    <row r="129">
      <c r="B129" s="276"/>
    </row>
    <row r="130">
      <c r="B130" s="276"/>
    </row>
    <row r="131">
      <c r="B131" s="276"/>
    </row>
    <row r="132">
      <c r="B132" s="276"/>
    </row>
    <row r="133">
      <c r="B133" s="276"/>
    </row>
    <row r="134">
      <c r="B134" s="276"/>
    </row>
    <row r="135">
      <c r="B135" s="276"/>
    </row>
    <row r="136">
      <c r="B136" s="276"/>
    </row>
    <row r="137">
      <c r="B137" s="276"/>
    </row>
    <row r="138">
      <c r="B138" s="276"/>
    </row>
    <row r="139">
      <c r="B139" s="276"/>
    </row>
    <row r="140">
      <c r="B140" s="276"/>
    </row>
    <row r="141">
      <c r="B141" s="276"/>
    </row>
    <row r="142">
      <c r="B142" s="276"/>
    </row>
    <row r="143">
      <c r="B143" s="276"/>
    </row>
    <row r="144">
      <c r="B144" s="276"/>
    </row>
    <row r="145">
      <c r="B145" s="276"/>
    </row>
    <row r="146">
      <c r="B146" s="276"/>
    </row>
    <row r="147">
      <c r="B147" s="276"/>
    </row>
    <row r="148">
      <c r="B148" s="276"/>
    </row>
    <row r="149">
      <c r="B149" s="276"/>
    </row>
    <row r="150">
      <c r="B150" s="276"/>
    </row>
    <row r="151">
      <c r="B151" s="276"/>
    </row>
    <row r="152">
      <c r="B152" s="276"/>
    </row>
    <row r="153">
      <c r="B153" s="276"/>
    </row>
    <row r="154">
      <c r="B154" s="276"/>
    </row>
    <row r="155">
      <c r="B155" s="276"/>
    </row>
    <row r="156">
      <c r="B156" s="276"/>
    </row>
    <row r="157">
      <c r="B157" s="276"/>
    </row>
    <row r="158">
      <c r="B158" s="276"/>
    </row>
    <row r="159">
      <c r="B159" s="276"/>
    </row>
    <row r="160">
      <c r="B160" s="276"/>
    </row>
    <row r="161">
      <c r="B161" s="276"/>
    </row>
    <row r="162">
      <c r="B162" s="276"/>
    </row>
    <row r="163">
      <c r="B163" s="276"/>
    </row>
    <row r="164">
      <c r="B164" s="276"/>
    </row>
    <row r="165">
      <c r="B165" s="276"/>
    </row>
    <row r="166">
      <c r="B166" s="276"/>
    </row>
    <row r="167">
      <c r="B167" s="276"/>
    </row>
    <row r="168">
      <c r="B168" s="276"/>
    </row>
    <row r="169">
      <c r="B169" s="276"/>
    </row>
    <row r="170">
      <c r="B170" s="276"/>
    </row>
    <row r="171">
      <c r="B171" s="276"/>
    </row>
    <row r="172">
      <c r="B172" s="276"/>
    </row>
    <row r="173">
      <c r="B173" s="276"/>
    </row>
    <row r="174">
      <c r="B174" s="276"/>
    </row>
    <row r="175">
      <c r="B175" s="276"/>
    </row>
    <row r="176">
      <c r="B176" s="276"/>
    </row>
    <row r="177">
      <c r="B177" s="276"/>
    </row>
    <row r="178">
      <c r="B178" s="276"/>
    </row>
    <row r="179">
      <c r="B179" s="276"/>
    </row>
    <row r="180">
      <c r="B180" s="276"/>
    </row>
    <row r="181">
      <c r="B181" s="276"/>
    </row>
    <row r="182">
      <c r="B182" s="276"/>
    </row>
    <row r="183">
      <c r="B183" s="276"/>
    </row>
    <row r="184">
      <c r="B184" s="276"/>
    </row>
    <row r="185">
      <c r="B185" s="276"/>
    </row>
    <row r="186">
      <c r="B186" s="276"/>
    </row>
    <row r="187">
      <c r="B187" s="276"/>
    </row>
    <row r="188">
      <c r="B188" s="276"/>
    </row>
    <row r="189">
      <c r="B189" s="276"/>
    </row>
    <row r="190">
      <c r="B190" s="276"/>
    </row>
    <row r="191">
      <c r="B191" s="276"/>
    </row>
    <row r="192">
      <c r="B192" s="276"/>
    </row>
    <row r="193">
      <c r="B193" s="276"/>
    </row>
    <row r="194">
      <c r="B194" s="276"/>
    </row>
    <row r="195">
      <c r="B195" s="276"/>
    </row>
    <row r="196">
      <c r="B196" s="276"/>
    </row>
    <row r="197">
      <c r="B197" s="276"/>
    </row>
    <row r="198">
      <c r="B198" s="276"/>
    </row>
    <row r="199">
      <c r="B199" s="276"/>
    </row>
    <row r="200">
      <c r="B200" s="276"/>
    </row>
    <row r="201">
      <c r="B201" s="276"/>
    </row>
    <row r="202">
      <c r="B202" s="276"/>
    </row>
    <row r="203">
      <c r="B203" s="276"/>
    </row>
    <row r="204">
      <c r="B204" s="276"/>
    </row>
    <row r="205">
      <c r="B205" s="276"/>
    </row>
    <row r="206">
      <c r="B206" s="276"/>
    </row>
    <row r="207">
      <c r="B207" s="276"/>
    </row>
    <row r="208">
      <c r="B208" s="276"/>
    </row>
    <row r="209">
      <c r="B209" s="276"/>
    </row>
    <row r="210">
      <c r="B210" s="276"/>
    </row>
    <row r="211">
      <c r="B211" s="276"/>
    </row>
    <row r="212">
      <c r="B212" s="276"/>
    </row>
    <row r="213">
      <c r="B213" s="276"/>
    </row>
    <row r="214">
      <c r="B214" s="276"/>
    </row>
    <row r="215">
      <c r="B215" s="276"/>
    </row>
    <row r="216">
      <c r="B216" s="276"/>
    </row>
    <row r="217">
      <c r="B217" s="276"/>
    </row>
    <row r="218">
      <c r="B218" s="276"/>
    </row>
    <row r="219">
      <c r="B219" s="276"/>
    </row>
    <row r="220">
      <c r="B220" s="276"/>
    </row>
    <row r="221">
      <c r="B221" s="276"/>
    </row>
    <row r="222">
      <c r="B222" s="276"/>
    </row>
    <row r="223">
      <c r="B223" s="276"/>
    </row>
    <row r="224">
      <c r="B224" s="276"/>
    </row>
    <row r="225">
      <c r="B225" s="276"/>
    </row>
    <row r="226">
      <c r="B226" s="276"/>
    </row>
    <row r="227">
      <c r="B227" s="276"/>
    </row>
    <row r="228">
      <c r="B228" s="276"/>
    </row>
    <row r="229">
      <c r="B229" s="276"/>
    </row>
    <row r="230">
      <c r="B230" s="276"/>
    </row>
    <row r="231">
      <c r="B231" s="276"/>
    </row>
    <row r="232">
      <c r="B232" s="276"/>
    </row>
    <row r="233">
      <c r="B233" s="276"/>
    </row>
    <row r="234">
      <c r="B234" s="276"/>
    </row>
    <row r="235">
      <c r="B235" s="276"/>
    </row>
    <row r="236">
      <c r="B236" s="276"/>
    </row>
    <row r="237">
      <c r="B237" s="276"/>
    </row>
    <row r="238">
      <c r="B238" s="276"/>
    </row>
    <row r="239">
      <c r="B239" s="276"/>
    </row>
    <row r="240">
      <c r="B240" s="276"/>
    </row>
    <row r="241">
      <c r="B241" s="276"/>
    </row>
    <row r="242">
      <c r="B242" s="276"/>
    </row>
    <row r="243">
      <c r="B243" s="276"/>
    </row>
    <row r="244">
      <c r="B244" s="276"/>
    </row>
    <row r="245">
      <c r="B245" s="276"/>
    </row>
    <row r="246">
      <c r="B246" s="276"/>
    </row>
    <row r="247">
      <c r="B247" s="276"/>
    </row>
    <row r="248">
      <c r="B248" s="276"/>
    </row>
    <row r="249">
      <c r="B249" s="276"/>
    </row>
    <row r="250">
      <c r="B250" s="276"/>
    </row>
    <row r="251">
      <c r="B251" s="276"/>
    </row>
    <row r="252">
      <c r="B252" s="276"/>
    </row>
    <row r="253">
      <c r="B253" s="276"/>
    </row>
    <row r="254">
      <c r="B254" s="276"/>
    </row>
    <row r="255">
      <c r="B255" s="276"/>
    </row>
    <row r="256">
      <c r="B256" s="276"/>
    </row>
    <row r="257">
      <c r="B257" s="276"/>
    </row>
    <row r="258">
      <c r="B258" s="276"/>
    </row>
    <row r="259">
      <c r="B259" s="276"/>
    </row>
    <row r="260">
      <c r="B260" s="276"/>
    </row>
    <row r="261">
      <c r="B261" s="276"/>
    </row>
    <row r="262">
      <c r="B262" s="276"/>
    </row>
    <row r="263">
      <c r="B263" s="276"/>
    </row>
    <row r="264">
      <c r="B264" s="276"/>
    </row>
    <row r="265">
      <c r="B265" s="276"/>
    </row>
    <row r="266">
      <c r="B266" s="276"/>
    </row>
    <row r="267">
      <c r="B267" s="276"/>
    </row>
    <row r="268">
      <c r="B268" s="276"/>
    </row>
    <row r="269">
      <c r="B269" s="276"/>
    </row>
    <row r="270">
      <c r="B270" s="276"/>
    </row>
    <row r="271">
      <c r="B271" s="276"/>
    </row>
    <row r="272">
      <c r="B272" s="276"/>
    </row>
    <row r="273">
      <c r="B273" s="276"/>
    </row>
    <row r="274">
      <c r="B274" s="276"/>
    </row>
    <row r="275">
      <c r="B275" s="276"/>
    </row>
    <row r="276">
      <c r="B276" s="276"/>
    </row>
    <row r="277">
      <c r="B277" s="276"/>
    </row>
    <row r="278">
      <c r="B278" s="276"/>
    </row>
    <row r="279">
      <c r="B279" s="276"/>
    </row>
    <row r="280">
      <c r="B280" s="276"/>
    </row>
    <row r="281">
      <c r="B281" s="276"/>
    </row>
    <row r="282">
      <c r="B282" s="276"/>
    </row>
    <row r="283">
      <c r="B283" s="276"/>
    </row>
    <row r="284">
      <c r="B284" s="276"/>
    </row>
    <row r="285">
      <c r="B285" s="276"/>
    </row>
    <row r="286">
      <c r="B286" s="276"/>
    </row>
    <row r="287">
      <c r="B287" s="276"/>
    </row>
    <row r="288">
      <c r="B288" s="276"/>
    </row>
    <row r="289">
      <c r="B289" s="276"/>
    </row>
    <row r="290">
      <c r="B290" s="276"/>
    </row>
    <row r="291">
      <c r="B291" s="276"/>
    </row>
    <row r="292">
      <c r="B292" s="276"/>
    </row>
    <row r="293">
      <c r="B293" s="276"/>
    </row>
    <row r="294">
      <c r="B294" s="276"/>
    </row>
    <row r="295">
      <c r="B295" s="276"/>
    </row>
    <row r="296">
      <c r="B296" s="276"/>
    </row>
    <row r="297">
      <c r="B297" s="276"/>
    </row>
    <row r="298">
      <c r="B298" s="276"/>
    </row>
    <row r="299">
      <c r="B299" s="276"/>
    </row>
    <row r="300">
      <c r="B300" s="276"/>
    </row>
    <row r="301">
      <c r="B301" s="276"/>
    </row>
    <row r="302">
      <c r="B302" s="276"/>
    </row>
    <row r="303">
      <c r="B303" s="276"/>
    </row>
    <row r="304">
      <c r="B304" s="276"/>
    </row>
    <row r="305">
      <c r="B305" s="276"/>
    </row>
    <row r="306">
      <c r="B306" s="276"/>
    </row>
    <row r="307">
      <c r="B307" s="276"/>
    </row>
    <row r="308">
      <c r="B308" s="276"/>
    </row>
    <row r="309">
      <c r="B309" s="276"/>
    </row>
    <row r="310">
      <c r="B310" s="276"/>
    </row>
    <row r="311">
      <c r="B311" s="276"/>
    </row>
    <row r="312">
      <c r="B312" s="276"/>
    </row>
    <row r="313">
      <c r="B313" s="276"/>
    </row>
    <row r="314">
      <c r="B314" s="276"/>
    </row>
    <row r="315">
      <c r="B315" s="276"/>
    </row>
    <row r="316">
      <c r="B316" s="276"/>
    </row>
    <row r="317">
      <c r="B317" s="276"/>
    </row>
    <row r="318">
      <c r="B318" s="276"/>
    </row>
    <row r="319">
      <c r="B319" s="276"/>
    </row>
    <row r="320">
      <c r="B320" s="276"/>
    </row>
    <row r="321">
      <c r="B321" s="276"/>
    </row>
    <row r="322">
      <c r="B322" s="276"/>
    </row>
    <row r="323">
      <c r="B323" s="276"/>
    </row>
    <row r="324">
      <c r="B324" s="276"/>
    </row>
    <row r="325">
      <c r="B325" s="276"/>
    </row>
    <row r="326">
      <c r="B326" s="276"/>
    </row>
    <row r="327">
      <c r="B327" s="276"/>
    </row>
    <row r="328">
      <c r="B328" s="276"/>
    </row>
    <row r="329">
      <c r="B329" s="276"/>
    </row>
    <row r="330">
      <c r="B330" s="276"/>
    </row>
    <row r="331">
      <c r="B331" s="276"/>
    </row>
    <row r="332">
      <c r="B332" s="276"/>
    </row>
    <row r="333">
      <c r="B333" s="276"/>
    </row>
    <row r="334">
      <c r="B334" s="276"/>
    </row>
    <row r="335">
      <c r="B335" s="276"/>
    </row>
    <row r="336">
      <c r="B336" s="276"/>
    </row>
    <row r="337">
      <c r="B337" s="276"/>
    </row>
    <row r="338">
      <c r="B338" s="276"/>
    </row>
    <row r="339">
      <c r="B339" s="276"/>
    </row>
    <row r="340">
      <c r="B340" s="276"/>
    </row>
    <row r="341">
      <c r="B341" s="276"/>
    </row>
    <row r="342">
      <c r="B342" s="276"/>
    </row>
    <row r="343">
      <c r="B343" s="276"/>
    </row>
    <row r="344">
      <c r="B344" s="276"/>
    </row>
    <row r="345">
      <c r="B345" s="276"/>
    </row>
    <row r="346">
      <c r="B346" s="276"/>
    </row>
    <row r="347">
      <c r="B347" s="276"/>
    </row>
    <row r="348">
      <c r="B348" s="276"/>
    </row>
    <row r="349">
      <c r="B349" s="276"/>
    </row>
    <row r="350">
      <c r="B350" s="276"/>
    </row>
    <row r="351">
      <c r="B351" s="276"/>
    </row>
    <row r="352">
      <c r="B352" s="276"/>
    </row>
    <row r="353">
      <c r="B353" s="276"/>
    </row>
    <row r="354">
      <c r="B354" s="276"/>
    </row>
    <row r="355">
      <c r="B355" s="276"/>
    </row>
    <row r="356">
      <c r="B356" s="276"/>
    </row>
    <row r="357">
      <c r="B357" s="276"/>
    </row>
    <row r="358">
      <c r="B358" s="276"/>
    </row>
    <row r="359">
      <c r="B359" s="276"/>
    </row>
    <row r="360">
      <c r="B360" s="276"/>
    </row>
    <row r="361">
      <c r="B361" s="276"/>
    </row>
    <row r="362">
      <c r="B362" s="276"/>
    </row>
    <row r="363">
      <c r="B363" s="276"/>
    </row>
    <row r="364">
      <c r="B364" s="276"/>
    </row>
    <row r="365">
      <c r="B365" s="276"/>
    </row>
    <row r="366">
      <c r="B366" s="276"/>
    </row>
    <row r="367">
      <c r="B367" s="276"/>
    </row>
    <row r="368">
      <c r="B368" s="276"/>
    </row>
    <row r="369">
      <c r="B369" s="276"/>
    </row>
    <row r="370">
      <c r="B370" s="276"/>
    </row>
    <row r="371">
      <c r="B371" s="276"/>
    </row>
    <row r="372">
      <c r="B372" s="276"/>
    </row>
    <row r="373">
      <c r="B373" s="276"/>
    </row>
    <row r="374">
      <c r="B374" s="276"/>
    </row>
    <row r="375">
      <c r="B375" s="276"/>
    </row>
    <row r="376">
      <c r="B376" s="276"/>
    </row>
    <row r="377">
      <c r="B377" s="276"/>
    </row>
    <row r="378">
      <c r="B378" s="276"/>
    </row>
    <row r="379">
      <c r="B379" s="276"/>
    </row>
    <row r="380">
      <c r="B380" s="276"/>
    </row>
    <row r="381">
      <c r="B381" s="276"/>
    </row>
    <row r="382">
      <c r="B382" s="276"/>
    </row>
    <row r="383">
      <c r="B383" s="276"/>
    </row>
    <row r="384">
      <c r="B384" s="276"/>
    </row>
    <row r="385">
      <c r="B385" s="276"/>
    </row>
    <row r="386">
      <c r="B386" s="276"/>
    </row>
    <row r="387">
      <c r="B387" s="276"/>
    </row>
    <row r="388">
      <c r="B388" s="276"/>
    </row>
    <row r="389">
      <c r="B389" s="276"/>
    </row>
    <row r="390">
      <c r="B390" s="276"/>
    </row>
    <row r="391">
      <c r="B391" s="276"/>
    </row>
    <row r="392">
      <c r="B392" s="276"/>
    </row>
    <row r="393">
      <c r="B393" s="276"/>
    </row>
    <row r="394">
      <c r="B394" s="276"/>
    </row>
    <row r="395">
      <c r="B395" s="276"/>
    </row>
    <row r="396">
      <c r="B396" s="276"/>
    </row>
    <row r="397">
      <c r="B397" s="276"/>
    </row>
    <row r="398">
      <c r="B398" s="276"/>
    </row>
    <row r="399">
      <c r="B399" s="276"/>
    </row>
    <row r="400">
      <c r="B400" s="276"/>
    </row>
    <row r="401">
      <c r="B401" s="276"/>
    </row>
    <row r="402">
      <c r="B402" s="276"/>
    </row>
    <row r="403">
      <c r="B403" s="276" t="s">
        <v>7862</v>
      </c>
    </row>
    <row r="404">
      <c r="A404" s="276" t="s">
        <v>7843</v>
      </c>
      <c r="B404" s="276">
        <v>548.0</v>
      </c>
    </row>
    <row r="405">
      <c r="A405" s="276" t="s">
        <v>68</v>
      </c>
      <c r="B405" s="276">
        <v>34.0</v>
      </c>
    </row>
    <row r="406">
      <c r="A406" s="276" t="s">
        <v>2466</v>
      </c>
      <c r="B406" s="276">
        <v>14.0</v>
      </c>
    </row>
    <row r="407">
      <c r="A407" s="276" t="s">
        <v>7863</v>
      </c>
      <c r="B407" s="276">
        <v>9.0</v>
      </c>
    </row>
    <row r="408">
      <c r="A408" s="276" t="s">
        <v>3360</v>
      </c>
      <c r="B408" s="276">
        <v>7.0</v>
      </c>
    </row>
    <row r="409">
      <c r="A409" s="276" t="s">
        <v>2694</v>
      </c>
      <c r="B409" s="276">
        <v>6.0</v>
      </c>
    </row>
    <row r="410">
      <c r="A410" s="276" t="s">
        <v>573</v>
      </c>
      <c r="B410" s="276">
        <v>5.0</v>
      </c>
    </row>
    <row r="411">
      <c r="A411" s="276" t="s">
        <v>7864</v>
      </c>
      <c r="B411" s="276">
        <v>5.0</v>
      </c>
    </row>
    <row r="412">
      <c r="A412" s="276" t="s">
        <v>2672</v>
      </c>
      <c r="B412" s="276">
        <v>5.0</v>
      </c>
    </row>
    <row r="413">
      <c r="A413" s="276" t="s">
        <v>2711</v>
      </c>
      <c r="B413" s="276">
        <v>5.0</v>
      </c>
    </row>
    <row r="414">
      <c r="A414" s="276" t="s">
        <v>2799</v>
      </c>
      <c r="B414" s="276">
        <v>5.0</v>
      </c>
    </row>
    <row r="415">
      <c r="A415" s="276" t="s">
        <v>2195</v>
      </c>
      <c r="B415" s="276">
        <v>5.0</v>
      </c>
    </row>
    <row r="416">
      <c r="A416" s="276" t="s">
        <v>2497</v>
      </c>
      <c r="B416" s="276">
        <v>4.0</v>
      </c>
    </row>
    <row r="417">
      <c r="A417" s="276" t="s">
        <v>818</v>
      </c>
      <c r="B417" s="276">
        <v>4.0</v>
      </c>
    </row>
    <row r="418">
      <c r="A418" s="276" t="s">
        <v>508</v>
      </c>
      <c r="B418" s="276">
        <v>4.0</v>
      </c>
    </row>
    <row r="419">
      <c r="A419" s="276" t="s">
        <v>7865</v>
      </c>
      <c r="B419" s="276">
        <v>4.0</v>
      </c>
    </row>
    <row r="420">
      <c r="A420" s="276" t="s">
        <v>7866</v>
      </c>
      <c r="B420" s="276">
        <v>4.0</v>
      </c>
    </row>
    <row r="421">
      <c r="A421" s="276" t="s">
        <v>2612</v>
      </c>
      <c r="B421" s="276">
        <v>4.0</v>
      </c>
    </row>
    <row r="422">
      <c r="A422" s="276" t="s">
        <v>3205</v>
      </c>
      <c r="B422" s="276">
        <v>3.0</v>
      </c>
    </row>
    <row r="423">
      <c r="A423" s="276" t="s">
        <v>2539</v>
      </c>
      <c r="B423" s="276">
        <v>3.0</v>
      </c>
    </row>
    <row r="424">
      <c r="A424" s="276" t="s">
        <v>3059</v>
      </c>
      <c r="B424" s="276">
        <v>3.0</v>
      </c>
    </row>
    <row r="425">
      <c r="A425" s="276" t="s">
        <v>2794</v>
      </c>
      <c r="B425" s="276">
        <v>3.0</v>
      </c>
    </row>
    <row r="426">
      <c r="A426" s="276" t="s">
        <v>7867</v>
      </c>
      <c r="B426" s="276">
        <v>3.0</v>
      </c>
    </row>
    <row r="427">
      <c r="A427" s="276" t="s">
        <v>7868</v>
      </c>
      <c r="B427" s="276">
        <v>3.0</v>
      </c>
    </row>
    <row r="428">
      <c r="A428" s="276" t="s">
        <v>2851</v>
      </c>
      <c r="B428" s="276">
        <v>3.0</v>
      </c>
    </row>
    <row r="429">
      <c r="A429" s="276" t="s">
        <v>3048</v>
      </c>
      <c r="B429" s="276">
        <v>3.0</v>
      </c>
    </row>
    <row r="430">
      <c r="A430" s="276" t="s">
        <v>3344</v>
      </c>
      <c r="B430" s="276">
        <v>3.0</v>
      </c>
    </row>
    <row r="431">
      <c r="A431" s="276" t="s">
        <v>2315</v>
      </c>
      <c r="B431" s="276">
        <v>3.0</v>
      </c>
    </row>
    <row r="432">
      <c r="A432" s="276" t="s">
        <v>3540</v>
      </c>
      <c r="B432" s="276">
        <v>2.0</v>
      </c>
    </row>
    <row r="433">
      <c r="A433" s="276" t="s">
        <v>97</v>
      </c>
      <c r="B433" s="276">
        <v>2.0</v>
      </c>
    </row>
    <row r="434">
      <c r="A434" s="276" t="s">
        <v>1993</v>
      </c>
      <c r="B434" s="276">
        <v>2.0</v>
      </c>
    </row>
    <row r="435">
      <c r="A435" s="276" t="s">
        <v>2045</v>
      </c>
      <c r="B435" s="276">
        <v>2.0</v>
      </c>
    </row>
    <row r="436">
      <c r="A436" s="276" t="s">
        <v>2868</v>
      </c>
      <c r="B436" s="276">
        <v>2.0</v>
      </c>
    </row>
    <row r="437">
      <c r="A437" s="276" t="s">
        <v>1018</v>
      </c>
      <c r="B437" s="276">
        <v>2.0</v>
      </c>
    </row>
    <row r="438">
      <c r="A438" s="276" t="s">
        <v>3195</v>
      </c>
      <c r="B438" s="276">
        <v>2.0</v>
      </c>
    </row>
    <row r="439">
      <c r="A439" s="276" t="s">
        <v>7869</v>
      </c>
      <c r="B439" s="276">
        <v>2.0</v>
      </c>
    </row>
    <row r="440">
      <c r="A440" s="276" t="s">
        <v>7870</v>
      </c>
      <c r="B440" s="276">
        <v>2.0</v>
      </c>
    </row>
    <row r="441">
      <c r="A441" s="276" t="s">
        <v>7871</v>
      </c>
      <c r="B441" s="276">
        <v>2.0</v>
      </c>
    </row>
    <row r="442">
      <c r="A442" s="276" t="s">
        <v>3524</v>
      </c>
      <c r="B442" s="276">
        <v>2.0</v>
      </c>
    </row>
    <row r="443">
      <c r="A443" s="276" t="s">
        <v>3134</v>
      </c>
      <c r="B443" s="276">
        <v>2.0</v>
      </c>
    </row>
    <row r="444">
      <c r="A444" s="276" t="s">
        <v>994</v>
      </c>
      <c r="B444" s="276">
        <v>2.0</v>
      </c>
    </row>
    <row r="445">
      <c r="A445" s="276" t="s">
        <v>3595</v>
      </c>
      <c r="B445" s="276">
        <v>2.0</v>
      </c>
    </row>
    <row r="446">
      <c r="A446" s="276" t="s">
        <v>3434</v>
      </c>
      <c r="B446" s="276">
        <v>2.0</v>
      </c>
    </row>
    <row r="447">
      <c r="A447" s="276" t="s">
        <v>1920</v>
      </c>
      <c r="B447" s="276">
        <v>2.0</v>
      </c>
    </row>
    <row r="448">
      <c r="A448" s="276" t="s">
        <v>3463</v>
      </c>
      <c r="B448" s="276">
        <v>2.0</v>
      </c>
    </row>
    <row r="449">
      <c r="A449" s="276" t="s">
        <v>2910</v>
      </c>
      <c r="B449" s="276">
        <v>2.0</v>
      </c>
    </row>
    <row r="450">
      <c r="A450" s="276" t="s">
        <v>1413</v>
      </c>
      <c r="B450" s="276">
        <v>2.0</v>
      </c>
    </row>
    <row r="451">
      <c r="A451" s="276" t="s">
        <v>3305</v>
      </c>
      <c r="B451" s="276">
        <v>2.0</v>
      </c>
    </row>
    <row r="452">
      <c r="A452" s="276" t="s">
        <v>2885</v>
      </c>
      <c r="B452" s="276">
        <v>2.0</v>
      </c>
    </row>
    <row r="453">
      <c r="A453" s="276" t="s">
        <v>3513</v>
      </c>
      <c r="B453" s="276">
        <v>2.0</v>
      </c>
    </row>
    <row r="454">
      <c r="A454" s="276" t="s">
        <v>2364</v>
      </c>
      <c r="B454" s="276">
        <v>2.0</v>
      </c>
    </row>
    <row r="455">
      <c r="A455" s="276" t="s">
        <v>2880</v>
      </c>
      <c r="B455" s="276">
        <v>2.0</v>
      </c>
    </row>
    <row r="456">
      <c r="A456" s="276" t="s">
        <v>2135</v>
      </c>
      <c r="B456" s="276">
        <v>2.0</v>
      </c>
    </row>
    <row r="457">
      <c r="A457" s="276" t="s">
        <v>7872</v>
      </c>
      <c r="B457" s="276">
        <v>1.0</v>
      </c>
    </row>
    <row r="458">
      <c r="A458" s="276" t="s">
        <v>2536</v>
      </c>
      <c r="B458" s="276">
        <v>1.0</v>
      </c>
    </row>
    <row r="459">
      <c r="A459" s="276" t="s">
        <v>860</v>
      </c>
      <c r="B459" s="276">
        <v>1.0</v>
      </c>
    </row>
    <row r="460">
      <c r="A460" s="276" t="s">
        <v>1645</v>
      </c>
      <c r="B460" s="276">
        <v>1.0</v>
      </c>
    </row>
    <row r="461">
      <c r="A461" s="276" t="s">
        <v>684</v>
      </c>
      <c r="B461" s="276">
        <v>1.0</v>
      </c>
    </row>
    <row r="462">
      <c r="A462" s="276" t="s">
        <v>176</v>
      </c>
      <c r="B462" s="276">
        <v>1.0</v>
      </c>
    </row>
    <row r="463">
      <c r="A463" s="276" t="s">
        <v>1237</v>
      </c>
      <c r="B463" s="276">
        <v>1.0</v>
      </c>
    </row>
    <row r="464">
      <c r="A464" s="276" t="s">
        <v>274</v>
      </c>
      <c r="B464" s="276">
        <v>1.0</v>
      </c>
    </row>
    <row r="465">
      <c r="A465" s="276" t="s">
        <v>728</v>
      </c>
      <c r="B465" s="276">
        <v>1.0</v>
      </c>
    </row>
    <row r="466">
      <c r="A466" s="276" t="s">
        <v>554</v>
      </c>
      <c r="B466" s="276">
        <v>1.0</v>
      </c>
    </row>
    <row r="467">
      <c r="A467" s="276" t="s">
        <v>2306</v>
      </c>
      <c r="B467" s="276">
        <v>1.0</v>
      </c>
    </row>
    <row r="468">
      <c r="A468" s="276" t="s">
        <v>2520</v>
      </c>
      <c r="B468" s="276">
        <v>1.0</v>
      </c>
    </row>
    <row r="469">
      <c r="A469" s="276" t="s">
        <v>473</v>
      </c>
      <c r="B469" s="276">
        <v>1.0</v>
      </c>
    </row>
    <row r="470">
      <c r="A470" s="276" t="s">
        <v>430</v>
      </c>
      <c r="B470" s="276">
        <v>1.0</v>
      </c>
    </row>
    <row r="471">
      <c r="A471" s="276" t="s">
        <v>464</v>
      </c>
      <c r="B471" s="276">
        <v>1.0</v>
      </c>
    </row>
    <row r="472">
      <c r="A472" s="276" t="s">
        <v>539</v>
      </c>
      <c r="B472" s="276">
        <v>1.0</v>
      </c>
    </row>
    <row r="473">
      <c r="A473" s="276" t="s">
        <v>74</v>
      </c>
      <c r="B473" s="276">
        <v>1.0</v>
      </c>
    </row>
    <row r="474">
      <c r="A474" s="276" t="s">
        <v>62</v>
      </c>
      <c r="B474" s="276">
        <v>1.0</v>
      </c>
    </row>
    <row r="475">
      <c r="A475" s="276" t="s">
        <v>530</v>
      </c>
      <c r="B475" s="276">
        <v>1.0</v>
      </c>
    </row>
    <row r="476">
      <c r="A476" s="276" t="s">
        <v>169</v>
      </c>
      <c r="B476" s="276">
        <v>1.0</v>
      </c>
    </row>
    <row r="477">
      <c r="A477" s="276" t="s">
        <v>1708</v>
      </c>
      <c r="B477" s="276">
        <v>1.0</v>
      </c>
    </row>
    <row r="478">
      <c r="A478" s="276" t="s">
        <v>595</v>
      </c>
      <c r="B478" s="276">
        <v>1.0</v>
      </c>
    </row>
    <row r="479">
      <c r="A479" s="276" t="s">
        <v>618</v>
      </c>
      <c r="B479" s="276">
        <v>1.0</v>
      </c>
    </row>
    <row r="480">
      <c r="A480" s="276" t="s">
        <v>2966</v>
      </c>
      <c r="B480" s="276">
        <v>1.0</v>
      </c>
    </row>
    <row r="481">
      <c r="A481" s="276" t="s">
        <v>187</v>
      </c>
      <c r="B481" s="276">
        <v>1.0</v>
      </c>
    </row>
    <row r="482">
      <c r="A482" s="276" t="s">
        <v>1196</v>
      </c>
      <c r="B482" s="276">
        <v>1.0</v>
      </c>
    </row>
    <row r="483">
      <c r="A483" s="276" t="s">
        <v>1716</v>
      </c>
      <c r="B483" s="276">
        <v>1.0</v>
      </c>
    </row>
    <row r="484">
      <c r="A484" s="276" t="s">
        <v>1888</v>
      </c>
      <c r="B484" s="276">
        <v>1.0</v>
      </c>
    </row>
    <row r="485">
      <c r="A485" s="276" t="s">
        <v>2300</v>
      </c>
      <c r="B485" s="276">
        <v>1.0</v>
      </c>
    </row>
    <row r="486">
      <c r="A486" s="278" t="s">
        <v>356</v>
      </c>
      <c r="B486" s="276">
        <v>1.0</v>
      </c>
    </row>
    <row r="487">
      <c r="A487" s="276" t="s">
        <v>1354</v>
      </c>
      <c r="B487" s="276">
        <v>1.0</v>
      </c>
    </row>
    <row r="488">
      <c r="A488" s="276" t="s">
        <v>1598</v>
      </c>
      <c r="B488" s="276">
        <v>1.0</v>
      </c>
    </row>
    <row r="489">
      <c r="A489" s="276" t="s">
        <v>3247</v>
      </c>
      <c r="B489" s="276">
        <v>1.0</v>
      </c>
    </row>
    <row r="490">
      <c r="A490" s="276" t="s">
        <v>1774</v>
      </c>
      <c r="B490" s="276">
        <v>1.0</v>
      </c>
    </row>
    <row r="491">
      <c r="A491" s="276" t="s">
        <v>1179</v>
      </c>
      <c r="B491" s="276">
        <v>1.0</v>
      </c>
    </row>
    <row r="492">
      <c r="A492" s="276" t="s">
        <v>1065</v>
      </c>
      <c r="B492" s="276">
        <v>1.0</v>
      </c>
    </row>
    <row r="493">
      <c r="A493" s="276" t="s">
        <v>1620</v>
      </c>
      <c r="B493" s="276">
        <v>1.0</v>
      </c>
    </row>
    <row r="494">
      <c r="A494" s="276" t="s">
        <v>1499</v>
      </c>
      <c r="B494" s="276">
        <v>1.0</v>
      </c>
    </row>
    <row r="495">
      <c r="A495" s="276" t="s">
        <v>419</v>
      </c>
      <c r="B495" s="276">
        <v>1.0</v>
      </c>
    </row>
    <row r="496">
      <c r="A496" s="276" t="s">
        <v>1395</v>
      </c>
      <c r="B496" s="276">
        <v>1.0</v>
      </c>
    </row>
    <row r="497">
      <c r="A497" s="276" t="s">
        <v>1255</v>
      </c>
      <c r="B497" s="276">
        <v>1.0</v>
      </c>
    </row>
    <row r="498">
      <c r="A498" s="276" t="s">
        <v>1784</v>
      </c>
      <c r="B498" s="276">
        <v>1.0</v>
      </c>
    </row>
    <row r="499">
      <c r="A499" s="276" t="s">
        <v>1932</v>
      </c>
      <c r="B499" s="276">
        <v>1.0</v>
      </c>
    </row>
    <row r="500">
      <c r="A500" s="276" t="s">
        <v>3337</v>
      </c>
      <c r="B500" s="276">
        <v>1.0</v>
      </c>
    </row>
    <row r="501">
      <c r="A501" s="276" t="s">
        <v>2326</v>
      </c>
      <c r="B501" s="276">
        <v>1.0</v>
      </c>
    </row>
    <row r="502">
      <c r="A502" s="276" t="s">
        <v>565</v>
      </c>
      <c r="B502" s="276">
        <v>1.0</v>
      </c>
    </row>
    <row r="503">
      <c r="A503" s="276" t="s">
        <v>956</v>
      </c>
      <c r="B503" s="276">
        <v>1.0</v>
      </c>
    </row>
    <row r="504">
      <c r="A504" s="276" t="s">
        <v>1764</v>
      </c>
      <c r="B504" s="276">
        <v>1.0</v>
      </c>
    </row>
    <row r="505">
      <c r="A505" s="276" t="s">
        <v>1522</v>
      </c>
      <c r="B505" s="276">
        <v>1.0</v>
      </c>
    </row>
    <row r="506">
      <c r="A506" s="276" t="s">
        <v>2666</v>
      </c>
      <c r="B506" s="276">
        <v>1.0</v>
      </c>
    </row>
    <row r="507">
      <c r="A507" s="276" t="s">
        <v>2223</v>
      </c>
      <c r="B507" s="276">
        <v>1.0</v>
      </c>
    </row>
    <row r="508">
      <c r="A508" s="276" t="s">
        <v>1134</v>
      </c>
      <c r="B508" s="276">
        <v>1.0</v>
      </c>
    </row>
    <row r="509">
      <c r="A509" s="276" t="s">
        <v>1048</v>
      </c>
      <c r="B509" s="276">
        <v>1.0</v>
      </c>
    </row>
    <row r="510">
      <c r="A510" s="276" t="s">
        <v>1144</v>
      </c>
      <c r="B510" s="276">
        <v>1.0</v>
      </c>
    </row>
    <row r="511">
      <c r="A511" s="276" t="s">
        <v>1188</v>
      </c>
      <c r="B511" s="276">
        <v>1.0</v>
      </c>
    </row>
    <row r="512">
      <c r="A512" s="276" t="s">
        <v>1343</v>
      </c>
      <c r="B512" s="276">
        <v>1.0</v>
      </c>
    </row>
    <row r="513">
      <c r="A513" s="276" t="s">
        <v>1376</v>
      </c>
      <c r="B513" s="276">
        <v>1.0</v>
      </c>
    </row>
    <row r="514">
      <c r="A514" s="276" t="s">
        <v>885</v>
      </c>
      <c r="B514" s="276">
        <v>1.0</v>
      </c>
    </row>
    <row r="515">
      <c r="A515" s="276" t="s">
        <v>3240</v>
      </c>
      <c r="B515" s="276">
        <v>1.0</v>
      </c>
    </row>
    <row r="516">
      <c r="A516" s="276" t="s">
        <v>828</v>
      </c>
      <c r="B516" s="276">
        <v>1.0</v>
      </c>
    </row>
    <row r="517">
      <c r="A517" s="276" t="s">
        <v>2340</v>
      </c>
      <c r="B517" s="276">
        <v>1.0</v>
      </c>
    </row>
    <row r="518">
      <c r="A518" s="276" t="s">
        <v>2436</v>
      </c>
      <c r="B518" s="276">
        <v>1.0</v>
      </c>
    </row>
    <row r="519">
      <c r="A519" s="276" t="s">
        <v>1155</v>
      </c>
      <c r="B519" s="276">
        <v>1.0</v>
      </c>
    </row>
    <row r="520">
      <c r="A520" s="276" t="s">
        <v>3529</v>
      </c>
      <c r="B520" s="276">
        <v>1.0</v>
      </c>
    </row>
    <row r="521">
      <c r="A521" s="276" t="s">
        <v>2604</v>
      </c>
      <c r="B521" s="276">
        <v>1.0</v>
      </c>
    </row>
    <row r="522">
      <c r="A522" s="276" t="s">
        <v>3511</v>
      </c>
      <c r="B522" s="276">
        <v>1.0</v>
      </c>
    </row>
    <row r="523">
      <c r="A523" s="276" t="s">
        <v>3219</v>
      </c>
      <c r="B523" s="276">
        <v>1.0</v>
      </c>
    </row>
    <row r="524">
      <c r="A524" s="276" t="s">
        <v>219</v>
      </c>
      <c r="B524" s="276">
        <v>1.0</v>
      </c>
    </row>
    <row r="525">
      <c r="A525" s="276" t="s">
        <v>2189</v>
      </c>
      <c r="B525" s="276">
        <v>1.0</v>
      </c>
    </row>
    <row r="526">
      <c r="A526" s="276" t="s">
        <v>116</v>
      </c>
      <c r="B526" s="276">
        <v>1.0</v>
      </c>
    </row>
    <row r="527">
      <c r="A527" s="276" t="s">
        <v>3615</v>
      </c>
      <c r="B527" s="276">
        <v>1.0</v>
      </c>
    </row>
    <row r="528">
      <c r="A528" s="276" t="s">
        <v>1913</v>
      </c>
      <c r="B528" s="276">
        <v>1.0</v>
      </c>
    </row>
    <row r="529">
      <c r="A529" s="276" t="s">
        <v>2015</v>
      </c>
      <c r="B529" s="276">
        <v>1.0</v>
      </c>
    </row>
    <row r="530">
      <c r="A530" s="276" t="s">
        <v>2566</v>
      </c>
      <c r="B530" s="276">
        <v>1.0</v>
      </c>
    </row>
    <row r="531">
      <c r="A531" s="276" t="s">
        <v>210</v>
      </c>
      <c r="B531" s="276">
        <v>1.0</v>
      </c>
    </row>
    <row r="532">
      <c r="A532" s="276" t="s">
        <v>1792</v>
      </c>
      <c r="B532" s="276">
        <v>1.0</v>
      </c>
    </row>
    <row r="533">
      <c r="A533" s="276" t="s">
        <v>3290</v>
      </c>
      <c r="B533" s="276">
        <v>1.0</v>
      </c>
    </row>
    <row r="534">
      <c r="A534" s="276" t="s">
        <v>1123</v>
      </c>
      <c r="B534" s="276">
        <v>1.0</v>
      </c>
    </row>
    <row r="535">
      <c r="A535" s="276" t="s">
        <v>1626</v>
      </c>
      <c r="B535" s="276">
        <v>1.0</v>
      </c>
    </row>
    <row r="536">
      <c r="A536" s="276" t="s">
        <v>2958</v>
      </c>
      <c r="B536" s="276">
        <v>1.0</v>
      </c>
    </row>
    <row r="537">
      <c r="A537" s="276" t="s">
        <v>1493</v>
      </c>
      <c r="B537" s="276">
        <v>1.0</v>
      </c>
    </row>
    <row r="538">
      <c r="A538" s="276" t="s">
        <v>7873</v>
      </c>
      <c r="B538" s="276">
        <v>1.0</v>
      </c>
    </row>
    <row r="539">
      <c r="A539" s="276" t="s">
        <v>7874</v>
      </c>
      <c r="B539" s="276">
        <v>1.0</v>
      </c>
    </row>
    <row r="540">
      <c r="A540" s="276" t="s">
        <v>7875</v>
      </c>
      <c r="B540" s="276">
        <v>1.0</v>
      </c>
    </row>
    <row r="541">
      <c r="A541" s="276" t="s">
        <v>7876</v>
      </c>
      <c r="B541" s="276">
        <v>1.0</v>
      </c>
    </row>
    <row r="542">
      <c r="A542" s="276" t="s">
        <v>7877</v>
      </c>
      <c r="B542" s="276">
        <v>1.0</v>
      </c>
    </row>
    <row r="543">
      <c r="A543" s="276" t="s">
        <v>7878</v>
      </c>
      <c r="B543" s="276">
        <v>1.0</v>
      </c>
    </row>
    <row r="544">
      <c r="A544" s="276" t="s">
        <v>3443</v>
      </c>
      <c r="B544" s="276">
        <v>1.0</v>
      </c>
    </row>
    <row r="545">
      <c r="A545" s="276" t="s">
        <v>1997</v>
      </c>
      <c r="B545" s="276">
        <v>1.0</v>
      </c>
    </row>
    <row r="546">
      <c r="A546" s="276" t="s">
        <v>764</v>
      </c>
      <c r="B546" s="276">
        <v>1.0</v>
      </c>
    </row>
    <row r="547">
      <c r="A547" s="276" t="s">
        <v>2999</v>
      </c>
      <c r="B547" s="276">
        <v>1.0</v>
      </c>
    </row>
    <row r="548">
      <c r="A548" s="276" t="s">
        <v>3007</v>
      </c>
      <c r="B548" s="276">
        <v>1.0</v>
      </c>
    </row>
    <row r="549">
      <c r="A549" s="276" t="s">
        <v>1726</v>
      </c>
      <c r="B549" s="276">
        <v>1.0</v>
      </c>
    </row>
    <row r="550">
      <c r="A550" s="276" t="s">
        <v>754</v>
      </c>
      <c r="B550" s="276">
        <v>1.0</v>
      </c>
    </row>
    <row r="551">
      <c r="A551" s="276" t="s">
        <v>7879</v>
      </c>
      <c r="B551" s="276">
        <v>1.0</v>
      </c>
    </row>
    <row r="552">
      <c r="A552" s="276" t="s">
        <v>1520</v>
      </c>
      <c r="B552" s="276">
        <v>1.0</v>
      </c>
    </row>
    <row r="553">
      <c r="A553" s="276" t="s">
        <v>1587</v>
      </c>
      <c r="B553" s="276">
        <v>1.0</v>
      </c>
    </row>
    <row r="554">
      <c r="A554" s="276" t="s">
        <v>1077</v>
      </c>
      <c r="B554" s="276">
        <v>1.0</v>
      </c>
    </row>
    <row r="555">
      <c r="A555" s="276" t="s">
        <v>870</v>
      </c>
      <c r="B555" s="276">
        <v>1.0</v>
      </c>
    </row>
    <row r="556">
      <c r="A556" s="276" t="s">
        <v>3152</v>
      </c>
      <c r="B556" s="276">
        <v>1.0</v>
      </c>
    </row>
    <row r="557">
      <c r="A557" s="276" t="s">
        <v>644</v>
      </c>
      <c r="B557" s="276">
        <v>1.0</v>
      </c>
    </row>
    <row r="558">
      <c r="A558" s="276" t="s">
        <v>446</v>
      </c>
      <c r="B558" s="276">
        <v>1.0</v>
      </c>
    </row>
    <row r="559">
      <c r="A559" s="276" t="s">
        <v>7880</v>
      </c>
      <c r="B559" s="276">
        <v>1.0</v>
      </c>
    </row>
    <row r="560">
      <c r="A560" s="276" t="s">
        <v>3109</v>
      </c>
      <c r="B560" s="276">
        <v>1.0</v>
      </c>
    </row>
    <row r="561">
      <c r="A561" s="276" t="s">
        <v>364</v>
      </c>
      <c r="B561" s="276">
        <v>1.0</v>
      </c>
    </row>
    <row r="562">
      <c r="A562" s="276" t="s">
        <v>376</v>
      </c>
      <c r="B562" s="276">
        <v>1.0</v>
      </c>
    </row>
    <row r="563">
      <c r="A563" s="276" t="s">
        <v>3163</v>
      </c>
      <c r="B563" s="276">
        <v>1.0</v>
      </c>
    </row>
    <row r="564">
      <c r="A564" s="276" t="s">
        <v>7881</v>
      </c>
      <c r="B564" s="276">
        <v>1.0</v>
      </c>
    </row>
    <row r="565">
      <c r="A565" s="276" t="s">
        <v>7882</v>
      </c>
      <c r="B565" s="276">
        <v>1.0</v>
      </c>
    </row>
    <row r="566">
      <c r="A566" s="276" t="s">
        <v>7883</v>
      </c>
      <c r="B566" s="276">
        <v>1.0</v>
      </c>
    </row>
    <row r="567">
      <c r="A567" s="276" t="s">
        <v>1558</v>
      </c>
      <c r="B567" s="276">
        <v>1.0</v>
      </c>
    </row>
    <row r="568">
      <c r="A568" s="276" t="s">
        <v>7884</v>
      </c>
      <c r="B568" s="276">
        <v>1.0</v>
      </c>
    </row>
    <row r="569">
      <c r="A569" s="276" t="s">
        <v>7885</v>
      </c>
      <c r="B569" s="276">
        <v>1.0</v>
      </c>
    </row>
    <row r="570">
      <c r="A570" s="276" t="s">
        <v>7886</v>
      </c>
      <c r="B570" s="276">
        <v>1.0</v>
      </c>
    </row>
    <row r="571">
      <c r="A571" s="276" t="s">
        <v>7887</v>
      </c>
      <c r="B571" s="276">
        <v>1.0</v>
      </c>
    </row>
    <row r="572">
      <c r="A572" s="276" t="s">
        <v>7888</v>
      </c>
      <c r="B572" s="276">
        <v>1.0</v>
      </c>
    </row>
    <row r="573">
      <c r="A573" s="276" t="s">
        <v>1953</v>
      </c>
      <c r="B573" s="276">
        <v>1.0</v>
      </c>
    </row>
    <row r="574">
      <c r="A574" s="276" t="s">
        <v>7889</v>
      </c>
      <c r="B574" s="276">
        <v>1.0</v>
      </c>
    </row>
    <row r="575">
      <c r="A575" s="276" t="s">
        <v>7890</v>
      </c>
      <c r="B575" s="276">
        <v>1.0</v>
      </c>
    </row>
    <row r="576">
      <c r="A576" s="276" t="s">
        <v>7891</v>
      </c>
      <c r="B576" s="276">
        <v>1.0</v>
      </c>
    </row>
    <row r="577">
      <c r="A577" s="276" t="s">
        <v>7892</v>
      </c>
      <c r="B577" s="276">
        <v>1.0</v>
      </c>
    </row>
    <row r="578">
      <c r="A578" s="276" t="s">
        <v>7893</v>
      </c>
      <c r="B578" s="276">
        <v>1.0</v>
      </c>
    </row>
    <row r="579">
      <c r="A579" s="276" t="s">
        <v>321</v>
      </c>
      <c r="B579" s="276">
        <v>1.0</v>
      </c>
    </row>
    <row r="580">
      <c r="A580" s="276" t="s">
        <v>7894</v>
      </c>
      <c r="B580" s="276">
        <v>1.0</v>
      </c>
    </row>
    <row r="581">
      <c r="A581" s="276" t="s">
        <v>7895</v>
      </c>
      <c r="B581" s="276">
        <v>1.0</v>
      </c>
    </row>
    <row r="582">
      <c r="A582" s="276" t="s">
        <v>7896</v>
      </c>
      <c r="B582" s="276">
        <v>1.0</v>
      </c>
    </row>
    <row r="583">
      <c r="A583" s="276" t="s">
        <v>7897</v>
      </c>
      <c r="B583" s="276">
        <v>1.0</v>
      </c>
    </row>
    <row r="584">
      <c r="A584" s="276" t="s">
        <v>7898</v>
      </c>
      <c r="B584" s="276">
        <v>1.0</v>
      </c>
    </row>
    <row r="585">
      <c r="A585" s="276" t="s">
        <v>7899</v>
      </c>
      <c r="B585" s="276">
        <v>1.0</v>
      </c>
    </row>
    <row r="586">
      <c r="A586" s="276" t="s">
        <v>7900</v>
      </c>
      <c r="B586" s="276">
        <v>1.0</v>
      </c>
    </row>
    <row r="587">
      <c r="A587" s="276" t="s">
        <v>7901</v>
      </c>
      <c r="B587" s="276">
        <v>1.0</v>
      </c>
    </row>
    <row r="588">
      <c r="A588" s="276" t="s">
        <v>7902</v>
      </c>
      <c r="B588" s="276">
        <v>1.0</v>
      </c>
    </row>
    <row r="589">
      <c r="A589" s="276" t="s">
        <v>7903</v>
      </c>
      <c r="B589" s="276">
        <v>1.0</v>
      </c>
    </row>
    <row r="590">
      <c r="A590" s="276" t="s">
        <v>7904</v>
      </c>
      <c r="B590" s="276">
        <v>1.0</v>
      </c>
    </row>
    <row r="591">
      <c r="A591" s="276" t="s">
        <v>7905</v>
      </c>
      <c r="B591" s="276">
        <v>1.0</v>
      </c>
    </row>
    <row r="592">
      <c r="A592" s="276" t="s">
        <v>7906</v>
      </c>
      <c r="B592" s="276">
        <v>1.0</v>
      </c>
    </row>
    <row r="593">
      <c r="A593" s="276" t="s">
        <v>7907</v>
      </c>
      <c r="B593" s="276">
        <v>1.0</v>
      </c>
    </row>
    <row r="594">
      <c r="A594" s="276" t="s">
        <v>3100</v>
      </c>
      <c r="B594" s="276">
        <v>1.0</v>
      </c>
    </row>
    <row r="595">
      <c r="A595" s="276" t="s">
        <v>1306</v>
      </c>
      <c r="B595" s="276">
        <v>1.0</v>
      </c>
    </row>
    <row r="596">
      <c r="A596" s="276" t="s">
        <v>7908</v>
      </c>
      <c r="B596" s="276">
        <v>1.0</v>
      </c>
    </row>
    <row r="597">
      <c r="A597" s="276" t="s">
        <v>7909</v>
      </c>
      <c r="B597" s="276">
        <v>1.0</v>
      </c>
    </row>
    <row r="598">
      <c r="A598" s="276" t="s">
        <v>7910</v>
      </c>
      <c r="B598" s="276">
        <v>1.0</v>
      </c>
    </row>
    <row r="599">
      <c r="A599" s="276" t="s">
        <v>7911</v>
      </c>
      <c r="B599" s="276">
        <v>1.0</v>
      </c>
    </row>
    <row r="600">
      <c r="A600" s="276" t="s">
        <v>7912</v>
      </c>
      <c r="B600" s="276">
        <v>1.0</v>
      </c>
    </row>
    <row r="601">
      <c r="A601" s="276" t="s">
        <v>7913</v>
      </c>
      <c r="B601" s="276">
        <v>1.0</v>
      </c>
    </row>
    <row r="602">
      <c r="A602" s="276" t="s">
        <v>7914</v>
      </c>
      <c r="B602" s="276">
        <v>1.0</v>
      </c>
    </row>
    <row r="603">
      <c r="A603" s="276" t="s">
        <v>7915</v>
      </c>
      <c r="B603" s="276">
        <v>1.0</v>
      </c>
    </row>
    <row r="604">
      <c r="A604" s="276" t="s">
        <v>7916</v>
      </c>
      <c r="B604" s="276">
        <v>1.0</v>
      </c>
    </row>
    <row r="605">
      <c r="A605" s="276" t="s">
        <v>7917</v>
      </c>
      <c r="B605" s="276">
        <v>1.0</v>
      </c>
    </row>
    <row r="606">
      <c r="A606" s="276" t="s">
        <v>7918</v>
      </c>
      <c r="B606" s="276">
        <v>1.0</v>
      </c>
    </row>
    <row r="607">
      <c r="A607" s="276" t="s">
        <v>7919</v>
      </c>
      <c r="B607" s="276">
        <v>1.0</v>
      </c>
    </row>
    <row r="608">
      <c r="A608" s="276" t="s">
        <v>911</v>
      </c>
      <c r="B608" s="276">
        <v>1.0</v>
      </c>
    </row>
    <row r="609">
      <c r="A609" s="276" t="s">
        <v>7920</v>
      </c>
      <c r="B609" s="276">
        <v>1.0</v>
      </c>
    </row>
    <row r="610">
      <c r="A610" s="276" t="s">
        <v>7921</v>
      </c>
      <c r="B610" s="276">
        <v>1.0</v>
      </c>
    </row>
    <row r="611">
      <c r="A611" s="276" t="s">
        <v>7922</v>
      </c>
      <c r="B611" s="276">
        <v>1.0</v>
      </c>
    </row>
    <row r="612">
      <c r="A612" s="276" t="s">
        <v>7923</v>
      </c>
      <c r="B612" s="276">
        <v>1.0</v>
      </c>
    </row>
    <row r="613">
      <c r="A613" s="276" t="s">
        <v>135</v>
      </c>
      <c r="B613" s="276">
        <v>1.0</v>
      </c>
    </row>
    <row r="614">
      <c r="A614" s="276" t="s">
        <v>1652</v>
      </c>
      <c r="B614" s="276">
        <v>1.0</v>
      </c>
    </row>
    <row r="615">
      <c r="A615" s="276" t="s">
        <v>1603</v>
      </c>
      <c r="B615" s="276">
        <v>1.0</v>
      </c>
    </row>
    <row r="616">
      <c r="A616" s="276" t="s">
        <v>1980</v>
      </c>
      <c r="B616" s="276">
        <v>1.0</v>
      </c>
    </row>
    <row r="617">
      <c r="A617" s="276" t="s">
        <v>3126</v>
      </c>
      <c r="B617" s="276">
        <v>1.0</v>
      </c>
    </row>
    <row r="618">
      <c r="A618" s="276" t="s">
        <v>3226</v>
      </c>
      <c r="B618" s="276">
        <v>1.0</v>
      </c>
    </row>
    <row r="619">
      <c r="A619" s="276" t="s">
        <v>3170</v>
      </c>
      <c r="B619" s="276">
        <v>1.0</v>
      </c>
    </row>
    <row r="620">
      <c r="A620" s="276" t="s">
        <v>1830</v>
      </c>
      <c r="B620" s="276">
        <v>1.0</v>
      </c>
    </row>
    <row r="621">
      <c r="A621" s="276" t="s">
        <v>1608</v>
      </c>
      <c r="B621" s="276">
        <v>1.0</v>
      </c>
    </row>
    <row r="622">
      <c r="A622" s="276" t="s">
        <v>1407</v>
      </c>
      <c r="B622" s="276">
        <v>1.0</v>
      </c>
    </row>
    <row r="623">
      <c r="A623" s="276" t="s">
        <v>436</v>
      </c>
      <c r="B623" s="276">
        <v>1.0</v>
      </c>
    </row>
    <row r="624">
      <c r="A624" s="276" t="s">
        <v>679</v>
      </c>
      <c r="B624" s="276">
        <v>1.0</v>
      </c>
    </row>
    <row r="625">
      <c r="A625" s="276" t="s">
        <v>964</v>
      </c>
      <c r="B625" s="276">
        <v>1.0</v>
      </c>
    </row>
    <row r="626">
      <c r="A626" s="276" t="s">
        <v>2451</v>
      </c>
      <c r="B626" s="276">
        <v>1.0</v>
      </c>
    </row>
    <row r="627">
      <c r="A627" s="276" t="s">
        <v>2985</v>
      </c>
      <c r="B627" s="276">
        <v>1.0</v>
      </c>
    </row>
    <row r="628">
      <c r="A628" s="276" t="s">
        <v>83</v>
      </c>
      <c r="B628" s="276">
        <v>1.0</v>
      </c>
    </row>
    <row r="629">
      <c r="A629" s="276" t="s">
        <v>2827</v>
      </c>
      <c r="B629" s="276">
        <v>1.0</v>
      </c>
    </row>
    <row r="630">
      <c r="A630" s="276" t="s">
        <v>2896</v>
      </c>
      <c r="B630" s="276">
        <v>1.0</v>
      </c>
    </row>
    <row r="631">
      <c r="A631" s="276" t="s">
        <v>3637</v>
      </c>
      <c r="B631" s="276">
        <v>1.0</v>
      </c>
    </row>
    <row r="632">
      <c r="A632" s="276" t="s">
        <v>3604</v>
      </c>
      <c r="B632" s="276">
        <v>1.0</v>
      </c>
    </row>
    <row r="633">
      <c r="A633" s="276" t="s">
        <v>2403</v>
      </c>
      <c r="B633" s="276">
        <v>1.0</v>
      </c>
    </row>
    <row r="634">
      <c r="A634" s="276" t="s">
        <v>1203</v>
      </c>
      <c r="B634" s="276">
        <v>1.0</v>
      </c>
    </row>
    <row r="635">
      <c r="A635" s="276" t="s">
        <v>1368</v>
      </c>
      <c r="B635" s="276">
        <v>1.0</v>
      </c>
    </row>
    <row r="636">
      <c r="A636" s="276" t="s">
        <v>2514</v>
      </c>
      <c r="B636" s="276">
        <v>1.0</v>
      </c>
    </row>
    <row r="637">
      <c r="A637" s="276" t="s">
        <v>1487</v>
      </c>
      <c r="B637" s="276">
        <v>1.0</v>
      </c>
    </row>
    <row r="638">
      <c r="A638" s="276" t="s">
        <v>1972</v>
      </c>
      <c r="B638" s="276">
        <v>1.0</v>
      </c>
    </row>
    <row r="639">
      <c r="A639" s="276" t="s">
        <v>300</v>
      </c>
      <c r="B639" s="276">
        <v>1.0</v>
      </c>
    </row>
    <row r="640">
      <c r="A640" s="276" t="s">
        <v>942</v>
      </c>
      <c r="B640" s="276">
        <v>1.0</v>
      </c>
    </row>
    <row r="641">
      <c r="A641" s="276" t="s">
        <v>2460</v>
      </c>
      <c r="B641" s="276">
        <v>1.0</v>
      </c>
    </row>
    <row r="642">
      <c r="A642" s="276" t="s">
        <v>655</v>
      </c>
      <c r="B642" s="276">
        <v>1.0</v>
      </c>
    </row>
    <row r="643">
      <c r="A643" s="276" t="s">
        <v>1735</v>
      </c>
      <c r="B643" s="276">
        <v>1.0</v>
      </c>
    </row>
    <row r="644">
      <c r="A644" s="276" t="s">
        <v>3284</v>
      </c>
      <c r="B644" s="276">
        <v>1.0</v>
      </c>
    </row>
    <row r="645">
      <c r="A645" s="276" t="s">
        <v>3117</v>
      </c>
      <c r="B645" s="276">
        <v>1.0</v>
      </c>
    </row>
    <row r="646">
      <c r="A646" s="276" t="s">
        <v>2426</v>
      </c>
      <c r="B646" s="276">
        <v>1.0</v>
      </c>
    </row>
    <row r="647">
      <c r="A647" s="276" t="s">
        <v>923</v>
      </c>
      <c r="B647" s="276">
        <v>1.0</v>
      </c>
    </row>
    <row r="648">
      <c r="A648" s="276" t="s">
        <v>782</v>
      </c>
      <c r="B648" s="276">
        <v>1.0</v>
      </c>
    </row>
    <row r="649">
      <c r="A649" s="276" t="s">
        <v>283</v>
      </c>
      <c r="B649" s="276">
        <v>1.0</v>
      </c>
    </row>
    <row r="650">
      <c r="A650" s="276" t="s">
        <v>7924</v>
      </c>
      <c r="B650" s="276">
        <v>1.0</v>
      </c>
    </row>
    <row r="651">
      <c r="A651" s="276" t="s">
        <v>7925</v>
      </c>
      <c r="B651" s="276">
        <v>1.0</v>
      </c>
    </row>
    <row r="652">
      <c r="A652" s="276" t="s">
        <v>7926</v>
      </c>
      <c r="B652" s="276">
        <v>1.0</v>
      </c>
    </row>
    <row r="653">
      <c r="A653" s="276" t="s">
        <v>7927</v>
      </c>
      <c r="B653" s="276">
        <v>1.0</v>
      </c>
    </row>
    <row r="654">
      <c r="A654" s="276" t="s">
        <v>2630</v>
      </c>
      <c r="B654" s="276">
        <v>1.0</v>
      </c>
    </row>
    <row r="655">
      <c r="A655" s="276" t="s">
        <v>2067</v>
      </c>
      <c r="B655" s="276">
        <v>1.0</v>
      </c>
    </row>
    <row r="656">
      <c r="A656" s="276" t="s">
        <v>2076</v>
      </c>
      <c r="B656" s="276">
        <v>1.0</v>
      </c>
    </row>
    <row r="657">
      <c r="A657" s="276" t="s">
        <v>3010</v>
      </c>
      <c r="B657" s="276">
        <v>1.0</v>
      </c>
    </row>
    <row r="658">
      <c r="A658" s="276" t="s">
        <v>2152</v>
      </c>
      <c r="B658" s="276">
        <v>1.0</v>
      </c>
    </row>
    <row r="659">
      <c r="A659" s="276" t="s">
        <v>2345</v>
      </c>
      <c r="B659" s="276">
        <v>1.0</v>
      </c>
    </row>
    <row r="660">
      <c r="A660" s="276" t="s">
        <v>3041</v>
      </c>
      <c r="B660" s="276">
        <v>1.0</v>
      </c>
    </row>
    <row r="661">
      <c r="A661" s="276" t="s">
        <v>3144</v>
      </c>
      <c r="B661" s="276">
        <v>1.0</v>
      </c>
    </row>
    <row r="662">
      <c r="A662" s="276" t="s">
        <v>1698</v>
      </c>
      <c r="B662" s="276">
        <v>1.0</v>
      </c>
    </row>
    <row r="663">
      <c r="A663" s="276" t="s">
        <v>2417</v>
      </c>
      <c r="B663" s="276">
        <v>1.0</v>
      </c>
    </row>
    <row r="664">
      <c r="A664" s="276" t="s">
        <v>2355</v>
      </c>
      <c r="B664" s="276">
        <v>1.0</v>
      </c>
    </row>
    <row r="665">
      <c r="A665" s="276" t="s">
        <v>2085</v>
      </c>
      <c r="B665" s="276">
        <v>1.0</v>
      </c>
    </row>
    <row r="666">
      <c r="A666" s="276" t="s">
        <v>545</v>
      </c>
      <c r="B666" s="276">
        <v>1.0</v>
      </c>
    </row>
    <row r="667">
      <c r="A667" s="276" t="s">
        <v>409</v>
      </c>
      <c r="B667" s="276">
        <v>1.0</v>
      </c>
    </row>
    <row r="668">
      <c r="A668" s="276" t="s">
        <v>312</v>
      </c>
      <c r="B668" s="276">
        <v>1.0</v>
      </c>
    </row>
    <row r="669">
      <c r="A669" s="276" t="s">
        <v>2006</v>
      </c>
      <c r="B669" s="276">
        <v>1.0</v>
      </c>
    </row>
    <row r="670">
      <c r="A670" s="276" t="s">
        <v>259</v>
      </c>
      <c r="B670" s="276">
        <v>1.0</v>
      </c>
    </row>
    <row r="671">
      <c r="A671" s="276" t="s">
        <v>3625</v>
      </c>
      <c r="B671" s="276">
        <v>1.0</v>
      </c>
    </row>
    <row r="672">
      <c r="A672" s="276" t="s">
        <v>2947</v>
      </c>
      <c r="B672" s="276">
        <v>1.0</v>
      </c>
    </row>
    <row r="673">
      <c r="A673" s="276" t="s">
        <v>2251</v>
      </c>
      <c r="B673" s="276">
        <v>1.0</v>
      </c>
    </row>
    <row r="674">
      <c r="A674" s="276" t="s">
        <v>833</v>
      </c>
      <c r="B674" s="276">
        <v>1.0</v>
      </c>
    </row>
    <row r="675">
      <c r="A675" s="276" t="s">
        <v>2143</v>
      </c>
      <c r="B675" s="276">
        <v>1.0</v>
      </c>
    </row>
    <row r="676">
      <c r="A676" s="276" t="s">
        <v>3025</v>
      </c>
      <c r="B676" s="276">
        <v>1.0</v>
      </c>
    </row>
    <row r="677">
      <c r="A677" s="276" t="s">
        <v>1939</v>
      </c>
      <c r="B677" s="276">
        <v>1.0</v>
      </c>
    </row>
    <row r="678">
      <c r="A678" s="276" t="s">
        <v>2101</v>
      </c>
      <c r="B678" s="276">
        <v>1.0</v>
      </c>
    </row>
    <row r="679">
      <c r="A679" s="276" t="s">
        <v>325</v>
      </c>
      <c r="B679" s="276">
        <v>1.0</v>
      </c>
    </row>
    <row r="680">
      <c r="A680" s="276" t="s">
        <v>249</v>
      </c>
      <c r="B680" s="276">
        <v>1.0</v>
      </c>
    </row>
    <row r="681">
      <c r="A681" s="276" t="s">
        <v>3324</v>
      </c>
      <c r="B681" s="276">
        <v>1.0</v>
      </c>
    </row>
    <row r="682">
      <c r="A682" s="276" t="s">
        <v>2621</v>
      </c>
      <c r="B682" s="276">
        <v>1.0</v>
      </c>
    </row>
    <row r="683">
      <c r="A683" s="276" t="s">
        <v>7928</v>
      </c>
      <c r="B683" s="276">
        <v>1.0</v>
      </c>
    </row>
    <row r="684">
      <c r="A684" s="276" t="s">
        <v>2038</v>
      </c>
      <c r="B684" s="276">
        <v>1.0</v>
      </c>
    </row>
    <row r="685">
      <c r="A685" s="276" t="s">
        <v>707</v>
      </c>
      <c r="B685" s="276">
        <v>1.0</v>
      </c>
    </row>
    <row r="686">
      <c r="A686" s="276" t="s">
        <v>242</v>
      </c>
      <c r="B686" s="276">
        <v>1.0</v>
      </c>
    </row>
    <row r="687">
      <c r="A687" s="276" t="s">
        <v>267</v>
      </c>
      <c r="B687" s="276">
        <v>1.0</v>
      </c>
    </row>
    <row r="688">
      <c r="A688" s="276" t="s">
        <v>334</v>
      </c>
      <c r="B688" s="276">
        <v>1.0</v>
      </c>
    </row>
    <row r="689">
      <c r="A689" s="276" t="s">
        <v>2545</v>
      </c>
      <c r="B689" s="276">
        <v>1.0</v>
      </c>
    </row>
    <row r="690">
      <c r="A690" s="276" t="s">
        <v>2024</v>
      </c>
      <c r="B690" s="276">
        <v>1.0</v>
      </c>
    </row>
    <row r="691">
      <c r="A691" s="276" t="s">
        <v>3571</v>
      </c>
      <c r="B691" s="276">
        <v>1.0</v>
      </c>
    </row>
    <row r="692">
      <c r="A692" s="276" t="s">
        <v>1386</v>
      </c>
      <c r="B692" s="276">
        <v>1.0</v>
      </c>
    </row>
    <row r="693">
      <c r="A693" s="276" t="s">
        <v>3008</v>
      </c>
      <c r="B693" s="276">
        <v>1.0</v>
      </c>
    </row>
    <row r="694">
      <c r="A694" s="276" t="s">
        <v>2410</v>
      </c>
      <c r="B694" s="276">
        <v>1.0</v>
      </c>
    </row>
    <row r="695">
      <c r="A695" s="276" t="s">
        <v>1616</v>
      </c>
      <c r="B695" s="276">
        <v>1.0</v>
      </c>
    </row>
    <row r="696">
      <c r="A696" s="276" t="s">
        <v>2770</v>
      </c>
      <c r="B696" s="276">
        <v>1.0</v>
      </c>
    </row>
    <row r="697">
      <c r="A697" s="276" t="s">
        <v>2585</v>
      </c>
      <c r="B697" s="276">
        <v>1.0</v>
      </c>
    </row>
    <row r="698">
      <c r="A698" s="276" t="s">
        <v>621</v>
      </c>
      <c r="B698" s="276">
        <v>1.0</v>
      </c>
    </row>
    <row r="699">
      <c r="A699" s="276" t="s">
        <v>2269</v>
      </c>
      <c r="B699" s="276">
        <v>1.0</v>
      </c>
    </row>
    <row r="700">
      <c r="A700" s="276" t="s">
        <v>1262</v>
      </c>
      <c r="B700" s="276">
        <v>1.0</v>
      </c>
    </row>
    <row r="701">
      <c r="A701" s="276" t="s">
        <v>3659</v>
      </c>
      <c r="B701" s="276">
        <v>1.0</v>
      </c>
    </row>
    <row r="702">
      <c r="A702" s="276" t="s">
        <v>2230</v>
      </c>
      <c r="B702" s="276">
        <v>1.0</v>
      </c>
    </row>
    <row r="703">
      <c r="A703" s="276" t="s">
        <v>292</v>
      </c>
      <c r="B703" s="276">
        <v>1.0</v>
      </c>
    </row>
    <row r="704">
      <c r="A704" s="276" t="s">
        <v>974</v>
      </c>
      <c r="B704" s="276">
        <v>1.0</v>
      </c>
    </row>
    <row r="705">
      <c r="A705" s="276" t="s">
        <v>3667</v>
      </c>
      <c r="B705" s="276">
        <v>1.0</v>
      </c>
    </row>
    <row r="706">
      <c r="A706" s="276" t="s">
        <v>7929</v>
      </c>
      <c r="B706" s="276">
        <v>1.0</v>
      </c>
    </row>
    <row r="707">
      <c r="A707" s="276" t="s">
        <v>1208</v>
      </c>
      <c r="B707" s="276">
        <v>1.0</v>
      </c>
    </row>
    <row r="708">
      <c r="A708" s="276" t="s">
        <v>3425</v>
      </c>
      <c r="B708" s="276">
        <v>1.0</v>
      </c>
    </row>
    <row r="709">
      <c r="A709" s="276" t="s">
        <v>2113</v>
      </c>
      <c r="B709" s="276">
        <v>1.0</v>
      </c>
    </row>
    <row r="710">
      <c r="A710" s="276" t="s">
        <v>3276</v>
      </c>
      <c r="B710" s="276">
        <v>1.0</v>
      </c>
    </row>
    <row r="711">
      <c r="A711" s="276" t="s">
        <v>3270</v>
      </c>
      <c r="B711" s="276">
        <v>1.0</v>
      </c>
    </row>
    <row r="712">
      <c r="A712" s="276" t="s">
        <v>3455</v>
      </c>
      <c r="B712" s="276">
        <v>1.0</v>
      </c>
    </row>
    <row r="713">
      <c r="A713" s="276" t="s">
        <v>2702</v>
      </c>
      <c r="B713" s="276">
        <v>1.0</v>
      </c>
    </row>
    <row r="714">
      <c r="A714" s="276" t="s">
        <v>2662</v>
      </c>
      <c r="B714" s="276">
        <v>1.0</v>
      </c>
    </row>
    <row r="715">
      <c r="A715" s="276" t="s">
        <v>1007</v>
      </c>
      <c r="B715" s="276">
        <v>1.0</v>
      </c>
    </row>
    <row r="716">
      <c r="A716" s="276" t="s">
        <v>2572</v>
      </c>
      <c r="B716" s="276">
        <v>1.0</v>
      </c>
    </row>
    <row r="717">
      <c r="A717" s="276" t="s">
        <v>3585</v>
      </c>
      <c r="B717" s="276">
        <v>1.0</v>
      </c>
    </row>
    <row r="718">
      <c r="A718" s="276" t="s">
        <v>1057</v>
      </c>
      <c r="B718" s="276">
        <v>1.0</v>
      </c>
    </row>
    <row r="719">
      <c r="A719" s="276" t="s">
        <v>2617</v>
      </c>
      <c r="B719" s="276">
        <v>1.0</v>
      </c>
    </row>
    <row r="720">
      <c r="A720" s="276" t="s">
        <v>2704</v>
      </c>
      <c r="B720" s="276">
        <v>1.0</v>
      </c>
    </row>
    <row r="721">
      <c r="A721" s="276" t="s">
        <v>2255</v>
      </c>
      <c r="B721" s="276">
        <v>1.0</v>
      </c>
    </row>
    <row r="722">
      <c r="A722" s="276" t="s">
        <v>145</v>
      </c>
      <c r="B722" s="276">
        <v>1.0</v>
      </c>
    </row>
    <row r="723">
      <c r="A723" s="276" t="s">
        <v>2788</v>
      </c>
      <c r="B723" s="276">
        <v>1.0</v>
      </c>
    </row>
    <row r="724">
      <c r="A724" s="276" t="s">
        <v>2932</v>
      </c>
      <c r="B724" s="276">
        <v>1.0</v>
      </c>
    </row>
    <row r="725">
      <c r="A725" s="276" t="s">
        <v>2762</v>
      </c>
      <c r="B725" s="276">
        <v>1.0</v>
      </c>
    </row>
    <row r="726">
      <c r="A726" s="276" t="s">
        <v>7930</v>
      </c>
      <c r="B726" s="276">
        <v>1.0</v>
      </c>
    </row>
    <row r="727">
      <c r="A727" s="276" t="s">
        <v>387</v>
      </c>
      <c r="B727" s="276">
        <v>1.0</v>
      </c>
    </row>
    <row r="728">
      <c r="A728" s="276" t="s">
        <v>1743</v>
      </c>
      <c r="B728" s="276">
        <v>1.0</v>
      </c>
    </row>
    <row r="729">
      <c r="A729" s="276" t="s">
        <v>3264</v>
      </c>
      <c r="B729" s="276">
        <v>1.0</v>
      </c>
    </row>
    <row r="730">
      <c r="A730" s="276" t="s">
        <v>1660</v>
      </c>
      <c r="B730" s="276">
        <v>1.0</v>
      </c>
    </row>
    <row r="731">
      <c r="A731" s="276" t="s">
        <v>1686</v>
      </c>
      <c r="B731" s="276">
        <v>1.0</v>
      </c>
    </row>
    <row r="732">
      <c r="A732" s="276" t="s">
        <v>2685</v>
      </c>
      <c r="B732" s="276">
        <v>1.0</v>
      </c>
    </row>
    <row r="733">
      <c r="A733" s="276" t="s">
        <v>2279</v>
      </c>
      <c r="B733" s="276">
        <v>1.0</v>
      </c>
    </row>
    <row r="734">
      <c r="A734" s="276" t="s">
        <v>1103</v>
      </c>
      <c r="B734" s="276">
        <v>1.0</v>
      </c>
    </row>
    <row r="735">
      <c r="A735" s="276" t="s">
        <v>3547</v>
      </c>
      <c r="B735" s="276">
        <v>1.0</v>
      </c>
    </row>
    <row r="736">
      <c r="A736" s="276" t="s">
        <v>3368</v>
      </c>
      <c r="B736" s="276">
        <v>1.0</v>
      </c>
    </row>
    <row r="737">
      <c r="A737" s="276" t="s">
        <v>2088</v>
      </c>
      <c r="B737" s="276">
        <v>1.0</v>
      </c>
    </row>
    <row r="738">
      <c r="A738" s="276" t="s">
        <v>1444</v>
      </c>
      <c r="B738" s="276">
        <v>1.0</v>
      </c>
    </row>
    <row r="739">
      <c r="A739" s="276" t="s">
        <v>1862</v>
      </c>
      <c r="B739" s="276">
        <v>1.0</v>
      </c>
    </row>
    <row r="740">
      <c r="A740" s="276" t="s">
        <v>47</v>
      </c>
      <c r="B740" s="276">
        <v>1.0</v>
      </c>
    </row>
    <row r="741">
      <c r="A741" s="276" t="s">
        <v>1960</v>
      </c>
      <c r="B741" s="276">
        <v>1.0</v>
      </c>
    </row>
    <row r="742">
      <c r="A742" s="276" t="s">
        <v>715</v>
      </c>
      <c r="B742" s="276">
        <v>1.0</v>
      </c>
    </row>
    <row r="743">
      <c r="A743" s="276" t="s">
        <v>723</v>
      </c>
      <c r="B743" s="276">
        <v>1.0</v>
      </c>
    </row>
    <row r="744">
      <c r="A744" s="276" t="s">
        <v>1814</v>
      </c>
      <c r="B744" s="276">
        <v>1.0</v>
      </c>
    </row>
    <row r="745">
      <c r="A745" s="276" t="s">
        <v>591</v>
      </c>
      <c r="B745" s="276">
        <v>1.0</v>
      </c>
    </row>
    <row r="746">
      <c r="A746" s="276" t="s">
        <v>1451</v>
      </c>
      <c r="B746" s="276">
        <v>1.0</v>
      </c>
    </row>
    <row r="747">
      <c r="A747" s="276" t="s">
        <v>1680</v>
      </c>
      <c r="B747" s="276">
        <v>1.0</v>
      </c>
    </row>
    <row r="748">
      <c r="A748" s="276" t="s">
        <v>500</v>
      </c>
      <c r="B748" s="276">
        <v>1.0</v>
      </c>
    </row>
    <row r="749">
      <c r="A749" s="276" t="s">
        <v>1171</v>
      </c>
      <c r="B749" s="276">
        <v>1.0</v>
      </c>
    </row>
    <row r="750">
      <c r="A750" s="276" t="s">
        <v>1635</v>
      </c>
      <c r="B750" s="276">
        <v>1.0</v>
      </c>
    </row>
    <row r="751">
      <c r="A751" s="276" t="s">
        <v>1670</v>
      </c>
      <c r="B751" s="276">
        <v>1.0</v>
      </c>
    </row>
    <row r="752">
      <c r="A752" s="276" t="s">
        <v>7931</v>
      </c>
      <c r="B752" s="276">
        <v>1.0</v>
      </c>
    </row>
    <row r="753">
      <c r="A753" s="276" t="s">
        <v>2462</v>
      </c>
      <c r="B753" s="276">
        <v>1.0</v>
      </c>
    </row>
    <row r="754">
      <c r="A754" s="276" t="s">
        <v>1315</v>
      </c>
      <c r="B754" s="276">
        <v>1.0</v>
      </c>
    </row>
    <row r="755">
      <c r="A755" s="276" t="s">
        <v>2720</v>
      </c>
      <c r="B755" s="276">
        <v>1.0</v>
      </c>
    </row>
    <row r="756">
      <c r="A756" s="276" t="s">
        <v>2648</v>
      </c>
      <c r="B756" s="276">
        <v>1.0</v>
      </c>
    </row>
    <row r="757">
      <c r="A757" s="276" t="s">
        <v>7932</v>
      </c>
      <c r="B757" s="276">
        <v>1.0</v>
      </c>
    </row>
    <row r="758">
      <c r="A758" s="276" t="s">
        <v>7933</v>
      </c>
      <c r="B758" s="276">
        <v>1.0</v>
      </c>
    </row>
    <row r="759">
      <c r="A759" s="276" t="s">
        <v>1219</v>
      </c>
      <c r="B759" s="276">
        <v>1.0</v>
      </c>
    </row>
    <row r="760">
      <c r="A760" s="276" t="s">
        <v>850</v>
      </c>
      <c r="B760" s="276">
        <v>1.0</v>
      </c>
    </row>
    <row r="761">
      <c r="A761" s="276" t="s">
        <v>2596</v>
      </c>
      <c r="B761" s="276">
        <v>1.0</v>
      </c>
    </row>
    <row r="762">
      <c r="A762" s="276" t="s">
        <v>2506</v>
      </c>
      <c r="B762" s="276">
        <v>1.0</v>
      </c>
    </row>
    <row r="763">
      <c r="A763" s="276" t="s">
        <v>1040</v>
      </c>
      <c r="B763" s="276">
        <v>1.0</v>
      </c>
    </row>
    <row r="764">
      <c r="A764" s="276" t="s">
        <v>3089</v>
      </c>
      <c r="B764" s="276">
        <v>1.0</v>
      </c>
    </row>
    <row r="765">
      <c r="A765" s="276" t="s">
        <v>400</v>
      </c>
      <c r="B765" s="276">
        <v>1.0</v>
      </c>
    </row>
    <row r="766">
      <c r="A766" s="276" t="s">
        <v>7934</v>
      </c>
      <c r="B766" s="276">
        <v>1.0</v>
      </c>
    </row>
    <row r="767">
      <c r="A767" s="276" t="s">
        <v>7935</v>
      </c>
      <c r="B767" s="276">
        <v>1.0</v>
      </c>
    </row>
    <row r="768">
      <c r="A768" s="276" t="s">
        <v>1480</v>
      </c>
      <c r="B768" s="276">
        <v>1.0</v>
      </c>
    </row>
    <row r="769">
      <c r="A769" s="276" t="s">
        <v>2737</v>
      </c>
      <c r="B769" s="276">
        <v>1.0</v>
      </c>
    </row>
    <row r="770">
      <c r="A770" s="276" t="s">
        <v>1752</v>
      </c>
      <c r="B770" s="276">
        <v>1.0</v>
      </c>
    </row>
    <row r="771">
      <c r="A771" s="276" t="s">
        <v>744</v>
      </c>
      <c r="B771" s="276">
        <v>1.0</v>
      </c>
    </row>
    <row r="772">
      <c r="A772" s="276" t="s">
        <v>3649</v>
      </c>
      <c r="B772" s="276">
        <v>1.0</v>
      </c>
    </row>
    <row r="773">
      <c r="A773" s="276" t="s">
        <v>124</v>
      </c>
      <c r="B773" s="276">
        <v>1.0</v>
      </c>
    </row>
    <row r="774">
      <c r="A774" s="276" t="s">
        <v>1298</v>
      </c>
      <c r="B774" s="276">
        <v>1.0</v>
      </c>
    </row>
    <row r="775">
      <c r="A775" s="276" t="s">
        <v>1473</v>
      </c>
      <c r="B775" s="276">
        <v>1.0</v>
      </c>
    </row>
    <row r="776">
      <c r="A776" s="276" t="s">
        <v>7936</v>
      </c>
      <c r="B776" s="276">
        <v>1.0</v>
      </c>
    </row>
    <row r="777">
      <c r="A777" s="276" t="s">
        <v>636</v>
      </c>
      <c r="B777" s="276">
        <v>1.0</v>
      </c>
    </row>
    <row r="778">
      <c r="A778" s="276" t="s">
        <v>1577</v>
      </c>
      <c r="B778" s="276">
        <v>1.0</v>
      </c>
    </row>
    <row r="779">
      <c r="A779" s="276" t="s">
        <v>1689</v>
      </c>
      <c r="B779" s="276">
        <v>1.0</v>
      </c>
    </row>
    <row r="780">
      <c r="A780" s="276" t="s">
        <v>2119</v>
      </c>
      <c r="B780" s="276">
        <v>1.0</v>
      </c>
    </row>
    <row r="781">
      <c r="A781" s="276" t="s">
        <v>455</v>
      </c>
      <c r="B781" s="276">
        <v>1.0</v>
      </c>
    </row>
    <row r="782">
      <c r="A782" s="276" t="s">
        <v>2386</v>
      </c>
      <c r="B782" s="276">
        <v>1.0</v>
      </c>
    </row>
    <row r="783">
      <c r="A783" s="276" t="s">
        <v>2395</v>
      </c>
      <c r="B783" s="276">
        <v>1.0</v>
      </c>
    </row>
    <row r="784">
      <c r="A784" s="276" t="s">
        <v>3214</v>
      </c>
      <c r="B784" s="276">
        <v>1.0</v>
      </c>
    </row>
    <row r="785">
      <c r="A785" s="276" t="s">
        <v>2638</v>
      </c>
      <c r="B785" s="276">
        <v>1.0</v>
      </c>
    </row>
    <row r="786">
      <c r="A786" s="276" t="s">
        <v>3005</v>
      </c>
      <c r="B786" s="276">
        <v>1.0</v>
      </c>
    </row>
    <row r="787">
      <c r="A787" s="276" t="s">
        <v>1287</v>
      </c>
      <c r="B787" s="276">
        <v>1.0</v>
      </c>
    </row>
    <row r="788">
      <c r="A788" s="276" t="s">
        <v>3330</v>
      </c>
      <c r="B788" s="276">
        <v>1.0</v>
      </c>
    </row>
    <row r="789">
      <c r="A789" s="276" t="s">
        <v>669</v>
      </c>
      <c r="B789" s="276">
        <v>1.0</v>
      </c>
    </row>
    <row r="790">
      <c r="A790" s="276" t="s">
        <v>1334</v>
      </c>
      <c r="B790" s="276">
        <v>1.0</v>
      </c>
    </row>
    <row r="791">
      <c r="A791" s="276" t="s">
        <v>7937</v>
      </c>
      <c r="B791" s="276">
        <v>1.0</v>
      </c>
    </row>
    <row r="792">
      <c r="A792" s="276" t="s">
        <v>2265</v>
      </c>
      <c r="B792" s="276">
        <v>1.0</v>
      </c>
    </row>
    <row r="793">
      <c r="A793" s="276" t="s">
        <v>1881</v>
      </c>
      <c r="B793" s="276">
        <v>1.0</v>
      </c>
    </row>
    <row r="794">
      <c r="A794" s="276" t="s">
        <v>1844</v>
      </c>
      <c r="B794" s="276">
        <v>1.0</v>
      </c>
    </row>
    <row r="795">
      <c r="A795" s="276" t="s">
        <v>1900</v>
      </c>
      <c r="B795" s="276">
        <v>1.0</v>
      </c>
    </row>
    <row r="796">
      <c r="A796" s="276" t="s">
        <v>2180</v>
      </c>
      <c r="B796" s="276">
        <v>1.0</v>
      </c>
    </row>
    <row r="797">
      <c r="A797" s="276" t="s">
        <v>7938</v>
      </c>
      <c r="B797" s="276">
        <v>1.0</v>
      </c>
    </row>
    <row r="798">
      <c r="A798" s="276" t="s">
        <v>1511</v>
      </c>
      <c r="B798" s="276">
        <v>1.0</v>
      </c>
    </row>
    <row r="799">
      <c r="A799" s="276" t="s">
        <v>519</v>
      </c>
      <c r="B799" s="276">
        <v>1.0</v>
      </c>
    </row>
    <row r="800">
      <c r="A800" s="276" t="s">
        <v>1431</v>
      </c>
      <c r="B800" s="276">
        <v>1.0</v>
      </c>
    </row>
    <row r="801">
      <c r="B801" s="276">
        <v>0.0</v>
      </c>
    </row>
  </sheetData>
  <autoFilter ref="$A$403:$Z$801">
    <sortState ref="A403:Z801">
      <sortCondition descending="1" ref="B403:B801"/>
    </sortState>
  </autoFilter>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B1" s="276"/>
    </row>
    <row r="2">
      <c r="B2" s="276"/>
    </row>
    <row r="3">
      <c r="B3" s="276"/>
    </row>
    <row r="4">
      <c r="B4" s="276"/>
    </row>
    <row r="5">
      <c r="B5" s="276"/>
    </row>
    <row r="6">
      <c r="B6" s="276"/>
    </row>
    <row r="7">
      <c r="B7" s="276"/>
    </row>
    <row r="8">
      <c r="B8" s="276"/>
    </row>
    <row r="9">
      <c r="B9" s="276"/>
    </row>
    <row r="10">
      <c r="B10" s="276"/>
    </row>
    <row r="11">
      <c r="B11" s="276"/>
    </row>
    <row r="12">
      <c r="B12" s="276"/>
    </row>
    <row r="13">
      <c r="B13" s="276"/>
    </row>
    <row r="14">
      <c r="B14" s="276"/>
    </row>
    <row r="15">
      <c r="B15" s="276"/>
    </row>
    <row r="16">
      <c r="B16" s="276"/>
    </row>
    <row r="17">
      <c r="B17" s="276"/>
    </row>
    <row r="18">
      <c r="B18" s="276"/>
    </row>
    <row r="19">
      <c r="B19" s="276"/>
    </row>
    <row r="20">
      <c r="B20" s="276"/>
    </row>
    <row r="21">
      <c r="B21" s="276"/>
    </row>
    <row r="22">
      <c r="B22" s="276"/>
    </row>
    <row r="23">
      <c r="B23" s="276"/>
    </row>
    <row r="24">
      <c r="B24" s="276"/>
    </row>
    <row r="25">
      <c r="B25" s="276"/>
    </row>
    <row r="26">
      <c r="B26" s="276"/>
    </row>
    <row r="27">
      <c r="B27" s="276"/>
    </row>
    <row r="28">
      <c r="B28" s="276"/>
    </row>
    <row r="29">
      <c r="B29" s="276"/>
    </row>
    <row r="30">
      <c r="B30" s="276"/>
    </row>
    <row r="31">
      <c r="B31" s="276"/>
    </row>
    <row r="32">
      <c r="B32" s="276"/>
    </row>
    <row r="33">
      <c r="B33" s="276"/>
    </row>
    <row r="34">
      <c r="B34" s="276"/>
    </row>
    <row r="35">
      <c r="B35" s="276"/>
    </row>
    <row r="36">
      <c r="B36" s="276"/>
    </row>
    <row r="37">
      <c r="B37" s="276"/>
    </row>
    <row r="38">
      <c r="B38" s="276"/>
    </row>
    <row r="39">
      <c r="B39" s="276"/>
    </row>
    <row r="40">
      <c r="B40" s="276"/>
    </row>
    <row r="41">
      <c r="B41" s="276"/>
    </row>
    <row r="42">
      <c r="B42" s="276"/>
    </row>
    <row r="43">
      <c r="B43" s="276"/>
    </row>
    <row r="44">
      <c r="B44" s="276"/>
    </row>
    <row r="45">
      <c r="B45" s="276"/>
    </row>
    <row r="46">
      <c r="B46" s="276"/>
    </row>
    <row r="47">
      <c r="B47" s="276"/>
    </row>
    <row r="48">
      <c r="B48" s="276"/>
    </row>
    <row r="49">
      <c r="B49" s="276"/>
    </row>
    <row r="50">
      <c r="B50" s="276"/>
    </row>
    <row r="51">
      <c r="B51" s="276"/>
    </row>
    <row r="52">
      <c r="B52" s="276"/>
    </row>
    <row r="53">
      <c r="B53" s="276"/>
    </row>
    <row r="54">
      <c r="B54" s="276"/>
    </row>
    <row r="55">
      <c r="B55" s="276"/>
    </row>
    <row r="56">
      <c r="B56" s="276"/>
    </row>
    <row r="57">
      <c r="B57" s="276"/>
    </row>
    <row r="58">
      <c r="B58" s="276"/>
    </row>
    <row r="59">
      <c r="B59" s="276"/>
    </row>
    <row r="60">
      <c r="B60" s="276"/>
    </row>
    <row r="61">
      <c r="B61" s="276"/>
    </row>
    <row r="62">
      <c r="B62" s="276"/>
    </row>
    <row r="63">
      <c r="B63" s="276"/>
    </row>
    <row r="64">
      <c r="B64" s="276"/>
    </row>
    <row r="65">
      <c r="B65" s="276"/>
    </row>
    <row r="66">
      <c r="B66" s="276"/>
    </row>
    <row r="67">
      <c r="B67" s="276"/>
    </row>
    <row r="68">
      <c r="B68" s="276"/>
    </row>
    <row r="69">
      <c r="B69" s="276"/>
    </row>
    <row r="70">
      <c r="B70" s="276"/>
    </row>
    <row r="71">
      <c r="B71" s="276"/>
    </row>
    <row r="72">
      <c r="B72" s="276"/>
    </row>
    <row r="73">
      <c r="B73" s="276"/>
    </row>
    <row r="74">
      <c r="B74" s="276"/>
    </row>
    <row r="75">
      <c r="B75" s="276"/>
    </row>
    <row r="76">
      <c r="B76" s="276"/>
    </row>
    <row r="77">
      <c r="B77" s="276"/>
    </row>
    <row r="78">
      <c r="B78" s="276"/>
    </row>
    <row r="79">
      <c r="B79" s="276"/>
    </row>
    <row r="80">
      <c r="B80" s="276"/>
    </row>
    <row r="81">
      <c r="B81" s="276"/>
    </row>
    <row r="82">
      <c r="B82" s="276"/>
    </row>
    <row r="83">
      <c r="B83" s="276"/>
    </row>
    <row r="84">
      <c r="B84" s="276"/>
    </row>
    <row r="85">
      <c r="B85" s="276"/>
    </row>
    <row r="86">
      <c r="B86" s="276"/>
    </row>
    <row r="87">
      <c r="B87" s="276"/>
    </row>
    <row r="88">
      <c r="B88" s="276"/>
    </row>
    <row r="89">
      <c r="B89" s="276"/>
    </row>
    <row r="90">
      <c r="B90" s="276"/>
    </row>
    <row r="91">
      <c r="B91" s="276"/>
    </row>
    <row r="92">
      <c r="B92" s="276"/>
    </row>
    <row r="93">
      <c r="B93" s="276"/>
    </row>
    <row r="94">
      <c r="B94" s="276"/>
    </row>
    <row r="95">
      <c r="B95" s="276"/>
    </row>
    <row r="96">
      <c r="B96" s="276"/>
    </row>
    <row r="97">
      <c r="B97" s="276"/>
    </row>
    <row r="98">
      <c r="B98" s="276"/>
    </row>
    <row r="99">
      <c r="B99" s="276"/>
    </row>
    <row r="100">
      <c r="B100" s="276"/>
    </row>
    <row r="101">
      <c r="B101" s="276"/>
    </row>
    <row r="102">
      <c r="B102" s="276"/>
    </row>
    <row r="103">
      <c r="B103" s="276"/>
    </row>
    <row r="104">
      <c r="B104" s="276"/>
    </row>
    <row r="105">
      <c r="B105" s="276"/>
    </row>
    <row r="106">
      <c r="B106" s="276"/>
    </row>
    <row r="107">
      <c r="B107" s="276"/>
    </row>
    <row r="108">
      <c r="B108" s="276"/>
    </row>
    <row r="109">
      <c r="B109" s="276"/>
    </row>
    <row r="110">
      <c r="B110" s="276"/>
    </row>
    <row r="111">
      <c r="B111" s="276"/>
    </row>
    <row r="112">
      <c r="B112" s="276"/>
    </row>
    <row r="113">
      <c r="B113" s="276"/>
    </row>
    <row r="114">
      <c r="B114" s="276"/>
    </row>
    <row r="115">
      <c r="B115" s="276"/>
    </row>
    <row r="116">
      <c r="B116" s="276"/>
    </row>
    <row r="117">
      <c r="B117" s="276"/>
    </row>
    <row r="118">
      <c r="B118" s="276"/>
    </row>
    <row r="119">
      <c r="B119" s="276"/>
    </row>
    <row r="120">
      <c r="B120" s="276"/>
    </row>
    <row r="121">
      <c r="B121" s="276"/>
    </row>
    <row r="122">
      <c r="B122" s="276"/>
    </row>
    <row r="123">
      <c r="B123" s="276"/>
    </row>
    <row r="124">
      <c r="B124" s="276"/>
    </row>
    <row r="125">
      <c r="B125" s="276"/>
    </row>
    <row r="126">
      <c r="B126" s="276"/>
    </row>
    <row r="127">
      <c r="B127" s="276"/>
    </row>
    <row r="128">
      <c r="B128" s="276"/>
    </row>
    <row r="129">
      <c r="B129" s="276"/>
    </row>
    <row r="130">
      <c r="B130" s="276"/>
    </row>
    <row r="131">
      <c r="B131" s="276"/>
    </row>
    <row r="132">
      <c r="B132" s="276"/>
    </row>
    <row r="133">
      <c r="B133" s="276"/>
    </row>
    <row r="134">
      <c r="B134" s="276"/>
    </row>
    <row r="135">
      <c r="B135" s="276"/>
    </row>
    <row r="136">
      <c r="B136" s="276"/>
    </row>
    <row r="137">
      <c r="B137" s="276"/>
    </row>
    <row r="138">
      <c r="B138" s="276"/>
    </row>
    <row r="139">
      <c r="B139" s="276"/>
    </row>
    <row r="140">
      <c r="B140" s="276"/>
    </row>
    <row r="141">
      <c r="B141" s="276"/>
    </row>
    <row r="142">
      <c r="B142" s="276"/>
    </row>
    <row r="143">
      <c r="B143" s="276"/>
    </row>
    <row r="144">
      <c r="B144" s="276"/>
    </row>
    <row r="145">
      <c r="B145" s="276"/>
    </row>
    <row r="146">
      <c r="B146" s="276"/>
    </row>
    <row r="147">
      <c r="B147" s="276"/>
    </row>
    <row r="148">
      <c r="B148" s="276"/>
    </row>
    <row r="149">
      <c r="B149" s="276"/>
    </row>
    <row r="150">
      <c r="B150" s="276"/>
    </row>
    <row r="151">
      <c r="B151" s="276"/>
    </row>
    <row r="152">
      <c r="B152" s="276"/>
    </row>
    <row r="153">
      <c r="B153" s="276"/>
    </row>
    <row r="154">
      <c r="B154" s="276"/>
    </row>
    <row r="155">
      <c r="B155" s="276"/>
    </row>
    <row r="156">
      <c r="B156" s="276"/>
    </row>
    <row r="157">
      <c r="B157" s="276"/>
    </row>
    <row r="158">
      <c r="B158" s="276"/>
    </row>
    <row r="159">
      <c r="B159" s="276"/>
    </row>
    <row r="160">
      <c r="B160" s="276"/>
    </row>
    <row r="161">
      <c r="B161" s="276"/>
    </row>
    <row r="162">
      <c r="B162" s="276"/>
    </row>
    <row r="163">
      <c r="B163" s="276"/>
    </row>
    <row r="164">
      <c r="B164" s="276"/>
    </row>
    <row r="165">
      <c r="B165" s="276"/>
    </row>
    <row r="166">
      <c r="B166" s="276"/>
    </row>
    <row r="167">
      <c r="B167" s="276"/>
    </row>
    <row r="168">
      <c r="B168" s="276"/>
    </row>
    <row r="169">
      <c r="B169" s="276"/>
    </row>
    <row r="170">
      <c r="B170" s="276"/>
    </row>
    <row r="171">
      <c r="B171" s="276"/>
    </row>
    <row r="172">
      <c r="B172" s="276"/>
    </row>
    <row r="173">
      <c r="B173" s="276"/>
    </row>
    <row r="174">
      <c r="B174" s="276"/>
    </row>
    <row r="175">
      <c r="B175" s="276"/>
    </row>
    <row r="176">
      <c r="B176" s="276"/>
    </row>
    <row r="177">
      <c r="B177" s="276"/>
    </row>
    <row r="178">
      <c r="B178" s="276"/>
    </row>
    <row r="179">
      <c r="B179" s="276"/>
    </row>
    <row r="180">
      <c r="B180" s="276"/>
    </row>
    <row r="181">
      <c r="B181" s="276"/>
    </row>
    <row r="182">
      <c r="B182" s="276"/>
    </row>
    <row r="183">
      <c r="B183" s="276"/>
    </row>
    <row r="184">
      <c r="B184" s="276"/>
    </row>
    <row r="185">
      <c r="B185" s="276"/>
    </row>
    <row r="186">
      <c r="B186" s="276"/>
    </row>
    <row r="187">
      <c r="B187" s="276"/>
    </row>
    <row r="188">
      <c r="B188" s="276"/>
    </row>
    <row r="189">
      <c r="B189" s="276"/>
    </row>
    <row r="190">
      <c r="B190" s="276"/>
    </row>
    <row r="191">
      <c r="B191" s="276"/>
    </row>
    <row r="192">
      <c r="B192" s="276"/>
    </row>
    <row r="193">
      <c r="B193" s="276"/>
    </row>
    <row r="194">
      <c r="B194" s="276"/>
    </row>
    <row r="195">
      <c r="B195" s="276"/>
    </row>
    <row r="196">
      <c r="B196" s="276"/>
    </row>
    <row r="197">
      <c r="B197" s="276"/>
    </row>
    <row r="198">
      <c r="B198" s="276"/>
    </row>
    <row r="199">
      <c r="B199" s="276"/>
    </row>
    <row r="200">
      <c r="B200" s="276"/>
    </row>
    <row r="201">
      <c r="B201" s="276"/>
    </row>
    <row r="202">
      <c r="B202" s="276"/>
    </row>
    <row r="203">
      <c r="B203" s="276"/>
    </row>
    <row r="204">
      <c r="B204" s="276"/>
    </row>
    <row r="205">
      <c r="B205" s="276"/>
    </row>
    <row r="206">
      <c r="B206" s="276"/>
    </row>
    <row r="207">
      <c r="B207" s="276"/>
    </row>
    <row r="208">
      <c r="B208" s="276"/>
    </row>
    <row r="209">
      <c r="B209" s="276"/>
    </row>
    <row r="210">
      <c r="B210" s="276"/>
    </row>
    <row r="211">
      <c r="B211" s="276"/>
    </row>
    <row r="212">
      <c r="B212" s="276"/>
    </row>
    <row r="213">
      <c r="B213" s="276"/>
    </row>
    <row r="214">
      <c r="B214" s="276"/>
    </row>
    <row r="215">
      <c r="B215" s="276"/>
    </row>
    <row r="216">
      <c r="B216" s="276"/>
    </row>
    <row r="217">
      <c r="B217" s="276"/>
    </row>
    <row r="218">
      <c r="B218" s="276"/>
    </row>
    <row r="219">
      <c r="B219" s="276"/>
    </row>
    <row r="220">
      <c r="B220" s="276"/>
    </row>
    <row r="221">
      <c r="B221" s="276"/>
    </row>
    <row r="222">
      <c r="B222" s="276"/>
    </row>
    <row r="223">
      <c r="B223" s="276"/>
    </row>
    <row r="224">
      <c r="B224" s="276"/>
    </row>
    <row r="225">
      <c r="B225" s="276"/>
    </row>
    <row r="226">
      <c r="B226" s="276"/>
    </row>
    <row r="227">
      <c r="B227" s="276"/>
    </row>
    <row r="228">
      <c r="B228" s="276"/>
    </row>
    <row r="229">
      <c r="B229" s="276"/>
    </row>
    <row r="230">
      <c r="B230" s="276"/>
    </row>
    <row r="231">
      <c r="B231" s="276"/>
    </row>
    <row r="232">
      <c r="B232" s="276"/>
    </row>
    <row r="233">
      <c r="B233" s="276"/>
    </row>
    <row r="234">
      <c r="B234" s="276"/>
    </row>
    <row r="235">
      <c r="B235" s="276"/>
    </row>
    <row r="236">
      <c r="B236" s="276"/>
    </row>
    <row r="237">
      <c r="B237" s="276"/>
    </row>
    <row r="238">
      <c r="B238" s="276"/>
    </row>
    <row r="239">
      <c r="B239" s="276"/>
    </row>
    <row r="240">
      <c r="B240" s="276"/>
    </row>
    <row r="241">
      <c r="B241" s="276"/>
    </row>
    <row r="242">
      <c r="B242" s="276"/>
    </row>
    <row r="243">
      <c r="B243" s="276"/>
    </row>
    <row r="244">
      <c r="B244" s="276"/>
    </row>
    <row r="245">
      <c r="B245" s="276"/>
    </row>
    <row r="246">
      <c r="B246" s="276"/>
    </row>
    <row r="247">
      <c r="B247" s="276"/>
    </row>
    <row r="248">
      <c r="B248" s="276"/>
    </row>
    <row r="249">
      <c r="B249" s="276"/>
    </row>
    <row r="250">
      <c r="B250" s="276"/>
    </row>
    <row r="251">
      <c r="B251" s="276"/>
    </row>
    <row r="252">
      <c r="B252" s="276"/>
    </row>
    <row r="253">
      <c r="B253" s="276"/>
    </row>
    <row r="254">
      <c r="B254" s="276"/>
    </row>
    <row r="255">
      <c r="B255" s="276"/>
    </row>
    <row r="256">
      <c r="B256" s="276"/>
    </row>
    <row r="257">
      <c r="B257" s="276"/>
    </row>
    <row r="258">
      <c r="B258" s="276"/>
    </row>
    <row r="259">
      <c r="B259" s="276"/>
    </row>
    <row r="260">
      <c r="B260" s="276"/>
    </row>
    <row r="261">
      <c r="B261" s="276"/>
    </row>
    <row r="262">
      <c r="B262" s="276"/>
    </row>
    <row r="263">
      <c r="B263" s="276"/>
    </row>
    <row r="264">
      <c r="B264" s="276"/>
    </row>
    <row r="265">
      <c r="B265" s="276"/>
    </row>
    <row r="266">
      <c r="B266" s="276"/>
    </row>
    <row r="267">
      <c r="B267" s="276"/>
    </row>
    <row r="268">
      <c r="B268" s="276"/>
    </row>
    <row r="269">
      <c r="B269" s="276"/>
    </row>
    <row r="270">
      <c r="B270" s="276"/>
    </row>
    <row r="271">
      <c r="B271" s="276"/>
    </row>
    <row r="272">
      <c r="B272" s="276"/>
    </row>
    <row r="273">
      <c r="B273" s="276"/>
    </row>
    <row r="274">
      <c r="B274" s="276"/>
    </row>
    <row r="275">
      <c r="B275" s="276"/>
    </row>
    <row r="276">
      <c r="B276" s="276"/>
    </row>
    <row r="277">
      <c r="B277" s="276"/>
    </row>
    <row r="278">
      <c r="B278" s="276"/>
    </row>
    <row r="279">
      <c r="B279" s="276"/>
    </row>
    <row r="280">
      <c r="B280" s="276"/>
    </row>
    <row r="281">
      <c r="B281" s="276"/>
    </row>
    <row r="282">
      <c r="B282" s="276"/>
    </row>
    <row r="283">
      <c r="B283" s="276"/>
    </row>
    <row r="284">
      <c r="B284" s="276"/>
    </row>
    <row r="285">
      <c r="B285" s="276"/>
    </row>
    <row r="286">
      <c r="B286" s="276"/>
    </row>
    <row r="287">
      <c r="B287" s="276"/>
    </row>
    <row r="288">
      <c r="B288" s="276"/>
    </row>
    <row r="289">
      <c r="B289" s="276"/>
    </row>
    <row r="290">
      <c r="B290" s="276"/>
    </row>
    <row r="291">
      <c r="B291" s="276"/>
    </row>
    <row r="292">
      <c r="B292" s="276"/>
    </row>
    <row r="293">
      <c r="B293" s="276"/>
    </row>
    <row r="294">
      <c r="B294" s="276"/>
    </row>
    <row r="295">
      <c r="B295" s="276"/>
    </row>
    <row r="296">
      <c r="B296" s="276"/>
    </row>
    <row r="297">
      <c r="B297" s="276"/>
    </row>
    <row r="298">
      <c r="B298" s="276"/>
    </row>
    <row r="299">
      <c r="B299" s="276"/>
    </row>
    <row r="300">
      <c r="B300" s="276"/>
    </row>
    <row r="301">
      <c r="B301" s="276"/>
    </row>
    <row r="302">
      <c r="B302" s="276"/>
    </row>
    <row r="303">
      <c r="B303" s="276"/>
    </row>
    <row r="304">
      <c r="B304" s="276"/>
    </row>
    <row r="305">
      <c r="B305" s="276"/>
    </row>
    <row r="306">
      <c r="B306" s="276"/>
    </row>
    <row r="307">
      <c r="B307" s="276"/>
    </row>
    <row r="308">
      <c r="B308" s="276"/>
    </row>
    <row r="309">
      <c r="B309" s="276"/>
    </row>
    <row r="310">
      <c r="B310" s="276"/>
    </row>
    <row r="311">
      <c r="B311" s="276"/>
    </row>
    <row r="312">
      <c r="B312" s="276"/>
    </row>
    <row r="313">
      <c r="B313" s="276"/>
    </row>
    <row r="314">
      <c r="B314" s="276"/>
    </row>
    <row r="315">
      <c r="B315" s="276"/>
    </row>
    <row r="316">
      <c r="B316" s="276"/>
    </row>
    <row r="317">
      <c r="B317" s="276"/>
    </row>
    <row r="318">
      <c r="B318" s="276"/>
    </row>
    <row r="319">
      <c r="B319" s="276"/>
    </row>
    <row r="320">
      <c r="B320" s="276"/>
    </row>
    <row r="321">
      <c r="B321" s="276"/>
    </row>
    <row r="322">
      <c r="B322" s="276"/>
    </row>
    <row r="323">
      <c r="B323" s="276"/>
    </row>
    <row r="324">
      <c r="B324" s="276"/>
    </row>
    <row r="325">
      <c r="B325" s="276"/>
    </row>
    <row r="326">
      <c r="B326" s="276"/>
    </row>
    <row r="327">
      <c r="B327" s="276"/>
    </row>
    <row r="328">
      <c r="B328" s="276"/>
    </row>
    <row r="329">
      <c r="B329" s="276"/>
    </row>
    <row r="330">
      <c r="B330" s="276"/>
    </row>
    <row r="331">
      <c r="B331" s="276"/>
    </row>
    <row r="332">
      <c r="B332" s="276"/>
    </row>
    <row r="333">
      <c r="B333" s="276"/>
    </row>
    <row r="334">
      <c r="B334" s="276"/>
    </row>
    <row r="335">
      <c r="B335" s="276"/>
    </row>
    <row r="336">
      <c r="B336" s="276"/>
    </row>
    <row r="337">
      <c r="B337" s="276"/>
    </row>
    <row r="338">
      <c r="B338" s="276"/>
    </row>
    <row r="339">
      <c r="B339" s="276"/>
    </row>
    <row r="340">
      <c r="B340" s="276"/>
    </row>
    <row r="341">
      <c r="B341" s="276"/>
    </row>
    <row r="342">
      <c r="B342" s="276"/>
    </row>
    <row r="343">
      <c r="B343" s="276"/>
    </row>
    <row r="344">
      <c r="B344" s="276"/>
    </row>
    <row r="345">
      <c r="B345" s="276"/>
    </row>
    <row r="346">
      <c r="B346" s="276"/>
    </row>
    <row r="347">
      <c r="B347" s="276"/>
    </row>
    <row r="348">
      <c r="B348" s="276"/>
    </row>
    <row r="349">
      <c r="B349" s="276"/>
    </row>
    <row r="350">
      <c r="B350" s="276"/>
    </row>
    <row r="351">
      <c r="B351" s="276"/>
    </row>
    <row r="352">
      <c r="B352" s="276"/>
    </row>
    <row r="353">
      <c r="B353" s="276"/>
    </row>
    <row r="354">
      <c r="B354" s="276"/>
    </row>
    <row r="355">
      <c r="B355" s="276"/>
    </row>
    <row r="356">
      <c r="B356" s="276"/>
    </row>
    <row r="357">
      <c r="B357" s="276"/>
    </row>
    <row r="358">
      <c r="B358" s="276"/>
    </row>
    <row r="359">
      <c r="B359" s="276"/>
    </row>
    <row r="360">
      <c r="B360" s="276"/>
    </row>
    <row r="361">
      <c r="B361" s="276"/>
    </row>
    <row r="362">
      <c r="B362" s="276"/>
    </row>
    <row r="363">
      <c r="B363" s="276"/>
    </row>
    <row r="364">
      <c r="B364" s="276"/>
    </row>
    <row r="365">
      <c r="B365" s="276"/>
    </row>
    <row r="366">
      <c r="B366" s="276"/>
    </row>
    <row r="367">
      <c r="B367" s="276"/>
    </row>
    <row r="368">
      <c r="B368" s="276"/>
    </row>
    <row r="369">
      <c r="B369" s="276"/>
    </row>
    <row r="370">
      <c r="B370" s="276"/>
    </row>
    <row r="371">
      <c r="B371" s="276"/>
    </row>
    <row r="372">
      <c r="B372" s="276"/>
    </row>
    <row r="373">
      <c r="B373" s="276"/>
    </row>
    <row r="374">
      <c r="B374" s="276"/>
    </row>
    <row r="375">
      <c r="B375" s="276"/>
    </row>
    <row r="376">
      <c r="B376" s="276"/>
    </row>
    <row r="377">
      <c r="B377" s="276"/>
    </row>
    <row r="378">
      <c r="B378" s="276"/>
    </row>
    <row r="379">
      <c r="B379" s="276"/>
    </row>
    <row r="380">
      <c r="B380" s="276"/>
    </row>
    <row r="381">
      <c r="B381" s="276"/>
    </row>
    <row r="382">
      <c r="B382" s="276"/>
    </row>
    <row r="383">
      <c r="B383" s="276"/>
    </row>
    <row r="384">
      <c r="B384" s="276"/>
    </row>
    <row r="385">
      <c r="B385" s="276"/>
    </row>
    <row r="386">
      <c r="B386" s="276"/>
    </row>
    <row r="387">
      <c r="B387" s="276"/>
    </row>
    <row r="388">
      <c r="B388" s="276"/>
    </row>
    <row r="389">
      <c r="B389" s="276"/>
    </row>
    <row r="390">
      <c r="B390" s="276"/>
    </row>
    <row r="391">
      <c r="B391" s="276"/>
    </row>
    <row r="392">
      <c r="B392" s="276"/>
    </row>
    <row r="393">
      <c r="B393" s="276"/>
    </row>
    <row r="394">
      <c r="B394" s="276"/>
    </row>
    <row r="395">
      <c r="B395" s="276"/>
    </row>
    <row r="396">
      <c r="B396" s="276"/>
    </row>
    <row r="397">
      <c r="B397" s="276"/>
    </row>
    <row r="398">
      <c r="B398" s="276"/>
    </row>
    <row r="399">
      <c r="B399" s="276"/>
    </row>
    <row r="400">
      <c r="B400" s="276"/>
    </row>
    <row r="401">
      <c r="B401" s="276"/>
    </row>
    <row r="402">
      <c r="B402" s="276"/>
    </row>
    <row r="403">
      <c r="B403" s="276"/>
    </row>
    <row r="404">
      <c r="B404" s="276"/>
    </row>
    <row r="405">
      <c r="B405" s="276"/>
    </row>
    <row r="406">
      <c r="B406" s="276"/>
    </row>
    <row r="407">
      <c r="B407" s="276"/>
    </row>
    <row r="408">
      <c r="B408" s="276"/>
    </row>
    <row r="409">
      <c r="B409" s="276"/>
    </row>
    <row r="410">
      <c r="B410" s="276"/>
    </row>
    <row r="411">
      <c r="B411" s="276"/>
    </row>
    <row r="412">
      <c r="B412" s="276"/>
    </row>
    <row r="413">
      <c r="B413" s="276"/>
    </row>
    <row r="414">
      <c r="B414" s="276"/>
    </row>
    <row r="415">
      <c r="B415" s="276"/>
    </row>
    <row r="416">
      <c r="B416" s="276"/>
    </row>
    <row r="417">
      <c r="B417" s="276"/>
    </row>
    <row r="418">
      <c r="B418" s="276"/>
    </row>
    <row r="419">
      <c r="B419" s="276"/>
    </row>
    <row r="420">
      <c r="B420" s="276"/>
    </row>
    <row r="421">
      <c r="B421" s="276"/>
    </row>
    <row r="422">
      <c r="B422" s="276"/>
    </row>
    <row r="423">
      <c r="B423" s="276"/>
    </row>
    <row r="424">
      <c r="B424" s="276"/>
    </row>
    <row r="425">
      <c r="B425" s="276"/>
    </row>
    <row r="426">
      <c r="B426" s="276"/>
    </row>
    <row r="427">
      <c r="B427" s="276"/>
    </row>
    <row r="428">
      <c r="B428" s="276"/>
    </row>
    <row r="429">
      <c r="B429" s="276"/>
    </row>
    <row r="430">
      <c r="B430" s="276"/>
    </row>
    <row r="431">
      <c r="B431" s="276"/>
    </row>
    <row r="432">
      <c r="B432" s="276"/>
    </row>
    <row r="433">
      <c r="B433" s="276"/>
    </row>
    <row r="434">
      <c r="B434" s="276"/>
    </row>
    <row r="435">
      <c r="B435" s="276"/>
    </row>
    <row r="436">
      <c r="B436" s="276"/>
    </row>
    <row r="437">
      <c r="B437" s="276"/>
    </row>
    <row r="438">
      <c r="B438" s="276"/>
    </row>
    <row r="439">
      <c r="B439" s="276"/>
    </row>
    <row r="440">
      <c r="B440" s="276"/>
    </row>
    <row r="441">
      <c r="B441" s="276"/>
    </row>
    <row r="442">
      <c r="B442" s="276"/>
    </row>
    <row r="443">
      <c r="B443" s="276"/>
    </row>
    <row r="444">
      <c r="B444" s="276"/>
    </row>
    <row r="445">
      <c r="B445" s="276"/>
    </row>
    <row r="446">
      <c r="B446" s="276"/>
    </row>
    <row r="447">
      <c r="B447" s="276"/>
    </row>
    <row r="448">
      <c r="B448" s="276"/>
    </row>
    <row r="449">
      <c r="B449" s="276"/>
    </row>
    <row r="450">
      <c r="B450" s="276"/>
    </row>
    <row r="451">
      <c r="B451" s="276"/>
    </row>
    <row r="452">
      <c r="B452" s="276"/>
    </row>
    <row r="453">
      <c r="B453" s="276"/>
    </row>
    <row r="454">
      <c r="B454" s="276"/>
    </row>
    <row r="455">
      <c r="B455" s="276"/>
    </row>
    <row r="456">
      <c r="B456" s="276"/>
    </row>
    <row r="457">
      <c r="B457" s="276"/>
    </row>
    <row r="458">
      <c r="B458" s="276"/>
    </row>
    <row r="459">
      <c r="B459" s="276"/>
    </row>
    <row r="460">
      <c r="B460" s="276"/>
    </row>
    <row r="461">
      <c r="B461" s="276"/>
    </row>
    <row r="462">
      <c r="B462" s="276"/>
    </row>
    <row r="463">
      <c r="B463" s="276"/>
    </row>
    <row r="464">
      <c r="B464" s="276"/>
    </row>
    <row r="465">
      <c r="B465" s="276"/>
    </row>
    <row r="466">
      <c r="B466" s="276"/>
    </row>
    <row r="467">
      <c r="B467" s="276"/>
    </row>
    <row r="468">
      <c r="B468" s="276"/>
    </row>
    <row r="469">
      <c r="B469" s="276"/>
    </row>
    <row r="470">
      <c r="B470" s="276"/>
    </row>
    <row r="471">
      <c r="B471" s="276"/>
    </row>
    <row r="472">
      <c r="B472" s="276"/>
    </row>
    <row r="473">
      <c r="B473" s="276"/>
    </row>
    <row r="474">
      <c r="B474" s="276"/>
    </row>
    <row r="475">
      <c r="B475" s="276"/>
    </row>
    <row r="476">
      <c r="B476" s="276"/>
    </row>
    <row r="477">
      <c r="B477" s="276" t="s">
        <v>7939</v>
      </c>
    </row>
    <row r="478">
      <c r="A478" s="276" t="s">
        <v>7843</v>
      </c>
      <c r="B478" s="276">
        <v>500.0</v>
      </c>
    </row>
    <row r="479">
      <c r="A479" s="276" t="s">
        <v>7940</v>
      </c>
      <c r="B479" s="276">
        <v>4.0</v>
      </c>
    </row>
    <row r="480">
      <c r="A480" s="276" t="s">
        <v>2998</v>
      </c>
      <c r="B480" s="276">
        <v>4.0</v>
      </c>
    </row>
    <row r="481">
      <c r="A481" s="276" t="s">
        <v>2538</v>
      </c>
      <c r="B481" s="276">
        <v>3.0</v>
      </c>
    </row>
    <row r="482">
      <c r="A482" s="276" t="s">
        <v>3049</v>
      </c>
      <c r="B482" s="276">
        <v>3.0</v>
      </c>
    </row>
    <row r="483">
      <c r="A483" s="276" t="s">
        <v>7941</v>
      </c>
      <c r="B483" s="276">
        <v>3.0</v>
      </c>
    </row>
    <row r="484">
      <c r="A484" s="276" t="s">
        <v>3078</v>
      </c>
      <c r="B484" s="276">
        <v>3.0</v>
      </c>
    </row>
    <row r="485">
      <c r="A485" s="276" t="s">
        <v>1607</v>
      </c>
      <c r="B485" s="276">
        <v>3.0</v>
      </c>
    </row>
    <row r="486">
      <c r="A486" s="276" t="s">
        <v>3204</v>
      </c>
      <c r="B486" s="276">
        <v>3.0</v>
      </c>
    </row>
    <row r="487">
      <c r="A487" s="276" t="s">
        <v>1314</v>
      </c>
      <c r="B487" s="276">
        <v>3.0</v>
      </c>
    </row>
    <row r="488">
      <c r="A488" s="276" t="s">
        <v>668</v>
      </c>
      <c r="B488" s="276">
        <v>3.0</v>
      </c>
    </row>
    <row r="489">
      <c r="A489" s="276" t="s">
        <v>2505</v>
      </c>
      <c r="B489" s="276">
        <v>2.0</v>
      </c>
    </row>
    <row r="490">
      <c r="A490" s="276" t="s">
        <v>2740</v>
      </c>
      <c r="B490" s="276">
        <v>2.0</v>
      </c>
    </row>
    <row r="491">
      <c r="A491" s="276" t="s">
        <v>311</v>
      </c>
      <c r="B491" s="276">
        <v>2.0</v>
      </c>
    </row>
    <row r="492">
      <c r="A492" s="278" t="s">
        <v>457</v>
      </c>
      <c r="B492" s="276">
        <v>2.0</v>
      </c>
    </row>
    <row r="493">
      <c r="A493" s="276" t="s">
        <v>3297</v>
      </c>
      <c r="B493" s="276">
        <v>2.0</v>
      </c>
    </row>
    <row r="494">
      <c r="A494" s="276" t="s">
        <v>2965</v>
      </c>
      <c r="B494" s="276">
        <v>2.0</v>
      </c>
    </row>
    <row r="495">
      <c r="A495" s="276" t="s">
        <v>1037</v>
      </c>
      <c r="B495" s="276">
        <v>2.0</v>
      </c>
    </row>
    <row r="496">
      <c r="A496" s="276" t="s">
        <v>2385</v>
      </c>
      <c r="B496" s="276">
        <v>2.0</v>
      </c>
    </row>
    <row r="497">
      <c r="A497" s="278" t="s">
        <v>72</v>
      </c>
      <c r="B497" s="276">
        <v>2.0</v>
      </c>
    </row>
    <row r="498">
      <c r="A498" s="276" t="s">
        <v>1816</v>
      </c>
      <c r="B498" s="276">
        <v>2.0</v>
      </c>
    </row>
    <row r="499">
      <c r="A499" s="276" t="s">
        <v>2611</v>
      </c>
      <c r="B499" s="276">
        <v>2.0</v>
      </c>
    </row>
    <row r="500">
      <c r="A500" s="276" t="s">
        <v>2614</v>
      </c>
      <c r="B500" s="276">
        <v>2.0</v>
      </c>
    </row>
    <row r="501">
      <c r="A501" s="276" t="s">
        <v>2239</v>
      </c>
      <c r="B501" s="276">
        <v>2.0</v>
      </c>
    </row>
    <row r="502">
      <c r="A502" s="276" t="s">
        <v>2637</v>
      </c>
      <c r="B502" s="276">
        <v>2.0</v>
      </c>
    </row>
    <row r="503">
      <c r="A503" s="276" t="s">
        <v>2032</v>
      </c>
      <c r="B503" s="276">
        <v>2.0</v>
      </c>
    </row>
    <row r="504">
      <c r="A504" s="276" t="s">
        <v>3359</v>
      </c>
      <c r="B504" s="276">
        <v>1.0</v>
      </c>
    </row>
    <row r="505">
      <c r="A505" s="276" t="s">
        <v>7942</v>
      </c>
      <c r="B505" s="276">
        <v>1.0</v>
      </c>
    </row>
    <row r="506">
      <c r="A506" s="276" t="s">
        <v>2440</v>
      </c>
      <c r="B506" s="276">
        <v>1.0</v>
      </c>
    </row>
    <row r="507">
      <c r="A507" s="276" t="s">
        <v>1154</v>
      </c>
      <c r="B507" s="276">
        <v>1.0</v>
      </c>
    </row>
    <row r="508">
      <c r="A508" s="276" t="s">
        <v>1910</v>
      </c>
      <c r="B508" s="276">
        <v>1.0</v>
      </c>
    </row>
    <row r="509">
      <c r="A509" s="275" t="s">
        <v>2134</v>
      </c>
      <c r="B509" s="276">
        <v>1.0</v>
      </c>
    </row>
    <row r="510">
      <c r="A510" s="276" t="s">
        <v>2142</v>
      </c>
      <c r="B510" s="276">
        <v>1.0</v>
      </c>
    </row>
    <row r="511">
      <c r="A511" s="276" t="s">
        <v>1688</v>
      </c>
      <c r="B511" s="276">
        <v>1.0</v>
      </c>
    </row>
    <row r="512">
      <c r="A512" s="276" t="s">
        <v>2875</v>
      </c>
      <c r="B512" s="276">
        <v>1.0</v>
      </c>
    </row>
    <row r="513">
      <c r="A513" s="276" t="s">
        <v>2878</v>
      </c>
      <c r="B513" s="276">
        <v>1.0</v>
      </c>
    </row>
    <row r="514">
      <c r="A514" s="276" t="s">
        <v>2879</v>
      </c>
      <c r="B514" s="276">
        <v>1.0</v>
      </c>
    </row>
    <row r="515">
      <c r="A515" s="276" t="s">
        <v>2882</v>
      </c>
      <c r="B515" s="276">
        <v>1.0</v>
      </c>
    </row>
    <row r="516">
      <c r="A516" s="276" t="s">
        <v>1498</v>
      </c>
      <c r="B516" s="276">
        <v>1.0</v>
      </c>
    </row>
    <row r="517">
      <c r="A517" s="276" t="s">
        <v>1113</v>
      </c>
      <c r="B517" s="276">
        <v>1.0</v>
      </c>
    </row>
    <row r="518">
      <c r="A518" s="276" t="s">
        <v>408</v>
      </c>
      <c r="B518" s="276">
        <v>1.0</v>
      </c>
    </row>
    <row r="519">
      <c r="A519" s="276" t="s">
        <v>3097</v>
      </c>
      <c r="B519" s="276">
        <v>1.0</v>
      </c>
    </row>
    <row r="520">
      <c r="A520" s="276" t="s">
        <v>2299</v>
      </c>
      <c r="B520" s="276">
        <v>1.0</v>
      </c>
    </row>
    <row r="521">
      <c r="A521" s="276" t="s">
        <v>134</v>
      </c>
      <c r="B521" s="276">
        <v>1.0</v>
      </c>
    </row>
    <row r="522">
      <c r="A522" s="278" t="s">
        <v>806</v>
      </c>
      <c r="B522" s="276">
        <v>1.0</v>
      </c>
    </row>
    <row r="523">
      <c r="A523" s="276" t="s">
        <v>941</v>
      </c>
      <c r="B523" s="276">
        <v>1.0</v>
      </c>
    </row>
    <row r="524">
      <c r="A524" s="278" t="s">
        <v>1162</v>
      </c>
      <c r="B524" s="276">
        <v>1.0</v>
      </c>
    </row>
    <row r="525">
      <c r="A525" s="278" t="s">
        <v>257</v>
      </c>
      <c r="B525" s="276">
        <v>1.0</v>
      </c>
    </row>
    <row r="526">
      <c r="A526" s="276" t="s">
        <v>87</v>
      </c>
      <c r="B526" s="276">
        <v>1.0</v>
      </c>
    </row>
    <row r="527">
      <c r="A527" s="278" t="s">
        <v>486</v>
      </c>
      <c r="B527" s="276">
        <v>1.0</v>
      </c>
    </row>
    <row r="528">
      <c r="A528" s="278" t="s">
        <v>266</v>
      </c>
      <c r="B528" s="276">
        <v>1.0</v>
      </c>
    </row>
    <row r="529">
      <c r="A529" s="276" t="s">
        <v>817</v>
      </c>
      <c r="B529" s="276">
        <v>1.0</v>
      </c>
    </row>
    <row r="530">
      <c r="A530" s="278" t="s">
        <v>950</v>
      </c>
      <c r="B530" s="276">
        <v>1.0</v>
      </c>
    </row>
    <row r="531">
      <c r="A531" s="290" t="s">
        <v>2693</v>
      </c>
      <c r="B531" s="276">
        <v>1.0</v>
      </c>
    </row>
    <row r="532">
      <c r="A532" s="290" t="s">
        <v>2700</v>
      </c>
      <c r="B532" s="276">
        <v>1.0</v>
      </c>
    </row>
    <row r="533">
      <c r="A533" s="276" t="s">
        <v>2450</v>
      </c>
      <c r="B533" s="276">
        <v>1.0</v>
      </c>
    </row>
    <row r="534">
      <c r="A534" s="276" t="s">
        <v>2459</v>
      </c>
      <c r="B534" s="276">
        <v>1.0</v>
      </c>
    </row>
    <row r="535">
      <c r="A535" s="276" t="s">
        <v>2305</v>
      </c>
      <c r="B535" s="276">
        <v>1.0</v>
      </c>
    </row>
    <row r="536">
      <c r="A536" s="276" t="s">
        <v>488</v>
      </c>
      <c r="B536" s="276">
        <v>1.0</v>
      </c>
    </row>
    <row r="537">
      <c r="A537" s="276" t="s">
        <v>827</v>
      </c>
      <c r="B537" s="276">
        <v>1.0</v>
      </c>
    </row>
    <row r="538">
      <c r="A538" s="276" t="s">
        <v>2884</v>
      </c>
      <c r="B538" s="276">
        <v>1.0</v>
      </c>
    </row>
    <row r="539">
      <c r="A539" s="276" t="s">
        <v>2894</v>
      </c>
      <c r="B539" s="276">
        <v>1.0</v>
      </c>
    </row>
    <row r="540">
      <c r="A540" s="276" t="s">
        <v>270</v>
      </c>
      <c r="B540" s="276">
        <v>1.0</v>
      </c>
    </row>
    <row r="541">
      <c r="A541" s="276" t="s">
        <v>272</v>
      </c>
      <c r="B541" s="276">
        <v>1.0</v>
      </c>
    </row>
    <row r="542">
      <c r="A542" s="290" t="s">
        <v>282</v>
      </c>
      <c r="B542" s="276">
        <v>1.0</v>
      </c>
    </row>
    <row r="543">
      <c r="A543" s="276" t="s">
        <v>1700</v>
      </c>
      <c r="B543" s="276">
        <v>1.0</v>
      </c>
    </row>
    <row r="544">
      <c r="A544" s="276" t="s">
        <v>732</v>
      </c>
      <c r="B544" s="276">
        <v>1.0</v>
      </c>
    </row>
    <row r="545">
      <c r="A545" s="276" t="s">
        <v>2151</v>
      </c>
      <c r="B545" s="276">
        <v>1.0</v>
      </c>
    </row>
    <row r="546">
      <c r="A546" s="276" t="s">
        <v>2461</v>
      </c>
      <c r="B546" s="276">
        <v>1.0</v>
      </c>
    </row>
    <row r="547">
      <c r="A547" s="276" t="s">
        <v>832</v>
      </c>
      <c r="B547" s="276">
        <v>1.0</v>
      </c>
    </row>
    <row r="548">
      <c r="A548" s="276" t="s">
        <v>1170</v>
      </c>
      <c r="B548" s="276">
        <v>1.0</v>
      </c>
    </row>
    <row r="549">
      <c r="A549" s="276" t="s">
        <v>840</v>
      </c>
      <c r="B549" s="276">
        <v>1.0</v>
      </c>
    </row>
    <row r="550">
      <c r="A550" s="276" t="s">
        <v>3254</v>
      </c>
      <c r="B550" s="276">
        <v>1.0</v>
      </c>
    </row>
    <row r="551">
      <c r="A551" s="276" t="s">
        <v>1707</v>
      </c>
      <c r="B551" s="276">
        <v>1.0</v>
      </c>
    </row>
    <row r="552">
      <c r="A552" s="276" t="s">
        <v>1506</v>
      </c>
      <c r="B552" s="276">
        <v>1.0</v>
      </c>
    </row>
    <row r="553">
      <c r="A553" s="276" t="s">
        <v>2314</v>
      </c>
      <c r="B553" s="276">
        <v>1.0</v>
      </c>
    </row>
    <row r="554">
      <c r="A554" s="276" t="s">
        <v>3108</v>
      </c>
      <c r="B554" s="276">
        <v>1.0</v>
      </c>
    </row>
    <row r="555">
      <c r="A555" s="276" t="s">
        <v>1715</v>
      </c>
      <c r="B555" s="276">
        <v>1.0</v>
      </c>
    </row>
    <row r="556">
      <c r="A556" s="276" t="s">
        <v>1912</v>
      </c>
      <c r="B556" s="276">
        <v>1.0</v>
      </c>
    </row>
    <row r="557">
      <c r="A557" s="276" t="s">
        <v>3367</v>
      </c>
      <c r="B557" s="276">
        <v>1.0</v>
      </c>
    </row>
    <row r="558">
      <c r="A558" s="276" t="s">
        <v>2164</v>
      </c>
      <c r="B558" s="276">
        <v>1.0</v>
      </c>
    </row>
    <row r="559">
      <c r="A559" s="276" t="s">
        <v>2176</v>
      </c>
      <c r="B559" s="276">
        <v>1.0</v>
      </c>
    </row>
    <row r="560">
      <c r="A560" s="276" t="s">
        <v>563</v>
      </c>
      <c r="B560" s="276">
        <v>1.0</v>
      </c>
    </row>
    <row r="561">
      <c r="A561" s="276" t="s">
        <v>3378</v>
      </c>
      <c r="B561" s="276">
        <v>1.0</v>
      </c>
    </row>
    <row r="562">
      <c r="A562" s="276" t="s">
        <v>955</v>
      </c>
      <c r="B562" s="276">
        <v>1.0</v>
      </c>
    </row>
    <row r="563">
      <c r="A563" s="276" t="s">
        <v>1734</v>
      </c>
      <c r="B563" s="276">
        <v>1.0</v>
      </c>
    </row>
    <row r="564">
      <c r="A564" s="276" t="s">
        <v>95</v>
      </c>
      <c r="B564" s="276">
        <v>1.0</v>
      </c>
    </row>
    <row r="565">
      <c r="A565" s="276" t="s">
        <v>2895</v>
      </c>
      <c r="B565" s="276">
        <v>1.0</v>
      </c>
    </row>
    <row r="566">
      <c r="A566" s="276" t="s">
        <v>2465</v>
      </c>
      <c r="B566" s="276">
        <v>1.0</v>
      </c>
    </row>
    <row r="567">
      <c r="A567" s="276" t="s">
        <v>2325</v>
      </c>
      <c r="B567" s="276">
        <v>1.0</v>
      </c>
    </row>
    <row r="568">
      <c r="A568" s="276" t="s">
        <v>3116</v>
      </c>
      <c r="B568" s="276">
        <v>1.0</v>
      </c>
    </row>
    <row r="569">
      <c r="A569" s="276" t="s">
        <v>1367</v>
      </c>
      <c r="B569" s="276">
        <v>1.0</v>
      </c>
    </row>
    <row r="570">
      <c r="A570" s="276" t="s">
        <v>143</v>
      </c>
      <c r="B570" s="276">
        <v>1.0</v>
      </c>
    </row>
    <row r="571">
      <c r="A571" s="276" t="s">
        <v>157</v>
      </c>
      <c r="B571" s="276">
        <v>1.0</v>
      </c>
    </row>
    <row r="572">
      <c r="A572" s="276" t="s">
        <v>3385</v>
      </c>
      <c r="B572" s="276">
        <v>1.0</v>
      </c>
    </row>
    <row r="573">
      <c r="A573" s="276" t="s">
        <v>168</v>
      </c>
      <c r="B573" s="276">
        <v>1.0</v>
      </c>
    </row>
    <row r="574">
      <c r="A574" s="276" t="s">
        <v>3386</v>
      </c>
      <c r="B574" s="276">
        <v>1.0</v>
      </c>
    </row>
    <row r="575">
      <c r="A575" s="276" t="s">
        <v>1510</v>
      </c>
      <c r="B575" s="276">
        <v>1.0</v>
      </c>
    </row>
    <row r="576">
      <c r="A576" s="276" t="s">
        <v>1519</v>
      </c>
      <c r="B576" s="276">
        <v>1.0</v>
      </c>
    </row>
    <row r="577">
      <c r="A577" s="276" t="s">
        <v>1375</v>
      </c>
      <c r="B577" s="276">
        <v>1.0</v>
      </c>
    </row>
    <row r="578">
      <c r="A578" s="276" t="s">
        <v>175</v>
      </c>
      <c r="B578" s="276">
        <v>1.0</v>
      </c>
    </row>
    <row r="579">
      <c r="A579" s="276" t="s">
        <v>743</v>
      </c>
      <c r="B579" s="276">
        <v>1.0</v>
      </c>
    </row>
    <row r="580">
      <c r="A580" s="276" t="s">
        <v>499</v>
      </c>
      <c r="B580" s="276">
        <v>1.0</v>
      </c>
    </row>
    <row r="581">
      <c r="A581" s="276" t="s">
        <v>963</v>
      </c>
      <c r="B581" s="276">
        <v>1.0</v>
      </c>
    </row>
    <row r="582">
      <c r="A582" s="276" t="s">
        <v>845</v>
      </c>
      <c r="B582" s="276">
        <v>1.0</v>
      </c>
    </row>
    <row r="583">
      <c r="A583" s="276" t="s">
        <v>572</v>
      </c>
      <c r="B583" s="276">
        <v>1.0</v>
      </c>
    </row>
    <row r="584">
      <c r="A584" s="276" t="s">
        <v>2179</v>
      </c>
      <c r="B584" s="276">
        <v>1.0</v>
      </c>
    </row>
    <row r="585">
      <c r="A585" s="276" t="s">
        <v>582</v>
      </c>
      <c r="B585" s="276">
        <v>1.0</v>
      </c>
    </row>
    <row r="586">
      <c r="A586" s="290" t="s">
        <v>2474</v>
      </c>
      <c r="B586" s="276">
        <v>1.0</v>
      </c>
    </row>
    <row r="587">
      <c r="A587" s="290" t="s">
        <v>2484</v>
      </c>
      <c r="B587" s="276">
        <v>1.0</v>
      </c>
    </row>
    <row r="588">
      <c r="A588" s="290" t="s">
        <v>2487</v>
      </c>
      <c r="B588" s="276">
        <v>1.0</v>
      </c>
    </row>
    <row r="589">
      <c r="A589" s="290" t="s">
        <v>2490</v>
      </c>
      <c r="B589" s="276">
        <v>1.0</v>
      </c>
    </row>
    <row r="590">
      <c r="A590" s="290" t="s">
        <v>2493</v>
      </c>
      <c r="B590" s="276">
        <v>1.0</v>
      </c>
    </row>
    <row r="591">
      <c r="A591" s="276" t="s">
        <v>2496</v>
      </c>
      <c r="B591" s="276">
        <v>1.0</v>
      </c>
    </row>
    <row r="592">
      <c r="A592" s="276" t="s">
        <v>2701</v>
      </c>
      <c r="B592" s="276">
        <v>1.0</v>
      </c>
    </row>
    <row r="593">
      <c r="A593" s="276" t="s">
        <v>2903</v>
      </c>
      <c r="B593" s="276">
        <v>1.0</v>
      </c>
    </row>
    <row r="594">
      <c r="A594" s="276" t="s">
        <v>2333</v>
      </c>
      <c r="B594" s="276">
        <v>1.0</v>
      </c>
    </row>
    <row r="595">
      <c r="A595" s="276" t="s">
        <v>3125</v>
      </c>
      <c r="B595" s="276">
        <v>1.0</v>
      </c>
    </row>
    <row r="596">
      <c r="A596" s="276" t="s">
        <v>1521</v>
      </c>
      <c r="B596" s="276">
        <v>1.0</v>
      </c>
    </row>
    <row r="597">
      <c r="A597" s="276" t="s">
        <v>1385</v>
      </c>
      <c r="B597" s="276">
        <v>1.0</v>
      </c>
    </row>
    <row r="598">
      <c r="A598" s="276" t="s">
        <v>3133</v>
      </c>
      <c r="B598" s="276">
        <v>1.0</v>
      </c>
    </row>
    <row r="599">
      <c r="A599" s="276" t="s">
        <v>3137</v>
      </c>
      <c r="B599" s="276">
        <v>1.0</v>
      </c>
    </row>
    <row r="600">
      <c r="A600" s="276" t="s">
        <v>1725</v>
      </c>
      <c r="B600" s="276">
        <v>1.0</v>
      </c>
    </row>
    <row r="601">
      <c r="A601" s="276" t="s">
        <v>1527</v>
      </c>
      <c r="B601" s="276">
        <v>1.0</v>
      </c>
    </row>
    <row r="602">
      <c r="A602" s="276" t="s">
        <v>2703</v>
      </c>
      <c r="B602" s="276">
        <v>1.0</v>
      </c>
    </row>
    <row r="603">
      <c r="A603" s="276" t="s">
        <v>2519</v>
      </c>
      <c r="B603" s="276">
        <v>1.0</v>
      </c>
    </row>
    <row r="604">
      <c r="A604" s="276" t="s">
        <v>2188</v>
      </c>
      <c r="B604" s="276">
        <v>1.0</v>
      </c>
    </row>
    <row r="605">
      <c r="A605" s="276" t="s">
        <v>2529</v>
      </c>
      <c r="B605" s="276">
        <v>1.0</v>
      </c>
    </row>
    <row r="606">
      <c r="A606" s="276" t="s">
        <v>2531</v>
      </c>
      <c r="B606" s="276">
        <v>1.0</v>
      </c>
    </row>
    <row r="607">
      <c r="A607" s="290" t="s">
        <v>2533</v>
      </c>
      <c r="B607" s="276">
        <v>1.0</v>
      </c>
    </row>
    <row r="608">
      <c r="A608" s="276" t="s">
        <v>2535</v>
      </c>
      <c r="B608" s="276">
        <v>1.0</v>
      </c>
    </row>
    <row r="609">
      <c r="A609" s="290" t="s">
        <v>2710</v>
      </c>
      <c r="B609" s="276">
        <v>1.0</v>
      </c>
    </row>
    <row r="610">
      <c r="A610" s="276" t="s">
        <v>3143</v>
      </c>
      <c r="B610" s="276">
        <v>1.0</v>
      </c>
    </row>
    <row r="611">
      <c r="A611" s="276" t="s">
        <v>2719</v>
      </c>
      <c r="B611" s="276">
        <v>1.0</v>
      </c>
    </row>
    <row r="612">
      <c r="A612" s="276" t="s">
        <v>1394</v>
      </c>
      <c r="B612" s="276">
        <v>1.0</v>
      </c>
    </row>
    <row r="613">
      <c r="A613" s="276" t="s">
        <v>973</v>
      </c>
      <c r="B613" s="276">
        <v>1.0</v>
      </c>
    </row>
    <row r="614">
      <c r="A614" s="276" t="s">
        <v>587</v>
      </c>
      <c r="B614" s="276">
        <v>1.0</v>
      </c>
    </row>
    <row r="615">
      <c r="A615" s="276" t="s">
        <v>2721</v>
      </c>
      <c r="B615" s="276">
        <v>1.0</v>
      </c>
    </row>
    <row r="616">
      <c r="A616" s="276" t="s">
        <v>2194</v>
      </c>
      <c r="B616" s="276">
        <v>1.0</v>
      </c>
    </row>
    <row r="617">
      <c r="A617" s="276" t="s">
        <v>2204</v>
      </c>
      <c r="B617" s="276">
        <v>1.0</v>
      </c>
    </row>
    <row r="618">
      <c r="A618" s="290" t="s">
        <v>2207</v>
      </c>
      <c r="B618" s="276">
        <v>1.0</v>
      </c>
    </row>
    <row r="619">
      <c r="A619" s="276" t="s">
        <v>3269</v>
      </c>
      <c r="B619" s="276">
        <v>1.0</v>
      </c>
    </row>
    <row r="620">
      <c r="A620" s="276" t="s">
        <v>2210</v>
      </c>
      <c r="B620" s="276">
        <v>1.0</v>
      </c>
    </row>
    <row r="621">
      <c r="A621" s="276" t="s">
        <v>2213</v>
      </c>
      <c r="B621" s="276">
        <v>1.0</v>
      </c>
    </row>
    <row r="622">
      <c r="A622" s="276" t="s">
        <v>1532</v>
      </c>
      <c r="B622" s="276">
        <v>1.0</v>
      </c>
    </row>
    <row r="623">
      <c r="A623" s="290" t="s">
        <v>2544</v>
      </c>
      <c r="B623" s="276">
        <v>1.0</v>
      </c>
    </row>
    <row r="624">
      <c r="A624" s="276" t="s">
        <v>1742</v>
      </c>
      <c r="B624" s="276">
        <v>1.0</v>
      </c>
    </row>
    <row r="625">
      <c r="A625" s="276" t="s">
        <v>185</v>
      </c>
      <c r="B625" s="276">
        <v>1.0</v>
      </c>
    </row>
    <row r="626">
      <c r="A626" s="276" t="s">
        <v>849</v>
      </c>
      <c r="B626" s="276">
        <v>1.0</v>
      </c>
    </row>
    <row r="627">
      <c r="A627" s="276" t="s">
        <v>3151</v>
      </c>
      <c r="B627" s="276">
        <v>1.0</v>
      </c>
    </row>
    <row r="628">
      <c r="A628" s="290" t="s">
        <v>2554</v>
      </c>
      <c r="B628" s="276">
        <v>1.0</v>
      </c>
    </row>
    <row r="629">
      <c r="A629" s="276" t="s">
        <v>2557</v>
      </c>
      <c r="B629" s="276">
        <v>1.0</v>
      </c>
    </row>
    <row r="630">
      <c r="A630" s="276" t="s">
        <v>2558</v>
      </c>
      <c r="B630" s="276">
        <v>1.0</v>
      </c>
    </row>
    <row r="631">
      <c r="A631" s="276" t="s">
        <v>3388</v>
      </c>
      <c r="B631" s="276">
        <v>1.0</v>
      </c>
    </row>
    <row r="632">
      <c r="A632" s="276" t="s">
        <v>2339</v>
      </c>
      <c r="B632" s="276">
        <v>1.0</v>
      </c>
    </row>
    <row r="633">
      <c r="A633" s="276" t="s">
        <v>1918</v>
      </c>
      <c r="B633" s="276">
        <v>1.0</v>
      </c>
    </row>
    <row r="634">
      <c r="A634" s="276" t="s">
        <v>1178</v>
      </c>
      <c r="B634" s="276">
        <v>1.0</v>
      </c>
    </row>
    <row r="635">
      <c r="A635" s="276" t="s">
        <v>418</v>
      </c>
      <c r="B635" s="276">
        <v>1.0</v>
      </c>
    </row>
    <row r="636">
      <c r="A636" s="276" t="s">
        <v>429</v>
      </c>
      <c r="B636" s="276">
        <v>1.0</v>
      </c>
    </row>
    <row r="637">
      <c r="A637" s="276" t="s">
        <v>2066</v>
      </c>
      <c r="B637" s="276">
        <v>1.0</v>
      </c>
    </row>
    <row r="638">
      <c r="A638" s="276" t="s">
        <v>590</v>
      </c>
      <c r="B638" s="276">
        <v>1.0</v>
      </c>
    </row>
    <row r="639">
      <c r="A639" s="276" t="s">
        <v>594</v>
      </c>
      <c r="B639" s="276">
        <v>1.0</v>
      </c>
    </row>
    <row r="640">
      <c r="A640" s="276" t="s">
        <v>1404</v>
      </c>
      <c r="B640" s="276">
        <v>1.0</v>
      </c>
    </row>
    <row r="641">
      <c r="A641" s="276" t="s">
        <v>859</v>
      </c>
      <c r="B641" s="276">
        <v>1.0</v>
      </c>
    </row>
    <row r="642">
      <c r="A642" s="276" t="s">
        <v>3275</v>
      </c>
      <c r="B642" s="276">
        <v>1.0</v>
      </c>
    </row>
    <row r="643">
      <c r="A643" s="276" t="s">
        <v>2725</v>
      </c>
      <c r="B643" s="276">
        <v>1.0</v>
      </c>
    </row>
    <row r="644">
      <c r="A644" s="276" t="s">
        <v>2909</v>
      </c>
      <c r="B644" s="276">
        <v>1.0</v>
      </c>
    </row>
    <row r="645">
      <c r="A645" s="276" t="s">
        <v>2918</v>
      </c>
      <c r="B645" s="276">
        <v>1.0</v>
      </c>
    </row>
    <row r="646">
      <c r="A646" s="276" t="s">
        <v>2923</v>
      </c>
      <c r="B646" s="276">
        <v>1.0</v>
      </c>
    </row>
    <row r="647">
      <c r="A647" s="276" t="s">
        <v>290</v>
      </c>
      <c r="B647" s="276">
        <v>1.0</v>
      </c>
    </row>
    <row r="648">
      <c r="A648" s="276" t="s">
        <v>299</v>
      </c>
      <c r="B648" s="276">
        <v>1.0</v>
      </c>
    </row>
    <row r="649">
      <c r="A649" s="276" t="s">
        <v>597</v>
      </c>
      <c r="B649" s="276">
        <v>1.0</v>
      </c>
    </row>
    <row r="650">
      <c r="A650" s="276" t="s">
        <v>2931</v>
      </c>
      <c r="B650" s="276">
        <v>1.0</v>
      </c>
    </row>
    <row r="651">
      <c r="A651" s="276" t="s">
        <v>983</v>
      </c>
      <c r="B651" s="276">
        <v>1.0</v>
      </c>
    </row>
    <row r="652">
      <c r="A652" s="276" t="s">
        <v>2939</v>
      </c>
      <c r="B652" s="276">
        <v>1.0</v>
      </c>
    </row>
    <row r="653">
      <c r="A653" s="276" t="s">
        <v>2945</v>
      </c>
      <c r="B653" s="276">
        <v>1.0</v>
      </c>
    </row>
    <row r="654">
      <c r="A654" s="276" t="s">
        <v>2035</v>
      </c>
      <c r="B654" s="276">
        <v>1.0</v>
      </c>
    </row>
    <row r="655">
      <c r="A655" s="276" t="s">
        <v>2036</v>
      </c>
      <c r="B655" s="276">
        <v>1.0</v>
      </c>
    </row>
    <row r="656">
      <c r="A656" s="276" t="s">
        <v>2344</v>
      </c>
      <c r="B656" s="276">
        <v>1.0</v>
      </c>
    </row>
    <row r="657">
      <c r="A657" s="276" t="s">
        <v>2560</v>
      </c>
      <c r="B657" s="276">
        <v>1.0</v>
      </c>
    </row>
    <row r="658">
      <c r="A658" s="276" t="s">
        <v>2562</v>
      </c>
      <c r="B658" s="276">
        <v>1.0</v>
      </c>
    </row>
    <row r="659">
      <c r="A659" s="276" t="s">
        <v>993</v>
      </c>
      <c r="B659" s="276">
        <v>1.0</v>
      </c>
    </row>
    <row r="660">
      <c r="A660" s="276" t="s">
        <v>1005</v>
      </c>
      <c r="B660" s="276">
        <v>1.0</v>
      </c>
    </row>
    <row r="661">
      <c r="A661" s="290" t="s">
        <v>2733</v>
      </c>
      <c r="B661" s="276">
        <v>1.0</v>
      </c>
    </row>
    <row r="662">
      <c r="A662" s="290" t="s">
        <v>2734</v>
      </c>
      <c r="B662" s="276">
        <v>1.0</v>
      </c>
    </row>
    <row r="663">
      <c r="A663" s="290" t="s">
        <v>2735</v>
      </c>
      <c r="B663" s="276">
        <v>1.0</v>
      </c>
    </row>
    <row r="664">
      <c r="A664" s="276" t="s">
        <v>869</v>
      </c>
      <c r="B664" s="276">
        <v>1.0</v>
      </c>
    </row>
    <row r="665">
      <c r="A665" s="276" t="s">
        <v>3396</v>
      </c>
      <c r="B665" s="276">
        <v>1.0</v>
      </c>
    </row>
    <row r="666">
      <c r="A666" s="276" t="s">
        <v>3406</v>
      </c>
      <c r="B666" s="276">
        <v>1.0</v>
      </c>
    </row>
    <row r="667">
      <c r="A667" s="276" t="s">
        <v>3409</v>
      </c>
      <c r="B667" s="276">
        <v>1.0</v>
      </c>
    </row>
    <row r="668">
      <c r="A668" s="276" t="s">
        <v>3412</v>
      </c>
      <c r="B668" s="276">
        <v>1.0</v>
      </c>
    </row>
    <row r="669">
      <c r="A669" s="276" t="s">
        <v>3414</v>
      </c>
      <c r="B669" s="276">
        <v>1.0</v>
      </c>
    </row>
    <row r="670">
      <c r="A670" s="276" t="s">
        <v>3416</v>
      </c>
      <c r="B670" s="276">
        <v>1.0</v>
      </c>
    </row>
    <row r="671">
      <c r="A671" s="276" t="s">
        <v>3418</v>
      </c>
      <c r="B671" s="276">
        <v>1.0</v>
      </c>
    </row>
    <row r="672">
      <c r="A672" s="276" t="s">
        <v>3420</v>
      </c>
      <c r="B672" s="276">
        <v>1.0</v>
      </c>
    </row>
    <row r="673">
      <c r="A673" s="276" t="s">
        <v>3422</v>
      </c>
      <c r="B673" s="276">
        <v>1.0</v>
      </c>
    </row>
    <row r="674">
      <c r="A674" s="276" t="s">
        <v>2946</v>
      </c>
      <c r="B674" s="276">
        <v>1.0</v>
      </c>
    </row>
    <row r="675">
      <c r="A675" s="276" t="s">
        <v>7943</v>
      </c>
      <c r="B675" s="276">
        <v>1.0</v>
      </c>
    </row>
    <row r="676">
      <c r="A676" s="276" t="s">
        <v>2216</v>
      </c>
      <c r="B676" s="276">
        <v>1.0</v>
      </c>
    </row>
    <row r="677">
      <c r="A677" s="276" t="s">
        <v>1751</v>
      </c>
      <c r="B677" s="276">
        <v>1.0</v>
      </c>
    </row>
    <row r="678">
      <c r="A678" s="276" t="s">
        <v>3424</v>
      </c>
      <c r="B678" s="276">
        <v>1.0</v>
      </c>
    </row>
    <row r="679">
      <c r="A679" s="276" t="s">
        <v>1187</v>
      </c>
      <c r="B679" s="276">
        <v>1.0</v>
      </c>
    </row>
    <row r="680">
      <c r="A680" s="276" t="s">
        <v>1540</v>
      </c>
      <c r="B680" s="276">
        <v>1.0</v>
      </c>
    </row>
    <row r="681">
      <c r="A681" s="276" t="s">
        <v>3159</v>
      </c>
      <c r="B681" s="276">
        <v>1.0</v>
      </c>
    </row>
    <row r="682">
      <c r="A682" s="276" t="s">
        <v>605</v>
      </c>
      <c r="B682" s="276">
        <v>1.0</v>
      </c>
    </row>
    <row r="683">
      <c r="A683" s="276" t="s">
        <v>109</v>
      </c>
      <c r="B683" s="276">
        <v>1.0</v>
      </c>
    </row>
    <row r="684">
      <c r="A684" s="276" t="s">
        <v>3283</v>
      </c>
      <c r="B684" s="276">
        <v>1.0</v>
      </c>
    </row>
    <row r="685">
      <c r="A685" s="276" t="s">
        <v>7944</v>
      </c>
      <c r="B685" s="276">
        <v>1.0</v>
      </c>
    </row>
    <row r="686">
      <c r="A686" s="276" t="s">
        <v>1412</v>
      </c>
      <c r="B686" s="276">
        <v>1.0</v>
      </c>
    </row>
    <row r="687">
      <c r="A687" s="276" t="s">
        <v>1758</v>
      </c>
      <c r="B687" s="276">
        <v>1.0</v>
      </c>
    </row>
    <row r="688">
      <c r="A688" s="276" t="s">
        <v>3433</v>
      </c>
      <c r="B688" s="276">
        <v>1.0</v>
      </c>
    </row>
    <row r="689">
      <c r="A689" s="276" t="s">
        <v>7945</v>
      </c>
      <c r="B689" s="276">
        <v>1.0</v>
      </c>
    </row>
    <row r="690">
      <c r="A690" s="276" t="s">
        <v>3162</v>
      </c>
      <c r="B690" s="276">
        <v>1.0</v>
      </c>
    </row>
    <row r="691">
      <c r="A691" s="276" t="s">
        <v>2222</v>
      </c>
      <c r="B691" s="276">
        <v>1.0</v>
      </c>
    </row>
    <row r="692">
      <c r="A692" s="276" t="s">
        <v>1195</v>
      </c>
      <c r="B692" s="276">
        <v>1.0</v>
      </c>
    </row>
    <row r="693">
      <c r="A693" s="276" t="s">
        <v>1763</v>
      </c>
      <c r="B693" s="276">
        <v>1.0</v>
      </c>
    </row>
    <row r="694">
      <c r="A694" s="276" t="s">
        <v>507</v>
      </c>
      <c r="B694" s="276">
        <v>1.0</v>
      </c>
    </row>
    <row r="695">
      <c r="A695" s="276" t="s">
        <v>2565</v>
      </c>
      <c r="B695" s="276">
        <v>1.0</v>
      </c>
    </row>
    <row r="696">
      <c r="A696" s="276" t="s">
        <v>2354</v>
      </c>
      <c r="B696" s="276">
        <v>1.0</v>
      </c>
    </row>
    <row r="697">
      <c r="A697" s="276" t="s">
        <v>3442</v>
      </c>
      <c r="B697" s="276">
        <v>1.0</v>
      </c>
    </row>
    <row r="698">
      <c r="A698" s="276" t="s">
        <v>880</v>
      </c>
      <c r="B698" s="276">
        <v>1.0</v>
      </c>
    </row>
    <row r="699">
      <c r="A699" s="276" t="s">
        <v>2736</v>
      </c>
      <c r="B699" s="276">
        <v>1.0</v>
      </c>
    </row>
    <row r="700">
      <c r="A700" s="276" t="s">
        <v>2571</v>
      </c>
      <c r="B700" s="276">
        <v>1.0</v>
      </c>
    </row>
    <row r="701">
      <c r="A701" s="276" t="s">
        <v>2957</v>
      </c>
      <c r="B701" s="276">
        <v>1.0</v>
      </c>
    </row>
    <row r="702">
      <c r="A702" s="276" t="s">
        <v>884</v>
      </c>
      <c r="B702" s="276">
        <v>1.0</v>
      </c>
    </row>
    <row r="703">
      <c r="A703" s="276" t="s">
        <v>445</v>
      </c>
      <c r="B703" s="276">
        <v>1.0</v>
      </c>
    </row>
    <row r="704">
      <c r="A704" s="276" t="s">
        <v>607</v>
      </c>
      <c r="B704" s="276">
        <v>1.0</v>
      </c>
    </row>
    <row r="705">
      <c r="A705" s="276" t="s">
        <v>3053</v>
      </c>
      <c r="B705" s="276">
        <v>1.0</v>
      </c>
    </row>
    <row r="706">
      <c r="A706" s="276" t="s">
        <v>617</v>
      </c>
      <c r="B706" s="276">
        <v>1.0</v>
      </c>
    </row>
    <row r="707">
      <c r="A707" s="276" t="s">
        <v>553</v>
      </c>
      <c r="B707" s="276">
        <v>1.0</v>
      </c>
    </row>
    <row r="708">
      <c r="A708" s="276" t="s">
        <v>1421</v>
      </c>
      <c r="B708" s="276">
        <v>1.0</v>
      </c>
    </row>
    <row r="709">
      <c r="A709" s="290" t="s">
        <v>2741</v>
      </c>
      <c r="B709" s="276">
        <v>1.0</v>
      </c>
    </row>
    <row r="710">
      <c r="A710" s="276" t="s">
        <v>753</v>
      </c>
      <c r="B710" s="276">
        <v>1.0</v>
      </c>
    </row>
    <row r="711">
      <c r="A711" s="276" t="s">
        <v>3169</v>
      </c>
      <c r="B711" s="276">
        <v>1.0</v>
      </c>
    </row>
    <row r="712">
      <c r="A712" s="276" t="s">
        <v>1547</v>
      </c>
      <c r="B712" s="276">
        <v>1.0</v>
      </c>
    </row>
    <row r="713">
      <c r="A713" s="276" t="s">
        <v>2286</v>
      </c>
      <c r="B713" s="276">
        <v>1.0</v>
      </c>
    </row>
    <row r="714">
      <c r="A714" s="290" t="s">
        <v>2751</v>
      </c>
      <c r="B714" s="276">
        <v>1.0</v>
      </c>
    </row>
    <row r="715">
      <c r="A715" s="278" t="s">
        <v>509</v>
      </c>
      <c r="B715" s="276">
        <v>1.0</v>
      </c>
    </row>
    <row r="716">
      <c r="A716" s="276" t="s">
        <v>1557</v>
      </c>
      <c r="B716" s="276">
        <v>1.0</v>
      </c>
    </row>
    <row r="717">
      <c r="A717" s="276" t="s">
        <v>3289</v>
      </c>
      <c r="B717" s="276">
        <v>1.0</v>
      </c>
    </row>
    <row r="718">
      <c r="A718" s="276" t="s">
        <v>1772</v>
      </c>
      <c r="B718" s="276">
        <v>1.0</v>
      </c>
    </row>
    <row r="719">
      <c r="A719" s="276" t="s">
        <v>7946</v>
      </c>
      <c r="B719" s="276">
        <v>1.0</v>
      </c>
    </row>
    <row r="720">
      <c r="A720" s="276" t="s">
        <v>2753</v>
      </c>
      <c r="B720" s="276">
        <v>1.0</v>
      </c>
    </row>
    <row r="721">
      <c r="A721" s="276" t="s">
        <v>3263</v>
      </c>
      <c r="B721" s="276">
        <v>1.0</v>
      </c>
    </row>
    <row r="722">
      <c r="A722" s="276" t="s">
        <v>1202</v>
      </c>
      <c r="B722" s="276">
        <v>1.0</v>
      </c>
    </row>
    <row r="723">
      <c r="A723" s="276" t="s">
        <v>2579</v>
      </c>
      <c r="B723" s="276">
        <v>1.0</v>
      </c>
    </row>
    <row r="724">
      <c r="A724" s="276" t="s">
        <v>770</v>
      </c>
      <c r="B724" s="276">
        <v>1.0</v>
      </c>
    </row>
    <row r="725">
      <c r="A725" s="290" t="s">
        <v>2761</v>
      </c>
      <c r="B725" s="276">
        <v>1.0</v>
      </c>
    </row>
    <row r="726">
      <c r="A726" s="276" t="s">
        <v>1567</v>
      </c>
      <c r="B726" s="276">
        <v>1.0</v>
      </c>
    </row>
    <row r="727">
      <c r="A727" s="276" t="s">
        <v>1572</v>
      </c>
      <c r="B727" s="276">
        <v>1.0</v>
      </c>
    </row>
    <row r="728">
      <c r="A728" s="276" t="s">
        <v>7947</v>
      </c>
      <c r="B728" s="276">
        <v>1.0</v>
      </c>
    </row>
    <row r="729">
      <c r="A729" s="276" t="s">
        <v>3178</v>
      </c>
      <c r="B729" s="276">
        <v>1.0</v>
      </c>
    </row>
    <row r="730">
      <c r="A730" s="278" t="s">
        <v>518</v>
      </c>
      <c r="B730" s="276">
        <v>1.0</v>
      </c>
    </row>
    <row r="731">
      <c r="A731" s="276" t="s">
        <v>2769</v>
      </c>
      <c r="B731" s="276">
        <v>1.0</v>
      </c>
    </row>
    <row r="732">
      <c r="A732" s="276" t="s">
        <v>1938</v>
      </c>
      <c r="B732" s="276">
        <v>1.0</v>
      </c>
    </row>
    <row r="733">
      <c r="A733" s="276" t="s">
        <v>2582</v>
      </c>
      <c r="B733" s="276">
        <v>1.0</v>
      </c>
    </row>
    <row r="734">
      <c r="A734" s="276" t="s">
        <v>2584</v>
      </c>
      <c r="B734" s="276">
        <v>1.0</v>
      </c>
    </row>
    <row r="735">
      <c r="A735" s="276" t="s">
        <v>781</v>
      </c>
      <c r="B735" s="276">
        <v>1.0</v>
      </c>
    </row>
    <row r="736">
      <c r="A736" s="276" t="s">
        <v>48</v>
      </c>
      <c r="B736" s="276">
        <v>1.0</v>
      </c>
    </row>
    <row r="737">
      <c r="A737" s="276" t="s">
        <v>1783</v>
      </c>
      <c r="B737" s="276">
        <v>1.0</v>
      </c>
    </row>
    <row r="738">
      <c r="A738" s="276" t="s">
        <v>3189</v>
      </c>
      <c r="B738" s="276">
        <v>1.0</v>
      </c>
    </row>
    <row r="739">
      <c r="A739" s="276" t="s">
        <v>620</v>
      </c>
      <c r="B739" s="276">
        <v>1.0</v>
      </c>
    </row>
    <row r="740">
      <c r="A740" s="276" t="s">
        <v>1207</v>
      </c>
      <c r="B740" s="276">
        <v>1.0</v>
      </c>
    </row>
    <row r="741">
      <c r="A741" s="276" t="s">
        <v>1017</v>
      </c>
      <c r="B741" s="276">
        <v>1.0</v>
      </c>
    </row>
    <row r="742">
      <c r="A742" s="290" t="s">
        <v>2775</v>
      </c>
      <c r="B742" s="276">
        <v>1.0</v>
      </c>
    </row>
    <row r="743">
      <c r="A743" s="290" t="s">
        <v>2776</v>
      </c>
      <c r="B743" s="276">
        <v>1.0</v>
      </c>
    </row>
    <row r="744">
      <c r="A744" s="276" t="s">
        <v>3453</v>
      </c>
      <c r="B744" s="276">
        <v>1.0</v>
      </c>
    </row>
    <row r="745">
      <c r="A745" s="276" t="s">
        <v>1443</v>
      </c>
      <c r="B745" s="276">
        <v>1.0</v>
      </c>
    </row>
    <row r="746">
      <c r="A746" s="276" t="s">
        <v>2979</v>
      </c>
      <c r="B746" s="276">
        <v>1.0</v>
      </c>
    </row>
    <row r="747">
      <c r="A747" s="276" t="s">
        <v>2981</v>
      </c>
      <c r="B747" s="276">
        <v>1.0</v>
      </c>
    </row>
    <row r="748">
      <c r="A748" s="276" t="s">
        <v>2982</v>
      </c>
      <c r="B748" s="276">
        <v>1.0</v>
      </c>
    </row>
    <row r="749">
      <c r="A749" s="276" t="s">
        <v>2983</v>
      </c>
      <c r="B749" s="276">
        <v>1.0</v>
      </c>
    </row>
    <row r="750">
      <c r="A750" s="276" t="s">
        <v>1218</v>
      </c>
      <c r="B750" s="276">
        <v>1.0</v>
      </c>
    </row>
    <row r="751">
      <c r="A751" s="290" t="s">
        <v>2778</v>
      </c>
      <c r="B751" s="276">
        <v>1.0</v>
      </c>
    </row>
    <row r="752">
      <c r="A752" s="276" t="s">
        <v>2126</v>
      </c>
      <c r="B752" s="276">
        <v>1.0</v>
      </c>
    </row>
    <row r="753">
      <c r="A753" s="276" t="s">
        <v>3194</v>
      </c>
      <c r="B753" s="276">
        <v>1.0</v>
      </c>
    </row>
    <row r="754">
      <c r="A754" s="276" t="s">
        <v>1791</v>
      </c>
      <c r="B754" s="276">
        <v>1.0</v>
      </c>
    </row>
    <row r="755">
      <c r="A755" s="290" t="s">
        <v>324</v>
      </c>
      <c r="B755" s="276">
        <v>1.0</v>
      </c>
    </row>
    <row r="756">
      <c r="A756" s="276" t="s">
        <v>529</v>
      </c>
      <c r="B756" s="276">
        <v>1.0</v>
      </c>
    </row>
    <row r="757">
      <c r="A757" s="276" t="s">
        <v>2363</v>
      </c>
      <c r="B757" s="276">
        <v>1.0</v>
      </c>
    </row>
    <row r="758">
      <c r="A758" s="276" t="s">
        <v>2374</v>
      </c>
      <c r="B758" s="276">
        <v>1.0</v>
      </c>
    </row>
    <row r="759">
      <c r="A759" s="276" t="s">
        <v>1450</v>
      </c>
      <c r="B759" s="276">
        <v>1.0</v>
      </c>
    </row>
    <row r="760">
      <c r="A760" s="276" t="s">
        <v>2593</v>
      </c>
      <c r="B760" s="276">
        <v>1.0</v>
      </c>
    </row>
    <row r="761">
      <c r="A761" s="278" t="s">
        <v>115</v>
      </c>
      <c r="B761" s="276">
        <v>1.0</v>
      </c>
    </row>
    <row r="762">
      <c r="A762" s="276" t="s">
        <v>1027</v>
      </c>
      <c r="B762" s="276">
        <v>1.0</v>
      </c>
    </row>
    <row r="763">
      <c r="A763" s="276" t="s">
        <v>714</v>
      </c>
      <c r="B763" s="276">
        <v>1.0</v>
      </c>
    </row>
    <row r="764">
      <c r="A764" s="290" t="s">
        <v>2779</v>
      </c>
      <c r="B764" s="276">
        <v>1.0</v>
      </c>
    </row>
    <row r="765">
      <c r="A765" s="276" t="s">
        <v>635</v>
      </c>
      <c r="B765" s="276">
        <v>1.0</v>
      </c>
    </row>
    <row r="766">
      <c r="A766" s="290" t="s">
        <v>2787</v>
      </c>
      <c r="B766" s="276">
        <v>1.0</v>
      </c>
    </row>
    <row r="767">
      <c r="A767" s="276" t="s">
        <v>199</v>
      </c>
      <c r="B767" s="276">
        <v>1.0</v>
      </c>
    </row>
    <row r="768">
      <c r="A768" s="276" t="s">
        <v>1227</v>
      </c>
      <c r="B768" s="276">
        <v>1.0</v>
      </c>
    </row>
    <row r="769">
      <c r="A769" s="276" t="s">
        <v>2377</v>
      </c>
      <c r="B769" s="276">
        <v>1.0</v>
      </c>
    </row>
    <row r="770">
      <c r="A770" s="290" t="s">
        <v>209</v>
      </c>
      <c r="B770" s="276">
        <v>1.0</v>
      </c>
    </row>
    <row r="771">
      <c r="A771" s="276" t="s">
        <v>3304</v>
      </c>
      <c r="B771" s="276">
        <v>1.0</v>
      </c>
    </row>
    <row r="772">
      <c r="A772" s="276" t="s">
        <v>1931</v>
      </c>
      <c r="B772" s="276">
        <v>1.0</v>
      </c>
    </row>
    <row r="773">
      <c r="A773" s="276" t="s">
        <v>887</v>
      </c>
      <c r="B773" s="276">
        <v>1.0</v>
      </c>
    </row>
    <row r="774">
      <c r="A774" s="276" t="s">
        <v>1236</v>
      </c>
      <c r="B774" s="276">
        <v>1.0</v>
      </c>
    </row>
    <row r="775">
      <c r="A775" s="276" t="s">
        <v>218</v>
      </c>
      <c r="B775" s="276">
        <v>1.0</v>
      </c>
    </row>
    <row r="776">
      <c r="A776" s="276" t="s">
        <v>1039</v>
      </c>
      <c r="B776" s="276">
        <v>1.0</v>
      </c>
    </row>
    <row r="777">
      <c r="A777" s="276" t="s">
        <v>1576</v>
      </c>
      <c r="B777" s="276">
        <v>1.0</v>
      </c>
    </row>
    <row r="778">
      <c r="A778" s="276" t="s">
        <v>2237</v>
      </c>
      <c r="B778" s="276">
        <v>1.0</v>
      </c>
    </row>
    <row r="779">
      <c r="A779" s="276" t="s">
        <v>1586</v>
      </c>
      <c r="B779" s="276">
        <v>1.0</v>
      </c>
    </row>
    <row r="780">
      <c r="A780" s="276" t="s">
        <v>789</v>
      </c>
      <c r="B780" s="276">
        <v>1.0</v>
      </c>
    </row>
    <row r="781">
      <c r="A781" s="276" t="s">
        <v>3454</v>
      </c>
      <c r="B781" s="276">
        <v>1.0</v>
      </c>
    </row>
    <row r="782">
      <c r="A782" s="276" t="s">
        <v>1247</v>
      </c>
      <c r="B782" s="276">
        <v>1.0</v>
      </c>
    </row>
    <row r="783">
      <c r="A783" s="276" t="s">
        <v>1801</v>
      </c>
      <c r="B783" s="276">
        <v>1.0</v>
      </c>
    </row>
    <row r="784">
      <c r="A784" s="276" t="s">
        <v>899</v>
      </c>
      <c r="B784" s="276">
        <v>1.0</v>
      </c>
    </row>
    <row r="785">
      <c r="A785" s="276" t="s">
        <v>1593</v>
      </c>
      <c r="B785" s="276">
        <v>1.0</v>
      </c>
    </row>
    <row r="786">
      <c r="A786" s="276" t="s">
        <v>65</v>
      </c>
      <c r="B786" s="276">
        <v>1.0</v>
      </c>
    </row>
    <row r="787">
      <c r="A787" s="290" t="s">
        <v>2595</v>
      </c>
      <c r="B787" s="276">
        <v>1.0</v>
      </c>
    </row>
    <row r="788">
      <c r="A788" s="276" t="s">
        <v>3321</v>
      </c>
      <c r="B788" s="276">
        <v>1.0</v>
      </c>
    </row>
    <row r="789">
      <c r="A789" s="276" t="s">
        <v>1254</v>
      </c>
      <c r="B789" s="276">
        <v>1.0</v>
      </c>
    </row>
    <row r="790">
      <c r="A790" s="276" t="s">
        <v>1959</v>
      </c>
      <c r="B790" s="276">
        <v>1.0</v>
      </c>
    </row>
    <row r="791">
      <c r="A791" s="276" t="s">
        <v>2793</v>
      </c>
      <c r="B791" s="276">
        <v>1.0</v>
      </c>
    </row>
    <row r="792">
      <c r="A792" s="276" t="s">
        <v>2797</v>
      </c>
      <c r="B792" s="276">
        <v>1.0</v>
      </c>
    </row>
    <row r="793">
      <c r="A793" s="276" t="s">
        <v>2795</v>
      </c>
      <c r="B793" s="276">
        <v>1.0</v>
      </c>
    </row>
    <row r="794">
      <c r="A794" s="278" t="s">
        <v>333</v>
      </c>
      <c r="B794" s="276">
        <v>1.0</v>
      </c>
    </row>
    <row r="795">
      <c r="A795" s="276" t="s">
        <v>1829</v>
      </c>
      <c r="B795" s="276">
        <v>1.0</v>
      </c>
    </row>
    <row r="796">
      <c r="A796" s="276" t="s">
        <v>2603</v>
      </c>
      <c r="B796" s="276">
        <v>1.0</v>
      </c>
    </row>
    <row r="797">
      <c r="A797" s="276" t="s">
        <v>643</v>
      </c>
      <c r="B797" s="276">
        <v>1.0</v>
      </c>
    </row>
    <row r="798">
      <c r="A798" s="276" t="s">
        <v>344</v>
      </c>
      <c r="B798" s="276">
        <v>1.0</v>
      </c>
    </row>
    <row r="799">
      <c r="A799" s="276" t="s">
        <v>1597</v>
      </c>
      <c r="B799" s="276">
        <v>1.0</v>
      </c>
    </row>
    <row r="800">
      <c r="A800" s="276" t="s">
        <v>1965</v>
      </c>
      <c r="B800" s="276">
        <v>1.0</v>
      </c>
    </row>
    <row r="801">
      <c r="A801" s="276" t="s">
        <v>7948</v>
      </c>
      <c r="B801" s="276">
        <v>1.0</v>
      </c>
    </row>
    <row r="802">
      <c r="A802" s="276" t="s">
        <v>7949</v>
      </c>
      <c r="B802" s="276">
        <v>1.0</v>
      </c>
    </row>
    <row r="803">
      <c r="A803" s="276" t="s">
        <v>3246</v>
      </c>
      <c r="B803" s="276">
        <v>1.0</v>
      </c>
    </row>
    <row r="804">
      <c r="A804" s="276" t="s">
        <v>1832</v>
      </c>
      <c r="B804" s="276">
        <v>1.0</v>
      </c>
    </row>
    <row r="805">
      <c r="A805" s="276" t="s">
        <v>1458</v>
      </c>
      <c r="B805" s="276">
        <v>1.0</v>
      </c>
    </row>
    <row r="806">
      <c r="A806" s="276" t="s">
        <v>3472</v>
      </c>
      <c r="B806" s="276">
        <v>1.0</v>
      </c>
    </row>
    <row r="807">
      <c r="A807" s="276" t="s">
        <v>1122</v>
      </c>
      <c r="B807" s="276">
        <v>1.0</v>
      </c>
    </row>
    <row r="808">
      <c r="A808" s="276" t="s">
        <v>1047</v>
      </c>
      <c r="B808" s="276">
        <v>1.0</v>
      </c>
    </row>
    <row r="809">
      <c r="A809" s="276" t="s">
        <v>1971</v>
      </c>
      <c r="B809" s="276">
        <v>1.0</v>
      </c>
    </row>
    <row r="810">
      <c r="A810" s="276" t="s">
        <v>2044</v>
      </c>
      <c r="B810" s="276">
        <v>1.0</v>
      </c>
    </row>
    <row r="811">
      <c r="A811" s="276" t="s">
        <v>1261</v>
      </c>
      <c r="B811" s="276">
        <v>1.0</v>
      </c>
    </row>
    <row r="812">
      <c r="A812" s="276" t="s">
        <v>1602</v>
      </c>
      <c r="B812" s="276">
        <v>1.0</v>
      </c>
    </row>
    <row r="813">
      <c r="A813" s="276" t="s">
        <v>1275</v>
      </c>
      <c r="B813" s="276">
        <v>1.0</v>
      </c>
    </row>
    <row r="814">
      <c r="A814" s="276" t="s">
        <v>1843</v>
      </c>
      <c r="B814" s="276">
        <v>1.0</v>
      </c>
    </row>
    <row r="815">
      <c r="A815" s="276" t="s">
        <v>652</v>
      </c>
      <c r="B815" s="276">
        <v>1.0</v>
      </c>
    </row>
    <row r="816">
      <c r="A816" s="290" t="s">
        <v>7950</v>
      </c>
      <c r="B816" s="276">
        <v>1.0</v>
      </c>
    </row>
    <row r="817">
      <c r="A817" s="290" t="s">
        <v>2805</v>
      </c>
      <c r="B817" s="276">
        <v>1.0</v>
      </c>
    </row>
    <row r="818">
      <c r="A818" s="290" t="s">
        <v>2807</v>
      </c>
      <c r="B818" s="276">
        <v>1.0</v>
      </c>
    </row>
    <row r="819">
      <c r="A819" s="290" t="s">
        <v>2809</v>
      </c>
      <c r="B819" s="276">
        <v>1.0</v>
      </c>
    </row>
    <row r="820">
      <c r="A820" s="290" t="s">
        <v>2811</v>
      </c>
      <c r="B820" s="276">
        <v>1.0</v>
      </c>
    </row>
    <row r="821">
      <c r="A821" s="276" t="s">
        <v>2402</v>
      </c>
      <c r="B821" s="276">
        <v>1.0</v>
      </c>
    </row>
    <row r="822">
      <c r="A822" s="276" t="s">
        <v>2409</v>
      </c>
      <c r="B822" s="276">
        <v>1.0</v>
      </c>
    </row>
    <row r="823">
      <c r="A823" s="276" t="s">
        <v>1286</v>
      </c>
      <c r="B823" s="276">
        <v>1.0</v>
      </c>
    </row>
    <row r="824">
      <c r="A824" s="276" t="s">
        <v>1625</v>
      </c>
      <c r="B824" s="276">
        <v>1.0</v>
      </c>
    </row>
    <row r="825">
      <c r="A825" s="276" t="s">
        <v>2984</v>
      </c>
      <c r="B825" s="276">
        <v>1.0</v>
      </c>
    </row>
    <row r="826">
      <c r="A826" s="276" t="s">
        <v>355</v>
      </c>
      <c r="B826" s="276">
        <v>1.0</v>
      </c>
    </row>
    <row r="827">
      <c r="A827" s="278" t="s">
        <v>2813</v>
      </c>
      <c r="B827" s="276">
        <v>1.0</v>
      </c>
    </row>
    <row r="828">
      <c r="A828" s="276" t="s">
        <v>363</v>
      </c>
      <c r="B828" s="276">
        <v>1.0</v>
      </c>
    </row>
    <row r="829">
      <c r="A829" s="276" t="s">
        <v>1634</v>
      </c>
      <c r="B829" s="276">
        <v>1.0</v>
      </c>
    </row>
    <row r="830">
      <c r="A830" s="276" t="s">
        <v>1851</v>
      </c>
      <c r="B830" s="276">
        <v>1.0</v>
      </c>
    </row>
    <row r="831">
      <c r="A831" s="276" t="s">
        <v>2609</v>
      </c>
      <c r="B831" s="276">
        <v>1.0</v>
      </c>
    </row>
    <row r="832">
      <c r="A832" s="276" t="s">
        <v>2684</v>
      </c>
      <c r="B832" s="276">
        <v>1.0</v>
      </c>
    </row>
    <row r="833">
      <c r="A833" s="276" t="s">
        <v>1644</v>
      </c>
      <c r="B833" s="276">
        <v>1.0</v>
      </c>
    </row>
    <row r="834">
      <c r="A834" s="276" t="s">
        <v>1861</v>
      </c>
      <c r="B834" s="276">
        <v>1.0</v>
      </c>
    </row>
    <row r="835">
      <c r="A835" s="276" t="s">
        <v>2250</v>
      </c>
      <c r="B835" s="276">
        <v>1.0</v>
      </c>
    </row>
    <row r="836">
      <c r="A836" s="290" t="s">
        <v>2087</v>
      </c>
      <c r="B836" s="276">
        <v>1.0</v>
      </c>
    </row>
    <row r="837">
      <c r="A837" s="276" t="s">
        <v>2990</v>
      </c>
      <c r="B837" s="276">
        <v>1.0</v>
      </c>
    </row>
    <row r="838">
      <c r="A838" s="276" t="s">
        <v>2254</v>
      </c>
      <c r="B838" s="276">
        <v>1.0</v>
      </c>
    </row>
    <row r="839">
      <c r="A839" s="276" t="s">
        <v>900</v>
      </c>
      <c r="B839" s="276">
        <v>1.0</v>
      </c>
    </row>
    <row r="840">
      <c r="A840" s="276" t="s">
        <v>722</v>
      </c>
      <c r="B840" s="276">
        <v>1.0</v>
      </c>
    </row>
    <row r="841">
      <c r="A841" s="276" t="s">
        <v>2037</v>
      </c>
      <c r="B841" s="276">
        <v>1.0</v>
      </c>
    </row>
    <row r="842">
      <c r="A842" s="276" t="s">
        <v>1297</v>
      </c>
      <c r="B842" s="276">
        <v>1.0</v>
      </c>
    </row>
    <row r="843">
      <c r="A843" s="290" t="s">
        <v>1868</v>
      </c>
      <c r="B843" s="276">
        <v>1.0</v>
      </c>
    </row>
    <row r="844">
      <c r="A844" s="276" t="s">
        <v>1651</v>
      </c>
      <c r="B844" s="276">
        <v>1.0</v>
      </c>
    </row>
    <row r="845">
      <c r="A845" s="276" t="s">
        <v>1880</v>
      </c>
      <c r="B845" s="276">
        <v>1.0</v>
      </c>
    </row>
    <row r="846">
      <c r="A846" s="276" t="s">
        <v>2100</v>
      </c>
      <c r="B846" s="276">
        <v>1.0</v>
      </c>
    </row>
    <row r="847">
      <c r="A847" s="276" t="s">
        <v>2111</v>
      </c>
      <c r="B847" s="276">
        <v>1.0</v>
      </c>
    </row>
    <row r="848">
      <c r="A848" s="276" t="s">
        <v>1979</v>
      </c>
      <c r="B848" s="276">
        <v>1.0</v>
      </c>
    </row>
    <row r="849">
      <c r="A849" s="276" t="s">
        <v>1992</v>
      </c>
      <c r="B849" s="276">
        <v>1.0</v>
      </c>
    </row>
    <row r="850">
      <c r="A850" s="276" t="s">
        <v>1996</v>
      </c>
      <c r="B850" s="276">
        <v>1.0</v>
      </c>
    </row>
    <row r="851">
      <c r="A851" s="276" t="s">
        <v>2000</v>
      </c>
      <c r="B851" s="276">
        <v>1.0</v>
      </c>
    </row>
    <row r="852">
      <c r="A852" s="276" t="s">
        <v>2819</v>
      </c>
      <c r="B852" s="276">
        <v>1.0</v>
      </c>
    </row>
    <row r="853">
      <c r="A853" s="276" t="s">
        <v>1056</v>
      </c>
      <c r="B853" s="276">
        <v>1.0</v>
      </c>
    </row>
    <row r="854">
      <c r="A854" s="276" t="s">
        <v>2616</v>
      </c>
      <c r="B854" s="276">
        <v>1.0</v>
      </c>
    </row>
    <row r="855">
      <c r="A855" s="276" t="s">
        <v>2003</v>
      </c>
      <c r="B855" s="276">
        <v>1.0</v>
      </c>
    </row>
    <row r="856">
      <c r="A856" s="276" t="s">
        <v>538</v>
      </c>
      <c r="B856" s="276">
        <v>1.0</v>
      </c>
    </row>
    <row r="857">
      <c r="A857" s="276" t="s">
        <v>1064</v>
      </c>
      <c r="B857" s="276">
        <v>1.0</v>
      </c>
    </row>
    <row r="858">
      <c r="A858" s="276" t="s">
        <v>2264</v>
      </c>
      <c r="B858" s="276">
        <v>1.0</v>
      </c>
    </row>
    <row r="859">
      <c r="A859" s="276" t="s">
        <v>2620</v>
      </c>
      <c r="B859" s="276">
        <v>1.0</v>
      </c>
    </row>
    <row r="860">
      <c r="A860" s="276" t="s">
        <v>1305</v>
      </c>
      <c r="B860" s="276">
        <v>1.0</v>
      </c>
    </row>
    <row r="861">
      <c r="A861" s="276" t="s">
        <v>3323</v>
      </c>
      <c r="B861" s="276">
        <v>1.0</v>
      </c>
    </row>
    <row r="862">
      <c r="A862" s="275" t="s">
        <v>654</v>
      </c>
      <c r="B862" s="276">
        <v>1.0</v>
      </c>
    </row>
    <row r="863">
      <c r="A863" s="276" t="s">
        <v>1133</v>
      </c>
      <c r="B863" s="276">
        <v>1.0</v>
      </c>
    </row>
    <row r="864">
      <c r="A864" s="276" t="s">
        <v>3080</v>
      </c>
      <c r="B864" s="276">
        <v>1.0</v>
      </c>
    </row>
    <row r="865">
      <c r="A865" s="276" t="s">
        <v>2005</v>
      </c>
      <c r="B865" s="276">
        <v>1.0</v>
      </c>
    </row>
    <row r="866">
      <c r="A866" s="276" t="s">
        <v>2629</v>
      </c>
      <c r="B866" s="276">
        <v>1.0</v>
      </c>
    </row>
    <row r="867">
      <c r="A867" s="276" t="s">
        <v>375</v>
      </c>
      <c r="B867" s="276">
        <v>1.0</v>
      </c>
    </row>
    <row r="868">
      <c r="A868" s="276" t="s">
        <v>1143</v>
      </c>
      <c r="B868" s="276">
        <v>1.0</v>
      </c>
    </row>
    <row r="869">
      <c r="A869" s="276" t="s">
        <v>2056</v>
      </c>
      <c r="B869" s="276">
        <v>1.0</v>
      </c>
    </row>
    <row r="870">
      <c r="A870" s="276" t="s">
        <v>2136</v>
      </c>
      <c r="B870" s="276">
        <v>1.0</v>
      </c>
    </row>
    <row r="871">
      <c r="A871" s="276" t="s">
        <v>2268</v>
      </c>
      <c r="B871" s="276">
        <v>1.0</v>
      </c>
    </row>
    <row r="872">
      <c r="A872" s="276" t="s">
        <v>1464</v>
      </c>
      <c r="B872" s="276">
        <v>1.0</v>
      </c>
    </row>
    <row r="873">
      <c r="A873" s="276" t="s">
        <v>1076</v>
      </c>
      <c r="B873" s="276">
        <v>1.0</v>
      </c>
    </row>
    <row r="874">
      <c r="A874" s="278" t="s">
        <v>798</v>
      </c>
      <c r="B874" s="276">
        <v>1.0</v>
      </c>
    </row>
    <row r="875">
      <c r="A875" s="276" t="s">
        <v>228</v>
      </c>
      <c r="B875" s="276">
        <v>1.0</v>
      </c>
    </row>
    <row r="876">
      <c r="A876" s="276" t="s">
        <v>2075</v>
      </c>
      <c r="B876" s="276">
        <v>1.0</v>
      </c>
    </row>
    <row r="877">
      <c r="A877" s="276" t="s">
        <v>2084</v>
      </c>
      <c r="B877" s="276">
        <v>1.0</v>
      </c>
    </row>
    <row r="878">
      <c r="A878" s="276" t="s">
        <v>910</v>
      </c>
      <c r="B878" s="276">
        <v>1.0</v>
      </c>
    </row>
    <row r="879">
      <c r="A879" s="276" t="s">
        <v>3212</v>
      </c>
      <c r="B879" s="276">
        <v>1.0</v>
      </c>
    </row>
    <row r="880">
      <c r="A880" s="276" t="s">
        <v>3009</v>
      </c>
      <c r="B880" s="276">
        <v>1.0</v>
      </c>
    </row>
    <row r="881">
      <c r="A881" s="276" t="s">
        <v>1474</v>
      </c>
      <c r="B881" s="276">
        <v>1.0</v>
      </c>
    </row>
    <row r="882">
      <c r="A882" s="276" t="s">
        <v>3088</v>
      </c>
      <c r="B882" s="276">
        <v>1.0</v>
      </c>
    </row>
    <row r="883">
      <c r="A883" s="276" t="s">
        <v>472</v>
      </c>
      <c r="B883" s="276">
        <v>1.0</v>
      </c>
    </row>
    <row r="884">
      <c r="A884" s="276" t="s">
        <v>2293</v>
      </c>
      <c r="B884" s="276">
        <v>1.0</v>
      </c>
    </row>
    <row r="885">
      <c r="A885" s="290" t="s">
        <v>2647</v>
      </c>
      <c r="B885" s="276">
        <v>1.0</v>
      </c>
    </row>
    <row r="886">
      <c r="A886" s="276" t="s">
        <v>1324</v>
      </c>
      <c r="B886" s="276">
        <v>1.0</v>
      </c>
    </row>
    <row r="887">
      <c r="A887" s="276" t="s">
        <v>665</v>
      </c>
      <c r="B887" s="276">
        <v>1.0</v>
      </c>
    </row>
    <row r="888">
      <c r="A888" s="276" t="s">
        <v>3225</v>
      </c>
      <c r="B888" s="276">
        <v>1.0</v>
      </c>
    </row>
    <row r="889">
      <c r="A889" s="276" t="s">
        <v>2425</v>
      </c>
      <c r="B889" s="276">
        <v>1.0</v>
      </c>
    </row>
    <row r="890">
      <c r="A890" s="276" t="s">
        <v>2654</v>
      </c>
      <c r="B890" s="276">
        <v>1.0</v>
      </c>
    </row>
    <row r="891">
      <c r="A891" s="276" t="s">
        <v>544</v>
      </c>
      <c r="B891" s="276">
        <v>1.0</v>
      </c>
    </row>
    <row r="892">
      <c r="A892" s="276" t="s">
        <v>2657</v>
      </c>
      <c r="B892" s="276">
        <v>1.0</v>
      </c>
    </row>
    <row r="893">
      <c r="A893" s="276" t="s">
        <v>727</v>
      </c>
      <c r="B893" s="276">
        <v>1.0</v>
      </c>
    </row>
    <row r="894">
      <c r="A894" s="276" t="s">
        <v>2659</v>
      </c>
      <c r="B894" s="276">
        <v>1.0</v>
      </c>
    </row>
    <row r="895">
      <c r="A895" s="276" t="s">
        <v>1659</v>
      </c>
      <c r="B895" s="276">
        <v>1.0</v>
      </c>
    </row>
    <row r="896">
      <c r="A896" s="276" t="s">
        <v>3020</v>
      </c>
      <c r="B896" s="276">
        <v>1.0</v>
      </c>
    </row>
    <row r="897">
      <c r="A897" s="276" t="s">
        <v>2278</v>
      </c>
      <c r="B897" s="276">
        <v>1.0</v>
      </c>
    </row>
    <row r="898">
      <c r="A898" s="276" t="s">
        <v>2062</v>
      </c>
      <c r="B898" s="276">
        <v>1.0</v>
      </c>
    </row>
    <row r="899">
      <c r="A899" s="290" t="s">
        <v>2826</v>
      </c>
      <c r="B899" s="276">
        <v>1.0</v>
      </c>
    </row>
    <row r="900">
      <c r="A900" s="276" t="s">
        <v>3479</v>
      </c>
      <c r="B900" s="276">
        <v>1.0</v>
      </c>
    </row>
    <row r="901">
      <c r="A901" s="276" t="s">
        <v>2661</v>
      </c>
      <c r="B901" s="276">
        <v>1.0</v>
      </c>
    </row>
    <row r="902">
      <c r="A902" s="278" t="s">
        <v>1333</v>
      </c>
      <c r="B902" s="276">
        <v>1.0</v>
      </c>
    </row>
    <row r="903">
      <c r="A903" s="276" t="s">
        <v>3481</v>
      </c>
      <c r="B903" s="276">
        <v>1.0</v>
      </c>
    </row>
    <row r="904">
      <c r="A904" s="276" t="s">
        <v>2047</v>
      </c>
      <c r="B904" s="276">
        <v>1.0</v>
      </c>
    </row>
    <row r="905">
      <c r="A905" s="276" t="s">
        <v>3024</v>
      </c>
      <c r="B905" s="276">
        <v>1.0</v>
      </c>
    </row>
    <row r="906">
      <c r="A906" s="276" t="s">
        <v>731</v>
      </c>
      <c r="B906" s="276">
        <v>1.0</v>
      </c>
    </row>
    <row r="907">
      <c r="A907" s="276" t="s">
        <v>3031</v>
      </c>
      <c r="B907" s="276">
        <v>1.0</v>
      </c>
    </row>
    <row r="908">
      <c r="A908" s="290" t="s">
        <v>7951</v>
      </c>
      <c r="B908" s="276">
        <v>1.0</v>
      </c>
    </row>
    <row r="909">
      <c r="A909" s="276" t="s">
        <v>2013</v>
      </c>
      <c r="B909" s="276">
        <v>1.0</v>
      </c>
    </row>
    <row r="910">
      <c r="A910" s="276" t="s">
        <v>1479</v>
      </c>
      <c r="B910" s="276">
        <v>1.0</v>
      </c>
    </row>
    <row r="911">
      <c r="A911" s="276" t="s">
        <v>1669</v>
      </c>
      <c r="B911" s="276">
        <v>1.0</v>
      </c>
    </row>
    <row r="912">
      <c r="A912" s="278" t="s">
        <v>922</v>
      </c>
      <c r="B912" s="276">
        <v>1.0</v>
      </c>
    </row>
    <row r="913">
      <c r="A913" s="276" t="s">
        <v>1486</v>
      </c>
      <c r="B913" s="276">
        <v>1.0</v>
      </c>
    </row>
    <row r="914">
      <c r="A914" s="276" t="s">
        <v>1899</v>
      </c>
      <c r="B914" s="276">
        <v>1.0</v>
      </c>
    </row>
    <row r="915">
      <c r="A915" s="276" t="s">
        <v>3329</v>
      </c>
      <c r="B915" s="276">
        <v>1.0</v>
      </c>
    </row>
    <row r="916">
      <c r="A916" s="276" t="s">
        <v>3229</v>
      </c>
      <c r="B916" s="276">
        <v>1.0</v>
      </c>
    </row>
    <row r="917">
      <c r="A917" s="276" t="s">
        <v>240</v>
      </c>
      <c r="B917" s="276">
        <v>1.0</v>
      </c>
    </row>
    <row r="918">
      <c r="A918" s="276" t="s">
        <v>698</v>
      </c>
      <c r="B918" s="276">
        <v>1.0</v>
      </c>
    </row>
    <row r="919">
      <c r="A919" s="276" t="s">
        <v>706</v>
      </c>
      <c r="B919" s="276">
        <v>1.0</v>
      </c>
    </row>
    <row r="920">
      <c r="A920" s="290" t="s">
        <v>2835</v>
      </c>
      <c r="B920" s="276">
        <v>1.0</v>
      </c>
    </row>
    <row r="921">
      <c r="A921" s="290" t="s">
        <v>2837</v>
      </c>
      <c r="B921" s="276">
        <v>1.0</v>
      </c>
    </row>
    <row r="922">
      <c r="A922" s="290" t="s">
        <v>2840</v>
      </c>
      <c r="B922" s="276">
        <v>1.0</v>
      </c>
    </row>
    <row r="923">
      <c r="A923" s="276" t="s">
        <v>1903</v>
      </c>
      <c r="B923" s="276">
        <v>1.0</v>
      </c>
    </row>
    <row r="924">
      <c r="A924" s="276" t="s">
        <v>385</v>
      </c>
      <c r="B924" s="276">
        <v>1.0</v>
      </c>
    </row>
    <row r="925">
      <c r="A925" s="276" t="s">
        <v>478</v>
      </c>
      <c r="B925" s="276">
        <v>1.0</v>
      </c>
    </row>
    <row r="926">
      <c r="A926" s="276" t="s">
        <v>1086</v>
      </c>
      <c r="B926" s="276">
        <v>1.0</v>
      </c>
    </row>
    <row r="927">
      <c r="A927" s="276" t="s">
        <v>1092</v>
      </c>
      <c r="B927" s="276">
        <v>1.0</v>
      </c>
    </row>
    <row r="928">
      <c r="A928" s="276" t="s">
        <v>2664</v>
      </c>
      <c r="B928" s="276">
        <v>1.0</v>
      </c>
    </row>
    <row r="929">
      <c r="A929" s="276" t="s">
        <v>399</v>
      </c>
      <c r="B929" s="276">
        <v>1.0</v>
      </c>
    </row>
    <row r="930">
      <c r="A930" s="276" t="s">
        <v>123</v>
      </c>
      <c r="B930" s="276">
        <v>1.0</v>
      </c>
    </row>
    <row r="931">
      <c r="A931" s="276" t="s">
        <v>2844</v>
      </c>
      <c r="B931" s="276">
        <v>1.0</v>
      </c>
    </row>
    <row r="932">
      <c r="A932" s="276" t="s">
        <v>2848</v>
      </c>
      <c r="B932" s="276">
        <v>1.0</v>
      </c>
    </row>
    <row r="933">
      <c r="A933" s="276" t="s">
        <v>2435</v>
      </c>
      <c r="B933" s="276">
        <v>1.0</v>
      </c>
    </row>
    <row r="934">
      <c r="A934" s="276" t="s">
        <v>1342</v>
      </c>
      <c r="B934" s="276">
        <v>1.0</v>
      </c>
    </row>
    <row r="935">
      <c r="A935" s="276" t="s">
        <v>1353</v>
      </c>
      <c r="B935" s="276">
        <v>1.0</v>
      </c>
    </row>
    <row r="936">
      <c r="A936" s="276" t="s">
        <v>932</v>
      </c>
      <c r="B936" s="276">
        <v>1.0</v>
      </c>
    </row>
    <row r="937">
      <c r="A937" s="276" t="s">
        <v>2023</v>
      </c>
      <c r="B937" s="276">
        <v>1.0</v>
      </c>
    </row>
    <row r="938">
      <c r="A938" s="276" t="s">
        <v>1356</v>
      </c>
      <c r="B938" s="276">
        <v>1.0</v>
      </c>
    </row>
    <row r="939">
      <c r="A939" s="278" t="s">
        <v>1102</v>
      </c>
      <c r="B939" s="276">
        <v>1.0</v>
      </c>
    </row>
    <row r="940">
      <c r="A940" s="276" t="s">
        <v>3336</v>
      </c>
      <c r="B940" s="276">
        <v>1.0</v>
      </c>
    </row>
    <row r="941">
      <c r="A941" s="276" t="s">
        <v>247</v>
      </c>
      <c r="B941" s="276">
        <v>1.0</v>
      </c>
    </row>
    <row r="942">
      <c r="B942" s="276">
        <v>0.0</v>
      </c>
    </row>
  </sheetData>
  <autoFilter ref="$A$477:$Z$942">
    <sortState ref="A477:Z942">
      <sortCondition descending="1" ref="B477:B942"/>
    </sortState>
  </autoFilter>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B1" s="276"/>
    </row>
    <row r="2">
      <c r="B2" s="276"/>
    </row>
    <row r="3">
      <c r="B3" s="276"/>
    </row>
    <row r="4">
      <c r="B4" s="276"/>
    </row>
    <row r="5">
      <c r="B5" s="276"/>
    </row>
    <row r="6">
      <c r="B6" s="276"/>
    </row>
    <row r="7">
      <c r="B7" s="276"/>
    </row>
    <row r="8">
      <c r="B8" s="276"/>
    </row>
    <row r="9">
      <c r="B9" s="276"/>
    </row>
    <row r="10">
      <c r="B10" s="276"/>
    </row>
    <row r="11">
      <c r="B11" s="276"/>
    </row>
    <row r="12">
      <c r="B12" s="276"/>
    </row>
    <row r="13">
      <c r="B13" s="276"/>
    </row>
    <row r="14">
      <c r="B14" s="276"/>
    </row>
    <row r="15">
      <c r="B15" s="276"/>
    </row>
    <row r="16">
      <c r="B16" s="276"/>
    </row>
    <row r="17">
      <c r="B17" s="276"/>
    </row>
    <row r="18">
      <c r="B18" s="276"/>
    </row>
    <row r="19">
      <c r="B19" s="276"/>
    </row>
    <row r="20">
      <c r="B20" s="276"/>
    </row>
    <row r="21">
      <c r="B21" s="276"/>
    </row>
    <row r="22">
      <c r="B22" s="276"/>
    </row>
    <row r="23">
      <c r="B23" s="276"/>
    </row>
    <row r="24">
      <c r="B24" s="276"/>
    </row>
    <row r="25">
      <c r="B25" s="276"/>
    </row>
    <row r="26">
      <c r="B26" s="276"/>
    </row>
    <row r="27">
      <c r="B27" s="276"/>
    </row>
    <row r="28">
      <c r="B28" s="276"/>
    </row>
    <row r="29">
      <c r="B29" s="276"/>
    </row>
    <row r="30">
      <c r="B30" s="276"/>
    </row>
    <row r="31">
      <c r="B31" s="276"/>
    </row>
    <row r="32">
      <c r="B32" s="276"/>
    </row>
    <row r="33">
      <c r="B33" s="276"/>
    </row>
    <row r="34">
      <c r="B34" s="276"/>
    </row>
    <row r="35">
      <c r="B35" s="276"/>
    </row>
    <row r="36">
      <c r="B36" s="276"/>
    </row>
    <row r="37">
      <c r="B37" s="276"/>
    </row>
    <row r="38">
      <c r="B38" s="276"/>
    </row>
    <row r="39">
      <c r="B39" s="276"/>
    </row>
    <row r="40">
      <c r="B40" s="276"/>
    </row>
    <row r="41">
      <c r="B41" s="276"/>
    </row>
    <row r="42">
      <c r="B42" s="276"/>
    </row>
    <row r="43">
      <c r="B43" s="276"/>
    </row>
    <row r="44">
      <c r="B44" s="276"/>
    </row>
    <row r="45">
      <c r="B45" s="276"/>
    </row>
    <row r="46">
      <c r="B46" s="276"/>
    </row>
    <row r="47">
      <c r="B47" s="276"/>
    </row>
    <row r="48">
      <c r="B48" s="276"/>
    </row>
    <row r="49">
      <c r="B49" s="276"/>
    </row>
    <row r="50">
      <c r="B50" s="276"/>
    </row>
    <row r="51">
      <c r="B51" s="276"/>
    </row>
    <row r="52">
      <c r="B52" s="276"/>
    </row>
    <row r="53">
      <c r="B53" s="276"/>
    </row>
    <row r="54">
      <c r="B54" s="276"/>
    </row>
    <row r="55">
      <c r="B55" s="276"/>
    </row>
    <row r="56">
      <c r="B56" s="276"/>
    </row>
    <row r="57">
      <c r="B57" s="276"/>
    </row>
    <row r="58">
      <c r="B58" s="276"/>
    </row>
    <row r="59">
      <c r="B59" s="276"/>
    </row>
    <row r="60">
      <c r="B60" s="276"/>
    </row>
    <row r="61">
      <c r="B61" s="276"/>
    </row>
    <row r="62">
      <c r="B62" s="276"/>
    </row>
    <row r="63">
      <c r="B63" s="276"/>
    </row>
    <row r="64">
      <c r="B64" s="276"/>
    </row>
    <row r="65">
      <c r="B65" s="276"/>
    </row>
    <row r="66">
      <c r="B66" s="276"/>
    </row>
    <row r="67">
      <c r="B67" s="276"/>
    </row>
    <row r="68">
      <c r="B68" s="276"/>
    </row>
    <row r="69">
      <c r="B69" s="276"/>
    </row>
    <row r="70">
      <c r="B70" s="276"/>
    </row>
    <row r="71">
      <c r="B71" s="276"/>
    </row>
    <row r="72">
      <c r="B72" s="276"/>
    </row>
    <row r="73">
      <c r="B73" s="276"/>
    </row>
    <row r="74">
      <c r="B74" s="276"/>
    </row>
    <row r="75">
      <c r="B75" s="276"/>
    </row>
    <row r="76">
      <c r="B76" s="276"/>
    </row>
    <row r="77">
      <c r="B77" s="276"/>
    </row>
    <row r="78">
      <c r="B78" s="276"/>
    </row>
    <row r="79">
      <c r="B79" s="276"/>
    </row>
    <row r="80">
      <c r="B80" s="276"/>
    </row>
    <row r="81">
      <c r="B81" s="276"/>
    </row>
    <row r="82">
      <c r="B82" s="276"/>
    </row>
    <row r="83">
      <c r="B83" s="276"/>
    </row>
    <row r="84">
      <c r="B84" s="276"/>
    </row>
    <row r="85">
      <c r="B85" s="276"/>
    </row>
    <row r="86">
      <c r="B86" s="276"/>
    </row>
    <row r="87">
      <c r="B87" s="276"/>
    </row>
    <row r="88">
      <c r="B88" s="276"/>
    </row>
    <row r="89">
      <c r="B89" s="276"/>
    </row>
    <row r="90">
      <c r="B90" s="276"/>
    </row>
    <row r="91">
      <c r="B91" s="276"/>
    </row>
    <row r="92">
      <c r="B92" s="276"/>
    </row>
    <row r="93">
      <c r="B93" s="276"/>
    </row>
    <row r="94">
      <c r="B94" s="276"/>
    </row>
    <row r="95">
      <c r="B95" s="276"/>
    </row>
    <row r="96">
      <c r="B96" s="276"/>
    </row>
    <row r="97">
      <c r="B97" s="276"/>
    </row>
    <row r="98">
      <c r="B98" s="276"/>
    </row>
    <row r="99">
      <c r="B99" s="276"/>
    </row>
    <row r="100">
      <c r="B100" s="276"/>
    </row>
    <row r="101">
      <c r="B101" s="276"/>
    </row>
    <row r="102">
      <c r="B102" s="276"/>
    </row>
    <row r="103">
      <c r="B103" s="276"/>
    </row>
    <row r="104">
      <c r="B104" s="276"/>
    </row>
    <row r="105">
      <c r="B105" s="276"/>
    </row>
    <row r="106">
      <c r="B106" s="276"/>
    </row>
    <row r="107">
      <c r="B107" s="276"/>
    </row>
    <row r="108">
      <c r="B108" s="276"/>
    </row>
    <row r="109">
      <c r="B109" s="276"/>
    </row>
    <row r="110">
      <c r="B110" s="276"/>
    </row>
    <row r="111">
      <c r="B111" s="276"/>
    </row>
    <row r="112">
      <c r="B112" s="276"/>
    </row>
    <row r="113">
      <c r="B113" s="276"/>
    </row>
    <row r="114">
      <c r="B114" s="276"/>
    </row>
    <row r="115">
      <c r="B115" s="276"/>
    </row>
    <row r="116">
      <c r="B116" s="276"/>
    </row>
    <row r="117">
      <c r="B117" s="276"/>
    </row>
    <row r="118">
      <c r="B118" s="276"/>
    </row>
    <row r="119">
      <c r="B119" s="276"/>
    </row>
    <row r="120">
      <c r="B120" s="276"/>
    </row>
    <row r="121">
      <c r="B121" s="276"/>
    </row>
    <row r="122">
      <c r="B122" s="276"/>
    </row>
    <row r="123">
      <c r="B123" s="276"/>
    </row>
    <row r="124">
      <c r="B124" s="276"/>
    </row>
    <row r="125">
      <c r="B125" s="276"/>
    </row>
    <row r="126">
      <c r="B126" s="276"/>
    </row>
    <row r="127">
      <c r="B127" s="276"/>
    </row>
    <row r="128">
      <c r="B128" s="276"/>
    </row>
    <row r="129">
      <c r="B129" s="276"/>
    </row>
    <row r="130">
      <c r="B130" s="276"/>
    </row>
    <row r="131">
      <c r="B131" s="276"/>
    </row>
    <row r="132">
      <c r="B132" s="276"/>
    </row>
    <row r="133">
      <c r="B133" s="276"/>
    </row>
    <row r="134">
      <c r="B134" s="276"/>
    </row>
    <row r="135">
      <c r="B135" s="276"/>
    </row>
    <row r="136">
      <c r="B136" s="276"/>
    </row>
    <row r="137">
      <c r="B137" s="276"/>
    </row>
    <row r="138">
      <c r="B138" s="276"/>
    </row>
    <row r="139">
      <c r="B139" s="276"/>
    </row>
    <row r="140">
      <c r="B140" s="276"/>
    </row>
    <row r="141">
      <c r="B141" s="276"/>
    </row>
    <row r="142">
      <c r="B142" s="276"/>
    </row>
    <row r="143">
      <c r="B143" s="276"/>
    </row>
    <row r="144">
      <c r="B144" s="276"/>
    </row>
    <row r="145">
      <c r="B145" s="276"/>
    </row>
    <row r="146">
      <c r="B146" s="276"/>
    </row>
    <row r="147">
      <c r="B147" s="276"/>
    </row>
    <row r="148">
      <c r="B148" s="276"/>
    </row>
    <row r="149">
      <c r="B149" s="276"/>
    </row>
    <row r="150">
      <c r="B150" s="276"/>
    </row>
    <row r="151">
      <c r="B151" s="276"/>
    </row>
    <row r="152">
      <c r="B152" s="276"/>
    </row>
    <row r="153">
      <c r="B153" s="276"/>
    </row>
    <row r="154">
      <c r="B154" s="276"/>
    </row>
    <row r="155">
      <c r="B155" s="276"/>
    </row>
    <row r="156">
      <c r="B156" s="276"/>
    </row>
    <row r="157">
      <c r="B157" s="276"/>
    </row>
    <row r="158">
      <c r="B158" s="276"/>
    </row>
    <row r="159">
      <c r="B159" s="276"/>
    </row>
    <row r="160">
      <c r="B160" s="276"/>
    </row>
    <row r="161">
      <c r="B161" s="276"/>
    </row>
    <row r="162">
      <c r="B162" s="276"/>
    </row>
    <row r="163">
      <c r="B163" s="276"/>
    </row>
    <row r="164">
      <c r="B164" s="276"/>
    </row>
    <row r="165">
      <c r="B165" s="276"/>
    </row>
    <row r="166">
      <c r="B166" s="276"/>
    </row>
    <row r="167">
      <c r="B167" s="276"/>
    </row>
    <row r="168">
      <c r="B168" s="276"/>
    </row>
    <row r="169">
      <c r="B169" s="276"/>
    </row>
    <row r="170">
      <c r="B170" s="276"/>
    </row>
    <row r="171">
      <c r="B171" s="276"/>
    </row>
    <row r="172">
      <c r="B172" s="276"/>
    </row>
    <row r="173">
      <c r="B173" s="276"/>
    </row>
    <row r="174">
      <c r="B174" s="276"/>
    </row>
    <row r="175">
      <c r="B175" s="276"/>
    </row>
    <row r="176">
      <c r="B176" s="276"/>
    </row>
    <row r="177">
      <c r="B177" s="276"/>
    </row>
    <row r="178">
      <c r="B178" s="276"/>
    </row>
    <row r="179">
      <c r="B179" s="276"/>
    </row>
    <row r="180">
      <c r="B180" s="276"/>
    </row>
    <row r="181">
      <c r="B181" s="276"/>
    </row>
    <row r="182">
      <c r="B182" s="276"/>
    </row>
    <row r="183">
      <c r="B183" s="276"/>
    </row>
    <row r="184">
      <c r="B184" s="276"/>
    </row>
    <row r="185">
      <c r="B185" s="276"/>
    </row>
    <row r="186">
      <c r="B186" s="276"/>
    </row>
    <row r="187">
      <c r="B187" s="276"/>
    </row>
    <row r="188">
      <c r="B188" s="276"/>
    </row>
    <row r="189">
      <c r="B189" s="276"/>
    </row>
    <row r="190">
      <c r="B190" s="276"/>
    </row>
    <row r="191">
      <c r="B191" s="276"/>
    </row>
    <row r="192">
      <c r="B192" s="276"/>
    </row>
    <row r="193">
      <c r="B193" s="276"/>
    </row>
    <row r="194">
      <c r="B194" s="276"/>
    </row>
    <row r="195">
      <c r="B195" s="276"/>
    </row>
    <row r="196">
      <c r="B196" s="276"/>
    </row>
    <row r="197">
      <c r="B197" s="276"/>
    </row>
    <row r="198">
      <c r="B198" s="276"/>
    </row>
    <row r="199">
      <c r="B199" s="276"/>
    </row>
    <row r="200">
      <c r="B200" s="276"/>
    </row>
    <row r="201">
      <c r="B201" s="276"/>
    </row>
    <row r="202">
      <c r="B202" s="276"/>
    </row>
    <row r="203">
      <c r="B203" s="276"/>
    </row>
    <row r="204">
      <c r="B204" s="276"/>
    </row>
    <row r="205">
      <c r="B205" s="276"/>
    </row>
    <row r="206">
      <c r="B206" s="276"/>
    </row>
    <row r="207">
      <c r="B207" s="276"/>
    </row>
    <row r="208">
      <c r="B208" s="276"/>
    </row>
    <row r="209">
      <c r="B209" s="276"/>
    </row>
    <row r="210">
      <c r="B210" s="276"/>
    </row>
    <row r="211">
      <c r="B211" s="276"/>
    </row>
    <row r="212">
      <c r="B212" s="276"/>
    </row>
    <row r="213">
      <c r="B213" s="276"/>
    </row>
    <row r="214">
      <c r="B214" s="276"/>
    </row>
    <row r="215">
      <c r="B215" s="276"/>
    </row>
    <row r="216">
      <c r="B216" s="276"/>
    </row>
    <row r="217">
      <c r="B217" s="276"/>
    </row>
    <row r="218">
      <c r="B218" s="276"/>
    </row>
    <row r="219">
      <c r="B219" s="276"/>
    </row>
    <row r="220">
      <c r="B220" s="276"/>
    </row>
    <row r="221">
      <c r="B221" s="276"/>
    </row>
    <row r="222">
      <c r="B222" s="276"/>
    </row>
    <row r="223">
      <c r="B223" s="276"/>
    </row>
    <row r="224">
      <c r="B224" s="276"/>
    </row>
    <row r="225">
      <c r="B225" s="276"/>
    </row>
    <row r="226">
      <c r="B226" s="276"/>
    </row>
    <row r="227">
      <c r="B227" s="276"/>
    </row>
    <row r="228">
      <c r="B228" s="276"/>
    </row>
    <row r="229">
      <c r="B229" s="276"/>
    </row>
    <row r="230">
      <c r="B230" s="276"/>
    </row>
    <row r="231">
      <c r="B231" s="276"/>
    </row>
    <row r="232">
      <c r="B232" s="276"/>
    </row>
    <row r="233">
      <c r="B233" s="276"/>
    </row>
    <row r="234">
      <c r="B234" s="276"/>
    </row>
    <row r="235">
      <c r="B235" s="276"/>
    </row>
    <row r="236">
      <c r="B236" s="276"/>
    </row>
    <row r="237">
      <c r="B237" s="276"/>
    </row>
    <row r="238">
      <c r="B238" s="276"/>
    </row>
    <row r="239">
      <c r="B239" s="276"/>
    </row>
    <row r="240">
      <c r="B240" s="276"/>
    </row>
    <row r="241">
      <c r="B241" s="276"/>
    </row>
    <row r="242">
      <c r="B242" s="276"/>
    </row>
    <row r="243">
      <c r="B243" s="276"/>
    </row>
    <row r="244">
      <c r="B244" s="276"/>
    </row>
    <row r="245">
      <c r="B245" s="276"/>
    </row>
    <row r="246">
      <c r="B246" s="276"/>
    </row>
    <row r="247">
      <c r="B247" s="276"/>
    </row>
    <row r="248">
      <c r="B248" s="276"/>
    </row>
    <row r="249">
      <c r="B249" s="276"/>
    </row>
    <row r="250">
      <c r="B250" s="276"/>
    </row>
    <row r="251">
      <c r="B251" s="276"/>
    </row>
    <row r="252">
      <c r="B252" s="276"/>
    </row>
    <row r="253">
      <c r="B253" s="276"/>
    </row>
    <row r="254">
      <c r="B254" s="276"/>
    </row>
    <row r="255">
      <c r="B255" s="276"/>
    </row>
    <row r="256">
      <c r="B256" s="276"/>
    </row>
    <row r="257">
      <c r="B257" s="276"/>
    </row>
    <row r="258">
      <c r="B258" s="276"/>
    </row>
    <row r="259">
      <c r="B259" s="276"/>
    </row>
    <row r="260">
      <c r="B260" s="276"/>
    </row>
    <row r="261">
      <c r="B261" s="276"/>
    </row>
    <row r="262">
      <c r="B262" s="276"/>
    </row>
    <row r="263">
      <c r="B263" s="276"/>
    </row>
    <row r="264">
      <c r="B264" s="276"/>
    </row>
    <row r="265">
      <c r="B265" s="276"/>
    </row>
    <row r="266">
      <c r="B266" s="276"/>
    </row>
    <row r="267">
      <c r="B267" s="276"/>
    </row>
    <row r="268">
      <c r="B268" s="276"/>
    </row>
    <row r="269">
      <c r="B269" s="276"/>
    </row>
    <row r="270">
      <c r="B270" s="276"/>
    </row>
    <row r="271">
      <c r="B271" s="276"/>
    </row>
    <row r="272">
      <c r="B272" s="276"/>
    </row>
    <row r="273">
      <c r="B273" s="276"/>
    </row>
    <row r="274">
      <c r="B274" s="276"/>
    </row>
    <row r="275">
      <c r="B275" s="276"/>
    </row>
    <row r="276">
      <c r="B276" s="276"/>
    </row>
    <row r="277">
      <c r="B277" s="276"/>
    </row>
    <row r="278">
      <c r="B278" s="276"/>
    </row>
    <row r="279">
      <c r="B279" s="276"/>
    </row>
    <row r="280">
      <c r="B280" s="276"/>
    </row>
    <row r="281">
      <c r="B281" s="276"/>
    </row>
    <row r="282">
      <c r="B282" s="276"/>
    </row>
    <row r="283">
      <c r="B283" s="276"/>
    </row>
    <row r="284">
      <c r="B284" s="276"/>
    </row>
    <row r="285">
      <c r="B285" s="276"/>
    </row>
    <row r="286">
      <c r="B286" s="276"/>
    </row>
    <row r="287">
      <c r="B287" s="276"/>
    </row>
    <row r="288">
      <c r="B288" s="276"/>
    </row>
    <row r="289">
      <c r="B289" s="276"/>
    </row>
    <row r="290">
      <c r="B290" s="276"/>
    </row>
    <row r="291">
      <c r="B291" s="276"/>
    </row>
    <row r="292">
      <c r="B292" s="276"/>
    </row>
    <row r="293">
      <c r="B293" s="276"/>
    </row>
    <row r="294">
      <c r="B294" s="276"/>
    </row>
    <row r="295">
      <c r="B295" s="276"/>
    </row>
    <row r="296">
      <c r="B296" s="276"/>
    </row>
    <row r="297">
      <c r="B297" s="276"/>
    </row>
    <row r="298">
      <c r="B298" s="276"/>
    </row>
    <row r="299">
      <c r="B299" s="276"/>
    </row>
    <row r="300">
      <c r="B300" s="276"/>
    </row>
    <row r="301">
      <c r="B301" s="276"/>
    </row>
    <row r="302">
      <c r="B302" s="276"/>
    </row>
    <row r="303">
      <c r="B303" s="276"/>
    </row>
    <row r="304">
      <c r="B304" s="276"/>
    </row>
    <row r="305">
      <c r="B305" s="276"/>
    </row>
    <row r="306">
      <c r="B306" s="276"/>
    </row>
    <row r="307">
      <c r="B307" s="276"/>
    </row>
    <row r="308">
      <c r="B308" s="276"/>
    </row>
    <row r="309">
      <c r="B309" s="276"/>
    </row>
    <row r="310">
      <c r="B310" s="276"/>
    </row>
    <row r="311">
      <c r="B311" s="276"/>
    </row>
    <row r="312">
      <c r="B312" s="276"/>
    </row>
    <row r="313">
      <c r="B313" s="276"/>
    </row>
    <row r="314">
      <c r="B314" s="276"/>
    </row>
    <row r="315">
      <c r="B315" s="276"/>
    </row>
    <row r="316">
      <c r="B316" s="276"/>
    </row>
    <row r="317">
      <c r="B317" s="276"/>
    </row>
    <row r="318">
      <c r="B318" s="276"/>
    </row>
    <row r="319">
      <c r="B319" s="276"/>
    </row>
    <row r="320">
      <c r="B320" s="276"/>
    </row>
    <row r="321">
      <c r="B321" s="276"/>
    </row>
    <row r="322">
      <c r="B322" s="276"/>
    </row>
    <row r="323">
      <c r="B323" s="276"/>
    </row>
    <row r="324">
      <c r="B324" s="276"/>
    </row>
    <row r="325">
      <c r="B325" s="276"/>
    </row>
    <row r="326">
      <c r="B326" s="276"/>
    </row>
    <row r="327">
      <c r="B327" s="276"/>
    </row>
    <row r="328">
      <c r="B328" s="276"/>
    </row>
    <row r="329">
      <c r="B329" s="276"/>
    </row>
    <row r="330">
      <c r="B330" s="276"/>
    </row>
    <row r="331">
      <c r="B331" s="276"/>
    </row>
    <row r="332">
      <c r="B332" s="276"/>
    </row>
    <row r="333">
      <c r="B333" s="276"/>
    </row>
    <row r="334">
      <c r="B334" s="276"/>
    </row>
    <row r="335">
      <c r="B335" s="276"/>
    </row>
    <row r="336">
      <c r="B336" s="276"/>
    </row>
    <row r="337">
      <c r="B337" s="276"/>
    </row>
    <row r="338">
      <c r="B338" s="276"/>
    </row>
    <row r="339">
      <c r="B339" s="276"/>
    </row>
    <row r="340">
      <c r="B340" s="276"/>
    </row>
    <row r="341">
      <c r="B341" s="276"/>
    </row>
    <row r="342">
      <c r="B342" s="276"/>
    </row>
    <row r="343">
      <c r="B343" s="276"/>
    </row>
    <row r="344">
      <c r="B344" s="276"/>
    </row>
    <row r="345">
      <c r="B345" s="276"/>
    </row>
    <row r="346">
      <c r="B346" s="276"/>
    </row>
    <row r="347">
      <c r="B347" s="276"/>
    </row>
    <row r="348">
      <c r="B348" s="276"/>
    </row>
    <row r="349">
      <c r="B349" s="276"/>
    </row>
    <row r="350">
      <c r="B350" s="276"/>
    </row>
    <row r="351">
      <c r="B351" s="276"/>
    </row>
    <row r="352">
      <c r="B352" s="276"/>
    </row>
    <row r="353">
      <c r="B353" s="276"/>
    </row>
    <row r="354">
      <c r="B354" s="276"/>
    </row>
    <row r="355">
      <c r="B355" s="276"/>
    </row>
    <row r="356">
      <c r="B356" s="276"/>
    </row>
    <row r="357">
      <c r="B357" s="276"/>
    </row>
    <row r="358">
      <c r="B358" s="276"/>
    </row>
    <row r="359">
      <c r="B359" s="276"/>
    </row>
    <row r="360">
      <c r="B360" s="276"/>
    </row>
    <row r="361">
      <c r="B361" s="276"/>
    </row>
    <row r="362">
      <c r="B362" s="276"/>
    </row>
    <row r="363">
      <c r="B363" s="276"/>
    </row>
    <row r="364">
      <c r="B364" s="276"/>
    </row>
    <row r="365">
      <c r="B365" s="276"/>
    </row>
    <row r="366">
      <c r="B366" s="276"/>
    </row>
    <row r="367">
      <c r="B367" s="276"/>
    </row>
    <row r="368">
      <c r="B368" s="276"/>
    </row>
    <row r="369">
      <c r="B369" s="276"/>
    </row>
    <row r="370">
      <c r="B370" s="276"/>
    </row>
    <row r="371">
      <c r="B371" s="276"/>
    </row>
    <row r="372">
      <c r="B372" s="276"/>
    </row>
    <row r="373">
      <c r="B373" s="276"/>
    </row>
    <row r="374">
      <c r="B374" s="276"/>
    </row>
    <row r="375">
      <c r="B375" s="276"/>
    </row>
    <row r="376">
      <c r="B376" s="276"/>
    </row>
    <row r="377">
      <c r="B377" s="276"/>
    </row>
    <row r="378">
      <c r="B378" s="276"/>
    </row>
    <row r="379">
      <c r="B379" s="276"/>
    </row>
    <row r="380">
      <c r="B380" s="276"/>
    </row>
    <row r="381">
      <c r="B381" s="276"/>
    </row>
    <row r="382">
      <c r="B382" s="276"/>
    </row>
    <row r="383">
      <c r="B383" s="276"/>
    </row>
    <row r="384">
      <c r="B384" s="276"/>
    </row>
    <row r="385">
      <c r="B385" s="276"/>
    </row>
    <row r="386">
      <c r="B386" s="276"/>
    </row>
    <row r="387">
      <c r="B387" s="276"/>
    </row>
    <row r="388">
      <c r="B388" s="276"/>
    </row>
    <row r="389">
      <c r="B389" s="276"/>
    </row>
    <row r="390">
      <c r="B390" s="276"/>
    </row>
    <row r="391">
      <c r="B391" s="276"/>
    </row>
    <row r="392">
      <c r="B392" s="276"/>
    </row>
    <row r="393">
      <c r="B393" s="276"/>
    </row>
    <row r="394">
      <c r="B394" s="276"/>
    </row>
    <row r="395">
      <c r="B395" s="276"/>
    </row>
    <row r="396">
      <c r="B396" s="276"/>
    </row>
    <row r="397">
      <c r="B397" s="276"/>
    </row>
    <row r="398">
      <c r="B398" s="276"/>
    </row>
    <row r="399">
      <c r="B399" s="276"/>
    </row>
    <row r="400">
      <c r="B400" s="276"/>
    </row>
    <row r="401">
      <c r="B401" s="276"/>
    </row>
    <row r="402">
      <c r="B402" s="276"/>
    </row>
    <row r="403">
      <c r="B403" s="276"/>
    </row>
    <row r="404">
      <c r="B404" s="276"/>
    </row>
    <row r="405">
      <c r="B405" s="276"/>
    </row>
    <row r="406">
      <c r="B406" s="276"/>
    </row>
    <row r="407">
      <c r="B407" s="276"/>
    </row>
    <row r="408">
      <c r="B408" s="276"/>
    </row>
    <row r="409">
      <c r="B409" s="276"/>
    </row>
    <row r="410">
      <c r="B410" s="276"/>
    </row>
    <row r="411">
      <c r="B411" s="276"/>
    </row>
    <row r="412">
      <c r="B412" s="276"/>
    </row>
    <row r="413">
      <c r="B413" s="276"/>
    </row>
    <row r="414">
      <c r="B414" s="276"/>
    </row>
    <row r="415">
      <c r="B415" s="276"/>
    </row>
    <row r="416">
      <c r="B416" s="276"/>
    </row>
    <row r="417">
      <c r="B417" s="276"/>
    </row>
    <row r="418">
      <c r="B418" s="276"/>
    </row>
    <row r="419">
      <c r="B419" s="276"/>
    </row>
    <row r="420">
      <c r="B420" s="276"/>
    </row>
    <row r="421">
      <c r="B421" s="276"/>
    </row>
    <row r="422">
      <c r="B422" s="276"/>
    </row>
    <row r="423">
      <c r="B423" s="276"/>
    </row>
    <row r="424">
      <c r="B424" s="276"/>
    </row>
    <row r="425">
      <c r="B425" s="276"/>
    </row>
    <row r="426">
      <c r="B426" s="276"/>
    </row>
    <row r="427">
      <c r="B427" s="276"/>
    </row>
    <row r="428">
      <c r="B428" s="276"/>
    </row>
    <row r="429">
      <c r="B429" s="276"/>
    </row>
    <row r="430">
      <c r="B430" s="276"/>
    </row>
    <row r="431">
      <c r="B431" s="276"/>
    </row>
    <row r="432">
      <c r="B432" s="276"/>
    </row>
    <row r="433">
      <c r="B433" s="276"/>
    </row>
    <row r="434">
      <c r="B434" s="276"/>
    </row>
    <row r="435">
      <c r="B435" s="276"/>
    </row>
    <row r="436">
      <c r="B436" s="276"/>
    </row>
    <row r="437">
      <c r="B437" s="276"/>
    </row>
    <row r="438">
      <c r="B438" s="276"/>
    </row>
    <row r="439">
      <c r="B439" s="276"/>
    </row>
    <row r="440">
      <c r="B440" s="276"/>
    </row>
    <row r="441">
      <c r="B441" s="276"/>
    </row>
    <row r="442">
      <c r="B442" s="276"/>
    </row>
    <row r="443">
      <c r="B443" s="276"/>
    </row>
    <row r="444">
      <c r="B444" s="276"/>
    </row>
    <row r="445">
      <c r="B445" s="276"/>
    </row>
    <row r="446">
      <c r="B446" s="276"/>
    </row>
    <row r="447">
      <c r="B447" s="276"/>
    </row>
    <row r="448">
      <c r="B448" s="276"/>
    </row>
    <row r="449">
      <c r="B449" s="276"/>
    </row>
    <row r="450">
      <c r="B450" s="276"/>
    </row>
    <row r="451">
      <c r="B451" s="276"/>
    </row>
    <row r="452">
      <c r="B452" s="276"/>
    </row>
    <row r="453">
      <c r="B453" s="276"/>
    </row>
    <row r="454">
      <c r="B454" s="276"/>
    </row>
    <row r="455">
      <c r="B455" s="276"/>
    </row>
    <row r="456">
      <c r="B456" s="276"/>
    </row>
    <row r="457">
      <c r="B457" s="276"/>
    </row>
    <row r="458">
      <c r="B458" s="276"/>
    </row>
    <row r="459">
      <c r="B459" s="276"/>
    </row>
    <row r="460">
      <c r="B460" s="276"/>
    </row>
    <row r="461">
      <c r="B461" s="276"/>
    </row>
    <row r="462">
      <c r="B462" s="276"/>
    </row>
    <row r="463">
      <c r="B463" s="276"/>
    </row>
    <row r="464">
      <c r="B464" s="276"/>
    </row>
    <row r="465">
      <c r="B465" s="276"/>
    </row>
    <row r="466">
      <c r="B466" s="276"/>
    </row>
    <row r="467">
      <c r="B467" s="276"/>
    </row>
    <row r="468">
      <c r="B468" s="276"/>
    </row>
    <row r="469">
      <c r="B469" s="276"/>
    </row>
    <row r="470">
      <c r="B470" s="276"/>
    </row>
    <row r="471">
      <c r="B471" s="276"/>
    </row>
    <row r="472">
      <c r="B472" s="276"/>
    </row>
    <row r="473">
      <c r="B473" s="276"/>
    </row>
    <row r="474">
      <c r="B474" s="276"/>
    </row>
    <row r="475">
      <c r="B475" s="276"/>
    </row>
    <row r="476">
      <c r="B476" s="276"/>
    </row>
    <row r="477">
      <c r="B477" s="276"/>
    </row>
    <row r="478">
      <c r="B478" s="276"/>
    </row>
    <row r="479">
      <c r="B479" s="276"/>
    </row>
    <row r="480">
      <c r="B480" s="276"/>
    </row>
    <row r="481">
      <c r="B481" s="276"/>
    </row>
    <row r="482">
      <c r="B482" s="276"/>
    </row>
    <row r="483">
      <c r="B483" s="276"/>
    </row>
    <row r="484">
      <c r="B484" s="276"/>
    </row>
    <row r="485">
      <c r="B485" s="276"/>
    </row>
    <row r="486">
      <c r="B486" s="276"/>
    </row>
    <row r="487">
      <c r="B487" s="276"/>
    </row>
    <row r="488">
      <c r="B488" s="276"/>
    </row>
    <row r="489">
      <c r="B489" s="276"/>
    </row>
    <row r="490">
      <c r="B490" s="276"/>
    </row>
    <row r="491">
      <c r="B491" s="276"/>
    </row>
    <row r="492">
      <c r="B492" s="276"/>
    </row>
    <row r="493">
      <c r="B493" s="276"/>
    </row>
    <row r="494">
      <c r="B494" s="276"/>
    </row>
    <row r="495">
      <c r="B495" s="276"/>
    </row>
    <row r="496">
      <c r="B496" s="276"/>
    </row>
    <row r="497">
      <c r="B497" s="276"/>
    </row>
    <row r="498">
      <c r="B498" s="276"/>
    </row>
    <row r="499">
      <c r="B499" s="276"/>
    </row>
    <row r="500">
      <c r="B500" s="276"/>
    </row>
    <row r="501">
      <c r="B501" s="276"/>
    </row>
    <row r="502">
      <c r="B502" s="276"/>
    </row>
    <row r="503">
      <c r="B503" s="276"/>
    </row>
    <row r="504">
      <c r="B504" s="276"/>
    </row>
    <row r="505">
      <c r="B505" s="276"/>
    </row>
    <row r="506">
      <c r="B506" s="276"/>
    </row>
    <row r="507">
      <c r="B507" s="276"/>
    </row>
    <row r="508">
      <c r="B508" s="276"/>
    </row>
    <row r="509">
      <c r="B509" s="276"/>
    </row>
    <row r="510">
      <c r="B510" s="276"/>
    </row>
    <row r="511">
      <c r="B511" s="276"/>
    </row>
    <row r="512">
      <c r="B512" s="276"/>
    </row>
    <row r="513">
      <c r="B513" s="276"/>
    </row>
    <row r="514">
      <c r="B514" s="276"/>
    </row>
    <row r="515">
      <c r="B515" s="276"/>
    </row>
    <row r="516">
      <c r="B516" s="276"/>
    </row>
    <row r="517">
      <c r="B517" s="276"/>
    </row>
    <row r="518">
      <c r="B518" s="276"/>
    </row>
    <row r="519">
      <c r="B519" s="276"/>
    </row>
    <row r="520">
      <c r="B520" s="276"/>
    </row>
    <row r="521">
      <c r="B521" s="276"/>
    </row>
    <row r="522">
      <c r="B522" s="276"/>
    </row>
    <row r="523">
      <c r="B523" s="276"/>
    </row>
    <row r="524">
      <c r="B524" s="276"/>
    </row>
    <row r="525">
      <c r="B525" s="276"/>
    </row>
    <row r="526">
      <c r="B526" s="276"/>
    </row>
    <row r="527">
      <c r="B527" s="276"/>
    </row>
    <row r="528">
      <c r="B528" s="276"/>
    </row>
    <row r="529">
      <c r="B529" s="276"/>
    </row>
    <row r="530">
      <c r="B530" s="276"/>
    </row>
    <row r="531">
      <c r="B531" s="276"/>
    </row>
    <row r="532">
      <c r="B532" s="276"/>
    </row>
    <row r="533">
      <c r="B533" s="276"/>
    </row>
    <row r="534">
      <c r="B534" s="276"/>
    </row>
    <row r="535">
      <c r="B535" s="276"/>
    </row>
    <row r="536">
      <c r="B536" s="276"/>
    </row>
    <row r="537">
      <c r="B537" s="276"/>
    </row>
    <row r="538">
      <c r="B538" s="276"/>
    </row>
    <row r="539">
      <c r="B539" s="276"/>
    </row>
    <row r="540">
      <c r="B540" s="276"/>
    </row>
    <row r="541">
      <c r="B541" s="276"/>
    </row>
    <row r="542">
      <c r="B542" s="276"/>
    </row>
    <row r="543">
      <c r="B543" s="276"/>
    </row>
    <row r="544">
      <c r="B544" s="276"/>
    </row>
    <row r="545">
      <c r="B545" s="276"/>
    </row>
    <row r="546">
      <c r="B546" s="276"/>
    </row>
    <row r="547">
      <c r="B547" s="276"/>
    </row>
    <row r="548">
      <c r="B548" s="276"/>
    </row>
    <row r="549">
      <c r="B549" s="276"/>
    </row>
    <row r="550">
      <c r="B550" s="276"/>
    </row>
    <row r="551">
      <c r="B551" s="276"/>
    </row>
    <row r="552">
      <c r="B552" s="276"/>
    </row>
    <row r="553">
      <c r="B553" s="276"/>
    </row>
    <row r="554">
      <c r="B554" s="276"/>
    </row>
    <row r="555">
      <c r="B555" s="276"/>
    </row>
    <row r="556">
      <c r="B556" s="276"/>
    </row>
    <row r="557">
      <c r="B557" s="276"/>
    </row>
    <row r="558">
      <c r="B558" s="276"/>
    </row>
    <row r="559">
      <c r="B559" s="276"/>
    </row>
    <row r="560">
      <c r="B560" s="276"/>
    </row>
    <row r="561">
      <c r="B561" s="276"/>
    </row>
    <row r="562">
      <c r="B562" s="276"/>
    </row>
    <row r="563">
      <c r="B563" s="276"/>
    </row>
    <row r="564">
      <c r="B564" s="276"/>
    </row>
    <row r="565">
      <c r="B565" s="276"/>
    </row>
    <row r="566">
      <c r="B566" s="276"/>
    </row>
    <row r="567">
      <c r="B567" s="276"/>
    </row>
    <row r="568">
      <c r="B568" s="276"/>
    </row>
    <row r="569">
      <c r="B569" s="276"/>
    </row>
    <row r="570">
      <c r="B570" s="276"/>
    </row>
    <row r="571">
      <c r="B571" s="276"/>
    </row>
    <row r="572">
      <c r="B572" s="276"/>
    </row>
    <row r="573">
      <c r="B573" s="276"/>
    </row>
    <row r="574">
      <c r="B574" s="276"/>
    </row>
    <row r="575">
      <c r="B575" s="276"/>
    </row>
    <row r="576">
      <c r="B576" s="276"/>
    </row>
    <row r="577">
      <c r="B577" s="276"/>
    </row>
    <row r="578">
      <c r="B578" s="276"/>
    </row>
    <row r="579">
      <c r="B579" s="276"/>
    </row>
    <row r="580">
      <c r="B580" s="276"/>
    </row>
    <row r="581">
      <c r="B581" s="276"/>
    </row>
    <row r="582">
      <c r="B582" s="276"/>
    </row>
    <row r="583">
      <c r="B583" s="276"/>
    </row>
    <row r="584">
      <c r="B584" s="276"/>
    </row>
    <row r="585">
      <c r="B585" s="276"/>
    </row>
    <row r="586">
      <c r="B586" s="276"/>
    </row>
    <row r="587">
      <c r="B587" s="276"/>
    </row>
    <row r="588">
      <c r="B588" s="276"/>
    </row>
    <row r="589">
      <c r="B589" s="276"/>
    </row>
    <row r="590">
      <c r="B590" s="276"/>
    </row>
    <row r="591">
      <c r="B591" s="276"/>
    </row>
    <row r="592">
      <c r="B592" s="276"/>
    </row>
    <row r="593">
      <c r="B593" s="276"/>
    </row>
    <row r="594">
      <c r="B594" s="276"/>
    </row>
    <row r="595">
      <c r="B595" s="276"/>
    </row>
    <row r="596">
      <c r="B596" s="276"/>
    </row>
    <row r="597">
      <c r="B597" s="276"/>
    </row>
    <row r="598">
      <c r="B598" s="276"/>
    </row>
    <row r="599">
      <c r="B599" s="276"/>
    </row>
    <row r="600">
      <c r="B600" s="276"/>
    </row>
    <row r="601">
      <c r="B601" s="276"/>
    </row>
    <row r="602">
      <c r="B602" s="276"/>
    </row>
    <row r="603">
      <c r="B603" s="276"/>
    </row>
    <row r="604">
      <c r="B604" s="276"/>
    </row>
    <row r="605">
      <c r="B605" s="276"/>
    </row>
    <row r="606">
      <c r="B606" s="276"/>
    </row>
    <row r="607">
      <c r="B607" s="276"/>
    </row>
    <row r="608">
      <c r="B608" s="276"/>
    </row>
    <row r="609">
      <c r="B609" s="276"/>
    </row>
    <row r="610">
      <c r="B610" s="276"/>
    </row>
    <row r="611">
      <c r="B611" s="276"/>
    </row>
    <row r="612">
      <c r="B612" s="276"/>
    </row>
    <row r="613">
      <c r="B613" s="276"/>
    </row>
    <row r="614">
      <c r="B614" s="276"/>
    </row>
    <row r="615">
      <c r="B615" s="276"/>
    </row>
    <row r="616">
      <c r="B616" s="276"/>
    </row>
    <row r="617">
      <c r="B617" s="276"/>
    </row>
    <row r="618">
      <c r="B618" s="276"/>
    </row>
    <row r="619">
      <c r="B619" s="276"/>
    </row>
    <row r="620">
      <c r="B620" s="276"/>
    </row>
    <row r="621">
      <c r="B621" s="276"/>
    </row>
    <row r="622">
      <c r="B622" s="276"/>
    </row>
    <row r="623">
      <c r="B623" s="276"/>
    </row>
    <row r="624">
      <c r="B624" s="276"/>
    </row>
    <row r="625">
      <c r="B625" s="276"/>
    </row>
    <row r="626">
      <c r="B626" s="276"/>
    </row>
    <row r="627">
      <c r="B627" s="276"/>
    </row>
    <row r="628">
      <c r="B628" s="276"/>
    </row>
    <row r="629">
      <c r="B629" s="276"/>
    </row>
    <row r="630">
      <c r="B630" s="276"/>
    </row>
    <row r="631">
      <c r="B631" s="276"/>
    </row>
    <row r="632">
      <c r="B632" s="276"/>
    </row>
    <row r="633">
      <c r="B633" s="276"/>
    </row>
    <row r="634">
      <c r="B634" s="276"/>
    </row>
    <row r="635">
      <c r="B635" s="276"/>
    </row>
    <row r="636">
      <c r="B636" s="276"/>
    </row>
    <row r="637">
      <c r="B637" s="276"/>
    </row>
    <row r="638">
      <c r="B638" s="276"/>
    </row>
    <row r="639">
      <c r="B639" s="276"/>
    </row>
    <row r="640">
      <c r="B640" s="276"/>
    </row>
    <row r="641">
      <c r="B641" s="276"/>
    </row>
    <row r="642">
      <c r="B642" s="276"/>
    </row>
    <row r="643">
      <c r="B643" s="276"/>
    </row>
    <row r="644">
      <c r="B644" s="276"/>
    </row>
    <row r="645">
      <c r="B645" s="276"/>
    </row>
    <row r="646">
      <c r="B646" s="276"/>
    </row>
    <row r="647">
      <c r="B647" s="276"/>
    </row>
    <row r="648">
      <c r="B648" s="276"/>
    </row>
    <row r="649">
      <c r="B649" s="276"/>
    </row>
    <row r="650">
      <c r="B650" s="276"/>
    </row>
    <row r="651">
      <c r="B651" s="276"/>
    </row>
    <row r="652">
      <c r="B652" s="276"/>
    </row>
    <row r="653">
      <c r="B653" s="276"/>
    </row>
    <row r="654">
      <c r="B654" s="276"/>
    </row>
    <row r="655">
      <c r="B655" s="276"/>
    </row>
    <row r="656">
      <c r="B656" s="276"/>
    </row>
    <row r="657">
      <c r="B657" s="276"/>
    </row>
    <row r="658">
      <c r="B658" s="276"/>
    </row>
    <row r="659">
      <c r="B659" s="276"/>
    </row>
    <row r="660">
      <c r="B660" s="276"/>
    </row>
    <row r="661">
      <c r="B661" s="276"/>
    </row>
    <row r="662">
      <c r="B662" s="276"/>
    </row>
    <row r="663">
      <c r="B663" s="276"/>
    </row>
    <row r="664">
      <c r="B664" s="276"/>
    </row>
    <row r="665">
      <c r="B665" s="276"/>
    </row>
    <row r="666">
      <c r="B666" s="276"/>
    </row>
    <row r="667">
      <c r="B667" s="276"/>
    </row>
    <row r="668">
      <c r="B668" s="276"/>
    </row>
    <row r="669">
      <c r="B669" s="276"/>
    </row>
    <row r="670">
      <c r="B670" s="276"/>
    </row>
    <row r="671">
      <c r="B671" s="276"/>
    </row>
    <row r="672">
      <c r="B672" s="276"/>
    </row>
    <row r="673">
      <c r="B673" s="276"/>
    </row>
    <row r="674">
      <c r="B674" s="276"/>
    </row>
    <row r="675">
      <c r="B675" s="276"/>
    </row>
    <row r="676">
      <c r="B676" s="276"/>
    </row>
    <row r="677">
      <c r="B677" s="276"/>
    </row>
    <row r="678">
      <c r="B678" s="276"/>
    </row>
    <row r="679">
      <c r="B679" s="276"/>
    </row>
    <row r="680">
      <c r="B680" s="276"/>
    </row>
    <row r="681">
      <c r="B681" s="276"/>
    </row>
    <row r="682">
      <c r="B682" s="276"/>
    </row>
    <row r="683">
      <c r="B683" s="276"/>
    </row>
    <row r="684">
      <c r="B684" s="276"/>
    </row>
    <row r="685">
      <c r="B685" s="276"/>
    </row>
    <row r="686">
      <c r="B686" s="276"/>
    </row>
    <row r="687">
      <c r="B687" s="276"/>
    </row>
    <row r="688">
      <c r="B688" s="276"/>
    </row>
    <row r="689">
      <c r="B689" s="276"/>
    </row>
    <row r="690">
      <c r="B690" s="276"/>
    </row>
    <row r="691">
      <c r="B691" s="276"/>
    </row>
    <row r="692">
      <c r="B692" s="276"/>
    </row>
    <row r="693">
      <c r="B693" s="276"/>
    </row>
    <row r="694">
      <c r="B694" s="276"/>
    </row>
    <row r="695">
      <c r="B695" s="276"/>
    </row>
    <row r="696">
      <c r="B696" s="276"/>
    </row>
    <row r="697">
      <c r="B697" s="276"/>
    </row>
    <row r="698">
      <c r="B698" s="276"/>
    </row>
    <row r="699">
      <c r="B699" s="276"/>
    </row>
    <row r="700">
      <c r="B700" s="276"/>
    </row>
    <row r="701">
      <c r="B701" s="276"/>
    </row>
    <row r="702">
      <c r="B702" s="276"/>
    </row>
    <row r="703">
      <c r="B703" s="276"/>
    </row>
    <row r="704">
      <c r="B704" s="276"/>
    </row>
    <row r="705">
      <c r="B705" s="276"/>
    </row>
    <row r="706">
      <c r="B706" s="276"/>
    </row>
    <row r="707">
      <c r="B707" s="276"/>
    </row>
    <row r="708">
      <c r="B708" s="276"/>
    </row>
    <row r="709">
      <c r="B709" s="276"/>
    </row>
    <row r="710">
      <c r="B710" s="276"/>
    </row>
    <row r="711">
      <c r="B711" s="276"/>
    </row>
    <row r="712">
      <c r="B712" s="276"/>
    </row>
    <row r="713">
      <c r="B713" s="276"/>
    </row>
    <row r="714">
      <c r="B714" s="276"/>
    </row>
    <row r="715">
      <c r="B715" s="276"/>
    </row>
    <row r="716">
      <c r="B716" s="276"/>
    </row>
    <row r="717">
      <c r="B717" s="276"/>
    </row>
    <row r="718">
      <c r="B718" s="276"/>
    </row>
    <row r="719">
      <c r="B719" s="276"/>
    </row>
    <row r="720">
      <c r="B720" s="276"/>
    </row>
    <row r="721">
      <c r="B721" s="276"/>
    </row>
    <row r="722">
      <c r="B722" s="276"/>
    </row>
    <row r="723">
      <c r="B723" s="276"/>
    </row>
    <row r="724">
      <c r="B724" s="276"/>
    </row>
    <row r="725">
      <c r="B725" s="276"/>
    </row>
    <row r="726">
      <c r="B726" s="276"/>
    </row>
    <row r="727">
      <c r="B727" s="276"/>
    </row>
    <row r="728">
      <c r="B728" s="276"/>
    </row>
    <row r="729">
      <c r="B729" s="276"/>
    </row>
    <row r="730">
      <c r="B730" s="276"/>
    </row>
    <row r="731">
      <c r="B731" s="276"/>
    </row>
    <row r="732">
      <c r="B732" s="276"/>
    </row>
    <row r="733">
      <c r="B733" s="276"/>
    </row>
    <row r="734">
      <c r="B734" s="276"/>
    </row>
    <row r="735">
      <c r="B735" s="276"/>
    </row>
    <row r="736">
      <c r="B736" s="276"/>
    </row>
    <row r="737">
      <c r="B737" s="276"/>
    </row>
    <row r="738">
      <c r="B738" s="276"/>
    </row>
    <row r="739">
      <c r="B739" s="276"/>
    </row>
    <row r="740">
      <c r="B740" s="276"/>
    </row>
    <row r="741">
      <c r="B741" s="276"/>
    </row>
    <row r="742">
      <c r="B742" s="276"/>
    </row>
    <row r="743">
      <c r="B743" s="276"/>
    </row>
    <row r="744">
      <c r="B744" s="276"/>
    </row>
    <row r="745">
      <c r="B745" s="276"/>
    </row>
    <row r="746">
      <c r="B746" s="276"/>
    </row>
    <row r="747">
      <c r="B747" s="276"/>
    </row>
    <row r="748">
      <c r="B748" s="276"/>
    </row>
    <row r="749">
      <c r="B749" s="276"/>
    </row>
    <row r="750">
      <c r="B750" s="276"/>
    </row>
    <row r="751">
      <c r="B751" s="276"/>
    </row>
    <row r="752">
      <c r="B752" s="276"/>
    </row>
    <row r="753">
      <c r="B753" s="276"/>
    </row>
    <row r="754">
      <c r="B754" s="276"/>
    </row>
    <row r="755">
      <c r="B755" s="276"/>
    </row>
    <row r="756">
      <c r="B756" s="276"/>
    </row>
    <row r="757">
      <c r="B757" s="276"/>
    </row>
    <row r="758">
      <c r="B758" s="276"/>
    </row>
    <row r="759">
      <c r="B759" s="276"/>
    </row>
    <row r="760">
      <c r="B760" s="276"/>
    </row>
    <row r="761">
      <c r="B761" s="276"/>
    </row>
    <row r="762">
      <c r="B762" s="276"/>
    </row>
    <row r="763">
      <c r="B763" s="276"/>
    </row>
    <row r="764">
      <c r="B764" s="276"/>
    </row>
    <row r="765">
      <c r="B765" s="276"/>
    </row>
    <row r="766">
      <c r="B766" s="276"/>
    </row>
    <row r="767">
      <c r="B767" s="276"/>
    </row>
    <row r="768">
      <c r="B768" s="276"/>
    </row>
    <row r="769">
      <c r="B769" s="276"/>
    </row>
    <row r="770">
      <c r="B770" s="276"/>
    </row>
    <row r="771">
      <c r="B771" s="276"/>
    </row>
    <row r="772">
      <c r="B772" s="276"/>
    </row>
    <row r="773">
      <c r="B773" s="276"/>
    </row>
    <row r="774">
      <c r="B774" s="276"/>
    </row>
    <row r="775">
      <c r="B775" s="276"/>
    </row>
    <row r="776">
      <c r="B776" s="276"/>
    </row>
    <row r="777">
      <c r="B777" s="276"/>
    </row>
    <row r="778">
      <c r="B778" s="276"/>
    </row>
    <row r="779">
      <c r="B779" s="276"/>
    </row>
    <row r="780">
      <c r="B780" s="276"/>
    </row>
    <row r="781">
      <c r="B781" s="276"/>
    </row>
    <row r="782">
      <c r="B782" s="276"/>
    </row>
    <row r="783">
      <c r="B783" s="276"/>
    </row>
    <row r="784">
      <c r="B784" s="276"/>
    </row>
    <row r="785">
      <c r="B785" s="276"/>
    </row>
    <row r="786">
      <c r="B786" s="276"/>
    </row>
    <row r="787">
      <c r="B787" s="276"/>
    </row>
    <row r="788">
      <c r="B788" s="276"/>
    </row>
    <row r="789">
      <c r="B789" s="276"/>
    </row>
    <row r="790">
      <c r="B790" s="276"/>
    </row>
    <row r="791">
      <c r="B791" s="276"/>
    </row>
    <row r="792">
      <c r="B792" s="276"/>
    </row>
    <row r="793">
      <c r="B793" s="276"/>
    </row>
    <row r="794">
      <c r="B794" s="276"/>
    </row>
    <row r="795">
      <c r="B795" s="276"/>
    </row>
    <row r="796">
      <c r="B796" s="276"/>
    </row>
    <row r="797">
      <c r="B797" s="276"/>
    </row>
    <row r="798">
      <c r="B798" s="276"/>
    </row>
    <row r="799">
      <c r="B799" s="276"/>
    </row>
    <row r="800">
      <c r="B800" s="276"/>
    </row>
    <row r="801">
      <c r="B801" s="276"/>
    </row>
    <row r="802">
      <c r="B802" s="276"/>
    </row>
    <row r="803">
      <c r="B803" s="276"/>
    </row>
    <row r="804">
      <c r="B804" s="276"/>
    </row>
    <row r="805">
      <c r="B805" s="276"/>
    </row>
    <row r="806">
      <c r="B806" s="276"/>
    </row>
    <row r="807">
      <c r="B807" s="276"/>
    </row>
    <row r="808">
      <c r="B808" s="276"/>
    </row>
    <row r="809">
      <c r="B809" s="276"/>
    </row>
    <row r="810">
      <c r="B810" s="276"/>
    </row>
    <row r="811">
      <c r="B811" s="276"/>
    </row>
    <row r="812">
      <c r="B812" s="276"/>
    </row>
    <row r="813">
      <c r="B813" s="276"/>
    </row>
    <row r="814">
      <c r="B814" s="276"/>
    </row>
    <row r="815">
      <c r="B815" s="276"/>
    </row>
    <row r="816">
      <c r="B816" s="276"/>
    </row>
    <row r="817">
      <c r="B817" s="276"/>
    </row>
    <row r="818">
      <c r="B818" s="276"/>
    </row>
    <row r="819">
      <c r="B819" s="276"/>
    </row>
    <row r="820">
      <c r="B820" s="276"/>
    </row>
    <row r="821">
      <c r="B821" s="276"/>
    </row>
    <row r="822">
      <c r="B822" s="276"/>
    </row>
    <row r="823">
      <c r="B823" s="276"/>
    </row>
    <row r="824">
      <c r="B824" s="276"/>
    </row>
    <row r="825">
      <c r="B825" s="276"/>
    </row>
    <row r="826">
      <c r="B826" s="276"/>
    </row>
    <row r="827">
      <c r="B827" s="276"/>
    </row>
    <row r="828">
      <c r="B828" s="276"/>
    </row>
    <row r="829">
      <c r="B829" s="276"/>
    </row>
    <row r="830">
      <c r="B830" s="276"/>
    </row>
    <row r="831">
      <c r="B831" s="276"/>
    </row>
    <row r="832">
      <c r="B832" s="276"/>
    </row>
    <row r="833">
      <c r="B833" s="276"/>
    </row>
    <row r="834">
      <c r="B834" s="276"/>
    </row>
    <row r="835">
      <c r="B835" s="276"/>
    </row>
    <row r="836">
      <c r="B836" s="276"/>
    </row>
    <row r="837">
      <c r="B837" s="276"/>
    </row>
    <row r="838">
      <c r="B838" s="276"/>
    </row>
    <row r="839">
      <c r="B839" s="276"/>
    </row>
    <row r="840">
      <c r="B840" s="276"/>
    </row>
    <row r="841">
      <c r="B841" s="276"/>
    </row>
    <row r="842">
      <c r="B842" s="276"/>
    </row>
    <row r="843">
      <c r="B843" s="276"/>
    </row>
    <row r="844">
      <c r="B844" s="276"/>
    </row>
    <row r="845">
      <c r="B845" s="276"/>
    </row>
    <row r="846">
      <c r="B846" s="276"/>
    </row>
    <row r="847">
      <c r="B847" s="276"/>
    </row>
    <row r="848">
      <c r="B848" s="276"/>
    </row>
    <row r="849">
      <c r="B849" s="276"/>
    </row>
    <row r="850">
      <c r="B850" s="276"/>
    </row>
    <row r="851">
      <c r="B851" s="276"/>
    </row>
    <row r="852">
      <c r="B852" s="276"/>
    </row>
    <row r="853">
      <c r="B853" s="276"/>
    </row>
    <row r="854">
      <c r="B854" s="276"/>
    </row>
    <row r="855">
      <c r="B855" s="276"/>
    </row>
    <row r="856">
      <c r="B856" s="276"/>
    </row>
    <row r="857">
      <c r="B857" s="276"/>
    </row>
    <row r="858">
      <c r="B858" s="276"/>
    </row>
    <row r="859">
      <c r="B859" s="276"/>
    </row>
    <row r="860">
      <c r="B860" s="276"/>
    </row>
    <row r="861">
      <c r="B861" s="276"/>
    </row>
    <row r="862">
      <c r="B862" s="276"/>
    </row>
    <row r="863">
      <c r="B863" s="276"/>
    </row>
    <row r="864">
      <c r="B864" s="276"/>
    </row>
    <row r="865">
      <c r="B865" s="276"/>
    </row>
    <row r="866">
      <c r="B866" s="276"/>
    </row>
    <row r="867">
      <c r="B867" s="276"/>
    </row>
    <row r="868">
      <c r="B868" s="276"/>
    </row>
    <row r="869">
      <c r="B869" s="276"/>
    </row>
    <row r="870">
      <c r="B870" s="276"/>
    </row>
    <row r="871">
      <c r="B871" s="276"/>
    </row>
    <row r="872">
      <c r="B872" s="276"/>
    </row>
    <row r="873">
      <c r="B873" s="276"/>
    </row>
    <row r="874">
      <c r="B874" s="276"/>
    </row>
    <row r="875">
      <c r="B875" s="276"/>
    </row>
    <row r="876">
      <c r="B876" s="276"/>
    </row>
    <row r="877">
      <c r="B877" s="276"/>
    </row>
    <row r="878">
      <c r="B878" s="276"/>
    </row>
    <row r="879">
      <c r="B879" s="276"/>
    </row>
    <row r="880">
      <c r="B880" s="276"/>
    </row>
    <row r="881">
      <c r="B881" s="276"/>
    </row>
    <row r="882">
      <c r="B882" s="276"/>
    </row>
    <row r="883">
      <c r="B883" s="276"/>
    </row>
    <row r="884">
      <c r="B884" s="276"/>
    </row>
    <row r="885">
      <c r="B885" s="276"/>
    </row>
    <row r="886">
      <c r="B886" s="276"/>
    </row>
    <row r="887">
      <c r="B887" s="276"/>
    </row>
    <row r="888">
      <c r="B888" s="276"/>
    </row>
    <row r="889">
      <c r="B889" s="276"/>
    </row>
    <row r="890">
      <c r="B890" s="276"/>
    </row>
    <row r="891">
      <c r="B891" s="276"/>
    </row>
    <row r="892">
      <c r="B892" s="276"/>
    </row>
    <row r="893">
      <c r="B893" s="276"/>
    </row>
    <row r="894">
      <c r="B894" s="276"/>
    </row>
    <row r="895">
      <c r="B895" s="276"/>
    </row>
    <row r="896">
      <c r="B896" s="276"/>
    </row>
    <row r="897">
      <c r="B897" s="276"/>
    </row>
    <row r="898">
      <c r="B898" s="276"/>
    </row>
    <row r="899">
      <c r="B899" s="276"/>
    </row>
    <row r="900">
      <c r="B900" s="276"/>
    </row>
    <row r="901">
      <c r="B901" s="276"/>
    </row>
    <row r="902">
      <c r="B902" s="276"/>
    </row>
    <row r="903">
      <c r="B903" s="276"/>
    </row>
    <row r="904">
      <c r="B904" s="276"/>
    </row>
    <row r="905">
      <c r="B905" s="276"/>
    </row>
    <row r="906">
      <c r="B906" s="276"/>
    </row>
    <row r="907">
      <c r="B907" s="276"/>
    </row>
    <row r="908">
      <c r="B908" s="276"/>
    </row>
    <row r="909">
      <c r="B909" s="276"/>
    </row>
    <row r="910">
      <c r="B910" s="276"/>
    </row>
    <row r="911">
      <c r="B911" s="276"/>
    </row>
    <row r="912">
      <c r="B912" s="276"/>
    </row>
    <row r="913">
      <c r="B913" s="276"/>
    </row>
    <row r="914">
      <c r="B914" s="276"/>
    </row>
    <row r="915">
      <c r="B915" s="276"/>
    </row>
    <row r="916">
      <c r="B916" s="276"/>
    </row>
    <row r="917">
      <c r="B917" s="276"/>
    </row>
    <row r="918">
      <c r="B918" s="276"/>
    </row>
    <row r="919">
      <c r="B919" s="276"/>
    </row>
    <row r="920">
      <c r="B920" s="276"/>
    </row>
    <row r="921">
      <c r="B921" s="276"/>
    </row>
    <row r="922">
      <c r="B922" s="276"/>
    </row>
    <row r="923">
      <c r="B923" s="276"/>
    </row>
    <row r="924">
      <c r="B924" s="276"/>
    </row>
    <row r="925">
      <c r="B925" s="276"/>
    </row>
    <row r="926">
      <c r="B926" s="276"/>
    </row>
    <row r="927">
      <c r="B927" s="276"/>
    </row>
    <row r="928">
      <c r="B928" s="276"/>
    </row>
    <row r="929">
      <c r="B929" s="276"/>
    </row>
    <row r="930">
      <c r="B930" s="276"/>
    </row>
    <row r="931">
      <c r="B931" s="276"/>
    </row>
    <row r="932">
      <c r="B932" s="276"/>
    </row>
    <row r="933">
      <c r="B933" s="276"/>
    </row>
    <row r="934">
      <c r="B934" s="276"/>
    </row>
    <row r="935">
      <c r="B935" s="276"/>
    </row>
    <row r="936">
      <c r="B936" s="276"/>
    </row>
    <row r="937">
      <c r="B937" s="276"/>
    </row>
    <row r="938">
      <c r="B938" s="276"/>
    </row>
    <row r="939">
      <c r="B939" s="276"/>
    </row>
    <row r="940">
      <c r="B940" s="276"/>
    </row>
    <row r="941">
      <c r="B941" s="276"/>
    </row>
    <row r="942">
      <c r="B942" s="276"/>
    </row>
    <row r="943">
      <c r="B943" s="276"/>
    </row>
    <row r="944">
      <c r="B944" s="276"/>
    </row>
    <row r="945">
      <c r="B945" s="276"/>
    </row>
    <row r="946">
      <c r="B946" s="276"/>
    </row>
    <row r="947">
      <c r="B947" s="276"/>
    </row>
    <row r="948">
      <c r="B948" s="276"/>
    </row>
    <row r="949">
      <c r="B949" s="276"/>
    </row>
    <row r="950">
      <c r="B950" s="276"/>
    </row>
    <row r="951">
      <c r="B951" s="276"/>
    </row>
    <row r="952">
      <c r="B952" s="276"/>
    </row>
    <row r="953">
      <c r="B953" s="276"/>
    </row>
    <row r="954">
      <c r="B954" s="276"/>
    </row>
    <row r="955">
      <c r="B955" s="276"/>
    </row>
    <row r="956">
      <c r="B956" s="276"/>
    </row>
    <row r="957">
      <c r="B957" s="276"/>
    </row>
    <row r="958">
      <c r="B958" s="276"/>
    </row>
    <row r="959">
      <c r="B959" s="276"/>
    </row>
    <row r="960">
      <c r="B960" s="276"/>
    </row>
    <row r="961">
      <c r="B961" s="276"/>
    </row>
    <row r="962">
      <c r="B962" s="276"/>
    </row>
    <row r="963">
      <c r="B963" s="276"/>
    </row>
    <row r="964">
      <c r="B964" s="276"/>
    </row>
    <row r="965">
      <c r="B965" s="276"/>
    </row>
    <row r="966">
      <c r="B966" s="276"/>
    </row>
    <row r="967">
      <c r="B967" s="276"/>
    </row>
    <row r="968">
      <c r="B968" s="276"/>
    </row>
    <row r="969">
      <c r="B969" s="276"/>
    </row>
    <row r="970">
      <c r="B970" s="276"/>
    </row>
    <row r="971">
      <c r="B971" s="276"/>
    </row>
    <row r="972">
      <c r="B972" s="276"/>
    </row>
    <row r="973">
      <c r="B973" s="276"/>
    </row>
    <row r="974">
      <c r="B974" s="276"/>
    </row>
    <row r="975">
      <c r="B975" s="276"/>
    </row>
    <row r="976">
      <c r="B976" s="276"/>
    </row>
    <row r="977">
      <c r="B977" s="276"/>
    </row>
    <row r="978">
      <c r="B978" s="276"/>
    </row>
    <row r="979">
      <c r="B979" s="276"/>
    </row>
    <row r="980">
      <c r="B980" s="276"/>
    </row>
    <row r="981">
      <c r="B981" s="276"/>
    </row>
    <row r="982">
      <c r="B982" s="276"/>
    </row>
    <row r="983">
      <c r="B983" s="276"/>
    </row>
    <row r="984">
      <c r="B984" s="276"/>
    </row>
    <row r="985">
      <c r="B985" s="276"/>
    </row>
    <row r="986">
      <c r="B986" s="276"/>
    </row>
    <row r="987">
      <c r="B987" s="276"/>
    </row>
    <row r="988">
      <c r="B988" s="276"/>
    </row>
    <row r="989">
      <c r="B989" s="276"/>
    </row>
    <row r="990">
      <c r="B990" s="276"/>
    </row>
    <row r="991">
      <c r="B991" s="276"/>
    </row>
    <row r="992">
      <c r="B992" s="276"/>
    </row>
    <row r="993">
      <c r="B993" s="276"/>
    </row>
    <row r="994">
      <c r="B994" s="276"/>
    </row>
    <row r="995">
      <c r="B995" s="276"/>
    </row>
    <row r="996">
      <c r="B996" s="276"/>
    </row>
    <row r="997">
      <c r="B997" s="276"/>
    </row>
    <row r="998">
      <c r="B998" s="276"/>
    </row>
    <row r="999">
      <c r="B999" s="276"/>
    </row>
    <row r="1000">
      <c r="B1000" s="276"/>
    </row>
    <row r="1001">
      <c r="B1001" s="276"/>
    </row>
    <row r="1002">
      <c r="B1002" s="276"/>
    </row>
    <row r="1003">
      <c r="B1003" s="276"/>
    </row>
    <row r="1004">
      <c r="B1004" s="276"/>
    </row>
    <row r="1005">
      <c r="B1005" s="276"/>
    </row>
    <row r="1006">
      <c r="B1006" s="276"/>
    </row>
    <row r="1007">
      <c r="B1007" s="276"/>
    </row>
    <row r="1008">
      <c r="B1008" s="276"/>
    </row>
    <row r="1009">
      <c r="B1009" s="276"/>
    </row>
    <row r="1010">
      <c r="B1010" s="276"/>
    </row>
    <row r="1011">
      <c r="B1011" s="276"/>
    </row>
    <row r="1012">
      <c r="B1012" s="276"/>
    </row>
    <row r="1013">
      <c r="B1013" s="276"/>
    </row>
    <row r="1014">
      <c r="B1014" s="276"/>
    </row>
    <row r="1015">
      <c r="B1015" s="276"/>
    </row>
    <row r="1016">
      <c r="B1016" s="276"/>
    </row>
    <row r="1017">
      <c r="B1017" s="276"/>
    </row>
    <row r="1018">
      <c r="B1018" s="276"/>
    </row>
    <row r="1019">
      <c r="B1019" s="276"/>
    </row>
    <row r="1020">
      <c r="B1020" s="276"/>
    </row>
    <row r="1021">
      <c r="B1021" s="276"/>
    </row>
    <row r="1022">
      <c r="B1022" s="276"/>
    </row>
    <row r="1023">
      <c r="B1023" s="276"/>
    </row>
    <row r="1024">
      <c r="B1024" s="276"/>
    </row>
    <row r="1025">
      <c r="B1025" s="276"/>
    </row>
    <row r="1026">
      <c r="B1026" s="276"/>
    </row>
    <row r="1027">
      <c r="B1027" s="276"/>
    </row>
    <row r="1028">
      <c r="B1028" s="276"/>
    </row>
    <row r="1029">
      <c r="B1029" s="276"/>
    </row>
    <row r="1030">
      <c r="B1030" s="276"/>
    </row>
    <row r="1031">
      <c r="B1031" s="276"/>
    </row>
    <row r="1032">
      <c r="B1032" s="276"/>
    </row>
    <row r="1033">
      <c r="B1033" s="276"/>
    </row>
    <row r="1034">
      <c r="B1034" s="276"/>
    </row>
    <row r="1035">
      <c r="B1035" s="276"/>
    </row>
    <row r="1036">
      <c r="B1036" s="276"/>
    </row>
    <row r="1037">
      <c r="B1037" s="276"/>
    </row>
    <row r="1038">
      <c r="B1038" s="276"/>
    </row>
    <row r="1039">
      <c r="B1039" s="276"/>
    </row>
    <row r="1040">
      <c r="B1040" s="276"/>
    </row>
    <row r="1041">
      <c r="B1041" s="276"/>
    </row>
    <row r="1042">
      <c r="B1042" s="276"/>
    </row>
    <row r="1043">
      <c r="B1043" s="276"/>
    </row>
    <row r="1044">
      <c r="B1044" s="276"/>
    </row>
    <row r="1045">
      <c r="B1045" s="276"/>
    </row>
    <row r="1046">
      <c r="B1046" s="276"/>
    </row>
    <row r="1047">
      <c r="B1047" s="276"/>
    </row>
    <row r="1048">
      <c r="B1048" s="276"/>
    </row>
    <row r="1049">
      <c r="B1049" s="276"/>
    </row>
    <row r="1050">
      <c r="B1050" s="276"/>
    </row>
    <row r="1051">
      <c r="B1051" s="276"/>
    </row>
    <row r="1052">
      <c r="B1052" s="276"/>
    </row>
    <row r="1053">
      <c r="B1053" s="276"/>
    </row>
    <row r="1054">
      <c r="B1054" s="276"/>
    </row>
    <row r="1055">
      <c r="B1055" s="276"/>
    </row>
    <row r="1056">
      <c r="B1056" s="276"/>
    </row>
    <row r="1057">
      <c r="B1057" s="276"/>
    </row>
    <row r="1058">
      <c r="B1058" s="276"/>
    </row>
    <row r="1059">
      <c r="B1059" s="276"/>
    </row>
    <row r="1060">
      <c r="B1060" s="276"/>
    </row>
    <row r="1061">
      <c r="B1061" s="276"/>
    </row>
    <row r="1062">
      <c r="B1062" s="276"/>
    </row>
    <row r="1063">
      <c r="B1063" s="276"/>
    </row>
    <row r="1064">
      <c r="B1064" s="276"/>
    </row>
    <row r="1065">
      <c r="B1065" s="276"/>
    </row>
    <row r="1066">
      <c r="B1066" s="276"/>
    </row>
    <row r="1067">
      <c r="B1067" s="276"/>
    </row>
    <row r="1068">
      <c r="B1068" s="276"/>
    </row>
    <row r="1069">
      <c r="B1069" s="276"/>
    </row>
    <row r="1070">
      <c r="B1070" s="276"/>
    </row>
    <row r="1071">
      <c r="B1071" s="276"/>
    </row>
    <row r="1072">
      <c r="B1072" s="276"/>
    </row>
    <row r="1073">
      <c r="B1073" s="276"/>
    </row>
    <row r="1074">
      <c r="B1074" s="276"/>
    </row>
    <row r="1075">
      <c r="B1075" s="276"/>
    </row>
    <row r="1076">
      <c r="B1076" s="276"/>
    </row>
    <row r="1077">
      <c r="B1077" s="276"/>
    </row>
    <row r="1078">
      <c r="B1078" s="276"/>
    </row>
    <row r="1079">
      <c r="B1079" s="276"/>
    </row>
    <row r="1080">
      <c r="B1080" s="276"/>
    </row>
    <row r="1081">
      <c r="B1081" s="276"/>
    </row>
    <row r="1082">
      <c r="B1082" s="276"/>
    </row>
    <row r="1083">
      <c r="B1083" s="276"/>
    </row>
    <row r="1084">
      <c r="B1084" s="276"/>
    </row>
    <row r="1085">
      <c r="B1085" s="276"/>
    </row>
    <row r="1086">
      <c r="B1086" s="276"/>
    </row>
    <row r="1087">
      <c r="B1087" s="276"/>
    </row>
    <row r="1088">
      <c r="B1088" s="276"/>
    </row>
    <row r="1089">
      <c r="B1089" s="276"/>
    </row>
    <row r="1090">
      <c r="B1090" s="276"/>
    </row>
    <row r="1091">
      <c r="B1091" s="276"/>
    </row>
    <row r="1092">
      <c r="B1092" s="276"/>
    </row>
    <row r="1093">
      <c r="B1093" s="276"/>
    </row>
    <row r="1094">
      <c r="B1094" s="276"/>
    </row>
    <row r="1095">
      <c r="B1095" s="276"/>
    </row>
    <row r="1096">
      <c r="B1096" s="276"/>
    </row>
    <row r="1097">
      <c r="B1097" s="276"/>
    </row>
    <row r="1098">
      <c r="B1098" s="276"/>
    </row>
    <row r="1099">
      <c r="B1099" s="276"/>
    </row>
    <row r="1100">
      <c r="B1100" s="276"/>
    </row>
    <row r="1101">
      <c r="B1101" s="276"/>
    </row>
    <row r="1102">
      <c r="B1102" s="276"/>
    </row>
    <row r="1103">
      <c r="B1103" s="276"/>
    </row>
    <row r="1104">
      <c r="B1104" s="276"/>
    </row>
    <row r="1105">
      <c r="B1105" s="276"/>
    </row>
    <row r="1106">
      <c r="B1106" s="276"/>
    </row>
    <row r="1107">
      <c r="B1107" s="276"/>
    </row>
    <row r="1108">
      <c r="B1108" s="276"/>
    </row>
    <row r="1109">
      <c r="B1109" s="276"/>
    </row>
    <row r="1110">
      <c r="B1110" s="276"/>
    </row>
    <row r="1111">
      <c r="B1111" s="276"/>
    </row>
    <row r="1112">
      <c r="B1112" s="276"/>
    </row>
    <row r="1113">
      <c r="B1113" s="276"/>
    </row>
    <row r="1114">
      <c r="B1114" s="276"/>
    </row>
    <row r="1115">
      <c r="B1115" s="276"/>
    </row>
    <row r="1116">
      <c r="B1116" s="276"/>
    </row>
    <row r="1117">
      <c r="B1117" s="276"/>
    </row>
    <row r="1118">
      <c r="B1118" s="276"/>
    </row>
    <row r="1119">
      <c r="B1119" s="276"/>
    </row>
    <row r="1120">
      <c r="B1120" s="276"/>
    </row>
    <row r="1121">
      <c r="B1121" s="276"/>
    </row>
    <row r="1122">
      <c r="B1122" s="276"/>
    </row>
    <row r="1123">
      <c r="B1123" s="276"/>
    </row>
    <row r="1124">
      <c r="B1124" s="276"/>
    </row>
    <row r="1125">
      <c r="B1125" s="276"/>
    </row>
    <row r="1126">
      <c r="B1126" s="276"/>
    </row>
    <row r="1127">
      <c r="B1127" s="276"/>
    </row>
    <row r="1128">
      <c r="B1128" s="276"/>
    </row>
    <row r="1129">
      <c r="B1129" s="276"/>
    </row>
    <row r="1130">
      <c r="B1130" s="276"/>
    </row>
    <row r="1131">
      <c r="B1131" s="276"/>
    </row>
    <row r="1132">
      <c r="B1132" s="276"/>
    </row>
    <row r="1133">
      <c r="B1133" s="276"/>
    </row>
    <row r="1134">
      <c r="B1134" s="276"/>
    </row>
    <row r="1135">
      <c r="B1135" s="276"/>
    </row>
    <row r="1136">
      <c r="B1136" s="276"/>
    </row>
    <row r="1137">
      <c r="B1137" s="276"/>
    </row>
    <row r="1138">
      <c r="B1138" s="276"/>
    </row>
    <row r="1139">
      <c r="B1139" s="276"/>
    </row>
    <row r="1140">
      <c r="B1140" s="276"/>
    </row>
    <row r="1141">
      <c r="B1141" s="276"/>
    </row>
    <row r="1142">
      <c r="B1142" s="276"/>
    </row>
    <row r="1143">
      <c r="B1143" s="276"/>
    </row>
    <row r="1144">
      <c r="B1144" s="276"/>
    </row>
    <row r="1145">
      <c r="B1145" s="276"/>
    </row>
    <row r="1146">
      <c r="B1146" s="276"/>
    </row>
    <row r="1147">
      <c r="B1147" s="276"/>
    </row>
    <row r="1148">
      <c r="B1148" s="276"/>
    </row>
    <row r="1149">
      <c r="B1149" s="276"/>
    </row>
    <row r="1150">
      <c r="B1150" s="276"/>
    </row>
    <row r="1151">
      <c r="B1151" s="276"/>
    </row>
    <row r="1152">
      <c r="B1152" s="276"/>
    </row>
    <row r="1153">
      <c r="B1153" s="276"/>
    </row>
    <row r="1154">
      <c r="B1154" s="276"/>
    </row>
    <row r="1155">
      <c r="B1155" s="276"/>
    </row>
    <row r="1156">
      <c r="B1156" s="276"/>
    </row>
    <row r="1157">
      <c r="B1157" s="276"/>
    </row>
    <row r="1158">
      <c r="B1158" s="276"/>
    </row>
    <row r="1159">
      <c r="B1159" s="276"/>
    </row>
    <row r="1160">
      <c r="B1160" s="276"/>
    </row>
    <row r="1161">
      <c r="B1161" s="276"/>
    </row>
    <row r="1162">
      <c r="B1162" s="276"/>
    </row>
    <row r="1163">
      <c r="B1163" s="276"/>
    </row>
    <row r="1164">
      <c r="B1164" s="276"/>
    </row>
    <row r="1165">
      <c r="B1165" s="276"/>
    </row>
    <row r="1166">
      <c r="B1166" s="276"/>
    </row>
    <row r="1167">
      <c r="B1167" s="276"/>
    </row>
    <row r="1168">
      <c r="B1168" s="276"/>
    </row>
    <row r="1169">
      <c r="B1169" s="276"/>
    </row>
    <row r="1170">
      <c r="B1170" s="276"/>
    </row>
    <row r="1171">
      <c r="B1171" s="276"/>
    </row>
    <row r="1172">
      <c r="B1172" s="276"/>
    </row>
    <row r="1173">
      <c r="B1173" s="276"/>
    </row>
    <row r="1174">
      <c r="B1174" s="276"/>
    </row>
    <row r="1175">
      <c r="B1175" s="276"/>
    </row>
    <row r="1176">
      <c r="B1176" s="276"/>
    </row>
    <row r="1177">
      <c r="B1177" s="276"/>
    </row>
    <row r="1178">
      <c r="B1178" s="276"/>
    </row>
    <row r="1179">
      <c r="B1179" s="276"/>
    </row>
    <row r="1180">
      <c r="B1180" s="276"/>
    </row>
    <row r="1181">
      <c r="B1181" s="276"/>
    </row>
    <row r="1182">
      <c r="B1182" s="276"/>
    </row>
    <row r="1183">
      <c r="B1183" s="276"/>
    </row>
    <row r="1184">
      <c r="B1184" s="276"/>
    </row>
    <row r="1185">
      <c r="B1185" s="276"/>
    </row>
    <row r="1186">
      <c r="B1186" s="276"/>
    </row>
    <row r="1187">
      <c r="B1187" s="276"/>
    </row>
    <row r="1188">
      <c r="B1188" s="276"/>
    </row>
    <row r="1189">
      <c r="B1189" s="276"/>
    </row>
    <row r="1190">
      <c r="B1190" s="276"/>
    </row>
    <row r="1191">
      <c r="B1191" s="276"/>
    </row>
    <row r="1192">
      <c r="B1192" s="276"/>
    </row>
    <row r="1193">
      <c r="B1193" s="276"/>
    </row>
    <row r="1194">
      <c r="B1194" s="276"/>
    </row>
    <row r="1195">
      <c r="B1195" s="276"/>
    </row>
    <row r="1196">
      <c r="B1196" s="276"/>
    </row>
    <row r="1197">
      <c r="B1197" s="276"/>
    </row>
    <row r="1198">
      <c r="B1198" s="276"/>
    </row>
    <row r="1199">
      <c r="B1199" s="276"/>
    </row>
    <row r="1200">
      <c r="B1200" s="276"/>
    </row>
    <row r="1201">
      <c r="B1201" s="276"/>
    </row>
    <row r="1202">
      <c r="B1202" s="276"/>
    </row>
    <row r="1203">
      <c r="B1203" s="276"/>
    </row>
    <row r="1204">
      <c r="B1204" s="276"/>
    </row>
    <row r="1205">
      <c r="B1205" s="276"/>
    </row>
    <row r="1206">
      <c r="B1206" s="276"/>
    </row>
    <row r="1207">
      <c r="B1207" s="276"/>
    </row>
    <row r="1208">
      <c r="B1208" s="276"/>
    </row>
    <row r="1209">
      <c r="B1209" s="276"/>
    </row>
    <row r="1210">
      <c r="B1210" s="276"/>
    </row>
    <row r="1211">
      <c r="B1211" s="276"/>
    </row>
    <row r="1212">
      <c r="B1212" s="276"/>
    </row>
    <row r="1213">
      <c r="B1213" s="276"/>
    </row>
    <row r="1214">
      <c r="B1214" s="276"/>
    </row>
    <row r="1215">
      <c r="B1215" s="276"/>
    </row>
    <row r="1216">
      <c r="B1216" s="276"/>
    </row>
    <row r="1217">
      <c r="B1217" s="276"/>
    </row>
    <row r="1218">
      <c r="B1218" s="276"/>
    </row>
    <row r="1219">
      <c r="B1219" s="276"/>
    </row>
    <row r="1220">
      <c r="B1220" s="276"/>
    </row>
    <row r="1221">
      <c r="B1221" s="276"/>
    </row>
    <row r="1222">
      <c r="B1222" s="276"/>
    </row>
    <row r="1223">
      <c r="B1223" s="276"/>
    </row>
    <row r="1224">
      <c r="B1224" s="276"/>
    </row>
    <row r="1225">
      <c r="B1225" s="276"/>
    </row>
    <row r="1226">
      <c r="B1226" s="276"/>
    </row>
    <row r="1227">
      <c r="B1227" s="276"/>
    </row>
    <row r="1228">
      <c r="B1228" s="276"/>
    </row>
    <row r="1229">
      <c r="B1229" s="276"/>
    </row>
    <row r="1230">
      <c r="B1230" s="276"/>
    </row>
    <row r="1231">
      <c r="B1231" s="276"/>
    </row>
    <row r="1232">
      <c r="B1232" s="276"/>
    </row>
    <row r="1233">
      <c r="B1233" s="276"/>
    </row>
    <row r="1234">
      <c r="B1234" s="276"/>
    </row>
    <row r="1235">
      <c r="B1235" s="276"/>
    </row>
    <row r="1236">
      <c r="B1236" s="276"/>
    </row>
    <row r="1237">
      <c r="B1237" s="276"/>
    </row>
    <row r="1238">
      <c r="B1238" s="276"/>
    </row>
    <row r="1239">
      <c r="B1239" s="276"/>
    </row>
    <row r="1240">
      <c r="B1240" s="276"/>
    </row>
    <row r="1241">
      <c r="B1241" s="276"/>
    </row>
    <row r="1242">
      <c r="B1242" s="276"/>
    </row>
    <row r="1243">
      <c r="B1243" s="276"/>
    </row>
    <row r="1244">
      <c r="B1244" s="276"/>
    </row>
    <row r="1245">
      <c r="B1245" s="276"/>
    </row>
    <row r="1246">
      <c r="B1246" s="276"/>
    </row>
    <row r="1247">
      <c r="B1247" s="276"/>
    </row>
    <row r="1248">
      <c r="B1248" s="276"/>
    </row>
    <row r="1249">
      <c r="B1249" s="276"/>
    </row>
    <row r="1250">
      <c r="B1250" s="276"/>
    </row>
    <row r="1251">
      <c r="B1251" s="276"/>
    </row>
    <row r="1252">
      <c r="B1252" s="276"/>
    </row>
    <row r="1253">
      <c r="B1253" s="276"/>
    </row>
    <row r="1254">
      <c r="B1254" s="276"/>
    </row>
    <row r="1255">
      <c r="B1255" s="276"/>
    </row>
    <row r="1256">
      <c r="B1256" s="276"/>
    </row>
    <row r="1257">
      <c r="B1257" s="276"/>
    </row>
    <row r="1258">
      <c r="B1258" s="276"/>
    </row>
    <row r="1259">
      <c r="B1259" s="276"/>
    </row>
    <row r="1260">
      <c r="B1260" s="276"/>
    </row>
    <row r="1261">
      <c r="B1261" s="276"/>
    </row>
    <row r="1262">
      <c r="B1262" s="276"/>
    </row>
    <row r="1263">
      <c r="B1263" s="276"/>
    </row>
    <row r="1264">
      <c r="B1264" s="276"/>
    </row>
    <row r="1265">
      <c r="B1265" s="276"/>
    </row>
    <row r="1266">
      <c r="B1266" s="276"/>
    </row>
    <row r="1267">
      <c r="B1267" s="276"/>
    </row>
    <row r="1268">
      <c r="B1268" s="276"/>
    </row>
    <row r="1269">
      <c r="B1269" s="276"/>
    </row>
    <row r="1270">
      <c r="B1270" s="276"/>
    </row>
    <row r="1271">
      <c r="B1271" s="276"/>
    </row>
    <row r="1272">
      <c r="B1272" s="276"/>
    </row>
    <row r="1273">
      <c r="B1273" s="276"/>
    </row>
    <row r="1274">
      <c r="B1274" s="276"/>
    </row>
    <row r="1275">
      <c r="B1275" s="276"/>
    </row>
    <row r="1276">
      <c r="B1276" s="276"/>
    </row>
    <row r="1277">
      <c r="B1277" s="276"/>
    </row>
    <row r="1278">
      <c r="B1278" s="276"/>
    </row>
    <row r="1279">
      <c r="B1279" s="276"/>
    </row>
    <row r="1280">
      <c r="B1280" s="276"/>
    </row>
    <row r="1281">
      <c r="B1281" s="276"/>
    </row>
    <row r="1282">
      <c r="B1282" s="276"/>
    </row>
    <row r="1283">
      <c r="B1283" s="276"/>
    </row>
    <row r="1284">
      <c r="B1284" s="276"/>
    </row>
    <row r="1285">
      <c r="B1285" s="276"/>
    </row>
    <row r="1286">
      <c r="B1286" s="276"/>
    </row>
    <row r="1287">
      <c r="B1287" s="276"/>
    </row>
    <row r="1288">
      <c r="B1288" s="276"/>
    </row>
    <row r="1289">
      <c r="B1289" s="276"/>
    </row>
    <row r="1290">
      <c r="B1290" s="276"/>
    </row>
    <row r="1291">
      <c r="B1291" s="276"/>
    </row>
    <row r="1292">
      <c r="B1292" s="276"/>
    </row>
    <row r="1293">
      <c r="B1293" s="276"/>
    </row>
    <row r="1294">
      <c r="B1294" s="276"/>
    </row>
    <row r="1295">
      <c r="B1295" s="276"/>
    </row>
    <row r="1296">
      <c r="B1296" s="276"/>
    </row>
    <row r="1297">
      <c r="B1297" s="276"/>
    </row>
    <row r="1298">
      <c r="B1298" s="276"/>
    </row>
    <row r="1299">
      <c r="B1299" s="276"/>
    </row>
    <row r="1300">
      <c r="B1300" s="276"/>
    </row>
    <row r="1301">
      <c r="B1301" s="276"/>
    </row>
    <row r="1302">
      <c r="B1302" s="276"/>
    </row>
    <row r="1303">
      <c r="B1303" s="276"/>
    </row>
    <row r="1304">
      <c r="B1304" s="276"/>
    </row>
    <row r="1305">
      <c r="B1305" s="276"/>
    </row>
    <row r="1306">
      <c r="B1306" s="276"/>
    </row>
    <row r="1307">
      <c r="B1307" s="276"/>
    </row>
    <row r="1308">
      <c r="B1308" s="276"/>
    </row>
    <row r="1309">
      <c r="B1309" s="276"/>
    </row>
    <row r="1310">
      <c r="B1310" s="276"/>
    </row>
    <row r="1311">
      <c r="B1311" s="276"/>
    </row>
    <row r="1312">
      <c r="B1312" s="276"/>
    </row>
    <row r="1313">
      <c r="B1313" s="276"/>
    </row>
    <row r="1314">
      <c r="B1314" s="276"/>
    </row>
    <row r="1315">
      <c r="B1315" s="276"/>
    </row>
    <row r="1316">
      <c r="B1316" s="276"/>
    </row>
    <row r="1317">
      <c r="B1317" s="276"/>
    </row>
    <row r="1318">
      <c r="B1318" s="276"/>
    </row>
    <row r="1319">
      <c r="B1319" s="276"/>
    </row>
    <row r="1320">
      <c r="B1320" s="276"/>
    </row>
    <row r="1321">
      <c r="B1321" s="276"/>
    </row>
    <row r="1322">
      <c r="B1322" s="276"/>
    </row>
    <row r="1323">
      <c r="B1323" s="276"/>
    </row>
    <row r="1324">
      <c r="B1324" s="276"/>
    </row>
    <row r="1325">
      <c r="B1325" s="276"/>
    </row>
    <row r="1326">
      <c r="B1326" s="276"/>
    </row>
    <row r="1327">
      <c r="B1327" s="276"/>
    </row>
    <row r="1328">
      <c r="B1328" s="276"/>
    </row>
    <row r="1329">
      <c r="B1329" s="276"/>
    </row>
    <row r="1330">
      <c r="B1330" s="276"/>
    </row>
    <row r="1331">
      <c r="B1331" s="276"/>
    </row>
    <row r="1332">
      <c r="B1332" s="276"/>
    </row>
    <row r="1333">
      <c r="B1333" s="276"/>
    </row>
    <row r="1334">
      <c r="B1334" s="276"/>
    </row>
    <row r="1335">
      <c r="B1335" s="276"/>
    </row>
    <row r="1336">
      <c r="B1336" s="276"/>
    </row>
    <row r="1337">
      <c r="B1337" s="276"/>
    </row>
    <row r="1338">
      <c r="B1338" s="276"/>
    </row>
    <row r="1339">
      <c r="B1339" s="276"/>
    </row>
    <row r="1340">
      <c r="B1340" s="276"/>
    </row>
    <row r="1341">
      <c r="B1341" s="276"/>
    </row>
    <row r="1342">
      <c r="B1342" s="276"/>
    </row>
    <row r="1343">
      <c r="B1343" s="276"/>
    </row>
    <row r="1344">
      <c r="B1344" s="276"/>
    </row>
    <row r="1345">
      <c r="B1345" s="276"/>
    </row>
    <row r="1346">
      <c r="B1346" s="276"/>
    </row>
    <row r="1347">
      <c r="B1347" s="276"/>
    </row>
    <row r="1348">
      <c r="B1348" s="276"/>
    </row>
    <row r="1349">
      <c r="B1349" s="276"/>
    </row>
    <row r="1350">
      <c r="B1350" s="276"/>
    </row>
    <row r="1351">
      <c r="B1351" s="276"/>
    </row>
    <row r="1352">
      <c r="B1352" s="276"/>
    </row>
    <row r="1353">
      <c r="B1353" s="276"/>
    </row>
    <row r="1354">
      <c r="B1354" s="276"/>
    </row>
    <row r="1355">
      <c r="B1355" s="276"/>
    </row>
    <row r="1356">
      <c r="B1356" s="276"/>
    </row>
    <row r="1357">
      <c r="B1357" s="276"/>
    </row>
    <row r="1358">
      <c r="B1358" s="276"/>
    </row>
    <row r="1359">
      <c r="B1359" s="276"/>
    </row>
    <row r="1360">
      <c r="B1360" s="276"/>
    </row>
    <row r="1361">
      <c r="B1361" s="276"/>
    </row>
    <row r="1362">
      <c r="B1362" s="276"/>
    </row>
    <row r="1363">
      <c r="B1363" s="276"/>
    </row>
    <row r="1364">
      <c r="B1364" s="276"/>
    </row>
    <row r="1365">
      <c r="B1365" s="276"/>
    </row>
    <row r="1366">
      <c r="B1366" s="276"/>
    </row>
    <row r="1367">
      <c r="B1367" s="276"/>
    </row>
    <row r="1368">
      <c r="B1368" s="276"/>
    </row>
    <row r="1369">
      <c r="B1369" s="276"/>
    </row>
    <row r="1370">
      <c r="B1370" s="276"/>
    </row>
    <row r="1371">
      <c r="B1371" s="276"/>
    </row>
    <row r="1372">
      <c r="B1372" s="276"/>
    </row>
    <row r="1373">
      <c r="B1373" s="276"/>
    </row>
    <row r="1374">
      <c r="B1374" s="276"/>
    </row>
    <row r="1375">
      <c r="B1375" s="276"/>
    </row>
    <row r="1376">
      <c r="B1376" s="276"/>
    </row>
    <row r="1377">
      <c r="B1377" s="276"/>
    </row>
    <row r="1378">
      <c r="B1378" s="276"/>
    </row>
    <row r="1379">
      <c r="B1379" s="276"/>
    </row>
    <row r="1380">
      <c r="B1380" s="276"/>
    </row>
    <row r="1381">
      <c r="B1381" s="276"/>
    </row>
    <row r="1382">
      <c r="B1382" s="276"/>
    </row>
    <row r="1383">
      <c r="B1383" s="276"/>
    </row>
    <row r="1384">
      <c r="B1384" s="276"/>
    </row>
    <row r="1385">
      <c r="B1385" s="276"/>
    </row>
    <row r="1386">
      <c r="B1386" s="276"/>
    </row>
    <row r="1387">
      <c r="B1387" s="276"/>
    </row>
    <row r="1388">
      <c r="B1388" s="276"/>
    </row>
    <row r="1389">
      <c r="B1389" s="276"/>
    </row>
    <row r="1390">
      <c r="B1390" s="278" t="s">
        <v>7955</v>
      </c>
    </row>
    <row r="1391">
      <c r="B1391" s="276">
        <v>0.0</v>
      </c>
    </row>
    <row r="1392">
      <c r="A1392" s="276" t="s">
        <v>6841</v>
      </c>
      <c r="B1392" s="276">
        <v>1.0</v>
      </c>
    </row>
    <row r="1393">
      <c r="A1393" s="276" t="s">
        <v>5061</v>
      </c>
      <c r="B1393" s="276">
        <v>1.0</v>
      </c>
    </row>
    <row r="1394">
      <c r="A1394" s="276" t="s">
        <v>5891</v>
      </c>
      <c r="B1394" s="276">
        <v>1.0</v>
      </c>
    </row>
    <row r="1395">
      <c r="A1395" s="276" t="s">
        <v>6109</v>
      </c>
      <c r="B1395" s="276">
        <v>1.0</v>
      </c>
    </row>
    <row r="1396">
      <c r="A1396" s="276" t="s">
        <v>4728</v>
      </c>
      <c r="B1396" s="276">
        <v>1.0</v>
      </c>
    </row>
    <row r="1397">
      <c r="A1397" s="276" t="s">
        <v>7054</v>
      </c>
      <c r="B1397" s="276">
        <v>1.0</v>
      </c>
    </row>
    <row r="1398">
      <c r="A1398" s="276" t="s">
        <v>7225</v>
      </c>
      <c r="B1398" s="276">
        <v>1.0</v>
      </c>
    </row>
    <row r="1399">
      <c r="A1399" s="276" t="s">
        <v>6294</v>
      </c>
      <c r="B1399" s="276">
        <v>1.0</v>
      </c>
    </row>
    <row r="1400">
      <c r="A1400" s="276" t="s">
        <v>6170</v>
      </c>
      <c r="B1400" s="276">
        <v>1.0</v>
      </c>
    </row>
    <row r="1401">
      <c r="A1401" s="276" t="s">
        <v>6448</v>
      </c>
      <c r="B1401" s="276">
        <v>1.0</v>
      </c>
    </row>
    <row r="1402">
      <c r="A1402" s="276" t="s">
        <v>7164</v>
      </c>
      <c r="B1402" s="276">
        <v>1.0</v>
      </c>
    </row>
    <row r="1403">
      <c r="A1403" s="276" t="s">
        <v>4862</v>
      </c>
      <c r="B1403" s="276">
        <v>1.0</v>
      </c>
    </row>
    <row r="1404">
      <c r="A1404" s="276" t="s">
        <v>5420</v>
      </c>
      <c r="B1404" s="276">
        <v>1.0</v>
      </c>
    </row>
    <row r="1405">
      <c r="A1405" s="276" t="s">
        <v>7421</v>
      </c>
      <c r="B1405" s="276">
        <v>1.0</v>
      </c>
    </row>
    <row r="1406">
      <c r="A1406" s="276" t="s">
        <v>6061</v>
      </c>
      <c r="B1406" s="276">
        <v>1.0</v>
      </c>
    </row>
    <row r="1407">
      <c r="A1407" s="276" t="s">
        <v>6233</v>
      </c>
      <c r="B1407" s="276">
        <v>1.0</v>
      </c>
    </row>
    <row r="1408">
      <c r="A1408" s="276" t="s">
        <v>4779</v>
      </c>
      <c r="B1408" s="276">
        <v>1.0</v>
      </c>
    </row>
    <row r="1409">
      <c r="A1409" s="276" t="s">
        <v>5773</v>
      </c>
      <c r="B1409" s="276">
        <v>1.0</v>
      </c>
    </row>
    <row r="1410">
      <c r="A1410" s="276" t="s">
        <v>7024</v>
      </c>
      <c r="B1410" s="276">
        <v>1.0</v>
      </c>
    </row>
    <row r="1411">
      <c r="A1411" s="276" t="s">
        <v>6359</v>
      </c>
      <c r="B1411" s="276">
        <v>1.0</v>
      </c>
    </row>
    <row r="1412">
      <c r="A1412" s="276" t="s">
        <v>5077</v>
      </c>
      <c r="B1412" s="276">
        <v>1.0</v>
      </c>
    </row>
    <row r="1413">
      <c r="A1413" s="276" t="s">
        <v>7036</v>
      </c>
      <c r="B1413" s="276">
        <v>1.0</v>
      </c>
    </row>
    <row r="1414">
      <c r="A1414" s="276" t="s">
        <v>6992</v>
      </c>
      <c r="B1414" s="276">
        <v>1.0</v>
      </c>
    </row>
    <row r="1415">
      <c r="A1415" s="276" t="s">
        <v>6311</v>
      </c>
      <c r="B1415" s="276">
        <v>1.0</v>
      </c>
    </row>
    <row r="1416">
      <c r="A1416" s="276" t="s">
        <v>5227</v>
      </c>
      <c r="B1416" s="276">
        <v>1.0</v>
      </c>
    </row>
    <row r="1417">
      <c r="A1417" s="276" t="s">
        <v>6773</v>
      </c>
      <c r="B1417" s="276">
        <v>1.0</v>
      </c>
    </row>
    <row r="1418">
      <c r="A1418" s="276" t="s">
        <v>6336</v>
      </c>
      <c r="B1418" s="276">
        <v>1.0</v>
      </c>
    </row>
    <row r="1419">
      <c r="A1419" s="276" t="s">
        <v>6869</v>
      </c>
      <c r="B1419" s="276">
        <v>1.0</v>
      </c>
    </row>
    <row r="1420">
      <c r="A1420" s="276" t="s">
        <v>6011</v>
      </c>
      <c r="B1420" s="276">
        <v>1.0</v>
      </c>
    </row>
    <row r="1421">
      <c r="A1421" s="276" t="s">
        <v>6598</v>
      </c>
      <c r="B1421" s="276">
        <v>1.0</v>
      </c>
    </row>
    <row r="1422">
      <c r="A1422" s="276" t="s">
        <v>5250</v>
      </c>
      <c r="B1422" s="276">
        <v>1.0</v>
      </c>
    </row>
    <row r="1423">
      <c r="A1423" s="276" t="s">
        <v>6981</v>
      </c>
      <c r="B1423" s="276">
        <v>1.0</v>
      </c>
    </row>
    <row r="1424">
      <c r="A1424" s="276" t="s">
        <v>7258</v>
      </c>
      <c r="B1424" s="276">
        <v>1.0</v>
      </c>
    </row>
    <row r="1425">
      <c r="A1425" s="276" t="s">
        <v>7038</v>
      </c>
      <c r="B1425" s="276">
        <v>1.0</v>
      </c>
    </row>
    <row r="1426">
      <c r="A1426" s="276" t="s">
        <v>5934</v>
      </c>
      <c r="B1426" s="276">
        <v>1.0</v>
      </c>
    </row>
    <row r="1427">
      <c r="A1427" s="276" t="s">
        <v>5254</v>
      </c>
      <c r="B1427" s="276">
        <v>1.0</v>
      </c>
    </row>
    <row r="1428">
      <c r="A1428" s="276" t="s">
        <v>6708</v>
      </c>
      <c r="B1428" s="276">
        <v>1.0</v>
      </c>
    </row>
    <row r="1429">
      <c r="A1429" s="276" t="s">
        <v>5080</v>
      </c>
      <c r="B1429" s="276">
        <v>1.0</v>
      </c>
    </row>
    <row r="1430">
      <c r="A1430" s="276" t="s">
        <v>6114</v>
      </c>
      <c r="B1430" s="276">
        <v>1.0</v>
      </c>
    </row>
    <row r="1431">
      <c r="A1431" s="276" t="s">
        <v>5786</v>
      </c>
      <c r="B1431" s="276">
        <v>1.0</v>
      </c>
    </row>
    <row r="1432">
      <c r="A1432" s="276" t="s">
        <v>6676</v>
      </c>
      <c r="B1432" s="276">
        <v>3.0</v>
      </c>
    </row>
    <row r="1433">
      <c r="A1433" s="276" t="s">
        <v>5945</v>
      </c>
      <c r="B1433" s="276">
        <v>1.0</v>
      </c>
    </row>
    <row r="1434">
      <c r="A1434" s="276" t="s">
        <v>4770</v>
      </c>
      <c r="B1434" s="276">
        <v>1.0</v>
      </c>
    </row>
    <row r="1435">
      <c r="A1435" s="276" t="s">
        <v>7356</v>
      </c>
      <c r="B1435" s="276">
        <v>1.0</v>
      </c>
    </row>
    <row r="1436">
      <c r="A1436" s="276" t="s">
        <v>4543</v>
      </c>
      <c r="B1436" s="276">
        <v>1.0</v>
      </c>
    </row>
    <row r="1437">
      <c r="A1437" s="276" t="s">
        <v>7129</v>
      </c>
      <c r="B1437" s="276">
        <v>1.0</v>
      </c>
    </row>
    <row r="1438">
      <c r="A1438" s="276" t="s">
        <v>7034</v>
      </c>
      <c r="B1438" s="276">
        <v>1.0</v>
      </c>
    </row>
    <row r="1439">
      <c r="A1439" s="276" t="s">
        <v>7068</v>
      </c>
      <c r="B1439" s="276">
        <v>1.0</v>
      </c>
    </row>
    <row r="1440">
      <c r="A1440" s="276" t="s">
        <v>6641</v>
      </c>
      <c r="B1440" s="276">
        <v>1.0</v>
      </c>
    </row>
    <row r="1441">
      <c r="A1441" s="276" t="s">
        <v>6315</v>
      </c>
      <c r="B1441" s="276">
        <v>1.0</v>
      </c>
    </row>
    <row r="1442">
      <c r="A1442" s="276" t="s">
        <v>6270</v>
      </c>
      <c r="B1442" s="276">
        <v>1.0</v>
      </c>
    </row>
    <row r="1443">
      <c r="A1443" s="276" t="s">
        <v>5298</v>
      </c>
      <c r="B1443" s="276">
        <v>1.0</v>
      </c>
    </row>
    <row r="1444">
      <c r="A1444" s="276" t="s">
        <v>6791</v>
      </c>
      <c r="B1444" s="276">
        <v>1.0</v>
      </c>
    </row>
    <row r="1445">
      <c r="A1445" s="276" t="s">
        <v>5911</v>
      </c>
      <c r="B1445" s="276">
        <v>1.0</v>
      </c>
    </row>
    <row r="1446">
      <c r="A1446" s="276" t="s">
        <v>6401</v>
      </c>
      <c r="B1446" s="276">
        <v>1.0</v>
      </c>
    </row>
    <row r="1447">
      <c r="A1447" s="276" t="s">
        <v>6714</v>
      </c>
      <c r="B1447" s="276">
        <v>1.0</v>
      </c>
    </row>
    <row r="1448">
      <c r="A1448" s="276" t="s">
        <v>4731</v>
      </c>
      <c r="B1448" s="276">
        <v>1.0</v>
      </c>
    </row>
    <row r="1449">
      <c r="A1449" s="276" t="s">
        <v>5221</v>
      </c>
      <c r="B1449" s="276">
        <v>1.0</v>
      </c>
    </row>
    <row r="1450">
      <c r="A1450" s="276" t="s">
        <v>7396</v>
      </c>
      <c r="B1450" s="276">
        <v>1.0</v>
      </c>
    </row>
    <row r="1451">
      <c r="A1451" s="276" t="s">
        <v>5095</v>
      </c>
      <c r="B1451" s="276">
        <v>1.0</v>
      </c>
    </row>
    <row r="1452">
      <c r="A1452" s="276" t="s">
        <v>6228</v>
      </c>
      <c r="B1452" s="276">
        <v>1.0</v>
      </c>
    </row>
    <row r="1453">
      <c r="A1453" s="276" t="s">
        <v>3863</v>
      </c>
      <c r="B1453" s="276">
        <v>1.0</v>
      </c>
    </row>
    <row r="1454">
      <c r="A1454" s="276" t="s">
        <v>4076</v>
      </c>
      <c r="B1454" s="276">
        <v>1.0</v>
      </c>
    </row>
    <row r="1455">
      <c r="A1455" s="276" t="s">
        <v>4094</v>
      </c>
      <c r="B1455" s="276">
        <v>1.0</v>
      </c>
    </row>
    <row r="1456">
      <c r="A1456" s="276" t="s">
        <v>5793</v>
      </c>
      <c r="B1456" s="276">
        <v>1.0</v>
      </c>
    </row>
    <row r="1457">
      <c r="A1457" s="276" t="s">
        <v>3966</v>
      </c>
      <c r="B1457" s="276">
        <v>1.0</v>
      </c>
    </row>
    <row r="1458">
      <c r="A1458" s="276" t="s">
        <v>6305</v>
      </c>
      <c r="B1458" s="276">
        <v>1.0</v>
      </c>
    </row>
    <row r="1459">
      <c r="A1459" s="276" t="s">
        <v>4173</v>
      </c>
      <c r="B1459" s="276">
        <v>1.0</v>
      </c>
    </row>
    <row r="1460">
      <c r="A1460" s="276" t="s">
        <v>6200</v>
      </c>
      <c r="B1460" s="276">
        <v>1.0</v>
      </c>
    </row>
    <row r="1461">
      <c r="A1461" s="276" t="s">
        <v>4917</v>
      </c>
      <c r="B1461" s="276">
        <v>1.0</v>
      </c>
    </row>
    <row r="1462">
      <c r="A1462" s="276" t="s">
        <v>6911</v>
      </c>
      <c r="B1462" s="276">
        <v>1.0</v>
      </c>
    </row>
    <row r="1463">
      <c r="A1463" s="276" t="s">
        <v>3907</v>
      </c>
      <c r="B1463" s="276">
        <v>1.0</v>
      </c>
    </row>
    <row r="1464">
      <c r="A1464" s="276" t="s">
        <v>5813</v>
      </c>
      <c r="B1464" s="276">
        <v>1.0</v>
      </c>
    </row>
    <row r="1465">
      <c r="A1465" s="276" t="s">
        <v>6374</v>
      </c>
      <c r="B1465" s="276">
        <v>1.0</v>
      </c>
    </row>
    <row r="1466">
      <c r="A1466" s="276" t="s">
        <v>5803</v>
      </c>
      <c r="B1466" s="276">
        <v>1.0</v>
      </c>
    </row>
    <row r="1467">
      <c r="A1467" s="276" t="s">
        <v>6263</v>
      </c>
      <c r="B1467" s="276">
        <v>1.0</v>
      </c>
    </row>
    <row r="1468">
      <c r="A1468" s="276" t="s">
        <v>4440</v>
      </c>
      <c r="B1468" s="276">
        <v>1.0</v>
      </c>
    </row>
    <row r="1469">
      <c r="A1469" s="276" t="s">
        <v>7137</v>
      </c>
      <c r="B1469" s="276">
        <v>1.0</v>
      </c>
    </row>
    <row r="1470">
      <c r="A1470" s="276" t="s">
        <v>6366</v>
      </c>
      <c r="B1470" s="276">
        <v>1.0</v>
      </c>
    </row>
    <row r="1471">
      <c r="A1471" s="276" t="s">
        <v>1910</v>
      </c>
      <c r="B1471" s="276">
        <v>1.0</v>
      </c>
    </row>
    <row r="1472">
      <c r="A1472" s="276" t="s">
        <v>6418</v>
      </c>
      <c r="B1472" s="276">
        <v>1.0</v>
      </c>
    </row>
    <row r="1473">
      <c r="A1473" s="276" t="s">
        <v>6002</v>
      </c>
      <c r="B1473" s="276">
        <v>1.0</v>
      </c>
    </row>
    <row r="1474">
      <c r="A1474" s="276" t="s">
        <v>1688</v>
      </c>
      <c r="B1474" s="276">
        <v>1.0</v>
      </c>
    </row>
    <row r="1475">
      <c r="A1475" s="276" t="s">
        <v>2875</v>
      </c>
      <c r="B1475" s="276">
        <v>1.0</v>
      </c>
    </row>
    <row r="1476">
      <c r="A1476" s="276" t="s">
        <v>6672</v>
      </c>
      <c r="B1476" s="276">
        <v>1.0</v>
      </c>
    </row>
    <row r="1477">
      <c r="A1477" s="276" t="s">
        <v>6673</v>
      </c>
      <c r="B1477" s="276">
        <v>1.0</v>
      </c>
    </row>
    <row r="1478">
      <c r="A1478" s="276" t="s">
        <v>6674</v>
      </c>
      <c r="B1478" s="276">
        <v>1.0</v>
      </c>
    </row>
    <row r="1479">
      <c r="A1479" s="276" t="s">
        <v>5234</v>
      </c>
      <c r="B1479" s="276">
        <v>1.0</v>
      </c>
    </row>
    <row r="1480">
      <c r="A1480" s="276" t="s">
        <v>5028</v>
      </c>
      <c r="B1480" s="276">
        <v>1.0</v>
      </c>
    </row>
    <row r="1481">
      <c r="A1481" s="276" t="s">
        <v>3926</v>
      </c>
      <c r="B1481" s="276">
        <v>1.0</v>
      </c>
    </row>
    <row r="1482">
      <c r="A1482" s="276" t="s">
        <v>5216</v>
      </c>
      <c r="B1482" s="276">
        <v>1.0</v>
      </c>
    </row>
    <row r="1483">
      <c r="A1483" s="276" t="s">
        <v>5666</v>
      </c>
      <c r="B1483" s="276">
        <v>1.0</v>
      </c>
    </row>
    <row r="1484">
      <c r="A1484" s="276" t="s">
        <v>5339</v>
      </c>
      <c r="B1484" s="276">
        <v>1.0</v>
      </c>
    </row>
    <row r="1485">
      <c r="A1485" s="276" t="s">
        <v>5376</v>
      </c>
      <c r="B1485" s="276">
        <v>1.0</v>
      </c>
    </row>
    <row r="1486">
      <c r="A1486" s="276" t="s">
        <v>3887</v>
      </c>
      <c r="B1486" s="276">
        <v>1.0</v>
      </c>
    </row>
    <row r="1487">
      <c r="A1487" s="276" t="s">
        <v>7080</v>
      </c>
      <c r="B1487" s="276">
        <v>1.0</v>
      </c>
    </row>
    <row r="1488">
      <c r="A1488" s="276" t="s">
        <v>5440</v>
      </c>
      <c r="B1488" s="276">
        <v>1.0</v>
      </c>
    </row>
    <row r="1489">
      <c r="A1489" s="276" t="s">
        <v>4155</v>
      </c>
      <c r="B1489" s="276">
        <v>1.0</v>
      </c>
    </row>
    <row r="1490">
      <c r="A1490" s="276" t="s">
        <v>7440</v>
      </c>
      <c r="B1490" s="276">
        <v>1.0</v>
      </c>
    </row>
    <row r="1491">
      <c r="A1491" s="276" t="s">
        <v>5816</v>
      </c>
      <c r="B1491" s="276">
        <v>1.0</v>
      </c>
    </row>
    <row r="1492">
      <c r="A1492" s="276" t="s">
        <v>7326</v>
      </c>
      <c r="B1492" s="276">
        <v>1.0</v>
      </c>
    </row>
    <row r="1493">
      <c r="A1493" s="276" t="s">
        <v>4697</v>
      </c>
      <c r="B1493" s="276">
        <v>1.0</v>
      </c>
    </row>
    <row r="1494">
      <c r="A1494" s="276" t="s">
        <v>4376</v>
      </c>
      <c r="B1494" s="276">
        <v>1.0</v>
      </c>
    </row>
    <row r="1495">
      <c r="A1495" s="276" t="s">
        <v>5693</v>
      </c>
      <c r="B1495" s="276">
        <v>2.0</v>
      </c>
    </row>
    <row r="1496">
      <c r="A1496" s="276" t="s">
        <v>4245</v>
      </c>
      <c r="B1496" s="276">
        <v>1.0</v>
      </c>
    </row>
    <row r="1497">
      <c r="A1497" s="276" t="s">
        <v>7222</v>
      </c>
      <c r="B1497" s="276">
        <v>1.0</v>
      </c>
    </row>
    <row r="1498">
      <c r="A1498" s="276" t="s">
        <v>4666</v>
      </c>
      <c r="B1498" s="276">
        <v>1.0</v>
      </c>
    </row>
    <row r="1499">
      <c r="A1499" s="276" t="s">
        <v>6832</v>
      </c>
      <c r="B1499" s="276">
        <v>1.0</v>
      </c>
    </row>
    <row r="1500">
      <c r="A1500" s="276" t="s">
        <v>4925</v>
      </c>
      <c r="B1500" s="276">
        <v>1.0</v>
      </c>
    </row>
    <row r="1501">
      <c r="A1501" s="276" t="s">
        <v>5279</v>
      </c>
      <c r="B1501" s="276">
        <v>1.0</v>
      </c>
    </row>
    <row r="1502">
      <c r="A1502" s="276" t="s">
        <v>6299</v>
      </c>
      <c r="B1502" s="276">
        <v>1.0</v>
      </c>
    </row>
    <row r="1503">
      <c r="A1503" s="276" t="s">
        <v>4948</v>
      </c>
      <c r="B1503" s="276">
        <v>1.0</v>
      </c>
    </row>
    <row r="1504">
      <c r="A1504" s="276" t="s">
        <v>6952</v>
      </c>
      <c r="B1504" s="276">
        <v>1.0</v>
      </c>
    </row>
    <row r="1505">
      <c r="A1505" s="278" t="s">
        <v>4298</v>
      </c>
      <c r="B1505" s="276">
        <v>1.0</v>
      </c>
    </row>
    <row r="1506">
      <c r="A1506" s="276" t="s">
        <v>5904</v>
      </c>
      <c r="B1506" s="276">
        <v>2.0</v>
      </c>
    </row>
    <row r="1507">
      <c r="A1507" s="276" t="s">
        <v>7190</v>
      </c>
      <c r="B1507" s="276">
        <v>1.0</v>
      </c>
    </row>
    <row r="1508">
      <c r="A1508" s="276" t="s">
        <v>6031</v>
      </c>
      <c r="B1508" s="276">
        <v>1.0</v>
      </c>
    </row>
    <row r="1509">
      <c r="A1509" s="276" t="s">
        <v>4287</v>
      </c>
      <c r="B1509" s="276">
        <v>1.0</v>
      </c>
    </row>
    <row r="1510">
      <c r="A1510" s="276" t="s">
        <v>4319</v>
      </c>
      <c r="B1510" s="276">
        <v>1.0</v>
      </c>
    </row>
    <row r="1511">
      <c r="A1511" s="276" t="s">
        <v>4309</v>
      </c>
      <c r="B1511" s="276">
        <v>1.0</v>
      </c>
    </row>
    <row r="1512">
      <c r="A1512" s="276" t="s">
        <v>5524</v>
      </c>
      <c r="B1512" s="276">
        <v>1.0</v>
      </c>
    </row>
    <row r="1513">
      <c r="A1513" s="276" t="s">
        <v>5984</v>
      </c>
      <c r="B1513" s="276">
        <v>1.0</v>
      </c>
    </row>
    <row r="1514">
      <c r="A1514" s="276" t="s">
        <v>7468</v>
      </c>
      <c r="B1514" s="276">
        <v>1.0</v>
      </c>
    </row>
    <row r="1515">
      <c r="A1515" s="276" t="s">
        <v>7477</v>
      </c>
      <c r="B1515" s="276">
        <v>1.0</v>
      </c>
    </row>
    <row r="1516">
      <c r="A1516" s="276" t="s">
        <v>6089</v>
      </c>
      <c r="B1516" s="276">
        <v>1.0</v>
      </c>
    </row>
    <row r="1517">
      <c r="A1517" s="276" t="s">
        <v>6047</v>
      </c>
      <c r="B1517" s="276">
        <v>1.0</v>
      </c>
    </row>
    <row r="1518">
      <c r="A1518" s="276" t="s">
        <v>7305</v>
      </c>
      <c r="B1518" s="276">
        <v>1.0</v>
      </c>
    </row>
    <row r="1519">
      <c r="A1519" s="276" t="s">
        <v>4197</v>
      </c>
      <c r="B1519" s="276">
        <v>1.0</v>
      </c>
    </row>
    <row r="1520">
      <c r="A1520" s="276" t="s">
        <v>4397</v>
      </c>
      <c r="B1520" s="276">
        <v>1.0</v>
      </c>
    </row>
    <row r="1521">
      <c r="A1521" s="276" t="s">
        <v>6451</v>
      </c>
      <c r="B1521" s="276">
        <v>1.0</v>
      </c>
    </row>
    <row r="1522">
      <c r="A1522" s="276" t="s">
        <v>6822</v>
      </c>
      <c r="B1522" s="276">
        <v>1.0</v>
      </c>
    </row>
    <row r="1523">
      <c r="A1523" s="276" t="s">
        <v>7187</v>
      </c>
      <c r="B1523" s="276">
        <v>1.0</v>
      </c>
    </row>
    <row r="1524">
      <c r="A1524" s="276" t="s">
        <v>4967</v>
      </c>
      <c r="B1524" s="276">
        <v>1.0</v>
      </c>
    </row>
    <row r="1525">
      <c r="A1525" s="276" t="s">
        <v>6349</v>
      </c>
      <c r="B1525" s="276">
        <v>1.0</v>
      </c>
    </row>
    <row r="1526">
      <c r="A1526" s="276" t="s">
        <v>4488</v>
      </c>
      <c r="B1526" s="276">
        <v>1.0</v>
      </c>
    </row>
    <row r="1527">
      <c r="A1527" s="276" t="s">
        <v>4864</v>
      </c>
      <c r="B1527" s="276">
        <v>1.0</v>
      </c>
    </row>
    <row r="1528">
      <c r="A1528" s="276" t="s">
        <v>6922</v>
      </c>
      <c r="B1528" s="276">
        <v>1.0</v>
      </c>
    </row>
    <row r="1529">
      <c r="A1529" s="276" t="s">
        <v>4493</v>
      </c>
      <c r="B1529" s="276">
        <v>1.0</v>
      </c>
    </row>
    <row r="1530">
      <c r="A1530" s="276" t="s">
        <v>4974</v>
      </c>
      <c r="B1530" s="276">
        <v>1.0</v>
      </c>
    </row>
    <row r="1531">
      <c r="A1531" s="276" t="s">
        <v>7204</v>
      </c>
      <c r="B1531" s="276">
        <v>1.0</v>
      </c>
    </row>
    <row r="1532">
      <c r="A1532" s="276" t="s">
        <v>4575</v>
      </c>
      <c r="B1532" s="276">
        <v>1.0</v>
      </c>
    </row>
    <row r="1533">
      <c r="A1533" s="276" t="s">
        <v>4413</v>
      </c>
      <c r="B1533" s="276">
        <v>3.0</v>
      </c>
    </row>
    <row r="1534">
      <c r="A1534" s="276" t="s">
        <v>6352</v>
      </c>
      <c r="B1534" s="276">
        <v>1.0</v>
      </c>
    </row>
    <row r="1535">
      <c r="A1535" s="276" t="s">
        <v>2450</v>
      </c>
      <c r="B1535" s="276">
        <v>1.0</v>
      </c>
    </row>
    <row r="1536">
      <c r="A1536" s="276" t="s">
        <v>6365</v>
      </c>
      <c r="B1536" s="276">
        <v>1.0</v>
      </c>
    </row>
    <row r="1537">
      <c r="A1537" s="276" t="s">
        <v>4725</v>
      </c>
      <c r="B1537" s="276">
        <v>1.0</v>
      </c>
    </row>
    <row r="1538">
      <c r="A1538" s="276" t="s">
        <v>4465</v>
      </c>
      <c r="B1538" s="276">
        <v>1.0</v>
      </c>
    </row>
    <row r="1539">
      <c r="A1539" s="276" t="s">
        <v>6158</v>
      </c>
      <c r="B1539" s="276">
        <v>1.0</v>
      </c>
    </row>
    <row r="1540">
      <c r="A1540" s="276" t="s">
        <v>6147</v>
      </c>
      <c r="B1540" s="276">
        <v>1.0</v>
      </c>
    </row>
    <row r="1541">
      <c r="A1541" s="276" t="s">
        <v>5711</v>
      </c>
      <c r="B1541" s="276">
        <v>1.0</v>
      </c>
    </row>
    <row r="1542">
      <c r="A1542" s="276" t="s">
        <v>5153</v>
      </c>
      <c r="B1542" s="276">
        <v>1.0</v>
      </c>
    </row>
    <row r="1543">
      <c r="A1543" s="276" t="s">
        <v>4485</v>
      </c>
      <c r="B1543" s="276">
        <v>1.0</v>
      </c>
    </row>
    <row r="1544">
      <c r="A1544" s="276" t="s">
        <v>4459</v>
      </c>
      <c r="B1544" s="276">
        <v>1.0</v>
      </c>
    </row>
    <row r="1545">
      <c r="A1545" s="276" t="s">
        <v>6439</v>
      </c>
      <c r="B1545" s="276">
        <v>1.0</v>
      </c>
    </row>
    <row r="1546">
      <c r="A1546" s="276" t="s">
        <v>6213</v>
      </c>
      <c r="B1546" s="276">
        <v>1.0</v>
      </c>
    </row>
    <row r="1547">
      <c r="A1547" s="276" t="s">
        <v>2884</v>
      </c>
      <c r="B1547" s="276">
        <v>1.0</v>
      </c>
    </row>
    <row r="1548">
      <c r="A1548" s="276" t="s">
        <v>2894</v>
      </c>
      <c r="B1548" s="276">
        <v>1.0</v>
      </c>
    </row>
    <row r="1549">
      <c r="A1549" s="276" t="s">
        <v>6758</v>
      </c>
      <c r="B1549" s="276">
        <v>1.0</v>
      </c>
    </row>
    <row r="1550">
      <c r="A1550" s="276" t="s">
        <v>1700</v>
      </c>
      <c r="B1550" s="276">
        <v>1.0</v>
      </c>
    </row>
    <row r="1551">
      <c r="A1551" s="276" t="s">
        <v>5628</v>
      </c>
      <c r="B1551" s="276">
        <v>1.0</v>
      </c>
    </row>
    <row r="1552">
      <c r="A1552" s="276" t="s">
        <v>5435</v>
      </c>
      <c r="B1552" s="276">
        <v>1.0</v>
      </c>
    </row>
    <row r="1553">
      <c r="A1553" s="276" t="s">
        <v>6039</v>
      </c>
      <c r="B1553" s="276">
        <v>1.0</v>
      </c>
    </row>
    <row r="1554">
      <c r="A1554" s="276" t="s">
        <v>6591</v>
      </c>
      <c r="B1554" s="276">
        <v>1.0</v>
      </c>
    </row>
    <row r="1555">
      <c r="A1555" s="276" t="s">
        <v>6649</v>
      </c>
      <c r="B1555" s="276">
        <v>1.0</v>
      </c>
    </row>
    <row r="1556">
      <c r="A1556" s="276" t="s">
        <v>732</v>
      </c>
      <c r="B1556" s="276">
        <v>1.0</v>
      </c>
    </row>
    <row r="1557">
      <c r="A1557" s="276" t="s">
        <v>6134</v>
      </c>
      <c r="B1557" s="276">
        <v>1.0</v>
      </c>
    </row>
    <row r="1558">
      <c r="A1558" s="276" t="s">
        <v>5618</v>
      </c>
      <c r="B1558" s="276">
        <v>1.0</v>
      </c>
    </row>
    <row r="1559">
      <c r="A1559" s="276" t="s">
        <v>6408</v>
      </c>
      <c r="B1559" s="276">
        <v>1.0</v>
      </c>
    </row>
    <row r="1560">
      <c r="A1560" s="276" t="s">
        <v>4455</v>
      </c>
      <c r="B1560" s="276">
        <v>1.0</v>
      </c>
    </row>
    <row r="1561">
      <c r="A1561" s="278" t="s">
        <v>4005</v>
      </c>
      <c r="B1561" s="276">
        <v>1.0</v>
      </c>
    </row>
    <row r="1562">
      <c r="A1562" s="276" t="s">
        <v>5459</v>
      </c>
      <c r="B1562" s="276">
        <v>1.0</v>
      </c>
    </row>
    <row r="1563">
      <c r="A1563" s="276" t="s">
        <v>6275</v>
      </c>
      <c r="B1563" s="276">
        <v>1.0</v>
      </c>
    </row>
    <row r="1564">
      <c r="A1564" s="276" t="s">
        <v>4607</v>
      </c>
      <c r="B1564" s="276">
        <v>1.0</v>
      </c>
    </row>
    <row r="1565">
      <c r="A1565" s="276" t="s">
        <v>4285</v>
      </c>
      <c r="B1565" s="276">
        <v>1.0</v>
      </c>
    </row>
    <row r="1566">
      <c r="A1566" s="276" t="s">
        <v>5539</v>
      </c>
      <c r="B1566" s="276">
        <v>4.0</v>
      </c>
    </row>
    <row r="1567">
      <c r="A1567" s="276" t="s">
        <v>3989</v>
      </c>
      <c r="B1567" s="276">
        <v>1.0</v>
      </c>
    </row>
    <row r="1568">
      <c r="A1568" s="276" t="s">
        <v>4183</v>
      </c>
      <c r="B1568" s="276">
        <v>1.0</v>
      </c>
    </row>
    <row r="1569">
      <c r="A1569" s="276" t="s">
        <v>6041</v>
      </c>
      <c r="B1569" s="276">
        <v>1.0</v>
      </c>
    </row>
    <row r="1570">
      <c r="A1570" s="276" t="s">
        <v>6751</v>
      </c>
      <c r="B1570" s="276">
        <v>1.0</v>
      </c>
    </row>
    <row r="1571">
      <c r="A1571" s="276" t="s">
        <v>4116</v>
      </c>
      <c r="B1571" s="276">
        <v>1.0</v>
      </c>
    </row>
    <row r="1572">
      <c r="A1572" s="276" t="s">
        <v>7443</v>
      </c>
      <c r="B1572" s="276">
        <v>1.0</v>
      </c>
    </row>
    <row r="1573">
      <c r="A1573" s="276" t="s">
        <v>4944</v>
      </c>
      <c r="B1573" s="276">
        <v>1.0</v>
      </c>
    </row>
    <row r="1574">
      <c r="A1574" s="276" t="s">
        <v>3497</v>
      </c>
      <c r="B1574" s="276">
        <v>5.0</v>
      </c>
    </row>
    <row r="1575">
      <c r="A1575" s="276" t="s">
        <v>7445</v>
      </c>
      <c r="B1575" s="276">
        <v>1.0</v>
      </c>
    </row>
    <row r="1576">
      <c r="A1576" s="276" t="s">
        <v>4186</v>
      </c>
      <c r="B1576" s="276">
        <v>1.0</v>
      </c>
    </row>
    <row r="1577">
      <c r="A1577" s="276" t="s">
        <v>4354</v>
      </c>
      <c r="B1577" s="276">
        <v>2.0</v>
      </c>
    </row>
    <row r="1578">
      <c r="A1578" s="276" t="s">
        <v>6324</v>
      </c>
      <c r="B1578" s="276">
        <v>1.0</v>
      </c>
    </row>
    <row r="1579">
      <c r="A1579" s="276" t="s">
        <v>3254</v>
      </c>
      <c r="B1579" s="276">
        <v>2.0</v>
      </c>
    </row>
    <row r="1580">
      <c r="A1580" s="276" t="s">
        <v>6690</v>
      </c>
      <c r="B1580" s="276">
        <v>1.0</v>
      </c>
    </row>
    <row r="1581">
      <c r="A1581" s="276" t="s">
        <v>4961</v>
      </c>
      <c r="B1581" s="276">
        <v>1.0</v>
      </c>
    </row>
    <row r="1582">
      <c r="A1582" s="276" t="s">
        <v>5433</v>
      </c>
      <c r="B1582" s="276">
        <v>1.0</v>
      </c>
    </row>
    <row r="1583">
      <c r="A1583" s="276" t="s">
        <v>6222</v>
      </c>
      <c r="B1583" s="276">
        <v>1.0</v>
      </c>
    </row>
    <row r="1584">
      <c r="A1584" s="276" t="s">
        <v>6742</v>
      </c>
      <c r="B1584" s="276">
        <v>1.0</v>
      </c>
    </row>
    <row r="1585">
      <c r="A1585" s="276" t="s">
        <v>5091</v>
      </c>
      <c r="B1585" s="276">
        <v>1.0</v>
      </c>
    </row>
    <row r="1586">
      <c r="A1586" s="276" t="s">
        <v>2314</v>
      </c>
      <c r="B1586" s="276">
        <v>1.0</v>
      </c>
    </row>
    <row r="1587">
      <c r="A1587" s="276" t="s">
        <v>6762</v>
      </c>
      <c r="B1587" s="276">
        <v>1.0</v>
      </c>
    </row>
    <row r="1588">
      <c r="A1588" s="278" t="s">
        <v>3108</v>
      </c>
      <c r="B1588" s="276">
        <v>1.0</v>
      </c>
    </row>
    <row r="1589">
      <c r="A1589" s="276" t="s">
        <v>7447</v>
      </c>
      <c r="B1589" s="276">
        <v>1.0</v>
      </c>
    </row>
    <row r="1590">
      <c r="A1590" s="276" t="s">
        <v>5378</v>
      </c>
      <c r="B1590" s="276">
        <v>1.0</v>
      </c>
    </row>
    <row r="1591">
      <c r="A1591" s="276" t="s">
        <v>6973</v>
      </c>
      <c r="B1591" s="276">
        <v>1.0</v>
      </c>
    </row>
    <row r="1592">
      <c r="A1592" s="276" t="s">
        <v>6454</v>
      </c>
      <c r="B1592" s="276">
        <v>1.0</v>
      </c>
    </row>
    <row r="1593">
      <c r="A1593" s="276" t="s">
        <v>4579</v>
      </c>
      <c r="B1593" s="276">
        <v>1.0</v>
      </c>
    </row>
    <row r="1594">
      <c r="A1594" s="276" t="s">
        <v>5583</v>
      </c>
      <c r="B1594" s="276">
        <v>1.0</v>
      </c>
    </row>
    <row r="1595">
      <c r="A1595" s="276" t="s">
        <v>3377</v>
      </c>
      <c r="B1595" s="276">
        <v>4.0</v>
      </c>
    </row>
    <row r="1596">
      <c r="A1596" s="276" t="s">
        <v>5344</v>
      </c>
      <c r="B1596" s="276">
        <v>1.0</v>
      </c>
    </row>
    <row r="1597">
      <c r="A1597" s="276" t="s">
        <v>7467</v>
      </c>
      <c r="B1597" s="276">
        <v>1.0</v>
      </c>
    </row>
    <row r="1598">
      <c r="A1598" s="276" t="s">
        <v>6956</v>
      </c>
      <c r="B1598" s="276">
        <v>2.0</v>
      </c>
    </row>
    <row r="1599">
      <c r="A1599" s="276" t="s">
        <v>7472</v>
      </c>
      <c r="B1599" s="276">
        <v>1.0</v>
      </c>
    </row>
    <row r="1600">
      <c r="A1600" s="276" t="s">
        <v>6723</v>
      </c>
      <c r="B1600" s="276">
        <v>1.0</v>
      </c>
    </row>
    <row r="1601">
      <c r="A1601" s="276" t="s">
        <v>4497</v>
      </c>
      <c r="B1601" s="276">
        <v>1.0</v>
      </c>
    </row>
    <row r="1602">
      <c r="A1602" s="276" t="s">
        <v>5938</v>
      </c>
      <c r="B1602" s="276">
        <v>1.0</v>
      </c>
    </row>
    <row r="1603">
      <c r="A1603" s="276" t="s">
        <v>6186</v>
      </c>
      <c r="B1603" s="276">
        <v>1.0</v>
      </c>
    </row>
    <row r="1604">
      <c r="A1604" s="276" t="s">
        <v>5976</v>
      </c>
      <c r="B1604" s="276">
        <v>1.0</v>
      </c>
    </row>
    <row r="1605">
      <c r="A1605" s="276" t="s">
        <v>5443</v>
      </c>
      <c r="B1605" s="276">
        <v>1.0</v>
      </c>
    </row>
    <row r="1606">
      <c r="A1606" s="276" t="s">
        <v>7184</v>
      </c>
      <c r="B1606" s="276">
        <v>1.0</v>
      </c>
    </row>
    <row r="1607">
      <c r="A1607" s="276" t="s">
        <v>4912</v>
      </c>
      <c r="B1607" s="276">
        <v>1.0</v>
      </c>
    </row>
    <row r="1608">
      <c r="A1608" s="276" t="s">
        <v>4528</v>
      </c>
      <c r="B1608" s="276">
        <v>1.0</v>
      </c>
    </row>
    <row r="1609">
      <c r="A1609" s="276" t="s">
        <v>563</v>
      </c>
      <c r="B1609" s="276">
        <v>1.0</v>
      </c>
    </row>
    <row r="1610">
      <c r="A1610" s="276" t="s">
        <v>6733</v>
      </c>
      <c r="B1610" s="276">
        <v>1.0</v>
      </c>
    </row>
    <row r="1611">
      <c r="A1611" s="276" t="s">
        <v>4078</v>
      </c>
      <c r="B1611" s="276">
        <v>1.0</v>
      </c>
    </row>
    <row r="1612">
      <c r="A1612" s="276" t="s">
        <v>6167</v>
      </c>
      <c r="B1612" s="276">
        <v>1.0</v>
      </c>
    </row>
    <row r="1613">
      <c r="A1613" s="276" t="s">
        <v>7438</v>
      </c>
      <c r="B1613" s="276">
        <v>1.0</v>
      </c>
    </row>
    <row r="1614">
      <c r="A1614" s="276" t="s">
        <v>3521</v>
      </c>
      <c r="B1614" s="276">
        <v>1.0</v>
      </c>
    </row>
    <row r="1615">
      <c r="A1615" s="276" t="s">
        <v>4395</v>
      </c>
      <c r="B1615" s="276">
        <v>1.0</v>
      </c>
    </row>
    <row r="1616">
      <c r="A1616" s="276" t="s">
        <v>4403</v>
      </c>
      <c r="B1616" s="276">
        <v>1.0</v>
      </c>
    </row>
    <row r="1617">
      <c r="A1617" s="276" t="s">
        <v>5652</v>
      </c>
      <c r="B1617" s="276">
        <v>1.0</v>
      </c>
    </row>
    <row r="1618">
      <c r="A1618" s="276" t="s">
        <v>6323</v>
      </c>
      <c r="B1618" s="276">
        <v>1.0</v>
      </c>
    </row>
    <row r="1619">
      <c r="A1619" s="276" t="s">
        <v>7275</v>
      </c>
      <c r="B1619" s="276">
        <v>1.0</v>
      </c>
    </row>
    <row r="1620">
      <c r="A1620" s="276" t="s">
        <v>4418</v>
      </c>
      <c r="B1620" s="276">
        <v>2.0</v>
      </c>
    </row>
    <row r="1621">
      <c r="A1621" s="276" t="s">
        <v>6344</v>
      </c>
      <c r="B1621" s="276">
        <v>1.0</v>
      </c>
    </row>
    <row r="1622">
      <c r="A1622" s="276" t="s">
        <v>4740</v>
      </c>
      <c r="B1622" s="276">
        <v>1.0</v>
      </c>
    </row>
    <row r="1623">
      <c r="A1623" s="276" t="s">
        <v>6426</v>
      </c>
      <c r="B1623" s="276">
        <v>1.0</v>
      </c>
    </row>
    <row r="1624">
      <c r="A1624" s="276" t="s">
        <v>4782</v>
      </c>
      <c r="B1624" s="276">
        <v>1.0</v>
      </c>
    </row>
    <row r="1625">
      <c r="A1625" s="276" t="s">
        <v>4080</v>
      </c>
      <c r="B1625" s="276">
        <v>1.0</v>
      </c>
    </row>
    <row r="1626">
      <c r="A1626" s="276" t="s">
        <v>6457</v>
      </c>
      <c r="B1626" s="276">
        <v>1.0</v>
      </c>
    </row>
    <row r="1627">
      <c r="A1627" s="276" t="s">
        <v>5033</v>
      </c>
      <c r="B1627" s="276">
        <v>2.0</v>
      </c>
    </row>
    <row r="1628">
      <c r="A1628" s="276" t="s">
        <v>5162</v>
      </c>
      <c r="B1628" s="276">
        <v>1.0</v>
      </c>
    </row>
    <row r="1629">
      <c r="A1629" s="276" t="s">
        <v>4642</v>
      </c>
      <c r="B1629" s="276">
        <v>1.0</v>
      </c>
    </row>
    <row r="1630">
      <c r="A1630" s="276" t="s">
        <v>6726</v>
      </c>
      <c r="B1630" s="276">
        <v>1.0</v>
      </c>
    </row>
    <row r="1631">
      <c r="A1631" s="276" t="s">
        <v>4996</v>
      </c>
      <c r="B1631" s="276">
        <v>1.0</v>
      </c>
    </row>
    <row r="1632">
      <c r="A1632" s="276" t="s">
        <v>4811</v>
      </c>
      <c r="B1632" s="276">
        <v>1.0</v>
      </c>
    </row>
    <row r="1633">
      <c r="A1633" s="276" t="s">
        <v>5958</v>
      </c>
      <c r="B1633" s="276">
        <v>1.0</v>
      </c>
    </row>
    <row r="1634">
      <c r="A1634" s="276" t="s">
        <v>4011</v>
      </c>
      <c r="B1634" s="276">
        <v>1.0</v>
      </c>
    </row>
    <row r="1635">
      <c r="A1635" s="276" t="s">
        <v>6808</v>
      </c>
      <c r="B1635" s="276">
        <v>1.0</v>
      </c>
    </row>
    <row r="1636">
      <c r="A1636" s="276" t="s">
        <v>6625</v>
      </c>
      <c r="B1636" s="276">
        <v>1.0</v>
      </c>
    </row>
    <row r="1637">
      <c r="A1637" s="276" t="s">
        <v>3850</v>
      </c>
      <c r="B1637" s="276">
        <v>1.0</v>
      </c>
    </row>
    <row r="1638">
      <c r="A1638" s="276" t="s">
        <v>6198</v>
      </c>
      <c r="B1638" s="276">
        <v>1.0</v>
      </c>
    </row>
    <row r="1639">
      <c r="A1639" s="276" t="s">
        <v>6430</v>
      </c>
      <c r="B1639" s="276">
        <v>1.0</v>
      </c>
    </row>
    <row r="1640">
      <c r="A1640" s="276" t="s">
        <v>5545</v>
      </c>
      <c r="B1640" s="276">
        <v>1.0</v>
      </c>
    </row>
    <row r="1641">
      <c r="A1641" s="276" t="s">
        <v>5213</v>
      </c>
      <c r="B1641" s="276">
        <v>1.0</v>
      </c>
    </row>
    <row r="1642">
      <c r="A1642" s="276" t="s">
        <v>6884</v>
      </c>
      <c r="B1642" s="276">
        <v>1.0</v>
      </c>
    </row>
    <row r="1643">
      <c r="A1643" s="276" t="s">
        <v>3915</v>
      </c>
      <c r="B1643" s="276">
        <v>1.0</v>
      </c>
    </row>
    <row r="1644">
      <c r="A1644" s="276" t="s">
        <v>5505</v>
      </c>
      <c r="B1644" s="276">
        <v>1.0</v>
      </c>
    </row>
    <row r="1645">
      <c r="A1645" s="276" t="s">
        <v>5156</v>
      </c>
      <c r="B1645" s="276">
        <v>1.0</v>
      </c>
    </row>
    <row r="1646">
      <c r="A1646" s="276" t="s">
        <v>5275</v>
      </c>
      <c r="B1646" s="276">
        <v>1.0</v>
      </c>
    </row>
    <row r="1647">
      <c r="A1647" s="276" t="s">
        <v>2325</v>
      </c>
      <c r="B1647" s="276">
        <v>1.0</v>
      </c>
    </row>
    <row r="1648">
      <c r="A1648" s="276" t="s">
        <v>6863</v>
      </c>
      <c r="B1648" s="276">
        <v>1.0</v>
      </c>
    </row>
    <row r="1649">
      <c r="A1649" s="276" t="s">
        <v>5598</v>
      </c>
      <c r="B1649" s="276">
        <v>1.0</v>
      </c>
    </row>
    <row r="1650">
      <c r="A1650" s="276" t="s">
        <v>5510</v>
      </c>
      <c r="B1650" s="276">
        <v>1.0</v>
      </c>
    </row>
    <row r="1651">
      <c r="A1651" s="276" t="s">
        <v>4571</v>
      </c>
      <c r="B1651" s="276">
        <v>1.0</v>
      </c>
    </row>
    <row r="1652">
      <c r="A1652" s="276" t="s">
        <v>5052</v>
      </c>
      <c r="B1652" s="276">
        <v>1.0</v>
      </c>
    </row>
    <row r="1653">
      <c r="A1653" s="276" t="s">
        <v>5576</v>
      </c>
      <c r="B1653" s="276">
        <v>1.0</v>
      </c>
    </row>
    <row r="1654">
      <c r="A1654" s="276" t="s">
        <v>5776</v>
      </c>
      <c r="B1654" s="276">
        <v>1.0</v>
      </c>
    </row>
    <row r="1655">
      <c r="A1655" s="276" t="s">
        <v>4688</v>
      </c>
      <c r="B1655" s="276">
        <v>1.0</v>
      </c>
    </row>
    <row r="1656">
      <c r="A1656" s="276" t="s">
        <v>6680</v>
      </c>
      <c r="B1656" s="276">
        <v>1.0</v>
      </c>
    </row>
    <row r="1657">
      <c r="A1657" s="276" t="s">
        <v>6985</v>
      </c>
      <c r="B1657" s="276">
        <v>1.0</v>
      </c>
    </row>
    <row r="1658">
      <c r="A1658" s="276" t="s">
        <v>6126</v>
      </c>
      <c r="B1658" s="276">
        <v>1.0</v>
      </c>
    </row>
    <row r="1659">
      <c r="A1659" s="276" t="s">
        <v>6322</v>
      </c>
      <c r="B1659" s="276">
        <v>1.0</v>
      </c>
    </row>
    <row r="1660">
      <c r="A1660" s="276" t="s">
        <v>4405</v>
      </c>
      <c r="B1660" s="276">
        <v>1.0</v>
      </c>
    </row>
    <row r="1661">
      <c r="A1661" s="276" t="s">
        <v>4191</v>
      </c>
      <c r="B1661" s="276">
        <v>1.0</v>
      </c>
    </row>
    <row r="1662">
      <c r="A1662" s="276" t="s">
        <v>7276</v>
      </c>
      <c r="B1662" s="276">
        <v>1.0</v>
      </c>
    </row>
    <row r="1663">
      <c r="A1663" s="276" t="s">
        <v>6597</v>
      </c>
      <c r="B1663" s="276">
        <v>1.0</v>
      </c>
    </row>
    <row r="1664">
      <c r="A1664" s="276" t="s">
        <v>7235</v>
      </c>
      <c r="B1664" s="276">
        <v>2.0</v>
      </c>
    </row>
    <row r="1665">
      <c r="A1665" s="276" t="s">
        <v>6414</v>
      </c>
      <c r="B1665" s="276">
        <v>1.0</v>
      </c>
    </row>
    <row r="1666">
      <c r="A1666" s="276" t="s">
        <v>6461</v>
      </c>
      <c r="B1666" s="276">
        <v>1.0</v>
      </c>
    </row>
    <row r="1667">
      <c r="A1667" s="276" t="s">
        <v>4026</v>
      </c>
      <c r="B1667" s="276">
        <v>1.0</v>
      </c>
    </row>
    <row r="1668">
      <c r="A1668" s="276" t="s">
        <v>6049</v>
      </c>
      <c r="B1668" s="276">
        <v>1.0</v>
      </c>
    </row>
    <row r="1669">
      <c r="A1669" s="276" t="s">
        <v>6463</v>
      </c>
      <c r="B1669" s="276">
        <v>1.0</v>
      </c>
    </row>
    <row r="1670">
      <c r="A1670" s="276" t="s">
        <v>5160</v>
      </c>
      <c r="B1670" s="276">
        <v>1.0</v>
      </c>
    </row>
    <row r="1671">
      <c r="A1671" s="276" t="s">
        <v>1375</v>
      </c>
      <c r="B1671" s="276">
        <v>1.0</v>
      </c>
    </row>
    <row r="1672">
      <c r="A1672" s="276" t="s">
        <v>5474</v>
      </c>
      <c r="B1672" s="276">
        <v>1.0</v>
      </c>
    </row>
    <row r="1673">
      <c r="A1673" s="276" t="s">
        <v>5670</v>
      </c>
      <c r="B1673" s="276">
        <v>1.0</v>
      </c>
    </row>
    <row r="1674">
      <c r="A1674" s="276" t="s">
        <v>5520</v>
      </c>
      <c r="B1674" s="276">
        <v>1.0</v>
      </c>
    </row>
    <row r="1675">
      <c r="A1675" s="276" t="s">
        <v>3868</v>
      </c>
      <c r="B1675" s="276">
        <v>1.0</v>
      </c>
    </row>
    <row r="1676">
      <c r="A1676" s="276" t="s">
        <v>4106</v>
      </c>
      <c r="B1676" s="276">
        <v>1.0</v>
      </c>
    </row>
    <row r="1677">
      <c r="A1677" s="276" t="s">
        <v>6024</v>
      </c>
      <c r="B1677" s="276">
        <v>1.0</v>
      </c>
    </row>
    <row r="1678">
      <c r="A1678" s="276" t="s">
        <v>5186</v>
      </c>
      <c r="B1678" s="276">
        <v>1.0</v>
      </c>
    </row>
    <row r="1679">
      <c r="A1679" s="276" t="s">
        <v>3873</v>
      </c>
      <c r="B1679" s="276">
        <v>1.0</v>
      </c>
    </row>
    <row r="1680">
      <c r="A1680" s="276" t="s">
        <v>4671</v>
      </c>
      <c r="B1680" s="276">
        <v>1.0</v>
      </c>
    </row>
    <row r="1681">
      <c r="A1681" s="276" t="s">
        <v>4179</v>
      </c>
      <c r="B1681" s="276">
        <v>1.0</v>
      </c>
    </row>
    <row r="1682">
      <c r="A1682" s="276" t="s">
        <v>4640</v>
      </c>
      <c r="B1682" s="276">
        <v>1.0</v>
      </c>
    </row>
    <row r="1683">
      <c r="A1683" s="276" t="s">
        <v>5579</v>
      </c>
      <c r="B1683" s="276">
        <v>1.0</v>
      </c>
    </row>
    <row r="1684">
      <c r="A1684" s="276" t="s">
        <v>3905</v>
      </c>
      <c r="B1684" s="276">
        <v>1.0</v>
      </c>
    </row>
    <row r="1685">
      <c r="A1685" s="276" t="s">
        <v>7161</v>
      </c>
      <c r="B1685" s="276">
        <v>1.0</v>
      </c>
    </row>
    <row r="1686">
      <c r="A1686" s="276" t="s">
        <v>6379</v>
      </c>
      <c r="B1686" s="276">
        <v>1.0</v>
      </c>
    </row>
    <row r="1687">
      <c r="A1687" s="276" t="s">
        <v>3979</v>
      </c>
      <c r="B1687" s="276">
        <v>1.0</v>
      </c>
    </row>
    <row r="1688">
      <c r="A1688" s="278" t="s">
        <v>4035</v>
      </c>
      <c r="B1688" s="276">
        <v>1.0</v>
      </c>
    </row>
    <row r="1689">
      <c r="A1689" s="276" t="s">
        <v>5305</v>
      </c>
      <c r="B1689" s="276">
        <v>1.0</v>
      </c>
    </row>
    <row r="1690">
      <c r="A1690" s="276" t="s">
        <v>4381</v>
      </c>
      <c r="B1690" s="276">
        <v>1.0</v>
      </c>
    </row>
    <row r="1691">
      <c r="A1691" s="276" t="s">
        <v>4489</v>
      </c>
      <c r="B1691" s="276">
        <v>1.0</v>
      </c>
    </row>
    <row r="1692">
      <c r="A1692" s="276" t="s">
        <v>4921</v>
      </c>
      <c r="B1692" s="276">
        <v>1.0</v>
      </c>
    </row>
    <row r="1693">
      <c r="A1693" s="276" t="s">
        <v>4953</v>
      </c>
      <c r="B1693" s="276">
        <v>1.0</v>
      </c>
    </row>
    <row r="1694">
      <c r="A1694" s="276" t="s">
        <v>4745</v>
      </c>
      <c r="B1694" s="276">
        <v>1.0</v>
      </c>
    </row>
    <row r="1695">
      <c r="A1695" s="276" t="s">
        <v>7278</v>
      </c>
      <c r="B1695" s="276">
        <v>1.0</v>
      </c>
    </row>
    <row r="1696">
      <c r="A1696" s="276" t="s">
        <v>6811</v>
      </c>
      <c r="B1696" s="276">
        <v>1.0</v>
      </c>
    </row>
    <row r="1697">
      <c r="A1697" s="276" t="s">
        <v>6618</v>
      </c>
      <c r="B1697" s="276">
        <v>1.0</v>
      </c>
    </row>
    <row r="1698">
      <c r="A1698" s="276" t="s">
        <v>6711</v>
      </c>
      <c r="B1698" s="276">
        <v>1.0</v>
      </c>
    </row>
    <row r="1699">
      <c r="A1699" s="276" t="s">
        <v>6825</v>
      </c>
      <c r="B1699" s="276">
        <v>1.0</v>
      </c>
    </row>
    <row r="1700">
      <c r="A1700" s="276" t="s">
        <v>3936</v>
      </c>
      <c r="B1700" s="276">
        <v>1.0</v>
      </c>
    </row>
    <row r="1701">
      <c r="A1701" s="276" t="s">
        <v>6129</v>
      </c>
      <c r="B1701" s="276">
        <v>1.0</v>
      </c>
    </row>
    <row r="1702">
      <c r="A1702" s="276" t="s">
        <v>6465</v>
      </c>
      <c r="B1702" s="276">
        <v>1.0</v>
      </c>
    </row>
    <row r="1703">
      <c r="A1703" s="276" t="s">
        <v>4098</v>
      </c>
      <c r="B1703" s="276">
        <v>1.0</v>
      </c>
    </row>
    <row r="1704">
      <c r="A1704" s="276" t="s">
        <v>5359</v>
      </c>
      <c r="B1704" s="276">
        <v>1.0</v>
      </c>
    </row>
    <row r="1705">
      <c r="A1705" s="276" t="s">
        <v>5819</v>
      </c>
      <c r="B1705" s="276">
        <v>1.0</v>
      </c>
    </row>
    <row r="1706">
      <c r="A1706" s="276" t="s">
        <v>4789</v>
      </c>
      <c r="B1706" s="276">
        <v>1.0</v>
      </c>
    </row>
    <row r="1707">
      <c r="A1707" s="276" t="s">
        <v>6755</v>
      </c>
      <c r="B1707" s="276">
        <v>1.0</v>
      </c>
    </row>
    <row r="1708">
      <c r="A1708" s="276" t="s">
        <v>7094</v>
      </c>
      <c r="B1708" s="276">
        <v>1.0</v>
      </c>
    </row>
    <row r="1709">
      <c r="A1709" s="276" t="s">
        <v>4248</v>
      </c>
      <c r="B1709" s="276">
        <v>1.0</v>
      </c>
    </row>
    <row r="1710">
      <c r="A1710" s="276" t="s">
        <v>3952</v>
      </c>
      <c r="B1710" s="276">
        <v>1.0</v>
      </c>
    </row>
    <row r="1711">
      <c r="A1711" s="276" t="s">
        <v>3943</v>
      </c>
      <c r="B1711" s="276">
        <v>1.0</v>
      </c>
    </row>
    <row r="1712">
      <c r="A1712" s="276" t="s">
        <v>6360</v>
      </c>
      <c r="B1712" s="276">
        <v>1.0</v>
      </c>
    </row>
    <row r="1713">
      <c r="A1713" s="276" t="s">
        <v>5288</v>
      </c>
      <c r="B1713" s="276">
        <v>2.0</v>
      </c>
    </row>
    <row r="1714">
      <c r="A1714" s="276" t="s">
        <v>4282</v>
      </c>
      <c r="B1714" s="276">
        <v>1.0</v>
      </c>
    </row>
    <row r="1715">
      <c r="A1715" s="276" t="s">
        <v>6172</v>
      </c>
      <c r="B1715" s="276">
        <v>1.0</v>
      </c>
    </row>
    <row r="1716">
      <c r="A1716" s="276" t="s">
        <v>3859</v>
      </c>
      <c r="B1716" s="276">
        <v>1.0</v>
      </c>
    </row>
    <row r="1717">
      <c r="A1717" s="276" t="s">
        <v>4549</v>
      </c>
      <c r="B1717" s="276">
        <v>1.0</v>
      </c>
    </row>
    <row r="1718">
      <c r="A1718" s="276" t="s">
        <v>4065</v>
      </c>
      <c r="B1718" s="276">
        <v>1.0</v>
      </c>
    </row>
    <row r="1719">
      <c r="A1719" s="276" t="s">
        <v>7193</v>
      </c>
      <c r="B1719" s="276">
        <v>1.0</v>
      </c>
    </row>
    <row r="1720">
      <c r="A1720" s="276" t="s">
        <v>6589</v>
      </c>
      <c r="B1720" s="276">
        <v>1.0</v>
      </c>
    </row>
    <row r="1721">
      <c r="A1721" s="276" t="s">
        <v>6252</v>
      </c>
      <c r="B1721" s="276">
        <v>1.0</v>
      </c>
    </row>
    <row r="1722">
      <c r="A1722" s="276" t="s">
        <v>5006</v>
      </c>
      <c r="B1722" s="276">
        <v>1.0</v>
      </c>
    </row>
    <row r="1723">
      <c r="A1723" s="276" t="s">
        <v>4561</v>
      </c>
      <c r="B1723" s="276">
        <v>1.0</v>
      </c>
    </row>
    <row r="1724">
      <c r="A1724" s="276" t="s">
        <v>5491</v>
      </c>
      <c r="B1724" s="276">
        <v>1.0</v>
      </c>
    </row>
    <row r="1725">
      <c r="A1725" s="276" t="s">
        <v>6377</v>
      </c>
      <c r="B1725" s="276">
        <v>2.0</v>
      </c>
    </row>
    <row r="1726">
      <c r="A1726" s="276" t="s">
        <v>5357</v>
      </c>
      <c r="B1726" s="276">
        <v>1.0</v>
      </c>
    </row>
    <row r="1727">
      <c r="A1727" s="276" t="s">
        <v>4508</v>
      </c>
      <c r="B1727" s="276">
        <v>1.0</v>
      </c>
    </row>
    <row r="1728">
      <c r="A1728" s="276" t="s">
        <v>4825</v>
      </c>
      <c r="B1728" s="276">
        <v>1.0</v>
      </c>
    </row>
    <row r="1729">
      <c r="A1729" s="276" t="s">
        <v>5783</v>
      </c>
      <c r="B1729" s="276">
        <v>1.0</v>
      </c>
    </row>
    <row r="1730">
      <c r="A1730" s="276" t="s">
        <v>4712</v>
      </c>
      <c r="B1730" s="276">
        <v>1.0</v>
      </c>
    </row>
    <row r="1731">
      <c r="A1731" s="276" t="s">
        <v>6637</v>
      </c>
      <c r="B1731" s="276">
        <v>1.0</v>
      </c>
    </row>
    <row r="1732">
      <c r="A1732" s="276" t="s">
        <v>6467</v>
      </c>
      <c r="B1732" s="276">
        <v>1.0</v>
      </c>
    </row>
    <row r="1733">
      <c r="A1733" s="276" t="s">
        <v>6631</v>
      </c>
      <c r="B1733" s="276">
        <v>1.0</v>
      </c>
    </row>
    <row r="1734">
      <c r="A1734" s="276" t="s">
        <v>5058</v>
      </c>
      <c r="B1734" s="276">
        <v>1.0</v>
      </c>
    </row>
    <row r="1735">
      <c r="A1735" s="276" t="s">
        <v>4130</v>
      </c>
      <c r="B1735" s="276">
        <v>1.0</v>
      </c>
    </row>
    <row r="1736">
      <c r="A1736" s="276" t="s">
        <v>4851</v>
      </c>
      <c r="B1736" s="276">
        <v>1.0</v>
      </c>
    </row>
    <row r="1737">
      <c r="A1737" s="276" t="s">
        <v>6235</v>
      </c>
      <c r="B1737" s="276">
        <v>1.0</v>
      </c>
    </row>
    <row r="1738">
      <c r="A1738" s="276" t="s">
        <v>6471</v>
      </c>
      <c r="B1738" s="276">
        <v>1.0</v>
      </c>
    </row>
    <row r="1739">
      <c r="A1739" s="276" t="s">
        <v>6813</v>
      </c>
      <c r="B1739" s="276">
        <v>1.0</v>
      </c>
    </row>
    <row r="1740">
      <c r="A1740" s="276" t="s">
        <v>4546</v>
      </c>
      <c r="B1740" s="276">
        <v>1.0</v>
      </c>
    </row>
    <row r="1741">
      <c r="A1741" s="276" t="s">
        <v>5806</v>
      </c>
      <c r="B1741" s="276">
        <v>1.0</v>
      </c>
    </row>
    <row r="1742">
      <c r="A1742" s="276" t="s">
        <v>5142</v>
      </c>
      <c r="B1742" s="276">
        <v>1.0</v>
      </c>
    </row>
    <row r="1743">
      <c r="A1743" s="276" t="s">
        <v>6854</v>
      </c>
      <c r="B1743" s="276">
        <v>2.0</v>
      </c>
    </row>
    <row r="1744">
      <c r="A1744" s="276" t="s">
        <v>5631</v>
      </c>
      <c r="B1744" s="276">
        <v>1.0</v>
      </c>
    </row>
    <row r="1745">
      <c r="A1745" s="276" t="s">
        <v>4857</v>
      </c>
      <c r="B1745" s="276">
        <v>1.0</v>
      </c>
    </row>
    <row r="1746">
      <c r="A1746" s="276" t="s">
        <v>5064</v>
      </c>
      <c r="B1746" s="276">
        <v>1.0</v>
      </c>
    </row>
    <row r="1747">
      <c r="A1747" s="276" t="s">
        <v>6179</v>
      </c>
      <c r="B1747" s="276">
        <v>2.0</v>
      </c>
    </row>
    <row r="1748">
      <c r="A1748" s="276" t="s">
        <v>4146</v>
      </c>
      <c r="B1748" s="276">
        <v>1.0</v>
      </c>
    </row>
    <row r="1749">
      <c r="A1749" s="276" t="s">
        <v>6771</v>
      </c>
      <c r="B1749" s="276">
        <v>1.0</v>
      </c>
    </row>
    <row r="1750">
      <c r="A1750" s="276" t="s">
        <v>5361</v>
      </c>
      <c r="B1750" s="276">
        <v>1.0</v>
      </c>
    </row>
    <row r="1751">
      <c r="A1751" s="276" t="s">
        <v>5366</v>
      </c>
      <c r="B1751" s="276">
        <v>1.0</v>
      </c>
    </row>
    <row r="1752">
      <c r="A1752" s="276" t="s">
        <v>4171</v>
      </c>
      <c r="B1752" s="276">
        <v>1.0</v>
      </c>
    </row>
    <row r="1753">
      <c r="A1753" s="276" t="s">
        <v>6798</v>
      </c>
      <c r="B1753" s="276">
        <v>1.0</v>
      </c>
    </row>
    <row r="1754">
      <c r="A1754" s="276" t="s">
        <v>4415</v>
      </c>
      <c r="B1754" s="276">
        <v>1.0</v>
      </c>
    </row>
    <row r="1755">
      <c r="A1755" s="276" t="s">
        <v>6838</v>
      </c>
      <c r="B1755" s="276">
        <v>1.0</v>
      </c>
    </row>
    <row r="1756">
      <c r="A1756" s="276" t="s">
        <v>4924</v>
      </c>
      <c r="B1756" s="276">
        <v>1.0</v>
      </c>
    </row>
    <row r="1757">
      <c r="A1757" s="276" t="s">
        <v>3984</v>
      </c>
      <c r="B1757" s="276">
        <v>1.0</v>
      </c>
    </row>
    <row r="1758">
      <c r="A1758" s="276" t="s">
        <v>6101</v>
      </c>
      <c r="B1758" s="276">
        <v>1.0</v>
      </c>
    </row>
    <row r="1759">
      <c r="A1759" s="276" t="s">
        <v>4895</v>
      </c>
      <c r="B1759" s="276">
        <v>1.0</v>
      </c>
    </row>
    <row r="1760">
      <c r="A1760" s="276" t="s">
        <v>5927</v>
      </c>
      <c r="B1760" s="276">
        <v>2.0</v>
      </c>
    </row>
    <row r="1761">
      <c r="A1761" s="276" t="s">
        <v>6266</v>
      </c>
      <c r="B1761" s="276">
        <v>1.0</v>
      </c>
    </row>
    <row r="1762">
      <c r="A1762" s="276" t="s">
        <v>6410</v>
      </c>
      <c r="B1762" s="276">
        <v>1.0</v>
      </c>
    </row>
    <row r="1763">
      <c r="A1763" s="276" t="s">
        <v>5121</v>
      </c>
      <c r="B1763" s="276">
        <v>1.0</v>
      </c>
    </row>
    <row r="1764">
      <c r="A1764" s="276" t="s">
        <v>5862</v>
      </c>
      <c r="B1764" s="276">
        <v>1.0</v>
      </c>
    </row>
    <row r="1765">
      <c r="A1765" s="276" t="s">
        <v>6075</v>
      </c>
      <c r="B1765" s="276">
        <v>1.0</v>
      </c>
    </row>
    <row r="1766">
      <c r="A1766" s="276" t="s">
        <v>3912</v>
      </c>
      <c r="B1766" s="276">
        <v>1.0</v>
      </c>
    </row>
    <row r="1767">
      <c r="A1767" s="276" t="s">
        <v>4331</v>
      </c>
      <c r="B1767" s="276">
        <v>1.0</v>
      </c>
    </row>
    <row r="1768">
      <c r="A1768" s="276" t="s">
        <v>3903</v>
      </c>
      <c r="B1768" s="276">
        <v>1.0</v>
      </c>
    </row>
    <row r="1769">
      <c r="A1769" s="276" t="s">
        <v>5041</v>
      </c>
      <c r="B1769" s="276">
        <v>1.0</v>
      </c>
    </row>
    <row r="1770">
      <c r="A1770" s="276" t="s">
        <v>6357</v>
      </c>
      <c r="B1770" s="276">
        <v>1.0</v>
      </c>
    </row>
    <row r="1771">
      <c r="A1771" s="276" t="s">
        <v>6358</v>
      </c>
      <c r="B1771" s="276">
        <v>1.0</v>
      </c>
    </row>
    <row r="1772">
      <c r="A1772" s="276" t="s">
        <v>6355</v>
      </c>
      <c r="B1772" s="276">
        <v>1.0</v>
      </c>
    </row>
    <row r="1773">
      <c r="A1773" s="276" t="s">
        <v>4384</v>
      </c>
      <c r="B1773" s="276">
        <v>3.0</v>
      </c>
    </row>
    <row r="1774">
      <c r="A1774" s="276" t="s">
        <v>5821</v>
      </c>
      <c r="B1774" s="276">
        <v>1.0</v>
      </c>
    </row>
    <row r="1775">
      <c r="A1775" s="276" t="s">
        <v>5571</v>
      </c>
      <c r="B1775" s="276">
        <v>1.0</v>
      </c>
    </row>
    <row r="1776">
      <c r="A1776" s="276" t="s">
        <v>3958</v>
      </c>
      <c r="B1776" s="276">
        <v>1.0</v>
      </c>
    </row>
    <row r="1777">
      <c r="A1777" s="276" t="s">
        <v>7383</v>
      </c>
      <c r="B1777" s="276">
        <v>1.0</v>
      </c>
    </row>
    <row r="1778">
      <c r="A1778" s="276" t="s">
        <v>4609</v>
      </c>
      <c r="B1778" s="276">
        <v>1.0</v>
      </c>
    </row>
    <row r="1779">
      <c r="A1779" s="276" t="s">
        <v>5997</v>
      </c>
      <c r="B1779" s="276">
        <v>1.0</v>
      </c>
    </row>
    <row r="1780">
      <c r="A1780" s="276" t="s">
        <v>6407</v>
      </c>
      <c r="B1780" s="276">
        <v>1.0</v>
      </c>
    </row>
    <row r="1781">
      <c r="A1781" s="276" t="s">
        <v>4227</v>
      </c>
      <c r="B1781" s="276">
        <v>1.0</v>
      </c>
    </row>
    <row r="1782">
      <c r="A1782" s="276" t="s">
        <v>2710</v>
      </c>
      <c r="B1782" s="276">
        <v>1.0</v>
      </c>
    </row>
    <row r="1783">
      <c r="A1783" s="276" t="s">
        <v>7232</v>
      </c>
      <c r="B1783" s="276">
        <v>1.0</v>
      </c>
    </row>
    <row r="1784">
      <c r="A1784" s="276" t="s">
        <v>6320</v>
      </c>
      <c r="B1784" s="276">
        <v>1.0</v>
      </c>
    </row>
    <row r="1785">
      <c r="A1785" s="276" t="s">
        <v>4127</v>
      </c>
      <c r="B1785" s="276">
        <v>1.0</v>
      </c>
    </row>
    <row r="1786">
      <c r="A1786" s="276" t="s">
        <v>4581</v>
      </c>
      <c r="B1786" s="276">
        <v>1.0</v>
      </c>
    </row>
    <row r="1787">
      <c r="A1787" s="276" t="s">
        <v>4941</v>
      </c>
      <c r="B1787" s="276">
        <v>1.0</v>
      </c>
    </row>
    <row r="1788">
      <c r="A1788" s="276" t="s">
        <v>5382</v>
      </c>
      <c r="B1788" s="276">
        <v>1.0</v>
      </c>
    </row>
    <row r="1789">
      <c r="A1789" s="276" t="s">
        <v>7319</v>
      </c>
      <c r="B1789" s="276">
        <v>1.0</v>
      </c>
    </row>
    <row r="1790">
      <c r="A1790" s="276" t="s">
        <v>3893</v>
      </c>
      <c r="B1790" s="276">
        <v>1.0</v>
      </c>
    </row>
    <row r="1791">
      <c r="A1791" s="276" t="s">
        <v>6718</v>
      </c>
      <c r="B1791" s="276">
        <v>1.0</v>
      </c>
    </row>
    <row r="1792">
      <c r="A1792" s="276" t="s">
        <v>6475</v>
      </c>
      <c r="B1792" s="276">
        <v>1.0</v>
      </c>
    </row>
    <row r="1793">
      <c r="A1793" s="276" t="s">
        <v>4203</v>
      </c>
      <c r="B1793" s="276">
        <v>1.0</v>
      </c>
    </row>
    <row r="1794">
      <c r="A1794" s="276" t="s">
        <v>3922</v>
      </c>
      <c r="B1794" s="276">
        <v>1.0</v>
      </c>
    </row>
    <row r="1795">
      <c r="A1795" s="276" t="s">
        <v>4931</v>
      </c>
      <c r="B1795" s="276">
        <v>1.0</v>
      </c>
    </row>
    <row r="1796">
      <c r="A1796" s="276" t="s">
        <v>4792</v>
      </c>
      <c r="B1796" s="276">
        <v>2.0</v>
      </c>
    </row>
    <row r="1797">
      <c r="A1797" s="276" t="s">
        <v>4722</v>
      </c>
      <c r="B1797" s="276">
        <v>1.0</v>
      </c>
    </row>
    <row r="1798">
      <c r="A1798" s="276" t="s">
        <v>973</v>
      </c>
      <c r="B1798" s="276">
        <v>1.0</v>
      </c>
    </row>
    <row r="1799">
      <c r="A1799" s="276" t="s">
        <v>6739</v>
      </c>
      <c r="B1799" s="276">
        <v>1.0</v>
      </c>
    </row>
    <row r="1800">
      <c r="A1800" s="276" t="s">
        <v>6646</v>
      </c>
      <c r="B1800" s="276">
        <v>1.0</v>
      </c>
    </row>
    <row r="1801">
      <c r="A1801" s="276" t="s">
        <v>4880</v>
      </c>
      <c r="B1801" s="276">
        <v>1.0</v>
      </c>
    </row>
    <row r="1802">
      <c r="A1802" s="276" t="s">
        <v>6291</v>
      </c>
      <c r="B1802" s="276">
        <v>1.0</v>
      </c>
    </row>
    <row r="1803">
      <c r="A1803" s="276" t="s">
        <v>6175</v>
      </c>
      <c r="B1803" s="276">
        <v>1.0</v>
      </c>
    </row>
    <row r="1804">
      <c r="A1804" s="276" t="s">
        <v>7460</v>
      </c>
      <c r="B1804" s="276">
        <v>1.0</v>
      </c>
    </row>
    <row r="1805">
      <c r="A1805" s="276" t="s">
        <v>5686</v>
      </c>
      <c r="B1805" s="276">
        <v>1.0</v>
      </c>
    </row>
    <row r="1806">
      <c r="A1806" s="276" t="s">
        <v>5179</v>
      </c>
      <c r="B1806" s="276">
        <v>1.0</v>
      </c>
    </row>
    <row r="1807">
      <c r="A1807" s="276" t="s">
        <v>4817</v>
      </c>
      <c r="B1807" s="276">
        <v>1.0</v>
      </c>
    </row>
    <row r="1808">
      <c r="A1808" s="276" t="s">
        <v>5743</v>
      </c>
      <c r="B1808" s="276">
        <v>1.0</v>
      </c>
    </row>
    <row r="1809">
      <c r="A1809" s="276" t="s">
        <v>6594</v>
      </c>
      <c r="B1809" s="276">
        <v>1.0</v>
      </c>
    </row>
    <row r="1810">
      <c r="A1810" s="276" t="s">
        <v>4057</v>
      </c>
      <c r="B1810" s="276">
        <v>1.0</v>
      </c>
    </row>
    <row r="1811">
      <c r="A1811" s="276" t="s">
        <v>3935</v>
      </c>
      <c r="B1811" s="276">
        <v>1.0</v>
      </c>
    </row>
    <row r="1812">
      <c r="A1812" s="276" t="s">
        <v>6700</v>
      </c>
      <c r="B1812" s="276">
        <v>2.0</v>
      </c>
    </row>
    <row r="1813">
      <c r="A1813" s="276" t="s">
        <v>5495</v>
      </c>
      <c r="B1813" s="276">
        <v>1.0</v>
      </c>
    </row>
    <row r="1814">
      <c r="A1814" s="276" t="s">
        <v>2721</v>
      </c>
      <c r="B1814" s="276">
        <v>1.0</v>
      </c>
    </row>
    <row r="1815">
      <c r="A1815" s="276" t="s">
        <v>2202</v>
      </c>
      <c r="B1815" s="276">
        <v>1.0</v>
      </c>
    </row>
    <row r="1816">
      <c r="A1816" s="276" t="s">
        <v>2205</v>
      </c>
      <c r="B1816" s="276">
        <v>1.0</v>
      </c>
    </row>
    <row r="1817">
      <c r="A1817" s="276" t="s">
        <v>5800</v>
      </c>
      <c r="B1817" s="276">
        <v>1.0</v>
      </c>
    </row>
    <row r="1818">
      <c r="A1818" s="276" t="s">
        <v>6078</v>
      </c>
      <c r="B1818" s="276">
        <v>1.0</v>
      </c>
    </row>
    <row r="1819">
      <c r="A1819" s="276" t="s">
        <v>2211</v>
      </c>
      <c r="B1819" s="276">
        <v>1.0</v>
      </c>
    </row>
    <row r="1820">
      <c r="A1820" s="276" t="s">
        <v>6082</v>
      </c>
      <c r="B1820" s="276">
        <v>1.0</v>
      </c>
    </row>
    <row r="1821">
      <c r="A1821" s="276" t="s">
        <v>6959</v>
      </c>
      <c r="B1821" s="276">
        <v>1.0</v>
      </c>
    </row>
    <row r="1822">
      <c r="A1822" s="276" t="s">
        <v>4149</v>
      </c>
      <c r="B1822" s="276">
        <v>1.0</v>
      </c>
    </row>
    <row r="1823">
      <c r="A1823" s="276" t="s">
        <v>5261</v>
      </c>
      <c r="B1823" s="276">
        <v>1.0</v>
      </c>
    </row>
    <row r="1824">
      <c r="A1824" s="276" t="s">
        <v>4255</v>
      </c>
      <c r="B1824" s="276">
        <v>1.0</v>
      </c>
    </row>
    <row r="1825">
      <c r="A1825" s="276" t="s">
        <v>5074</v>
      </c>
      <c r="B1825" s="276">
        <v>1.0</v>
      </c>
    </row>
    <row r="1826">
      <c r="A1826" s="276" t="s">
        <v>6394</v>
      </c>
      <c r="B1826" s="276">
        <v>1.0</v>
      </c>
    </row>
    <row r="1827">
      <c r="A1827" s="276" t="s">
        <v>6447</v>
      </c>
      <c r="B1827" s="276">
        <v>1.0</v>
      </c>
    </row>
    <row r="1828">
      <c r="A1828" s="276" t="s">
        <v>6917</v>
      </c>
      <c r="B1828" s="276">
        <v>1.0</v>
      </c>
    </row>
    <row r="1829">
      <c r="A1829" s="276" t="s">
        <v>6720</v>
      </c>
      <c r="B1829" s="276">
        <v>1.0</v>
      </c>
    </row>
    <row r="1830">
      <c r="A1830" s="276" t="s">
        <v>5552</v>
      </c>
      <c r="B1830" s="276">
        <v>1.0</v>
      </c>
    </row>
    <row r="1831">
      <c r="A1831" s="276" t="s">
        <v>4802</v>
      </c>
      <c r="B1831" s="276">
        <v>1.0</v>
      </c>
    </row>
    <row r="1832">
      <c r="A1832" s="276" t="s">
        <v>4891</v>
      </c>
      <c r="B1832" s="276">
        <v>1.0</v>
      </c>
    </row>
    <row r="1833">
      <c r="A1833" s="276" t="s">
        <v>7301</v>
      </c>
      <c r="B1833" s="276">
        <v>1.0</v>
      </c>
    </row>
    <row r="1834">
      <c r="A1834" s="276" t="s">
        <v>5311</v>
      </c>
      <c r="B1834" s="276">
        <v>1.0</v>
      </c>
    </row>
    <row r="1835">
      <c r="A1835" s="276" t="s">
        <v>5564</v>
      </c>
      <c r="B1835" s="276">
        <v>1.0</v>
      </c>
    </row>
    <row r="1836">
      <c r="A1836" s="276" t="s">
        <v>1742</v>
      </c>
      <c r="B1836" s="276">
        <v>1.0</v>
      </c>
    </row>
    <row r="1837">
      <c r="A1837" s="276" t="s">
        <v>6478</v>
      </c>
      <c r="B1837" s="276">
        <v>1.0</v>
      </c>
    </row>
    <row r="1838">
      <c r="A1838" s="276" t="s">
        <v>5124</v>
      </c>
      <c r="B1838" s="276">
        <v>1.0</v>
      </c>
    </row>
    <row r="1839">
      <c r="A1839" s="276" t="s">
        <v>4181</v>
      </c>
      <c r="B1839" s="276">
        <v>1.0</v>
      </c>
    </row>
    <row r="1840">
      <c r="A1840" s="276" t="s">
        <v>5245</v>
      </c>
      <c r="B1840" s="276">
        <v>1.0</v>
      </c>
    </row>
    <row r="1841">
      <c r="A1841" s="276" t="s">
        <v>5209</v>
      </c>
      <c r="B1841" s="276">
        <v>1.0</v>
      </c>
    </row>
    <row r="1842">
      <c r="A1842" s="276" t="s">
        <v>6796</v>
      </c>
      <c r="B1842" s="276">
        <v>1.0</v>
      </c>
    </row>
    <row r="1843">
      <c r="A1843" s="276" t="s">
        <v>4554</v>
      </c>
      <c r="B1843" s="276">
        <v>1.0</v>
      </c>
    </row>
    <row r="1844">
      <c r="A1844" s="276" t="s">
        <v>2471</v>
      </c>
      <c r="B1844" s="276">
        <v>1.0</v>
      </c>
    </row>
    <row r="1845">
      <c r="A1845" s="276" t="s">
        <v>6425</v>
      </c>
      <c r="B1845" s="276">
        <v>1.0</v>
      </c>
    </row>
    <row r="1846">
      <c r="A1846" s="276" t="s">
        <v>6219</v>
      </c>
      <c r="B1846" s="276">
        <v>1.0</v>
      </c>
    </row>
    <row r="1847">
      <c r="A1847" s="276" t="s">
        <v>5183</v>
      </c>
      <c r="B1847" s="276">
        <v>1.0</v>
      </c>
    </row>
    <row r="1848">
      <c r="A1848" s="276" t="s">
        <v>7227</v>
      </c>
      <c r="B1848" s="276">
        <v>1.0</v>
      </c>
    </row>
    <row r="1849">
      <c r="A1849" s="276" t="s">
        <v>5763</v>
      </c>
      <c r="B1849" s="276">
        <v>1.0</v>
      </c>
    </row>
    <row r="1850">
      <c r="A1850" s="276" t="s">
        <v>5456</v>
      </c>
      <c r="B1850" s="276">
        <v>1.0</v>
      </c>
    </row>
    <row r="1851">
      <c r="A1851" s="276" t="s">
        <v>2339</v>
      </c>
      <c r="B1851" s="276">
        <v>1.0</v>
      </c>
    </row>
    <row r="1852">
      <c r="A1852" s="276" t="s">
        <v>4360</v>
      </c>
      <c r="B1852" s="276">
        <v>1.0</v>
      </c>
    </row>
    <row r="1853">
      <c r="A1853" s="276" t="s">
        <v>5008</v>
      </c>
      <c r="B1853" s="276">
        <v>1.0</v>
      </c>
    </row>
    <row r="1854">
      <c r="A1854" s="276" t="s">
        <v>6943</v>
      </c>
      <c r="B1854" s="276">
        <v>1.0</v>
      </c>
    </row>
    <row r="1855">
      <c r="A1855" s="276" t="s">
        <v>5990</v>
      </c>
      <c r="B1855" s="276">
        <v>1.0</v>
      </c>
    </row>
    <row r="1856">
      <c r="A1856" s="276" t="s">
        <v>5919</v>
      </c>
      <c r="B1856" s="276">
        <v>1.0</v>
      </c>
    </row>
    <row r="1857">
      <c r="A1857" s="276" t="s">
        <v>4893</v>
      </c>
      <c r="B1857" s="276">
        <v>1.0</v>
      </c>
    </row>
    <row r="1858">
      <c r="A1858" s="276" t="s">
        <v>4408</v>
      </c>
      <c r="B1858" s="276">
        <v>1.0</v>
      </c>
    </row>
    <row r="1859">
      <c r="A1859" s="276" t="s">
        <v>4907</v>
      </c>
      <c r="B1859" s="276">
        <v>1.0</v>
      </c>
    </row>
    <row r="1860">
      <c r="A1860" s="276" t="s">
        <v>4757</v>
      </c>
      <c r="B1860" s="276">
        <v>1.0</v>
      </c>
    </row>
    <row r="1861">
      <c r="A1861" s="276" t="s">
        <v>5611</v>
      </c>
      <c r="B1861" s="276">
        <v>1.0</v>
      </c>
    </row>
    <row r="1862">
      <c r="A1862" s="276" t="s">
        <v>4648</v>
      </c>
      <c r="B1862" s="276">
        <v>1.0</v>
      </c>
    </row>
    <row r="1863">
      <c r="A1863" s="276" t="s">
        <v>5283</v>
      </c>
      <c r="B1863" s="276">
        <v>1.0</v>
      </c>
    </row>
    <row r="1864">
      <c r="A1864" s="276" t="s">
        <v>4946</v>
      </c>
      <c r="B1864" s="276">
        <v>2.0</v>
      </c>
    </row>
    <row r="1865">
      <c r="A1865" s="276" t="s">
        <v>4805</v>
      </c>
      <c r="B1865" s="276">
        <v>1.0</v>
      </c>
    </row>
    <row r="1866">
      <c r="A1866" s="276" t="s">
        <v>6259</v>
      </c>
      <c r="B1866" s="276">
        <v>1.0</v>
      </c>
    </row>
    <row r="1867">
      <c r="A1867" s="276" t="s">
        <v>5157</v>
      </c>
      <c r="B1867" s="276">
        <v>1.0</v>
      </c>
    </row>
    <row r="1868">
      <c r="A1868" s="276" t="s">
        <v>4784</v>
      </c>
      <c r="B1868" s="276">
        <v>1.0</v>
      </c>
    </row>
    <row r="1869">
      <c r="A1869" s="276" t="s">
        <v>5947</v>
      </c>
      <c r="B1869" s="276">
        <v>1.0</v>
      </c>
    </row>
    <row r="1870">
      <c r="A1870" s="276" t="s">
        <v>5100</v>
      </c>
      <c r="B1870" s="276">
        <v>1.0</v>
      </c>
    </row>
    <row r="1871">
      <c r="A1871" s="276" t="s">
        <v>5811</v>
      </c>
      <c r="B1871" s="276">
        <v>1.0</v>
      </c>
    </row>
    <row r="1872">
      <c r="A1872" s="276" t="s">
        <v>5097</v>
      </c>
      <c r="B1872" s="276">
        <v>1.0</v>
      </c>
    </row>
    <row r="1873">
      <c r="A1873" s="276" t="s">
        <v>6777</v>
      </c>
      <c r="B1873" s="276">
        <v>1.0</v>
      </c>
    </row>
    <row r="1874">
      <c r="A1874" s="276" t="s">
        <v>3962</v>
      </c>
      <c r="B1874" s="276">
        <v>1.0</v>
      </c>
    </row>
    <row r="1875">
      <c r="A1875" s="276" t="s">
        <v>3932</v>
      </c>
      <c r="B1875" s="276">
        <v>1.0</v>
      </c>
    </row>
    <row r="1876">
      <c r="A1876" s="276" t="s">
        <v>4034</v>
      </c>
      <c r="B1876" s="276">
        <v>1.0</v>
      </c>
    </row>
    <row r="1877">
      <c r="A1877" s="276" t="s">
        <v>3933</v>
      </c>
      <c r="B1877" s="276">
        <v>1.0</v>
      </c>
    </row>
    <row r="1878">
      <c r="A1878" s="276" t="s">
        <v>4787</v>
      </c>
      <c r="B1878" s="276">
        <v>1.0</v>
      </c>
    </row>
    <row r="1879">
      <c r="A1879" s="276" t="s">
        <v>5127</v>
      </c>
      <c r="B1879" s="276">
        <v>1.0</v>
      </c>
    </row>
    <row r="1880">
      <c r="A1880" s="276" t="s">
        <v>4148</v>
      </c>
      <c r="B1880" s="276">
        <v>1.0</v>
      </c>
    </row>
    <row r="1881">
      <c r="A1881" s="276" t="s">
        <v>4044</v>
      </c>
      <c r="B1881" s="276">
        <v>2.0</v>
      </c>
    </row>
    <row r="1882">
      <c r="A1882" s="276" t="s">
        <v>4525</v>
      </c>
      <c r="B1882" s="276">
        <v>1.0</v>
      </c>
    </row>
    <row r="1883">
      <c r="A1883" s="276" t="s">
        <v>5438</v>
      </c>
      <c r="B1883" s="276">
        <v>1.0</v>
      </c>
    </row>
    <row r="1884">
      <c r="A1884" s="276" t="s">
        <v>4499</v>
      </c>
      <c r="B1884" s="276">
        <v>1.0</v>
      </c>
    </row>
    <row r="1885">
      <c r="A1885" s="276" t="s">
        <v>4293</v>
      </c>
      <c r="B1885" s="276">
        <v>1.0</v>
      </c>
    </row>
    <row r="1886">
      <c r="A1886" s="276" t="s">
        <v>4316</v>
      </c>
      <c r="B1886" s="276">
        <v>1.0</v>
      </c>
    </row>
    <row r="1887">
      <c r="A1887" s="276" t="s">
        <v>6329</v>
      </c>
      <c r="B1887" s="276">
        <v>1.0</v>
      </c>
    </row>
    <row r="1888">
      <c r="A1888" s="276" t="s">
        <v>4443</v>
      </c>
      <c r="B1888" s="276">
        <v>1.0</v>
      </c>
    </row>
    <row r="1889">
      <c r="A1889" s="276" t="s">
        <v>5724</v>
      </c>
      <c r="B1889" s="276">
        <v>1.0</v>
      </c>
    </row>
    <row r="1890">
      <c r="A1890" s="276" t="s">
        <v>4651</v>
      </c>
      <c r="B1890" s="276">
        <v>1.0</v>
      </c>
    </row>
    <row r="1891">
      <c r="A1891" s="276" t="s">
        <v>7392</v>
      </c>
      <c r="B1891" s="276">
        <v>1.0</v>
      </c>
    </row>
    <row r="1892">
      <c r="A1892" s="276" t="s">
        <v>6480</v>
      </c>
      <c r="B1892" s="276">
        <v>1.0</v>
      </c>
    </row>
    <row r="1893">
      <c r="A1893" s="276" t="s">
        <v>3956</v>
      </c>
      <c r="B1893" s="276">
        <v>1.0</v>
      </c>
    </row>
    <row r="1894">
      <c r="A1894" s="276" t="s">
        <v>6667</v>
      </c>
      <c r="B1894" s="276">
        <v>1.0</v>
      </c>
    </row>
    <row r="1895">
      <c r="A1895" s="276" t="s">
        <v>6666</v>
      </c>
      <c r="B1895" s="276">
        <v>1.0</v>
      </c>
    </row>
    <row r="1896">
      <c r="A1896" s="276" t="s">
        <v>4829</v>
      </c>
      <c r="B1896" s="276">
        <v>1.0</v>
      </c>
    </row>
    <row r="1897">
      <c r="A1897" s="276" t="s">
        <v>6613</v>
      </c>
      <c r="B1897" s="276">
        <v>1.0</v>
      </c>
    </row>
    <row r="1898">
      <c r="A1898" s="276" t="s">
        <v>4322</v>
      </c>
      <c r="B1898" s="276">
        <v>1.0</v>
      </c>
    </row>
    <row r="1899">
      <c r="A1899" s="276" t="s">
        <v>5044</v>
      </c>
      <c r="B1899" s="276">
        <v>1.0</v>
      </c>
    </row>
    <row r="1900">
      <c r="A1900" s="276" t="s">
        <v>3879</v>
      </c>
      <c r="B1900" s="276">
        <v>1.0</v>
      </c>
    </row>
    <row r="1901">
      <c r="A1901" s="276" t="s">
        <v>5594</v>
      </c>
      <c r="B1901" s="276">
        <v>1.0</v>
      </c>
    </row>
    <row r="1902">
      <c r="A1902" s="276" t="s">
        <v>6484</v>
      </c>
      <c r="B1902" s="276">
        <v>1.0</v>
      </c>
    </row>
    <row r="1903">
      <c r="A1903" s="276" t="s">
        <v>5171</v>
      </c>
      <c r="B1903" s="276">
        <v>1.0</v>
      </c>
    </row>
    <row r="1904">
      <c r="A1904" s="276" t="s">
        <v>5280</v>
      </c>
      <c r="B1904" s="276">
        <v>1.0</v>
      </c>
    </row>
    <row r="1905">
      <c r="A1905" s="276" t="s">
        <v>6938</v>
      </c>
      <c r="B1905" s="276">
        <v>1.0</v>
      </c>
    </row>
    <row r="1906">
      <c r="A1906" s="276" t="s">
        <v>3940</v>
      </c>
      <c r="B1906" s="276">
        <v>1.0</v>
      </c>
    </row>
    <row r="1907">
      <c r="A1907" s="276" t="s">
        <v>4379</v>
      </c>
      <c r="B1907" s="276">
        <v>1.0</v>
      </c>
    </row>
    <row r="1908">
      <c r="A1908" s="276" t="s">
        <v>4229</v>
      </c>
      <c r="B1908" s="276">
        <v>1.0</v>
      </c>
    </row>
    <row r="1909">
      <c r="A1909" s="276" t="s">
        <v>3969</v>
      </c>
      <c r="B1909" s="276">
        <v>1.0</v>
      </c>
    </row>
    <row r="1910">
      <c r="A1910" s="276" t="s">
        <v>4110</v>
      </c>
      <c r="B1910" s="276">
        <v>1.0</v>
      </c>
    </row>
    <row r="1911">
      <c r="A1911" s="276" t="s">
        <v>5707</v>
      </c>
      <c r="B1911" s="276">
        <v>1.0</v>
      </c>
    </row>
    <row r="1912">
      <c r="A1912" s="276" t="s">
        <v>6487</v>
      </c>
      <c r="B1912" s="276">
        <v>1.0</v>
      </c>
    </row>
    <row r="1913">
      <c r="A1913" s="276" t="s">
        <v>4955</v>
      </c>
      <c r="B1913" s="276">
        <v>1.0</v>
      </c>
    </row>
    <row r="1914">
      <c r="A1914" s="276" t="s">
        <v>7349</v>
      </c>
      <c r="B1914" s="276">
        <v>3.0</v>
      </c>
    </row>
    <row r="1915">
      <c r="A1915" s="276" t="s">
        <v>6611</v>
      </c>
      <c r="B1915" s="276">
        <v>1.0</v>
      </c>
    </row>
    <row r="1916">
      <c r="A1916" s="276" t="s">
        <v>4535</v>
      </c>
      <c r="B1916" s="276">
        <v>1.0</v>
      </c>
    </row>
    <row r="1917">
      <c r="A1917" s="276" t="s">
        <v>4657</v>
      </c>
      <c r="B1917" s="276">
        <v>1.0</v>
      </c>
    </row>
    <row r="1918">
      <c r="A1918" s="276" t="s">
        <v>6665</v>
      </c>
      <c r="B1918" s="276">
        <v>1.0</v>
      </c>
    </row>
    <row r="1919">
      <c r="A1919" s="276" t="s">
        <v>6664</v>
      </c>
      <c r="B1919" s="276">
        <v>1.0</v>
      </c>
    </row>
    <row r="1920">
      <c r="A1920" s="276" t="s">
        <v>4038</v>
      </c>
      <c r="B1920" s="276">
        <v>1.0</v>
      </c>
    </row>
    <row r="1921">
      <c r="A1921" s="276" t="s">
        <v>3875</v>
      </c>
      <c r="B1921" s="276">
        <v>1.0</v>
      </c>
    </row>
    <row r="1922">
      <c r="A1922" s="276" t="s">
        <v>4188</v>
      </c>
      <c r="B1922" s="276">
        <v>2.0</v>
      </c>
    </row>
    <row r="1923">
      <c r="A1923" s="276" t="s">
        <v>6787</v>
      </c>
      <c r="B1923" s="276">
        <v>1.0</v>
      </c>
    </row>
    <row r="1924">
      <c r="A1924" s="276" t="s">
        <v>6622</v>
      </c>
      <c r="B1924" s="276">
        <v>1.0</v>
      </c>
    </row>
    <row r="1925">
      <c r="A1925" s="276" t="s">
        <v>5675</v>
      </c>
      <c r="B1925" s="276">
        <v>1.0</v>
      </c>
    </row>
    <row r="1926">
      <c r="A1926" s="276" t="s">
        <v>5673</v>
      </c>
      <c r="B1926" s="276">
        <v>1.0</v>
      </c>
    </row>
    <row r="1927">
      <c r="A1927" s="276" t="s">
        <v>5477</v>
      </c>
      <c r="B1927" s="276">
        <v>1.0</v>
      </c>
    </row>
    <row r="1928">
      <c r="A1928" s="276" t="s">
        <v>6242</v>
      </c>
      <c r="B1928" s="276">
        <v>1.0</v>
      </c>
    </row>
    <row r="1929">
      <c r="A1929" s="276" t="s">
        <v>5203</v>
      </c>
      <c r="B1929" s="276">
        <v>1.0</v>
      </c>
    </row>
    <row r="1930">
      <c r="A1930" s="276" t="s">
        <v>6434</v>
      </c>
      <c r="B1930" s="276">
        <v>1.0</v>
      </c>
    </row>
    <row r="1931">
      <c r="A1931" s="276" t="s">
        <v>6429</v>
      </c>
      <c r="B1931" s="276">
        <v>1.0</v>
      </c>
    </row>
    <row r="1932">
      <c r="A1932" s="276" t="s">
        <v>3920</v>
      </c>
      <c r="B1932" s="276">
        <v>1.0</v>
      </c>
    </row>
    <row r="1933">
      <c r="A1933" s="278" t="s">
        <v>5445</v>
      </c>
      <c r="B1933" s="276">
        <v>1.0</v>
      </c>
    </row>
    <row r="1934">
      <c r="A1934" s="276" t="s">
        <v>4629</v>
      </c>
      <c r="B1934" s="276">
        <v>1.0</v>
      </c>
    </row>
    <row r="1935">
      <c r="A1935" s="276" t="s">
        <v>4631</v>
      </c>
      <c r="B1935" s="276">
        <v>1.0</v>
      </c>
    </row>
    <row r="1936">
      <c r="A1936" s="278" t="s">
        <v>5531</v>
      </c>
      <c r="B1936" s="276">
        <v>1.0</v>
      </c>
    </row>
    <row r="1937">
      <c r="A1937" s="276" t="s">
        <v>7121</v>
      </c>
      <c r="B1937" s="276">
        <v>1.0</v>
      </c>
    </row>
    <row r="1938">
      <c r="A1938" s="276" t="s">
        <v>6785</v>
      </c>
      <c r="B1938" s="276">
        <v>1.0</v>
      </c>
    </row>
    <row r="1939">
      <c r="A1939" s="276" t="s">
        <v>4834</v>
      </c>
      <c r="B1939" s="276">
        <v>1.0</v>
      </c>
    </row>
    <row r="1940">
      <c r="A1940" s="276" t="s">
        <v>4340</v>
      </c>
      <c r="B1940" s="276">
        <v>1.0</v>
      </c>
    </row>
    <row r="1941">
      <c r="A1941" s="276" t="s">
        <v>5417</v>
      </c>
      <c r="B1941" s="276">
        <v>1.0</v>
      </c>
    </row>
    <row r="1942">
      <c r="A1942" s="276" t="s">
        <v>4016</v>
      </c>
      <c r="B1942" s="276">
        <v>1.0</v>
      </c>
    </row>
    <row r="1943">
      <c r="A1943" s="276" t="s">
        <v>4296</v>
      </c>
      <c r="B1943" s="276">
        <v>1.0</v>
      </c>
    </row>
    <row r="1944">
      <c r="A1944" s="276" t="s">
        <v>5986</v>
      </c>
      <c r="B1944" s="276">
        <v>1.0</v>
      </c>
    </row>
    <row r="1945">
      <c r="A1945" s="276" t="s">
        <v>6490</v>
      </c>
      <c r="B1945" s="276">
        <v>1.0</v>
      </c>
    </row>
    <row r="1946">
      <c r="A1946" s="276" t="s">
        <v>6491</v>
      </c>
      <c r="B1946" s="276">
        <v>1.0</v>
      </c>
    </row>
    <row r="1947">
      <c r="A1947" s="276" t="s">
        <v>6492</v>
      </c>
      <c r="B1947" s="276">
        <v>1.0</v>
      </c>
    </row>
    <row r="1948">
      <c r="A1948" s="276" t="s">
        <v>5690</v>
      </c>
      <c r="B1948" s="276">
        <v>1.0</v>
      </c>
    </row>
    <row r="1949">
      <c r="A1949" s="276" t="s">
        <v>5484</v>
      </c>
      <c r="B1949" s="276">
        <v>1.0</v>
      </c>
    </row>
    <row r="1950">
      <c r="A1950" s="276" t="s">
        <v>6257</v>
      </c>
      <c r="B1950" s="276">
        <v>1.0</v>
      </c>
    </row>
    <row r="1951">
      <c r="A1951" s="276" t="s">
        <v>5851</v>
      </c>
      <c r="B1951" s="276">
        <v>1.0</v>
      </c>
    </row>
    <row r="1952">
      <c r="A1952" s="276" t="s">
        <v>6068</v>
      </c>
      <c r="B1952" s="276">
        <v>1.0</v>
      </c>
    </row>
    <row r="1953">
      <c r="A1953" s="276" t="s">
        <v>6192</v>
      </c>
      <c r="B1953" s="276">
        <v>1.0</v>
      </c>
    </row>
    <row r="1954">
      <c r="A1954" s="276" t="s">
        <v>6058</v>
      </c>
      <c r="B1954" s="276">
        <v>1.0</v>
      </c>
    </row>
    <row r="1955">
      <c r="A1955" s="276" t="s">
        <v>7247</v>
      </c>
      <c r="B1955" s="276">
        <v>1.0</v>
      </c>
    </row>
    <row r="1956">
      <c r="A1956" s="276" t="s">
        <v>4600</v>
      </c>
      <c r="B1956" s="276">
        <v>1.0</v>
      </c>
    </row>
    <row r="1957">
      <c r="A1957" s="276" t="s">
        <v>7028</v>
      </c>
      <c r="B1957" s="276">
        <v>1.0</v>
      </c>
    </row>
    <row r="1958">
      <c r="A1958" s="276" t="s">
        <v>5507</v>
      </c>
      <c r="B1958" s="276">
        <v>1.0</v>
      </c>
    </row>
    <row r="1959">
      <c r="A1959" s="276" t="s">
        <v>6900</v>
      </c>
      <c r="B1959" s="276">
        <v>2.0</v>
      </c>
    </row>
    <row r="1960">
      <c r="A1960" s="276" t="s">
        <v>4490</v>
      </c>
      <c r="B1960" s="276">
        <v>1.0</v>
      </c>
    </row>
    <row r="1961">
      <c r="A1961" s="276" t="s">
        <v>7354</v>
      </c>
      <c r="B1961" s="276">
        <v>2.0</v>
      </c>
    </row>
    <row r="1962">
      <c r="A1962" s="276" t="s">
        <v>4970</v>
      </c>
      <c r="B1962" s="276">
        <v>1.0</v>
      </c>
    </row>
    <row r="1963">
      <c r="A1963" s="276" t="s">
        <v>4349</v>
      </c>
      <c r="B1963" s="276">
        <v>1.0</v>
      </c>
    </row>
    <row r="1964">
      <c r="A1964" s="276" t="s">
        <v>5797</v>
      </c>
      <c r="B1964" s="276">
        <v>1.0</v>
      </c>
    </row>
    <row r="1965">
      <c r="A1965" s="276" t="s">
        <v>4432</v>
      </c>
      <c r="B1965" s="276">
        <v>1.0</v>
      </c>
    </row>
    <row r="1966">
      <c r="A1966" s="276" t="s">
        <v>4910</v>
      </c>
      <c r="B1966" s="276">
        <v>1.0</v>
      </c>
    </row>
    <row r="1967">
      <c r="A1967" s="276" t="s">
        <v>6143</v>
      </c>
      <c r="B1967" s="276">
        <v>1.0</v>
      </c>
    </row>
    <row r="1968">
      <c r="A1968" s="276" t="s">
        <v>6034</v>
      </c>
      <c r="B1968" s="276">
        <v>1.0</v>
      </c>
    </row>
    <row r="1969">
      <c r="A1969" s="276" t="s">
        <v>5874</v>
      </c>
      <c r="B1969" s="276">
        <v>1.0</v>
      </c>
    </row>
    <row r="1970">
      <c r="A1970" s="276" t="s">
        <v>7084</v>
      </c>
      <c r="B1970" s="276">
        <v>1.0</v>
      </c>
    </row>
    <row r="1971">
      <c r="A1971" s="276" t="s">
        <v>5387</v>
      </c>
      <c r="B1971" s="276">
        <v>1.0</v>
      </c>
    </row>
    <row r="1972">
      <c r="A1972" s="276" t="s">
        <v>7250</v>
      </c>
      <c r="B1972" s="276">
        <v>1.0</v>
      </c>
    </row>
    <row r="1973">
      <c r="A1973" s="276" t="s">
        <v>3944</v>
      </c>
      <c r="B1973" s="276">
        <v>2.0</v>
      </c>
    </row>
    <row r="1974">
      <c r="A1974" s="276" t="s">
        <v>4495</v>
      </c>
      <c r="B1974" s="276">
        <v>1.0</v>
      </c>
    </row>
    <row r="1975">
      <c r="A1975" s="276" t="s">
        <v>4112</v>
      </c>
      <c r="B1975" s="276">
        <v>1.0</v>
      </c>
    </row>
    <row r="1976">
      <c r="A1976" s="276" t="s">
        <v>4273</v>
      </c>
      <c r="B1976" s="276">
        <v>1.0</v>
      </c>
    </row>
    <row r="1977">
      <c r="A1977" s="276" t="s">
        <v>6903</v>
      </c>
      <c r="B1977" s="276">
        <v>1.0</v>
      </c>
    </row>
    <row r="1978">
      <c r="A1978" s="276" t="s">
        <v>6887</v>
      </c>
      <c r="B1978" s="276">
        <v>1.0</v>
      </c>
    </row>
    <row r="1979">
      <c r="A1979" s="276" t="s">
        <v>5145</v>
      </c>
      <c r="B1979" s="276">
        <v>1.0</v>
      </c>
    </row>
    <row r="1980">
      <c r="A1980" s="276" t="s">
        <v>4686</v>
      </c>
      <c r="B1980" s="276">
        <v>1.0</v>
      </c>
    </row>
    <row r="1981">
      <c r="A1981" s="276" t="s">
        <v>4822</v>
      </c>
      <c r="B1981" s="276">
        <v>1.0</v>
      </c>
    </row>
    <row r="1982">
      <c r="A1982" s="276" t="s">
        <v>5922</v>
      </c>
      <c r="B1982" s="276">
        <v>1.0</v>
      </c>
    </row>
    <row r="1983">
      <c r="A1983" s="276" t="s">
        <v>4635</v>
      </c>
      <c r="B1983" s="276">
        <v>1.0</v>
      </c>
    </row>
    <row r="1984">
      <c r="A1984" s="278" t="s">
        <v>4429</v>
      </c>
      <c r="B1984" s="276">
        <v>1.0</v>
      </c>
    </row>
    <row r="1985">
      <c r="A1985" s="276" t="s">
        <v>5871</v>
      </c>
      <c r="B1985" s="276">
        <v>1.0</v>
      </c>
    </row>
    <row r="1986">
      <c r="A1986" s="276" t="s">
        <v>7133</v>
      </c>
      <c r="B1986" s="276">
        <v>1.0</v>
      </c>
    </row>
    <row r="1987">
      <c r="A1987" s="276" t="s">
        <v>5167</v>
      </c>
      <c r="B1987" s="276">
        <v>1.0</v>
      </c>
    </row>
    <row r="1988">
      <c r="A1988" s="276" t="s">
        <v>4742</v>
      </c>
      <c r="B1988" s="276">
        <v>1.0</v>
      </c>
    </row>
    <row r="1989">
      <c r="A1989" s="276" t="s">
        <v>5749</v>
      </c>
      <c r="B1989" s="276">
        <v>1.0</v>
      </c>
    </row>
    <row r="1990">
      <c r="A1990" s="276" t="s">
        <v>5561</v>
      </c>
      <c r="B1990" s="276">
        <v>1.0</v>
      </c>
    </row>
    <row r="1991">
      <c r="A1991" s="276" t="s">
        <v>4904</v>
      </c>
      <c r="B1991" s="276">
        <v>1.0</v>
      </c>
    </row>
    <row r="1992">
      <c r="A1992" s="276" t="s">
        <v>5347</v>
      </c>
      <c r="B1992" s="276">
        <v>1.0</v>
      </c>
    </row>
    <row r="1993">
      <c r="A1993" s="276" t="s">
        <v>4371</v>
      </c>
      <c r="B1993" s="276">
        <v>1.0</v>
      </c>
    </row>
    <row r="1994">
      <c r="A1994" s="276" t="s">
        <v>4042</v>
      </c>
      <c r="B1994" s="276">
        <v>1.0</v>
      </c>
    </row>
    <row r="1995">
      <c r="A1995" s="276" t="s">
        <v>5330</v>
      </c>
      <c r="B1995" s="276">
        <v>1.0</v>
      </c>
    </row>
    <row r="1996">
      <c r="A1996" s="276" t="s">
        <v>5931</v>
      </c>
      <c r="B1996" s="276">
        <v>1.0</v>
      </c>
    </row>
    <row r="1997">
      <c r="A1997" s="276" t="s">
        <v>6493</v>
      </c>
      <c r="B1997" s="276">
        <v>1.0</v>
      </c>
    </row>
    <row r="1998">
      <c r="A1998" s="276" t="s">
        <v>4400</v>
      </c>
      <c r="B1998" s="276">
        <v>1.0</v>
      </c>
    </row>
    <row r="1999">
      <c r="A1999" s="276" t="s">
        <v>5039</v>
      </c>
      <c r="B1999" s="276">
        <v>1.0</v>
      </c>
    </row>
    <row r="2000">
      <c r="A2000" s="276" t="s">
        <v>3934</v>
      </c>
      <c r="B2000" s="276">
        <v>1.0</v>
      </c>
    </row>
    <row r="2001">
      <c r="A2001" s="276" t="s">
        <v>7051</v>
      </c>
      <c r="B2001" s="276">
        <v>1.0</v>
      </c>
    </row>
    <row r="2002">
      <c r="A2002" s="276" t="s">
        <v>4659</v>
      </c>
      <c r="B2002" s="276">
        <v>1.0</v>
      </c>
    </row>
    <row r="2003">
      <c r="A2003" s="276" t="s">
        <v>4234</v>
      </c>
      <c r="B2003" s="276">
        <v>1.0</v>
      </c>
    </row>
    <row r="2004">
      <c r="A2004" s="276" t="s">
        <v>5502</v>
      </c>
      <c r="B2004" s="276">
        <v>1.0</v>
      </c>
    </row>
    <row r="2005">
      <c r="A2005" s="276" t="s">
        <v>3930</v>
      </c>
      <c r="B2005" s="276">
        <v>1.0</v>
      </c>
    </row>
    <row r="2006">
      <c r="A2006" s="276" t="s">
        <v>4603</v>
      </c>
      <c r="B2006" s="276">
        <v>1.0</v>
      </c>
    </row>
    <row r="2007">
      <c r="A2007" s="276" t="s">
        <v>5247</v>
      </c>
      <c r="B2007" s="276">
        <v>1.0</v>
      </c>
    </row>
    <row r="2008">
      <c r="A2008" s="276" t="s">
        <v>5542</v>
      </c>
      <c r="B2008" s="276">
        <v>1.0</v>
      </c>
    </row>
    <row r="2009">
      <c r="A2009" s="276" t="s">
        <v>4933</v>
      </c>
      <c r="B2009" s="276">
        <v>1.0</v>
      </c>
    </row>
    <row r="2010">
      <c r="A2010" s="276" t="s">
        <v>4391</v>
      </c>
      <c r="B2010" s="276">
        <v>1.0</v>
      </c>
    </row>
    <row r="2011">
      <c r="A2011" s="276" t="s">
        <v>5559</v>
      </c>
      <c r="B2011" s="276">
        <v>1.0</v>
      </c>
    </row>
    <row r="2012">
      <c r="A2012" s="276" t="s">
        <v>4478</v>
      </c>
      <c r="B2012" s="276">
        <v>1.0</v>
      </c>
    </row>
    <row r="2013">
      <c r="A2013" s="276" t="s">
        <v>4085</v>
      </c>
      <c r="B2013" s="276">
        <v>1.0</v>
      </c>
    </row>
    <row r="2014">
      <c r="A2014" s="276" t="s">
        <v>4300</v>
      </c>
      <c r="B2014" s="276">
        <v>1.0</v>
      </c>
    </row>
    <row r="2015">
      <c r="A2015" s="276" t="s">
        <v>5295</v>
      </c>
      <c r="B2015" s="276">
        <v>1.0</v>
      </c>
    </row>
    <row r="2016">
      <c r="A2016" s="276" t="s">
        <v>5292</v>
      </c>
      <c r="B2016" s="276">
        <v>1.0</v>
      </c>
    </row>
    <row r="2017">
      <c r="A2017" s="276" t="s">
        <v>6767</v>
      </c>
      <c r="B2017" s="276">
        <v>1.0</v>
      </c>
    </row>
    <row r="2018">
      <c r="A2018" s="276" t="s">
        <v>6628</v>
      </c>
      <c r="B2018" s="276">
        <v>1.0</v>
      </c>
    </row>
    <row r="2019">
      <c r="A2019" s="276" t="s">
        <v>4139</v>
      </c>
      <c r="B2019" s="276">
        <v>1.0</v>
      </c>
    </row>
    <row r="2020">
      <c r="A2020" s="276" t="s">
        <v>5037</v>
      </c>
      <c r="B2020" s="276">
        <v>1.0</v>
      </c>
    </row>
    <row r="2021">
      <c r="A2021" s="276" t="s">
        <v>4237</v>
      </c>
      <c r="B2021" s="276">
        <v>1.0</v>
      </c>
    </row>
    <row r="2022">
      <c r="A2022" s="276" t="s">
        <v>6857</v>
      </c>
      <c r="B2022" s="276">
        <v>1.0</v>
      </c>
    </row>
    <row r="2023">
      <c r="A2023" s="276" t="s">
        <v>7260</v>
      </c>
      <c r="B2023" s="276">
        <v>1.0</v>
      </c>
    </row>
    <row r="2024">
      <c r="A2024" s="276" t="s">
        <v>7244</v>
      </c>
      <c r="B2024" s="276">
        <v>1.0</v>
      </c>
    </row>
    <row r="2025">
      <c r="A2025" s="276" t="s">
        <v>6866</v>
      </c>
      <c r="B2025" s="276">
        <v>1.0</v>
      </c>
    </row>
    <row r="2026">
      <c r="A2026" s="276" t="s">
        <v>3918</v>
      </c>
      <c r="B2026" s="276">
        <v>1.0</v>
      </c>
    </row>
    <row r="2027">
      <c r="A2027" s="276" t="s">
        <v>6657</v>
      </c>
      <c r="B2027" s="276">
        <v>1.0</v>
      </c>
    </row>
    <row r="2028">
      <c r="A2028" s="276" t="s">
        <v>7461</v>
      </c>
      <c r="B2028" s="276">
        <v>1.0</v>
      </c>
    </row>
    <row r="2029">
      <c r="A2029" s="276" t="s">
        <v>7454</v>
      </c>
      <c r="B2029" s="276">
        <v>1.0</v>
      </c>
    </row>
    <row r="2030">
      <c r="A2030" s="276" t="s">
        <v>6097</v>
      </c>
      <c r="B2030" s="276">
        <v>1.0</v>
      </c>
    </row>
    <row r="2031">
      <c r="A2031" s="276" t="s">
        <v>6497</v>
      </c>
      <c r="B2031" s="276">
        <v>1.0</v>
      </c>
    </row>
    <row r="2032">
      <c r="A2032" s="276" t="s">
        <v>4680</v>
      </c>
      <c r="B2032" s="276">
        <v>1.0</v>
      </c>
    </row>
    <row r="2033">
      <c r="A2033" s="276" t="s">
        <v>5270</v>
      </c>
      <c r="B2033" s="276">
        <v>1.0</v>
      </c>
    </row>
    <row r="2034">
      <c r="A2034" s="276" t="s">
        <v>7005</v>
      </c>
      <c r="B2034" s="276">
        <v>1.0</v>
      </c>
    </row>
    <row r="2035">
      <c r="A2035" s="276" t="s">
        <v>4807</v>
      </c>
      <c r="B2035" s="276">
        <v>1.0</v>
      </c>
    </row>
    <row r="2036">
      <c r="A2036" s="276" t="s">
        <v>5877</v>
      </c>
      <c r="B2036" s="276">
        <v>1.0</v>
      </c>
    </row>
    <row r="2037">
      <c r="A2037" s="276" t="s">
        <v>5139</v>
      </c>
      <c r="B2037" s="276">
        <v>1.0</v>
      </c>
    </row>
    <row r="2038">
      <c r="A2038" s="276" t="s">
        <v>4763</v>
      </c>
      <c r="B2038" s="276">
        <v>1.0</v>
      </c>
    </row>
    <row r="2039">
      <c r="A2039" s="276" t="s">
        <v>7298</v>
      </c>
      <c r="B2039" s="276">
        <v>1.0</v>
      </c>
    </row>
    <row r="2040">
      <c r="A2040" s="276" t="s">
        <v>4262</v>
      </c>
      <c r="B2040" s="276">
        <v>1.0</v>
      </c>
    </row>
    <row r="2041">
      <c r="A2041" s="276" t="s">
        <v>4800</v>
      </c>
      <c r="B2041" s="276">
        <v>1.0</v>
      </c>
    </row>
    <row r="2042">
      <c r="A2042" s="276" t="s">
        <v>4902</v>
      </c>
      <c r="B2042" s="276">
        <v>1.0</v>
      </c>
    </row>
    <row r="2043">
      <c r="A2043" s="276" t="s">
        <v>5416</v>
      </c>
      <c r="B2043" s="276">
        <v>1.0</v>
      </c>
    </row>
    <row r="2044">
      <c r="A2044" s="276" t="s">
        <v>4990</v>
      </c>
      <c r="B2044" s="276">
        <v>1.0</v>
      </c>
    </row>
    <row r="2045">
      <c r="A2045" s="276" t="s">
        <v>4928</v>
      </c>
      <c r="B2045" s="276">
        <v>1.0</v>
      </c>
    </row>
    <row r="2046">
      <c r="A2046" s="276" t="s">
        <v>5713</v>
      </c>
      <c r="B2046" s="276">
        <v>2.0</v>
      </c>
    </row>
    <row r="2047">
      <c r="A2047" s="276" t="s">
        <v>6120</v>
      </c>
      <c r="B2047" s="276">
        <v>1.0</v>
      </c>
    </row>
    <row r="2048">
      <c r="A2048" s="276" t="s">
        <v>6117</v>
      </c>
      <c r="B2048" s="276">
        <v>1.0</v>
      </c>
    </row>
    <row r="2049">
      <c r="A2049" s="276" t="s">
        <v>6411</v>
      </c>
      <c r="B2049" s="276">
        <v>1.0</v>
      </c>
    </row>
    <row r="2050">
      <c r="A2050" s="276" t="s">
        <v>5994</v>
      </c>
      <c r="B2050" s="276">
        <v>1.0</v>
      </c>
    </row>
    <row r="2051">
      <c r="A2051" s="276" t="s">
        <v>4306</v>
      </c>
      <c r="B2051" s="276">
        <v>1.0</v>
      </c>
    </row>
    <row r="2052">
      <c r="A2052" s="276" t="s">
        <v>4268</v>
      </c>
      <c r="B2052" s="276">
        <v>2.0</v>
      </c>
    </row>
    <row r="2053">
      <c r="A2053" s="276" t="s">
        <v>7115</v>
      </c>
      <c r="B2053" s="276">
        <v>1.0</v>
      </c>
    </row>
    <row r="2054">
      <c r="A2054" s="276" t="s">
        <v>4972</v>
      </c>
      <c r="B2054" s="276">
        <v>2.0</v>
      </c>
    </row>
    <row r="2055">
      <c r="A2055" s="276" t="s">
        <v>7182</v>
      </c>
      <c r="B2055" s="276">
        <v>1.0</v>
      </c>
    </row>
    <row r="2056">
      <c r="A2056" s="276" t="s">
        <v>4487</v>
      </c>
      <c r="B2056" s="276">
        <v>1.0</v>
      </c>
    </row>
    <row r="2057">
      <c r="A2057" s="276" t="s">
        <v>6499</v>
      </c>
      <c r="B2057" s="276">
        <v>1.0</v>
      </c>
    </row>
    <row r="2058">
      <c r="A2058" s="276" t="s">
        <v>6501</v>
      </c>
      <c r="B2058" s="276">
        <v>1.0</v>
      </c>
    </row>
    <row r="2059">
      <c r="A2059" s="276" t="s">
        <v>6229</v>
      </c>
      <c r="B2059" s="276">
        <v>1.0</v>
      </c>
    </row>
    <row r="2060">
      <c r="A2060" s="276" t="s">
        <v>6504</v>
      </c>
      <c r="B2060" s="276">
        <v>1.0</v>
      </c>
    </row>
    <row r="2061">
      <c r="A2061" s="276" t="s">
        <v>6604</v>
      </c>
      <c r="B2061" s="276">
        <v>1.0</v>
      </c>
    </row>
    <row r="2062">
      <c r="A2062" s="276" t="s">
        <v>3971</v>
      </c>
      <c r="B2062" s="276">
        <v>1.0</v>
      </c>
    </row>
    <row r="2063">
      <c r="A2063" s="276" t="s">
        <v>4486</v>
      </c>
      <c r="B2063" s="276">
        <v>1.0</v>
      </c>
    </row>
    <row r="2064">
      <c r="A2064" s="276" t="s">
        <v>6781</v>
      </c>
      <c r="B2064" s="276">
        <v>1.0</v>
      </c>
    </row>
    <row r="2065">
      <c r="A2065" s="276" t="s">
        <v>7214</v>
      </c>
      <c r="B2065" s="276">
        <v>1.0</v>
      </c>
    </row>
    <row r="2066">
      <c r="A2066" s="276" t="s">
        <v>6216</v>
      </c>
      <c r="B2066" s="276">
        <v>1.0</v>
      </c>
    </row>
    <row r="2067">
      <c r="A2067" s="276" t="s">
        <v>6332</v>
      </c>
      <c r="B2067" s="276">
        <v>1.0</v>
      </c>
    </row>
    <row r="2068">
      <c r="A2068" s="276" t="s">
        <v>4993</v>
      </c>
      <c r="B2068" s="276">
        <v>1.0</v>
      </c>
    </row>
    <row r="2069">
      <c r="A2069" s="276" t="s">
        <v>607</v>
      </c>
      <c r="B2069" s="276">
        <v>2.0</v>
      </c>
    </row>
    <row r="2070">
      <c r="A2070" s="276" t="s">
        <v>5116</v>
      </c>
      <c r="B2070" s="276">
        <v>1.0</v>
      </c>
    </row>
    <row r="2071">
      <c r="A2071" s="276" t="s">
        <v>3928</v>
      </c>
      <c r="B2071" s="276">
        <v>2.0</v>
      </c>
    </row>
    <row r="2072">
      <c r="A2072" s="276" t="s">
        <v>5585</v>
      </c>
      <c r="B2072" s="276">
        <v>1.0</v>
      </c>
    </row>
    <row r="2073">
      <c r="A2073" s="276" t="s">
        <v>3938</v>
      </c>
      <c r="B2073" s="276">
        <v>1.0</v>
      </c>
    </row>
    <row r="2074">
      <c r="A2074" s="276" t="s">
        <v>4998</v>
      </c>
      <c r="B2074" s="276">
        <v>1.0</v>
      </c>
    </row>
    <row r="2075">
      <c r="A2075" s="276" t="s">
        <v>4875</v>
      </c>
      <c r="B2075" s="276">
        <v>1.0</v>
      </c>
    </row>
    <row r="2076">
      <c r="A2076" s="276" t="s">
        <v>4537</v>
      </c>
      <c r="B2076" s="276">
        <v>1.0</v>
      </c>
    </row>
    <row r="2077">
      <c r="A2077" s="276" t="s">
        <v>5025</v>
      </c>
      <c r="B2077" s="276">
        <v>1.0</v>
      </c>
    </row>
    <row r="2078">
      <c r="A2078" s="276" t="s">
        <v>5529</v>
      </c>
      <c r="B2078" s="276">
        <v>1.0</v>
      </c>
    </row>
    <row r="2079">
      <c r="A2079" s="276" t="s">
        <v>5108</v>
      </c>
      <c r="B2079" s="276">
        <v>1.0</v>
      </c>
    </row>
    <row r="2080">
      <c r="A2080" s="276" t="s">
        <v>4452</v>
      </c>
      <c r="B2080" s="276">
        <v>1.0</v>
      </c>
    </row>
    <row r="2081">
      <c r="A2081" s="276" t="s">
        <v>7379</v>
      </c>
      <c r="B2081" s="276">
        <v>1.0</v>
      </c>
    </row>
    <row r="2082">
      <c r="A2082" s="276" t="s">
        <v>4530</v>
      </c>
      <c r="B2082" s="276">
        <v>1.0</v>
      </c>
    </row>
    <row r="2083">
      <c r="A2083" s="276" t="s">
        <v>5170</v>
      </c>
      <c r="B2083" s="276">
        <v>2.0</v>
      </c>
    </row>
    <row r="2084">
      <c r="A2084" s="276" t="s">
        <v>3924</v>
      </c>
      <c r="B2084" s="276">
        <v>1.0</v>
      </c>
    </row>
    <row r="2085">
      <c r="A2085" s="276" t="s">
        <v>6507</v>
      </c>
      <c r="B2085" s="276">
        <v>2.0</v>
      </c>
    </row>
    <row r="2086">
      <c r="A2086" s="276" t="s">
        <v>6850</v>
      </c>
      <c r="B2086" s="276">
        <v>2.0</v>
      </c>
    </row>
    <row r="2087">
      <c r="A2087" s="276" t="s">
        <v>5174</v>
      </c>
      <c r="B2087" s="276">
        <v>1.0</v>
      </c>
    </row>
    <row r="2088">
      <c r="A2088" s="276" t="s">
        <v>6085</v>
      </c>
      <c r="B2088" s="276">
        <v>1.0</v>
      </c>
    </row>
    <row r="2089">
      <c r="A2089" s="276" t="s">
        <v>5070</v>
      </c>
      <c r="B2089" s="276">
        <v>1.0</v>
      </c>
    </row>
    <row r="2090">
      <c r="A2090" s="276" t="s">
        <v>5979</v>
      </c>
      <c r="B2090" s="276">
        <v>1.0</v>
      </c>
    </row>
    <row r="2091">
      <c r="A2091" s="276" t="s">
        <v>5136</v>
      </c>
      <c r="B2091" s="276">
        <v>1.0</v>
      </c>
    </row>
    <row r="2092">
      <c r="A2092" s="276" t="s">
        <v>6794</v>
      </c>
      <c r="B2092" s="276">
        <v>1.0</v>
      </c>
    </row>
    <row r="2093">
      <c r="A2093" s="276" t="s">
        <v>7313</v>
      </c>
      <c r="B2093" s="276">
        <v>1.0</v>
      </c>
    </row>
    <row r="2094">
      <c r="A2094" s="276" t="s">
        <v>6879</v>
      </c>
      <c r="B2094" s="276">
        <v>1.0</v>
      </c>
    </row>
    <row r="2095">
      <c r="A2095" s="278" t="s">
        <v>3947</v>
      </c>
      <c r="B2095" s="276">
        <v>1.0</v>
      </c>
    </row>
    <row r="2096">
      <c r="A2096" s="276" t="s">
        <v>2751</v>
      </c>
      <c r="B2096" s="276">
        <v>2.0</v>
      </c>
    </row>
    <row r="2097">
      <c r="A2097" s="276" t="s">
        <v>4265</v>
      </c>
      <c r="B2097" s="276">
        <v>1.0</v>
      </c>
    </row>
    <row r="2098">
      <c r="A2098" s="276" t="s">
        <v>5192</v>
      </c>
      <c r="B2098" s="276">
        <v>2.0</v>
      </c>
    </row>
    <row r="2099">
      <c r="A2099" s="276" t="s">
        <v>7400</v>
      </c>
      <c r="B2099" s="276">
        <v>1.0</v>
      </c>
    </row>
    <row r="2100">
      <c r="A2100" s="276" t="s">
        <v>4709</v>
      </c>
      <c r="B2100" s="276">
        <v>1.0</v>
      </c>
    </row>
    <row r="2101">
      <c r="A2101" s="276" t="s">
        <v>6634</v>
      </c>
      <c r="B2101" s="276">
        <v>1.0</v>
      </c>
    </row>
    <row r="2102">
      <c r="A2102" s="276" t="s">
        <v>7432</v>
      </c>
      <c r="B2102" s="276">
        <v>1.0</v>
      </c>
    </row>
    <row r="2103">
      <c r="A2103" s="276" t="s">
        <v>5372</v>
      </c>
      <c r="B2103" s="276">
        <v>1.0</v>
      </c>
    </row>
    <row r="2104">
      <c r="A2104" s="276" t="s">
        <v>5211</v>
      </c>
      <c r="B2104" s="276">
        <v>1.0</v>
      </c>
    </row>
    <row r="2105">
      <c r="A2105" s="276" t="s">
        <v>7108</v>
      </c>
      <c r="B2105" s="276">
        <v>1.0</v>
      </c>
    </row>
    <row r="2106">
      <c r="A2106" s="276" t="s">
        <v>7220</v>
      </c>
      <c r="B2106" s="276">
        <v>1.0</v>
      </c>
    </row>
    <row r="2107">
      <c r="A2107" s="278" t="s">
        <v>4645</v>
      </c>
      <c r="B2107" s="276">
        <v>1.0</v>
      </c>
    </row>
    <row r="2108">
      <c r="A2108" s="276" t="s">
        <v>5534</v>
      </c>
      <c r="B2108" s="276">
        <v>1.0</v>
      </c>
    </row>
    <row r="2109">
      <c r="A2109" s="276" t="s">
        <v>6182</v>
      </c>
      <c r="B2109" s="276">
        <v>1.0</v>
      </c>
    </row>
    <row r="2110">
      <c r="A2110" s="276" t="s">
        <v>7416</v>
      </c>
      <c r="B2110" s="276">
        <v>1.0</v>
      </c>
    </row>
    <row r="2111">
      <c r="A2111" s="276" t="s">
        <v>5423</v>
      </c>
      <c r="B2111" s="276">
        <v>1.0</v>
      </c>
    </row>
    <row r="2112">
      <c r="A2112" s="276" t="s">
        <v>5999</v>
      </c>
      <c r="B2112" s="276">
        <v>1.0</v>
      </c>
    </row>
    <row r="2113">
      <c r="A2113" s="276" t="s">
        <v>6510</v>
      </c>
      <c r="B2113" s="276">
        <v>1.0</v>
      </c>
    </row>
    <row r="2114">
      <c r="A2114" s="276" t="s">
        <v>4983</v>
      </c>
      <c r="B2114" s="276">
        <v>1.0</v>
      </c>
    </row>
    <row r="2115">
      <c r="A2115" s="276" t="s">
        <v>4411</v>
      </c>
      <c r="B2115" s="276">
        <v>1.0</v>
      </c>
    </row>
    <row r="2116">
      <c r="A2116" s="276" t="s">
        <v>5087</v>
      </c>
      <c r="B2116" s="276">
        <v>1.0</v>
      </c>
    </row>
    <row r="2117">
      <c r="A2117" s="276" t="s">
        <v>6927</v>
      </c>
      <c r="B2117" s="276">
        <v>1.0</v>
      </c>
    </row>
    <row r="2118">
      <c r="A2118" s="276" t="s">
        <v>5951</v>
      </c>
      <c r="B2118" s="276">
        <v>1.0</v>
      </c>
    </row>
    <row r="2119">
      <c r="A2119" s="276" t="s">
        <v>6934</v>
      </c>
      <c r="B2119" s="276">
        <v>1.0</v>
      </c>
    </row>
    <row r="2120">
      <c r="A2120" s="276" t="s">
        <v>5407</v>
      </c>
      <c r="B2120" s="276">
        <v>1.0</v>
      </c>
    </row>
    <row r="2121">
      <c r="A2121" s="276" t="s">
        <v>5384</v>
      </c>
      <c r="B2121" s="276">
        <v>1.0</v>
      </c>
    </row>
    <row r="2122">
      <c r="A2122" s="276" t="s">
        <v>2753</v>
      </c>
      <c r="B2122" s="276">
        <v>1.0</v>
      </c>
    </row>
    <row r="2123">
      <c r="A2123" s="276" t="s">
        <v>4108</v>
      </c>
      <c r="B2123" s="276">
        <v>1.0</v>
      </c>
    </row>
    <row r="2124">
      <c r="A2124" s="276" t="s">
        <v>7475</v>
      </c>
      <c r="B2124" s="276">
        <v>1.0</v>
      </c>
    </row>
    <row r="2125">
      <c r="A2125" s="276" t="s">
        <v>7470</v>
      </c>
      <c r="B2125" s="276">
        <v>1.0</v>
      </c>
    </row>
    <row r="2126">
      <c r="A2126" s="276" t="s">
        <v>7389</v>
      </c>
      <c r="B2126" s="276">
        <v>1.0</v>
      </c>
    </row>
    <row r="2127">
      <c r="A2127" s="276" t="s">
        <v>4797</v>
      </c>
      <c r="B2127" s="276">
        <v>1.0</v>
      </c>
    </row>
    <row r="2128">
      <c r="A2128" s="276" t="s">
        <v>6433</v>
      </c>
      <c r="B2128" s="276">
        <v>1.0</v>
      </c>
    </row>
    <row r="2129">
      <c r="A2129" s="276" t="s">
        <v>4123</v>
      </c>
      <c r="B2129" s="276">
        <v>1.0</v>
      </c>
    </row>
    <row r="2130">
      <c r="A2130" s="276" t="s">
        <v>4594</v>
      </c>
      <c r="B2130" s="276">
        <v>1.0</v>
      </c>
    </row>
    <row r="2131">
      <c r="A2131" s="276" t="s">
        <v>4068</v>
      </c>
      <c r="B2131" s="276">
        <v>1.0</v>
      </c>
    </row>
    <row r="2132">
      <c r="A2132" s="276" t="s">
        <v>5808</v>
      </c>
      <c r="B2132" s="276">
        <v>1.0</v>
      </c>
    </row>
    <row r="2133">
      <c r="A2133" s="276" t="s">
        <v>6619</v>
      </c>
      <c r="B2133" s="276">
        <v>1.0</v>
      </c>
    </row>
    <row r="2134">
      <c r="A2134" s="276" t="s">
        <v>4885</v>
      </c>
      <c r="B2134" s="276">
        <v>1.0</v>
      </c>
    </row>
    <row r="2135">
      <c r="A2135" s="276" t="s">
        <v>3997</v>
      </c>
      <c r="B2135" s="276">
        <v>1.0</v>
      </c>
    </row>
    <row r="2136">
      <c r="A2136" s="276" t="s">
        <v>6729</v>
      </c>
      <c r="B2136" s="276">
        <v>1.0</v>
      </c>
    </row>
    <row r="2137">
      <c r="A2137" s="276" t="s">
        <v>5084</v>
      </c>
      <c r="B2137" s="276">
        <v>1.0</v>
      </c>
    </row>
    <row r="2138">
      <c r="A2138" s="276" t="s">
        <v>4690</v>
      </c>
      <c r="B2138" s="276">
        <v>1.0</v>
      </c>
    </row>
    <row r="2139">
      <c r="A2139" s="276" t="s">
        <v>3891</v>
      </c>
      <c r="B2139" s="276">
        <v>1.0</v>
      </c>
    </row>
    <row r="2140">
      <c r="A2140" s="276" t="s">
        <v>7351</v>
      </c>
      <c r="B2140" s="276">
        <v>1.0</v>
      </c>
    </row>
    <row r="2141">
      <c r="A2141" s="276" t="s">
        <v>6514</v>
      </c>
      <c r="B2141" s="276">
        <v>1.0</v>
      </c>
    </row>
    <row r="2142">
      <c r="A2142" s="276" t="s">
        <v>6189</v>
      </c>
      <c r="B2142" s="276">
        <v>1.0</v>
      </c>
    </row>
    <row r="2143">
      <c r="A2143" s="276" t="s">
        <v>3987</v>
      </c>
      <c r="B2143" s="276">
        <v>1.0</v>
      </c>
    </row>
    <row r="2144">
      <c r="A2144" s="276" t="s">
        <v>6896</v>
      </c>
      <c r="B2144" s="276">
        <v>1.0</v>
      </c>
    </row>
    <row r="2145">
      <c r="A2145" s="276" t="s">
        <v>6515</v>
      </c>
      <c r="B2145" s="276">
        <v>1.0</v>
      </c>
    </row>
    <row r="2146">
      <c r="A2146" s="276" t="s">
        <v>6396</v>
      </c>
      <c r="B2146" s="276">
        <v>1.0</v>
      </c>
    </row>
    <row r="2147">
      <c r="A2147" s="276" t="s">
        <v>4074</v>
      </c>
      <c r="B2147" s="276">
        <v>1.0</v>
      </c>
    </row>
    <row r="2148">
      <c r="A2148" s="276" t="s">
        <v>5155</v>
      </c>
      <c r="B2148" s="276">
        <v>1.0</v>
      </c>
    </row>
    <row r="2149">
      <c r="A2149" s="276" t="s">
        <v>5898</v>
      </c>
      <c r="B2149" s="276">
        <v>1.0</v>
      </c>
    </row>
    <row r="2150">
      <c r="A2150" s="276" t="s">
        <v>5111</v>
      </c>
      <c r="B2150" s="276">
        <v>1.0</v>
      </c>
    </row>
    <row r="2151">
      <c r="A2151" s="276" t="s">
        <v>1571</v>
      </c>
      <c r="B2151" s="276">
        <v>1.0</v>
      </c>
    </row>
    <row r="2152">
      <c r="A2152" s="276" t="s">
        <v>4289</v>
      </c>
      <c r="B2152" s="276">
        <v>1.0</v>
      </c>
    </row>
    <row r="2153">
      <c r="A2153" s="276" t="s">
        <v>4516</v>
      </c>
      <c r="B2153" s="276">
        <v>1.0</v>
      </c>
    </row>
    <row r="2154">
      <c r="A2154" s="276" t="s">
        <v>6989</v>
      </c>
      <c r="B2154" s="276">
        <v>1.0</v>
      </c>
    </row>
    <row r="2155">
      <c r="A2155" s="276" t="s">
        <v>6601</v>
      </c>
      <c r="B2155" s="276">
        <v>1.0</v>
      </c>
    </row>
    <row r="2156">
      <c r="A2156" s="276" t="s">
        <v>6519</v>
      </c>
      <c r="B2156" s="276">
        <v>1.0</v>
      </c>
    </row>
    <row r="2157">
      <c r="A2157" s="276" t="s">
        <v>4505</v>
      </c>
      <c r="B2157" s="276">
        <v>1.0</v>
      </c>
    </row>
    <row r="2158">
      <c r="A2158" s="278" t="s">
        <v>3889</v>
      </c>
      <c r="B2158" s="276">
        <v>1.0</v>
      </c>
    </row>
    <row r="2159">
      <c r="A2159" s="276" t="s">
        <v>4000</v>
      </c>
      <c r="B2159" s="276">
        <v>1.0</v>
      </c>
    </row>
    <row r="2160">
      <c r="A2160" s="276" t="s">
        <v>6278</v>
      </c>
      <c r="B2160" s="276">
        <v>1.0</v>
      </c>
    </row>
    <row r="2161">
      <c r="A2161" s="276" t="s">
        <v>6523</v>
      </c>
      <c r="B2161" s="276">
        <v>1.0</v>
      </c>
    </row>
    <row r="2162">
      <c r="A2162" s="276" t="s">
        <v>4976</v>
      </c>
      <c r="B2162" s="276">
        <v>1.0</v>
      </c>
    </row>
    <row r="2163">
      <c r="A2163" s="276" t="s">
        <v>7010</v>
      </c>
      <c r="B2163" s="276">
        <v>1.0</v>
      </c>
    </row>
    <row r="2164">
      <c r="A2164" s="276" t="s">
        <v>5605</v>
      </c>
      <c r="B2164" s="276">
        <v>1.0</v>
      </c>
    </row>
    <row r="2165">
      <c r="A2165" s="276" t="s">
        <v>5313</v>
      </c>
      <c r="B2165" s="276">
        <v>1.0</v>
      </c>
    </row>
    <row r="2166">
      <c r="A2166" s="276" t="s">
        <v>6398</v>
      </c>
      <c r="B2166" s="276">
        <v>1.0</v>
      </c>
    </row>
    <row r="2167">
      <c r="A2167" s="276" t="s">
        <v>5662</v>
      </c>
      <c r="B2167" s="276">
        <v>1.0</v>
      </c>
    </row>
    <row r="2168">
      <c r="A2168" s="276" t="s">
        <v>4733</v>
      </c>
      <c r="B2168" s="276">
        <v>1.0</v>
      </c>
    </row>
    <row r="2169">
      <c r="A2169" s="276" t="s">
        <v>4250</v>
      </c>
      <c r="B2169" s="276">
        <v>1.0</v>
      </c>
    </row>
    <row r="2170">
      <c r="A2170" s="276" t="s">
        <v>6435</v>
      </c>
      <c r="B2170" s="276">
        <v>1.0</v>
      </c>
    </row>
    <row r="2171">
      <c r="A2171" s="276" t="s">
        <v>6443</v>
      </c>
      <c r="B2171" s="276">
        <v>1.0</v>
      </c>
    </row>
    <row r="2172">
      <c r="A2172" s="276" t="s">
        <v>4888</v>
      </c>
      <c r="B2172" s="276">
        <v>1.0</v>
      </c>
    </row>
    <row r="2173">
      <c r="A2173" s="276" t="s">
        <v>3297</v>
      </c>
      <c r="B2173" s="276">
        <v>2.0</v>
      </c>
    </row>
    <row r="2174">
      <c r="A2174" s="276" t="s">
        <v>6746</v>
      </c>
      <c r="B2174" s="276">
        <v>1.0</v>
      </c>
    </row>
    <row r="2175">
      <c r="A2175" s="276" t="s">
        <v>6404</v>
      </c>
      <c r="B2175" s="276">
        <v>1.0</v>
      </c>
    </row>
    <row r="2176">
      <c r="A2176" s="278" t="s">
        <v>4325</v>
      </c>
      <c r="B2176" s="276">
        <v>1.0</v>
      </c>
    </row>
    <row r="2177">
      <c r="A2177" s="276" t="s">
        <v>4260</v>
      </c>
      <c r="B2177" s="276">
        <v>1.0</v>
      </c>
    </row>
    <row r="2178">
      <c r="A2178" s="276" t="s">
        <v>4332</v>
      </c>
      <c r="B2178" s="276">
        <v>1.0</v>
      </c>
    </row>
    <row r="2179">
      <c r="A2179" s="276" t="s">
        <v>6816</v>
      </c>
      <c r="B2179" s="276">
        <v>1.0</v>
      </c>
    </row>
    <row r="2180">
      <c r="A2180" s="276" t="s">
        <v>620</v>
      </c>
      <c r="B2180" s="276">
        <v>1.0</v>
      </c>
    </row>
    <row r="2181">
      <c r="A2181" s="276" t="s">
        <v>5054</v>
      </c>
      <c r="B2181" s="276">
        <v>1.0</v>
      </c>
    </row>
    <row r="2182">
      <c r="A2182" s="276" t="s">
        <v>7017</v>
      </c>
      <c r="B2182" s="276">
        <v>1.0</v>
      </c>
    </row>
    <row r="2183">
      <c r="A2183" s="276" t="s">
        <v>5554</v>
      </c>
      <c r="B2183" s="276">
        <v>1.0</v>
      </c>
    </row>
    <row r="2184">
      <c r="A2184" s="276" t="s">
        <v>4676</v>
      </c>
      <c r="B2184" s="276">
        <v>1.0</v>
      </c>
    </row>
    <row r="2185">
      <c r="A2185" s="276" t="s">
        <v>4052</v>
      </c>
      <c r="B2185" s="276">
        <v>1.0</v>
      </c>
    </row>
    <row r="2186">
      <c r="A2186" s="276" t="s">
        <v>6624</v>
      </c>
      <c r="B2186" s="276">
        <v>2.0</v>
      </c>
    </row>
    <row r="2187">
      <c r="A2187" s="276" t="s">
        <v>5659</v>
      </c>
      <c r="B2187" s="276">
        <v>1.0</v>
      </c>
    </row>
    <row r="2188">
      <c r="A2188" s="276" t="s">
        <v>4387</v>
      </c>
      <c r="B2188" s="276">
        <v>1.0</v>
      </c>
    </row>
    <row r="2189">
      <c r="A2189" s="276" t="s">
        <v>4611</v>
      </c>
      <c r="B2189" s="276">
        <v>1.0</v>
      </c>
    </row>
    <row r="2190">
      <c r="A2190" s="276" t="s">
        <v>3982</v>
      </c>
      <c r="B2190" s="276">
        <v>1.0</v>
      </c>
    </row>
    <row r="2191">
      <c r="A2191" s="276" t="s">
        <v>6999</v>
      </c>
      <c r="B2191" s="276">
        <v>1.0</v>
      </c>
    </row>
    <row r="2192">
      <c r="A2192" s="276" t="s">
        <v>4950</v>
      </c>
      <c r="B2192" s="276">
        <v>1.0</v>
      </c>
    </row>
    <row r="2193">
      <c r="A2193" s="276" t="s">
        <v>7458</v>
      </c>
      <c r="B2193" s="276">
        <v>1.0</v>
      </c>
    </row>
    <row r="2194">
      <c r="A2194" s="276" t="s">
        <v>7346</v>
      </c>
      <c r="B2194" s="276">
        <v>1.0</v>
      </c>
    </row>
    <row r="2195">
      <c r="A2195" s="276" t="s">
        <v>4220</v>
      </c>
      <c r="B2195" s="276">
        <v>1.0</v>
      </c>
    </row>
    <row r="2196">
      <c r="A2196" s="276" t="s">
        <v>7323</v>
      </c>
      <c r="B2196" s="276">
        <v>1.0</v>
      </c>
    </row>
    <row r="2197">
      <c r="A2197" s="276" t="s">
        <v>5732</v>
      </c>
      <c r="B2197" s="276">
        <v>1.0</v>
      </c>
    </row>
    <row r="2198">
      <c r="A2198" s="276" t="s">
        <v>6525</v>
      </c>
      <c r="B2198" s="276">
        <v>5.0</v>
      </c>
    </row>
    <row r="2199">
      <c r="A2199" s="276" t="s">
        <v>4964</v>
      </c>
      <c r="B2199" s="276">
        <v>1.0</v>
      </c>
    </row>
    <row r="2200">
      <c r="A2200" s="276" t="s">
        <v>6668</v>
      </c>
      <c r="B2200" s="276">
        <v>1.0</v>
      </c>
    </row>
    <row r="2201">
      <c r="A2201" s="276" t="s">
        <v>6669</v>
      </c>
      <c r="B2201" s="276">
        <v>1.0</v>
      </c>
    </row>
    <row r="2202">
      <c r="A2202" s="276" t="s">
        <v>5133</v>
      </c>
      <c r="B2202" s="276">
        <v>1.0</v>
      </c>
    </row>
    <row r="2203">
      <c r="A2203" s="276" t="s">
        <v>4774</v>
      </c>
      <c r="B2203" s="276">
        <v>1.0</v>
      </c>
    </row>
    <row r="2204">
      <c r="A2204" s="276" t="s">
        <v>5676</v>
      </c>
      <c r="B2204" s="276">
        <v>1.0</v>
      </c>
    </row>
    <row r="2205">
      <c r="A2205" s="276" t="s">
        <v>6671</v>
      </c>
      <c r="B2205" s="276">
        <v>1.0</v>
      </c>
    </row>
    <row r="2206">
      <c r="A2206" s="276" t="s">
        <v>6670</v>
      </c>
      <c r="B2206" s="276">
        <v>1.0</v>
      </c>
    </row>
    <row r="2207">
      <c r="A2207" s="276" t="s">
        <v>5453</v>
      </c>
      <c r="B2207" s="276">
        <v>1.0</v>
      </c>
    </row>
    <row r="2208">
      <c r="A2208" s="276" t="s">
        <v>4839</v>
      </c>
      <c r="B2208" s="276">
        <v>1.0</v>
      </c>
    </row>
    <row r="2209">
      <c r="A2209" s="276" t="s">
        <v>6527</v>
      </c>
      <c r="B2209" s="276">
        <v>1.0</v>
      </c>
    </row>
    <row r="2210">
      <c r="A2210" s="276" t="s">
        <v>2126</v>
      </c>
      <c r="B2210" s="276">
        <v>1.0</v>
      </c>
    </row>
    <row r="2211">
      <c r="A2211" s="276" t="s">
        <v>4476</v>
      </c>
      <c r="B2211" s="276">
        <v>1.0</v>
      </c>
    </row>
    <row r="2212">
      <c r="A2212" s="276" t="s">
        <v>5414</v>
      </c>
      <c r="B2212" s="276">
        <v>1.0</v>
      </c>
    </row>
    <row r="2213">
      <c r="A2213" s="276" t="s">
        <v>4522</v>
      </c>
      <c r="B2213" s="276">
        <v>1.0</v>
      </c>
    </row>
    <row r="2214">
      <c r="A2214" s="276" t="s">
        <v>6018</v>
      </c>
      <c r="B2214" s="276">
        <v>1.0</v>
      </c>
    </row>
    <row r="2215">
      <c r="A2215" s="276" t="s">
        <v>4152</v>
      </c>
      <c r="B2215" s="276">
        <v>1.0</v>
      </c>
    </row>
    <row r="2216">
      <c r="A2216" s="276" t="s">
        <v>4755</v>
      </c>
      <c r="B2216" s="276">
        <v>1.0</v>
      </c>
    </row>
    <row r="2217">
      <c r="A2217" s="276" t="s">
        <v>3910</v>
      </c>
      <c r="B2217" s="276">
        <v>1.0</v>
      </c>
    </row>
    <row r="2218">
      <c r="A2218" s="276" t="s">
        <v>5462</v>
      </c>
      <c r="B2218" s="276">
        <v>1.0</v>
      </c>
    </row>
    <row r="2219">
      <c r="A2219" s="276" t="s">
        <v>5556</v>
      </c>
      <c r="B2219" s="276">
        <v>1.0</v>
      </c>
    </row>
    <row r="2220">
      <c r="A2220" s="276" t="s">
        <v>4031</v>
      </c>
      <c r="B2220" s="276">
        <v>1.0</v>
      </c>
    </row>
    <row r="2221">
      <c r="A2221" s="276" t="s">
        <v>6301</v>
      </c>
      <c r="B2221" s="276">
        <v>1.0</v>
      </c>
    </row>
    <row r="2222">
      <c r="A2222" s="276" t="s">
        <v>7261</v>
      </c>
      <c r="B2222" s="276">
        <v>1.0</v>
      </c>
    </row>
    <row r="2223">
      <c r="A2223" s="276" t="s">
        <v>6303</v>
      </c>
      <c r="B2223" s="276">
        <v>1.0</v>
      </c>
    </row>
    <row r="2224">
      <c r="A2224" s="276" t="s">
        <v>5131</v>
      </c>
      <c r="B2224" s="276">
        <v>1.0</v>
      </c>
    </row>
    <row r="2225">
      <c r="A2225" s="276" t="s">
        <v>6428</v>
      </c>
      <c r="B2225" s="276">
        <v>1.0</v>
      </c>
    </row>
    <row r="2226">
      <c r="A2226" s="276" t="s">
        <v>3977</v>
      </c>
      <c r="B2226" s="276">
        <v>1.0</v>
      </c>
    </row>
    <row r="2227">
      <c r="A2227" s="276" t="s">
        <v>4423</v>
      </c>
      <c r="B2227" s="276">
        <v>1.0</v>
      </c>
    </row>
    <row r="2228">
      <c r="A2228" s="276" t="s">
        <v>6679</v>
      </c>
      <c r="B2228" s="276">
        <v>3.0</v>
      </c>
    </row>
    <row r="2229">
      <c r="A2229" s="276" t="s">
        <v>5855</v>
      </c>
      <c r="B2229" s="276">
        <v>1.0</v>
      </c>
    </row>
    <row r="2230">
      <c r="A2230" s="276" t="s">
        <v>6160</v>
      </c>
      <c r="B2230" s="276">
        <v>1.0</v>
      </c>
    </row>
    <row r="2231">
      <c r="A2231" s="276" t="s">
        <v>6164</v>
      </c>
      <c r="B2231" s="276">
        <v>1.0</v>
      </c>
    </row>
    <row r="2232">
      <c r="A2232" s="276" t="s">
        <v>6204</v>
      </c>
      <c r="B2232" s="276">
        <v>1.0</v>
      </c>
    </row>
    <row r="2233">
      <c r="A2233" s="276" t="s">
        <v>4843</v>
      </c>
      <c r="B2233" s="276">
        <v>1.0</v>
      </c>
    </row>
    <row r="2234">
      <c r="A2234" s="276" t="s">
        <v>6528</v>
      </c>
      <c r="B2234" s="276">
        <v>1.0</v>
      </c>
    </row>
    <row r="2235">
      <c r="A2235" s="276" t="s">
        <v>6245</v>
      </c>
      <c r="B2235" s="276">
        <v>1.0</v>
      </c>
    </row>
    <row r="2236">
      <c r="A2236" s="276" t="s">
        <v>3917</v>
      </c>
      <c r="B2236" s="276">
        <v>1.0</v>
      </c>
    </row>
    <row r="2237">
      <c r="A2237" s="276" t="s">
        <v>6529</v>
      </c>
      <c r="B2237" s="276">
        <v>1.0</v>
      </c>
    </row>
    <row r="2238">
      <c r="A2238" s="276" t="s">
        <v>4860</v>
      </c>
      <c r="B2238" s="276">
        <v>1.0</v>
      </c>
    </row>
    <row r="2239">
      <c r="A2239" s="276" t="s">
        <v>6240</v>
      </c>
      <c r="B2239" s="276">
        <v>1.0</v>
      </c>
    </row>
    <row r="2240">
      <c r="A2240" s="276" t="s">
        <v>4474</v>
      </c>
      <c r="B2240" s="276">
        <v>1.0</v>
      </c>
    </row>
    <row r="2241">
      <c r="A2241" s="276" t="s">
        <v>5646</v>
      </c>
      <c r="B2241" s="276">
        <v>1.0</v>
      </c>
    </row>
    <row r="2242">
      <c r="A2242" s="276" t="s">
        <v>5704</v>
      </c>
      <c r="B2242" s="276">
        <v>1.0</v>
      </c>
    </row>
    <row r="2243">
      <c r="A2243" s="276" t="s">
        <v>6531</v>
      </c>
      <c r="B2243" s="276">
        <v>1.0</v>
      </c>
    </row>
    <row r="2244">
      <c r="A2244" s="276" t="s">
        <v>6536</v>
      </c>
      <c r="B2244" s="276">
        <v>1.0</v>
      </c>
    </row>
    <row r="2245">
      <c r="A2245" s="276" t="s">
        <v>7435</v>
      </c>
      <c r="B2245" s="276">
        <v>1.0</v>
      </c>
    </row>
    <row r="2246">
      <c r="A2246" s="276" t="s">
        <v>7427</v>
      </c>
      <c r="B2246" s="276">
        <v>1.0</v>
      </c>
    </row>
    <row r="2247">
      <c r="A2247" s="276" t="s">
        <v>4869</v>
      </c>
      <c r="B2247" s="276">
        <v>1.0</v>
      </c>
    </row>
    <row r="2248">
      <c r="A2248" s="276" t="s">
        <v>4082</v>
      </c>
      <c r="B2248" s="276">
        <v>1.0</v>
      </c>
    </row>
    <row r="2249">
      <c r="A2249" s="276" t="s">
        <v>7031</v>
      </c>
      <c r="B2249" s="276">
        <v>1.0</v>
      </c>
    </row>
    <row r="2250">
      <c r="A2250" s="276" t="s">
        <v>5019</v>
      </c>
      <c r="B2250" s="276">
        <v>1.0</v>
      </c>
    </row>
    <row r="2251">
      <c r="A2251" s="276" t="s">
        <v>5493</v>
      </c>
      <c r="B2251" s="276">
        <v>1.0</v>
      </c>
    </row>
    <row r="2252">
      <c r="A2252" s="276" t="s">
        <v>5917</v>
      </c>
      <c r="B2252" s="276">
        <v>1.0</v>
      </c>
    </row>
    <row r="2253">
      <c r="A2253" s="276" t="s">
        <v>4632</v>
      </c>
      <c r="B2253" s="276">
        <v>1.0</v>
      </c>
    </row>
    <row r="2254">
      <c r="A2254" s="276" t="s">
        <v>1037</v>
      </c>
      <c r="B2254" s="276">
        <v>1.0</v>
      </c>
    </row>
    <row r="2255">
      <c r="A2255" s="276" t="s">
        <v>5582</v>
      </c>
      <c r="B2255" s="276">
        <v>1.0</v>
      </c>
    </row>
    <row r="2256">
      <c r="A2256" s="276" t="s">
        <v>3855</v>
      </c>
      <c r="B2256" s="276">
        <v>1.0</v>
      </c>
    </row>
    <row r="2257">
      <c r="A2257" s="276" t="s">
        <v>5639</v>
      </c>
      <c r="B2257" s="276">
        <v>1.0</v>
      </c>
    </row>
    <row r="2258">
      <c r="A2258" s="276" t="s">
        <v>887</v>
      </c>
      <c r="B2258" s="276">
        <v>2.0</v>
      </c>
    </row>
    <row r="2259">
      <c r="A2259" s="276" t="s">
        <v>5527</v>
      </c>
      <c r="B2259" s="276">
        <v>2.0</v>
      </c>
    </row>
    <row r="2260">
      <c r="A2260" s="276" t="s">
        <v>6652</v>
      </c>
      <c r="B2260" s="276">
        <v>2.0</v>
      </c>
    </row>
    <row r="2261">
      <c r="A2261" s="276" t="s">
        <v>6828</v>
      </c>
      <c r="B2261" s="276">
        <v>1.0</v>
      </c>
    </row>
    <row r="2262">
      <c r="A2262" s="276" t="s">
        <v>3941</v>
      </c>
      <c r="B2262" s="276">
        <v>1.0</v>
      </c>
    </row>
    <row r="2263">
      <c r="A2263" s="276" t="s">
        <v>4846</v>
      </c>
      <c r="B2263" s="276">
        <v>1.0</v>
      </c>
    </row>
    <row r="2264">
      <c r="A2264" s="276" t="s">
        <v>5465</v>
      </c>
      <c r="B2264" s="276">
        <v>1.0</v>
      </c>
    </row>
    <row r="2265">
      <c r="A2265" s="276" t="s">
        <v>5398</v>
      </c>
      <c r="B2265" s="276">
        <v>1.0</v>
      </c>
    </row>
    <row r="2266">
      <c r="A2266" s="276" t="s">
        <v>4120</v>
      </c>
      <c r="B2266" s="276">
        <v>1.0</v>
      </c>
    </row>
    <row r="2267">
      <c r="A2267" s="276" t="s">
        <v>4435</v>
      </c>
      <c r="B2267" s="276">
        <v>1.0</v>
      </c>
    </row>
    <row r="2268">
      <c r="A2268" s="276" t="s">
        <v>4303</v>
      </c>
      <c r="B2268" s="276">
        <v>1.0</v>
      </c>
    </row>
    <row r="2269">
      <c r="A2269" s="276" t="s">
        <v>7157</v>
      </c>
      <c r="B2269" s="276">
        <v>1.0</v>
      </c>
    </row>
    <row r="2270">
      <c r="A2270" s="276" t="s">
        <v>4749</v>
      </c>
      <c r="B2270" s="276">
        <v>1.0</v>
      </c>
    </row>
    <row r="2271">
      <c r="A2271" s="276" t="s">
        <v>3876</v>
      </c>
      <c r="B2271" s="276">
        <v>1.0</v>
      </c>
    </row>
    <row r="2272">
      <c r="A2272" s="276" t="s">
        <v>4167</v>
      </c>
      <c r="B2272" s="276">
        <v>1.0</v>
      </c>
    </row>
    <row r="2273">
      <c r="A2273" s="276" t="s">
        <v>4071</v>
      </c>
      <c r="B2273" s="276">
        <v>3.0</v>
      </c>
    </row>
    <row r="2274">
      <c r="A2274" s="276" t="s">
        <v>5741</v>
      </c>
      <c r="B2274" s="276">
        <v>1.0</v>
      </c>
    </row>
    <row r="2275">
      <c r="A2275" s="276" t="s">
        <v>1039</v>
      </c>
      <c r="B2275" s="276">
        <v>1.0</v>
      </c>
    </row>
    <row r="2276">
      <c r="A2276" s="276" t="s">
        <v>4588</v>
      </c>
      <c r="B2276" s="276">
        <v>1.0</v>
      </c>
    </row>
    <row r="2277">
      <c r="A2277" s="276" t="s">
        <v>5232</v>
      </c>
      <c r="B2277" s="276">
        <v>1.0</v>
      </c>
    </row>
    <row r="2278">
      <c r="A2278" s="276" t="s">
        <v>4556</v>
      </c>
      <c r="B2278" s="276">
        <v>1.0</v>
      </c>
    </row>
    <row r="2279">
      <c r="A2279" s="276" t="s">
        <v>4718</v>
      </c>
      <c r="B2279" s="276">
        <v>1.0</v>
      </c>
    </row>
    <row r="2280">
      <c r="A2280" s="276" t="s">
        <v>5022</v>
      </c>
      <c r="B2280" s="276">
        <v>1.0</v>
      </c>
    </row>
    <row r="2281">
      <c r="A2281" s="276" t="s">
        <v>5200</v>
      </c>
      <c r="B2281" s="276">
        <v>1.0</v>
      </c>
    </row>
    <row r="2282">
      <c r="A2282" s="276" t="s">
        <v>5239</v>
      </c>
      <c r="B2282" s="276">
        <v>1.0</v>
      </c>
    </row>
    <row r="2283">
      <c r="A2283" s="276" t="s">
        <v>5848</v>
      </c>
      <c r="B2283" s="276">
        <v>1.0</v>
      </c>
    </row>
    <row r="2284">
      <c r="A2284" s="276" t="s">
        <v>6146</v>
      </c>
      <c r="B2284" s="276">
        <v>1.0</v>
      </c>
    </row>
    <row r="2285">
      <c r="A2285" s="276" t="s">
        <v>7048</v>
      </c>
      <c r="B2285" s="276">
        <v>1.0</v>
      </c>
    </row>
    <row r="2286">
      <c r="A2286" s="276" t="s">
        <v>5001</v>
      </c>
      <c r="B2286" s="276">
        <v>1.0</v>
      </c>
    </row>
    <row r="2287">
      <c r="A2287" s="276" t="s">
        <v>7022</v>
      </c>
      <c r="B2287" s="276">
        <v>1.0</v>
      </c>
    </row>
    <row r="2288">
      <c r="A2288" s="276" t="s">
        <v>7002</v>
      </c>
      <c r="B2288" s="276">
        <v>1.0</v>
      </c>
    </row>
    <row r="2289">
      <c r="A2289" s="276" t="s">
        <v>5150</v>
      </c>
      <c r="B2289" s="276">
        <v>2.0</v>
      </c>
    </row>
    <row r="2290">
      <c r="A2290" s="276" t="s">
        <v>5181</v>
      </c>
      <c r="B2290" s="276">
        <v>1.0</v>
      </c>
    </row>
    <row r="2291">
      <c r="A2291" s="276" t="s">
        <v>6696</v>
      </c>
      <c r="B2291" s="276">
        <v>3.0</v>
      </c>
    </row>
    <row r="2292">
      <c r="A2292" s="276" t="s">
        <v>4540</v>
      </c>
      <c r="B2292" s="276">
        <v>1.0</v>
      </c>
    </row>
    <row r="2293">
      <c r="A2293" s="276" t="s">
        <v>3864</v>
      </c>
      <c r="B2293" s="276">
        <v>1.0</v>
      </c>
    </row>
    <row r="2294">
      <c r="A2294" s="276" t="s">
        <v>7371</v>
      </c>
      <c r="B2294" s="276">
        <v>1.0</v>
      </c>
    </row>
    <row r="2295">
      <c r="A2295" s="276" t="s">
        <v>4276</v>
      </c>
      <c r="B2295" s="276">
        <v>1.0</v>
      </c>
    </row>
    <row r="2296">
      <c r="A2296" s="276" t="s">
        <v>6083</v>
      </c>
      <c r="B2296" s="276">
        <v>1.0</v>
      </c>
    </row>
    <row r="2297">
      <c r="A2297" s="276" t="s">
        <v>7330</v>
      </c>
      <c r="B2297" s="276">
        <v>1.0</v>
      </c>
    </row>
    <row r="2298">
      <c r="A2298" s="276" t="s">
        <v>6892</v>
      </c>
      <c r="B2298" s="276">
        <v>1.0</v>
      </c>
    </row>
    <row r="2299">
      <c r="A2299" s="276" t="s">
        <v>4335</v>
      </c>
      <c r="B2299" s="276">
        <v>1.0</v>
      </c>
    </row>
    <row r="2300">
      <c r="A2300" s="276" t="s">
        <v>7280</v>
      </c>
      <c r="B2300" s="276">
        <v>1.0</v>
      </c>
    </row>
    <row r="2301">
      <c r="A2301" s="276" t="s">
        <v>4482</v>
      </c>
      <c r="B2301" s="276">
        <v>1.0</v>
      </c>
    </row>
    <row r="2302">
      <c r="A2302" s="276" t="s">
        <v>7281</v>
      </c>
      <c r="B2302" s="276">
        <v>1.0</v>
      </c>
    </row>
    <row r="2303">
      <c r="A2303" s="276" t="s">
        <v>4021</v>
      </c>
      <c r="B2303" s="276">
        <v>1.0</v>
      </c>
    </row>
    <row r="2304">
      <c r="A2304" s="276" t="s">
        <v>5325</v>
      </c>
      <c r="B2304" s="276">
        <v>1.0</v>
      </c>
    </row>
    <row r="2305">
      <c r="A2305" s="276" t="s">
        <v>6693</v>
      </c>
      <c r="B2305" s="276">
        <v>1.0</v>
      </c>
    </row>
    <row r="2306">
      <c r="A2306" s="276" t="s">
        <v>6914</v>
      </c>
      <c r="B2306" s="276">
        <v>1.0</v>
      </c>
    </row>
    <row r="2307">
      <c r="A2307" s="276" t="s">
        <v>5431</v>
      </c>
      <c r="B2307" s="276">
        <v>1.0</v>
      </c>
    </row>
    <row r="2308">
      <c r="A2308" s="276" t="s">
        <v>5428</v>
      </c>
      <c r="B2308" s="276">
        <v>1.0</v>
      </c>
    </row>
    <row r="2309">
      <c r="A2309" s="276" t="s">
        <v>5448</v>
      </c>
      <c r="B2309" s="276">
        <v>2.0</v>
      </c>
    </row>
    <row r="2310">
      <c r="A2310" s="276" t="s">
        <v>6735</v>
      </c>
      <c r="B2310" s="276">
        <v>1.0</v>
      </c>
    </row>
    <row r="2311">
      <c r="A2311" s="276" t="s">
        <v>4873</v>
      </c>
      <c r="B2311" s="276">
        <v>1.0</v>
      </c>
    </row>
    <row r="2312">
      <c r="A2312" s="276" t="s">
        <v>6949</v>
      </c>
      <c r="B2312" s="276">
        <v>2.0</v>
      </c>
    </row>
    <row r="2313">
      <c r="A2313" s="276" t="s">
        <v>6538</v>
      </c>
      <c r="B2313" s="276">
        <v>2.0</v>
      </c>
    </row>
    <row r="2314">
      <c r="A2314" s="276" t="s">
        <v>7430</v>
      </c>
      <c r="B2314" s="276">
        <v>1.0</v>
      </c>
    </row>
    <row r="2315">
      <c r="A2315" s="276" t="s">
        <v>3991</v>
      </c>
      <c r="B2315" s="276">
        <v>1.0</v>
      </c>
    </row>
    <row r="2316">
      <c r="A2316" s="276" t="s">
        <v>6122</v>
      </c>
      <c r="B2316" s="276">
        <v>1.0</v>
      </c>
    </row>
    <row r="2317">
      <c r="A2317" s="276" t="s">
        <v>5411</v>
      </c>
      <c r="B2317" s="276">
        <v>1.0</v>
      </c>
    </row>
    <row r="2318">
      <c r="A2318" s="276" t="s">
        <v>4374</v>
      </c>
      <c r="B2318" s="276">
        <v>1.0</v>
      </c>
    </row>
    <row r="2319">
      <c r="A2319" s="276" t="s">
        <v>5164</v>
      </c>
      <c r="B2319" s="276">
        <v>1.0</v>
      </c>
    </row>
    <row r="2320">
      <c r="A2320" s="276" t="s">
        <v>6541</v>
      </c>
      <c r="B2320" s="276">
        <v>1.0</v>
      </c>
    </row>
    <row r="2321">
      <c r="A2321" s="276" t="s">
        <v>4470</v>
      </c>
      <c r="B2321" s="276">
        <v>2.0</v>
      </c>
    </row>
    <row r="2322">
      <c r="A2322" s="276" t="s">
        <v>4232</v>
      </c>
      <c r="B2322" s="276">
        <v>1.0</v>
      </c>
    </row>
    <row r="2323">
      <c r="A2323" s="276" t="s">
        <v>4563</v>
      </c>
      <c r="B2323" s="276">
        <v>1.0</v>
      </c>
    </row>
    <row r="2324">
      <c r="A2324" s="276" t="s">
        <v>6616</v>
      </c>
      <c r="B2324" s="276">
        <v>1.0</v>
      </c>
    </row>
    <row r="2325">
      <c r="A2325" s="276" t="s">
        <v>6105</v>
      </c>
      <c r="B2325" s="276">
        <v>1.0</v>
      </c>
    </row>
    <row r="2326">
      <c r="A2326" s="276" t="s">
        <v>5719</v>
      </c>
      <c r="B2326" s="276">
        <v>1.0</v>
      </c>
    </row>
    <row r="2327">
      <c r="A2327" s="276" t="s">
        <v>6285</v>
      </c>
      <c r="B2327" s="276">
        <v>1.0</v>
      </c>
    </row>
    <row r="2328">
      <c r="A2328" s="276" t="s">
        <v>2595</v>
      </c>
      <c r="B2328" s="276">
        <v>1.0</v>
      </c>
    </row>
    <row r="2329">
      <c r="A2329" s="276" t="s">
        <v>7376</v>
      </c>
      <c r="B2329" s="276">
        <v>1.0</v>
      </c>
    </row>
    <row r="2330">
      <c r="A2330" s="278" t="s">
        <v>4363</v>
      </c>
      <c r="B2330" s="276">
        <v>1.0</v>
      </c>
    </row>
    <row r="2331">
      <c r="A2331" s="276" t="s">
        <v>4437</v>
      </c>
      <c r="B2331" s="276">
        <v>2.0</v>
      </c>
    </row>
    <row r="2332">
      <c r="A2332" s="276" t="s">
        <v>7340</v>
      </c>
      <c r="B2332" s="276">
        <v>1.0</v>
      </c>
    </row>
    <row r="2333">
      <c r="A2333" s="276" t="s">
        <v>4855</v>
      </c>
      <c r="B2333" s="276">
        <v>1.0</v>
      </c>
    </row>
    <row r="2334">
      <c r="A2334" s="276" t="s">
        <v>5451</v>
      </c>
      <c r="B2334" s="276">
        <v>1.0</v>
      </c>
    </row>
    <row r="2335">
      <c r="A2335" s="276" t="s">
        <v>4142</v>
      </c>
      <c r="B2335" s="276">
        <v>1.0</v>
      </c>
    </row>
    <row r="2336">
      <c r="A2336" s="276" t="s">
        <v>5236</v>
      </c>
      <c r="B2336" s="276">
        <v>1.0</v>
      </c>
    </row>
    <row r="2337">
      <c r="A2337" s="276" t="s">
        <v>6542</v>
      </c>
      <c r="B2337" s="276">
        <v>1.0</v>
      </c>
    </row>
    <row r="2338">
      <c r="A2338" s="276" t="s">
        <v>5767</v>
      </c>
      <c r="B2338" s="276">
        <v>1.0</v>
      </c>
    </row>
    <row r="2339">
      <c r="A2339" s="276" t="s">
        <v>4240</v>
      </c>
      <c r="B2339" s="276">
        <v>1.0</v>
      </c>
    </row>
    <row r="2340">
      <c r="A2340" s="276" t="s">
        <v>1813</v>
      </c>
      <c r="B2340" s="276">
        <v>2.0</v>
      </c>
    </row>
    <row r="2341">
      <c r="A2341" s="276" t="s">
        <v>5189</v>
      </c>
      <c r="B2341" s="276">
        <v>1.0</v>
      </c>
    </row>
    <row r="2342">
      <c r="A2342" s="276" t="s">
        <v>4214</v>
      </c>
      <c r="B2342" s="276">
        <v>1.0</v>
      </c>
    </row>
    <row r="2343">
      <c r="A2343" s="276" t="s">
        <v>6546</v>
      </c>
      <c r="B2343" s="276">
        <v>3.0</v>
      </c>
    </row>
    <row r="2344">
      <c r="A2344" s="276" t="s">
        <v>4615</v>
      </c>
      <c r="B2344" s="276">
        <v>1.0</v>
      </c>
    </row>
    <row r="2345">
      <c r="A2345" s="276" t="s">
        <v>4088</v>
      </c>
      <c r="B2345" s="276">
        <v>2.0</v>
      </c>
    </row>
    <row r="2346">
      <c r="A2346" s="276" t="s">
        <v>4091</v>
      </c>
      <c r="B2346" s="276">
        <v>1.0</v>
      </c>
    </row>
    <row r="2347">
      <c r="A2347" s="276" t="s">
        <v>5303</v>
      </c>
      <c r="B2347" s="276">
        <v>1.0</v>
      </c>
    </row>
    <row r="2348">
      <c r="A2348" s="276" t="s">
        <v>7127</v>
      </c>
      <c r="B2348" s="276">
        <v>1.0</v>
      </c>
    </row>
    <row r="2349">
      <c r="A2349" s="276" t="s">
        <v>5746</v>
      </c>
      <c r="B2349" s="276">
        <v>1.0</v>
      </c>
    </row>
    <row r="2350">
      <c r="A2350" s="276" t="s">
        <v>6548</v>
      </c>
      <c r="B2350" s="276">
        <v>1.0</v>
      </c>
    </row>
    <row r="2351">
      <c r="A2351" s="276" t="s">
        <v>5680</v>
      </c>
      <c r="B2351" s="276">
        <v>1.0</v>
      </c>
    </row>
    <row r="2352">
      <c r="A2352" s="276" t="s">
        <v>4836</v>
      </c>
      <c r="B2352" s="276">
        <v>1.0</v>
      </c>
    </row>
    <row r="2353">
      <c r="A2353" s="276" t="s">
        <v>1829</v>
      </c>
      <c r="B2353" s="276">
        <v>1.0</v>
      </c>
    </row>
    <row r="2354">
      <c r="A2354" s="276" t="s">
        <v>5413</v>
      </c>
      <c r="B2354" s="276">
        <v>1.0</v>
      </c>
    </row>
    <row r="2355">
      <c r="A2355" s="276" t="s">
        <v>4900</v>
      </c>
      <c r="B2355" s="276">
        <v>1.0</v>
      </c>
    </row>
    <row r="2356">
      <c r="A2356" s="276" t="s">
        <v>4014</v>
      </c>
      <c r="B2356" s="276">
        <v>1.0</v>
      </c>
    </row>
    <row r="2357">
      <c r="A2357" s="276" t="s">
        <v>6370</v>
      </c>
      <c r="B2357" s="276">
        <v>1.0</v>
      </c>
    </row>
    <row r="2358">
      <c r="A2358" s="276" t="s">
        <v>6368</v>
      </c>
      <c r="B2358" s="276">
        <v>1.0</v>
      </c>
    </row>
    <row r="2359">
      <c r="A2359" s="276" t="s">
        <v>6550</v>
      </c>
      <c r="B2359" s="276">
        <v>1.0</v>
      </c>
    </row>
    <row r="2360">
      <c r="A2360" s="276" t="s">
        <v>6684</v>
      </c>
      <c r="B2360" s="276">
        <v>1.0</v>
      </c>
    </row>
    <row r="2361">
      <c r="A2361" s="276" t="s">
        <v>6749</v>
      </c>
      <c r="B2361" s="276">
        <v>1.0</v>
      </c>
    </row>
    <row r="2362">
      <c r="A2362" s="276" t="s">
        <v>4461</v>
      </c>
      <c r="B2362" s="276">
        <v>1.0</v>
      </c>
    </row>
    <row r="2363">
      <c r="A2363" s="276" t="s">
        <v>6261</v>
      </c>
      <c r="B2363" s="276">
        <v>1.0</v>
      </c>
    </row>
    <row r="2364">
      <c r="A2364" s="276" t="s">
        <v>3909</v>
      </c>
      <c r="B2364" s="276">
        <v>1.0</v>
      </c>
    </row>
    <row r="2365">
      <c r="A2365" s="276" t="s">
        <v>7361</v>
      </c>
      <c r="B2365" s="276">
        <v>1.0</v>
      </c>
    </row>
    <row r="2366">
      <c r="A2366" s="276" t="s">
        <v>7456</v>
      </c>
      <c r="B2366" s="276">
        <v>1.0</v>
      </c>
    </row>
    <row r="2367">
      <c r="A2367" s="276" t="s">
        <v>6079</v>
      </c>
      <c r="B2367" s="276">
        <v>1.0</v>
      </c>
    </row>
    <row r="2368">
      <c r="A2368" s="276" t="s">
        <v>6211</v>
      </c>
      <c r="B2368" s="276">
        <v>1.0</v>
      </c>
    </row>
    <row r="2369">
      <c r="A2369" s="276" t="s">
        <v>7240</v>
      </c>
      <c r="B2369" s="276">
        <v>1.0</v>
      </c>
    </row>
    <row r="2370">
      <c r="A2370" s="276" t="s">
        <v>6154</v>
      </c>
      <c r="B2370" s="276">
        <v>1.0</v>
      </c>
    </row>
    <row r="2371">
      <c r="A2371" s="276" t="s">
        <v>5925</v>
      </c>
      <c r="B2371" s="276">
        <v>3.0</v>
      </c>
    </row>
    <row r="2372">
      <c r="A2372" s="276" t="s">
        <v>5942</v>
      </c>
      <c r="B2372" s="276">
        <v>2.0</v>
      </c>
    </row>
    <row r="2373">
      <c r="A2373" s="276" t="s">
        <v>5259</v>
      </c>
      <c r="B2373" s="276">
        <v>1.0</v>
      </c>
    </row>
    <row r="2374">
      <c r="A2374" s="276" t="s">
        <v>3866</v>
      </c>
      <c r="B2374" s="276">
        <v>1.0</v>
      </c>
    </row>
    <row r="2375">
      <c r="A2375" s="276" t="s">
        <v>7201</v>
      </c>
      <c r="B2375" s="276">
        <v>1.0</v>
      </c>
    </row>
    <row r="2376">
      <c r="A2376" s="276" t="s">
        <v>5620</v>
      </c>
      <c r="B2376" s="276">
        <v>1.0</v>
      </c>
    </row>
    <row r="2377">
      <c r="A2377" s="276" t="s">
        <v>4177</v>
      </c>
      <c r="B2377" s="276">
        <v>1.0</v>
      </c>
    </row>
    <row r="2378">
      <c r="A2378" s="276" t="s">
        <v>5894</v>
      </c>
      <c r="B2378" s="276">
        <v>1.0</v>
      </c>
    </row>
    <row r="2379">
      <c r="A2379" s="276" t="s">
        <v>6036</v>
      </c>
      <c r="B2379" s="276">
        <v>1.0</v>
      </c>
    </row>
    <row r="2380">
      <c r="A2380" s="276" t="s">
        <v>4365</v>
      </c>
      <c r="B2380" s="276">
        <v>1.0</v>
      </c>
    </row>
    <row r="2381">
      <c r="A2381" s="276" t="s">
        <v>7141</v>
      </c>
      <c r="B2381" s="276">
        <v>2.0</v>
      </c>
    </row>
    <row r="2382">
      <c r="A2382" s="276" t="s">
        <v>7268</v>
      </c>
      <c r="B2382" s="276">
        <v>1.0</v>
      </c>
    </row>
    <row r="2383">
      <c r="A2383" s="276" t="s">
        <v>5901</v>
      </c>
      <c r="B2383" s="276">
        <v>1.0</v>
      </c>
    </row>
    <row r="2384">
      <c r="A2384" s="276" t="s">
        <v>7309</v>
      </c>
      <c r="B2384" s="276">
        <v>1.0</v>
      </c>
    </row>
    <row r="2385">
      <c r="A2385" s="276" t="s">
        <v>7041</v>
      </c>
      <c r="B2385" s="276">
        <v>1.0</v>
      </c>
    </row>
    <row r="2386">
      <c r="A2386" s="276" t="s">
        <v>1834</v>
      </c>
      <c r="B2386" s="276">
        <v>1.0</v>
      </c>
    </row>
    <row r="2387">
      <c r="A2387" s="276" t="s">
        <v>4194</v>
      </c>
      <c r="B2387" s="276">
        <v>1.0</v>
      </c>
    </row>
    <row r="2388">
      <c r="A2388" s="276" t="s">
        <v>5035</v>
      </c>
      <c r="B2388" s="276">
        <v>1.0</v>
      </c>
    </row>
    <row r="2389">
      <c r="A2389" s="276" t="s">
        <v>5197</v>
      </c>
      <c r="B2389" s="276">
        <v>1.0</v>
      </c>
    </row>
    <row r="2390">
      <c r="A2390" s="276" t="s">
        <v>5176</v>
      </c>
      <c r="B2390" s="276">
        <v>2.0</v>
      </c>
    </row>
    <row r="2391">
      <c r="A2391" s="276" t="s">
        <v>5914</v>
      </c>
      <c r="B2391" s="276">
        <v>1.0</v>
      </c>
    </row>
    <row r="2392">
      <c r="A2392" s="276" t="s">
        <v>3472</v>
      </c>
      <c r="B2392" s="276">
        <v>1.0</v>
      </c>
    </row>
    <row r="2393">
      <c r="A2393" s="276" t="s">
        <v>4573</v>
      </c>
      <c r="B2393" s="276">
        <v>1.0</v>
      </c>
    </row>
    <row r="2394">
      <c r="A2394" s="276" t="s">
        <v>6704</v>
      </c>
      <c r="B2394" s="276">
        <v>1.0</v>
      </c>
    </row>
    <row r="2395">
      <c r="A2395" s="276" t="s">
        <v>5973</v>
      </c>
      <c r="B2395" s="276">
        <v>1.0</v>
      </c>
    </row>
    <row r="2396">
      <c r="A2396" s="276" t="s">
        <v>5194</v>
      </c>
      <c r="B2396" s="276">
        <v>1.0</v>
      </c>
    </row>
    <row r="2397">
      <c r="A2397" s="276" t="s">
        <v>6920</v>
      </c>
      <c r="B2397" s="276">
        <v>1.0</v>
      </c>
    </row>
    <row r="2398">
      <c r="A2398" s="278" t="s">
        <v>5262</v>
      </c>
      <c r="B2398" s="276">
        <v>1.0</v>
      </c>
    </row>
    <row r="2399">
      <c r="A2399" s="276" t="s">
        <v>6552</v>
      </c>
      <c r="B2399" s="276">
        <v>1.0</v>
      </c>
    </row>
    <row r="2400">
      <c r="A2400" s="276" t="s">
        <v>5613</v>
      </c>
      <c r="B2400" s="276">
        <v>1.0</v>
      </c>
    </row>
    <row r="2401">
      <c r="A2401" s="276" t="s">
        <v>6027</v>
      </c>
      <c r="B2401" s="276">
        <v>1.0</v>
      </c>
    </row>
    <row r="2402">
      <c r="A2402" s="278" t="s">
        <v>4367</v>
      </c>
      <c r="B2402" s="276">
        <v>1.0</v>
      </c>
    </row>
    <row r="2403">
      <c r="A2403" s="276" t="s">
        <v>4702</v>
      </c>
      <c r="B2403" s="276">
        <v>1.0</v>
      </c>
    </row>
    <row r="2404">
      <c r="A2404" s="276" t="s">
        <v>4624</v>
      </c>
      <c r="B2404" s="276">
        <v>1.0</v>
      </c>
    </row>
    <row r="2405">
      <c r="A2405" s="276" t="s">
        <v>6819</v>
      </c>
      <c r="B2405" s="276">
        <v>1.0</v>
      </c>
    </row>
    <row r="2406">
      <c r="A2406" s="276" t="s">
        <v>7168</v>
      </c>
      <c r="B2406" s="276">
        <v>1.0</v>
      </c>
    </row>
    <row r="2407">
      <c r="A2407" s="276" t="s">
        <v>5458</v>
      </c>
      <c r="B2407" s="276">
        <v>1.0</v>
      </c>
    </row>
    <row r="2408">
      <c r="A2408" s="276" t="s">
        <v>5696</v>
      </c>
      <c r="B2408" s="276">
        <v>1.0</v>
      </c>
    </row>
    <row r="2409">
      <c r="A2409" s="276" t="s">
        <v>6554</v>
      </c>
      <c r="B2409" s="276">
        <v>1.0</v>
      </c>
    </row>
    <row r="2410">
      <c r="A2410" s="276" t="s">
        <v>4986</v>
      </c>
      <c r="B2410" s="276">
        <v>1.0</v>
      </c>
    </row>
    <row r="2411">
      <c r="A2411" s="276" t="s">
        <v>5843</v>
      </c>
      <c r="B2411" s="276">
        <v>1.0</v>
      </c>
    </row>
    <row r="2412">
      <c r="A2412" s="276" t="s">
        <v>5716</v>
      </c>
      <c r="B2412" s="276">
        <v>1.0</v>
      </c>
    </row>
    <row r="2413">
      <c r="A2413" s="276" t="s">
        <v>6557</v>
      </c>
      <c r="B2413" s="276">
        <v>5.0</v>
      </c>
    </row>
    <row r="2414">
      <c r="A2414" s="276" t="s">
        <v>1264</v>
      </c>
      <c r="B2414" s="276">
        <v>1.0</v>
      </c>
    </row>
    <row r="2415">
      <c r="A2415" s="276" t="s">
        <v>4135</v>
      </c>
      <c r="B2415" s="276">
        <v>1.0</v>
      </c>
    </row>
    <row r="2416">
      <c r="A2416" s="276" t="s">
        <v>3949</v>
      </c>
      <c r="B2416" s="276">
        <v>1.0</v>
      </c>
    </row>
    <row r="2417">
      <c r="A2417" s="276" t="s">
        <v>5589</v>
      </c>
      <c r="B2417" s="276">
        <v>1.0</v>
      </c>
    </row>
    <row r="2418">
      <c r="A2418" s="276" t="s">
        <v>5046</v>
      </c>
      <c r="B2418" s="276">
        <v>1.0</v>
      </c>
    </row>
    <row r="2419">
      <c r="A2419" s="276" t="s">
        <v>4164</v>
      </c>
      <c r="B2419" s="276">
        <v>1.0</v>
      </c>
    </row>
    <row r="2420">
      <c r="A2420" s="276" t="s">
        <v>7374</v>
      </c>
      <c r="B2420" s="276">
        <v>1.0</v>
      </c>
    </row>
    <row r="2421">
      <c r="A2421" s="276" t="s">
        <v>5515</v>
      </c>
      <c r="B2421" s="276">
        <v>1.0</v>
      </c>
    </row>
    <row r="2422">
      <c r="A2422" s="276" t="s">
        <v>5352</v>
      </c>
      <c r="B2422" s="276">
        <v>1.0</v>
      </c>
    </row>
    <row r="2423">
      <c r="A2423" s="276" t="s">
        <v>4706</v>
      </c>
      <c r="B2423" s="276">
        <v>2.0</v>
      </c>
    </row>
    <row r="2424">
      <c r="A2424" s="276" t="s">
        <v>4637</v>
      </c>
      <c r="B2424" s="276">
        <v>1.0</v>
      </c>
    </row>
    <row r="2425">
      <c r="A2425" s="276" t="s">
        <v>4132</v>
      </c>
      <c r="B2425" s="276">
        <v>2.0</v>
      </c>
    </row>
    <row r="2426">
      <c r="A2426" s="276" t="s">
        <v>7196</v>
      </c>
      <c r="B2426" s="276">
        <v>1.0</v>
      </c>
    </row>
    <row r="2427">
      <c r="A2427" s="276" t="s">
        <v>5392</v>
      </c>
      <c r="B2427" s="276">
        <v>1.0</v>
      </c>
    </row>
    <row r="2428">
      <c r="A2428" s="276" t="s">
        <v>4936</v>
      </c>
      <c r="B2428" s="276">
        <v>1.0</v>
      </c>
    </row>
    <row r="2429">
      <c r="A2429" s="276" t="s">
        <v>6072</v>
      </c>
      <c r="B2429" s="276">
        <v>1.0</v>
      </c>
    </row>
    <row r="2430">
      <c r="A2430" s="276" t="s">
        <v>4654</v>
      </c>
      <c r="B2430" s="276">
        <v>1.0</v>
      </c>
    </row>
    <row r="2431">
      <c r="A2431" s="278" t="s">
        <v>3963</v>
      </c>
      <c r="B2431" s="276">
        <v>1.0</v>
      </c>
    </row>
    <row r="2432">
      <c r="A2432" s="278" t="s">
        <v>4654</v>
      </c>
      <c r="B2432" s="276">
        <v>1.0</v>
      </c>
    </row>
    <row r="2433">
      <c r="A2433" s="276" t="s">
        <v>5536</v>
      </c>
      <c r="B2433" s="276">
        <v>2.0</v>
      </c>
    </row>
    <row r="2434">
      <c r="A2434" s="276" t="s">
        <v>4551</v>
      </c>
      <c r="B2434" s="276">
        <v>1.0</v>
      </c>
    </row>
    <row r="2435">
      <c r="A2435" s="276" t="s">
        <v>4061</v>
      </c>
      <c r="B2435" s="276">
        <v>1.0</v>
      </c>
    </row>
    <row r="2436">
      <c r="A2436" s="276" t="s">
        <v>6162</v>
      </c>
      <c r="B2436" s="276">
        <v>1.0</v>
      </c>
    </row>
    <row r="2437">
      <c r="A2437" s="276" t="s">
        <v>5867</v>
      </c>
      <c r="B2437" s="276">
        <v>1.0</v>
      </c>
    </row>
    <row r="2438">
      <c r="A2438" s="276" t="s">
        <v>3937</v>
      </c>
      <c r="B2438" s="276">
        <v>1.0</v>
      </c>
    </row>
    <row r="2439">
      <c r="A2439" s="276" t="s">
        <v>7104</v>
      </c>
      <c r="B2439" s="276">
        <v>1.0</v>
      </c>
    </row>
    <row r="2440">
      <c r="A2440" s="276" t="s">
        <v>5224</v>
      </c>
      <c r="B2440" s="276">
        <v>1.0</v>
      </c>
    </row>
    <row r="2441">
      <c r="A2441" s="276" t="s">
        <v>3961</v>
      </c>
      <c r="B2441" s="276">
        <v>1.0</v>
      </c>
    </row>
    <row r="2442">
      <c r="A2442" s="276" t="s">
        <v>6845</v>
      </c>
      <c r="B2442" s="276">
        <v>1.0</v>
      </c>
    </row>
    <row r="2443">
      <c r="A2443" s="276" t="s">
        <v>6848</v>
      </c>
      <c r="B2443" s="276">
        <v>1.0</v>
      </c>
    </row>
    <row r="2444">
      <c r="A2444" s="276" t="s">
        <v>5734</v>
      </c>
      <c r="B2444" s="276">
        <v>1.0</v>
      </c>
    </row>
    <row r="2445">
      <c r="A2445" s="276" t="s">
        <v>6560</v>
      </c>
      <c r="B2445" s="276">
        <v>5.0</v>
      </c>
    </row>
    <row r="2446">
      <c r="A2446" s="276" t="s">
        <v>7452</v>
      </c>
      <c r="B2446" s="276">
        <v>1.0</v>
      </c>
    </row>
    <row r="2447">
      <c r="A2447" s="276" t="s">
        <v>7462</v>
      </c>
      <c r="B2447" s="276">
        <v>1.0</v>
      </c>
    </row>
    <row r="2448">
      <c r="A2448" s="276" t="s">
        <v>6996</v>
      </c>
      <c r="B2448" s="276">
        <v>1.0</v>
      </c>
    </row>
    <row r="2449">
      <c r="A2449" s="276" t="s">
        <v>4915</v>
      </c>
      <c r="B2449" s="276">
        <v>1.0</v>
      </c>
    </row>
    <row r="2450">
      <c r="A2450" s="276" t="s">
        <v>7284</v>
      </c>
      <c r="B2450" s="276">
        <v>1.0</v>
      </c>
    </row>
    <row r="2451">
      <c r="A2451" s="276" t="s">
        <v>2238</v>
      </c>
      <c r="B2451" s="276">
        <v>1.0</v>
      </c>
    </row>
    <row r="2452">
      <c r="A2452" s="276" t="s">
        <v>7291</v>
      </c>
      <c r="B2452" s="276">
        <v>1.0</v>
      </c>
    </row>
    <row r="2453">
      <c r="A2453" s="276" t="s">
        <v>6051</v>
      </c>
      <c r="B2453" s="276">
        <v>1.0</v>
      </c>
    </row>
    <row r="2454">
      <c r="A2454" s="276" t="s">
        <v>5049</v>
      </c>
      <c r="B2454" s="276">
        <v>1.0</v>
      </c>
    </row>
    <row r="2455">
      <c r="A2455" s="278" t="s">
        <v>4054</v>
      </c>
      <c r="B2455" s="276">
        <v>1.0</v>
      </c>
    </row>
    <row r="2456">
      <c r="A2456" s="276" t="s">
        <v>6005</v>
      </c>
      <c r="B2456" s="276">
        <v>1.0</v>
      </c>
    </row>
    <row r="2457">
      <c r="A2457" s="276" t="s">
        <v>7099</v>
      </c>
      <c r="B2457" s="276">
        <v>2.0</v>
      </c>
    </row>
    <row r="2458">
      <c r="A2458" s="276" t="s">
        <v>6225</v>
      </c>
      <c r="B2458" s="276">
        <v>1.0</v>
      </c>
    </row>
    <row r="2459">
      <c r="A2459" s="276" t="s">
        <v>5880</v>
      </c>
      <c r="B2459" s="276">
        <v>1.0</v>
      </c>
    </row>
    <row r="2460">
      <c r="A2460" s="276" t="s">
        <v>7111</v>
      </c>
      <c r="B2460" s="276">
        <v>1.0</v>
      </c>
    </row>
    <row r="2461">
      <c r="A2461" s="276" t="s">
        <v>4502</v>
      </c>
      <c r="B2461" s="276">
        <v>1.0</v>
      </c>
    </row>
    <row r="2462">
      <c r="A2462" s="276" t="s">
        <v>5030</v>
      </c>
      <c r="B2462" s="276">
        <v>1.0</v>
      </c>
    </row>
    <row r="2463">
      <c r="A2463" s="276" t="s">
        <v>7088</v>
      </c>
      <c r="B2463" s="276">
        <v>1.0</v>
      </c>
    </row>
    <row r="2464">
      <c r="A2464" s="276" t="s">
        <v>7013</v>
      </c>
      <c r="B2464" s="276">
        <v>1.0</v>
      </c>
    </row>
    <row r="2465">
      <c r="A2465" s="276" t="s">
        <v>5424</v>
      </c>
      <c r="B2465" s="276">
        <v>1.0</v>
      </c>
    </row>
    <row r="2466">
      <c r="A2466" s="276" t="s">
        <v>5512</v>
      </c>
      <c r="B2466" s="276">
        <v>1.0</v>
      </c>
    </row>
    <row r="2467">
      <c r="A2467" s="276" t="s">
        <v>4200</v>
      </c>
      <c r="B2467" s="276">
        <v>1.0</v>
      </c>
    </row>
    <row r="2468">
      <c r="A2468" s="276" t="s">
        <v>5396</v>
      </c>
      <c r="B2468" s="276">
        <v>1.0</v>
      </c>
    </row>
    <row r="2469">
      <c r="A2469" s="276" t="s">
        <v>6562</v>
      </c>
      <c r="B2469" s="276">
        <v>1.0</v>
      </c>
    </row>
    <row r="2470">
      <c r="A2470" s="276" t="s">
        <v>6564</v>
      </c>
      <c r="B2470" s="276">
        <v>1.0</v>
      </c>
    </row>
    <row r="2471">
      <c r="A2471" s="276" t="s">
        <v>6908</v>
      </c>
      <c r="B2471" s="276">
        <v>1.0</v>
      </c>
    </row>
    <row r="2472">
      <c r="A2472" s="276" t="s">
        <v>5467</v>
      </c>
      <c r="B2472" s="276">
        <v>1.0</v>
      </c>
    </row>
    <row r="2473">
      <c r="A2473" s="276" t="s">
        <v>4277</v>
      </c>
      <c r="B2473" s="276">
        <v>1.0</v>
      </c>
    </row>
    <row r="2474">
      <c r="A2474" s="276" t="s">
        <v>5969</v>
      </c>
      <c r="B2474" s="276">
        <v>1.0</v>
      </c>
    </row>
    <row r="2475">
      <c r="A2475" s="276" t="s">
        <v>6421</v>
      </c>
      <c r="B2475" s="276">
        <v>1.0</v>
      </c>
    </row>
    <row r="2476">
      <c r="A2476" s="276" t="s">
        <v>4102</v>
      </c>
      <c r="B2476" s="276">
        <v>1.0</v>
      </c>
    </row>
    <row r="2477">
      <c r="A2477" s="276" t="s">
        <v>5285</v>
      </c>
      <c r="B2477" s="276">
        <v>1.0</v>
      </c>
    </row>
    <row r="2478">
      <c r="A2478" s="276" t="s">
        <v>5374</v>
      </c>
      <c r="B2478" s="276">
        <v>1.0</v>
      </c>
    </row>
    <row r="2479">
      <c r="A2479" s="276" t="s">
        <v>7316</v>
      </c>
      <c r="B2479" s="276">
        <v>1.0</v>
      </c>
    </row>
    <row r="2480">
      <c r="A2480" s="276" t="s">
        <v>6436</v>
      </c>
      <c r="B2480" s="276">
        <v>1.0</v>
      </c>
    </row>
    <row r="2481">
      <c r="A2481" s="276" t="s">
        <v>3525</v>
      </c>
      <c r="B2481" s="276">
        <v>1.0</v>
      </c>
    </row>
    <row r="2482">
      <c r="A2482" s="276" t="s">
        <v>4002</v>
      </c>
      <c r="B2482" s="276">
        <v>1.0</v>
      </c>
    </row>
    <row r="2483">
      <c r="A2483" s="276" t="s">
        <v>5010</v>
      </c>
      <c r="B2483" s="276">
        <v>1.0</v>
      </c>
    </row>
    <row r="2484">
      <c r="A2484" s="276" t="s">
        <v>6565</v>
      </c>
      <c r="B2484" s="276">
        <v>1.0</v>
      </c>
    </row>
    <row r="2485">
      <c r="A2485" s="276" t="s">
        <v>1861</v>
      </c>
      <c r="B2485" s="276">
        <v>1.0</v>
      </c>
    </row>
    <row r="2486">
      <c r="A2486" s="276" t="s">
        <v>2611</v>
      </c>
      <c r="B2486" s="276">
        <v>1.0</v>
      </c>
    </row>
    <row r="2487">
      <c r="A2487" s="276" t="s">
        <v>6367</v>
      </c>
      <c r="B2487" s="276">
        <v>1.0</v>
      </c>
    </row>
    <row r="2488">
      <c r="A2488" s="276" t="s">
        <v>5016</v>
      </c>
      <c r="B2488" s="276">
        <v>1.0</v>
      </c>
    </row>
    <row r="2489">
      <c r="A2489" s="276" t="s">
        <v>4063</v>
      </c>
      <c r="B2489" s="276">
        <v>1.0</v>
      </c>
    </row>
    <row r="2490">
      <c r="A2490" s="276" t="s">
        <v>6640</v>
      </c>
      <c r="B2490" s="276">
        <v>1.0</v>
      </c>
    </row>
    <row r="2491">
      <c r="A2491" s="276" t="s">
        <v>4311</v>
      </c>
      <c r="B2491" s="276">
        <v>1.0</v>
      </c>
    </row>
    <row r="2492">
      <c r="A2492" s="276" t="s">
        <v>6137</v>
      </c>
      <c r="B2492" s="276">
        <v>2.0</v>
      </c>
    </row>
    <row r="2493">
      <c r="A2493" s="276" t="s">
        <v>5779</v>
      </c>
      <c r="B2493" s="276">
        <v>1.0</v>
      </c>
    </row>
    <row r="2494">
      <c r="A2494" s="276" t="s">
        <v>5729</v>
      </c>
      <c r="B2494" s="276">
        <v>1.0</v>
      </c>
    </row>
    <row r="2495">
      <c r="A2495" s="276" t="s">
        <v>4314</v>
      </c>
      <c r="B2495" s="276">
        <v>1.0</v>
      </c>
    </row>
    <row r="2496">
      <c r="A2496" s="276" t="s">
        <v>4752</v>
      </c>
      <c r="B2496" s="276">
        <v>1.0</v>
      </c>
    </row>
    <row r="2497">
      <c r="A2497" s="276" t="s">
        <v>7463</v>
      </c>
      <c r="B2497" s="276">
        <v>1.0</v>
      </c>
    </row>
    <row r="2498">
      <c r="A2498" s="276" t="s">
        <v>7145</v>
      </c>
      <c r="B2498" s="276">
        <v>1.0</v>
      </c>
    </row>
    <row r="2499">
      <c r="A2499" s="276" t="s">
        <v>4217</v>
      </c>
      <c r="B2499" s="276">
        <v>1.0</v>
      </c>
    </row>
    <row r="2500">
      <c r="A2500" s="276" t="s">
        <v>5147</v>
      </c>
      <c r="B2500" s="276">
        <v>1.0</v>
      </c>
    </row>
    <row r="2501">
      <c r="A2501" s="276" t="s">
        <v>5331</v>
      </c>
      <c r="B2501" s="276">
        <v>1.0</v>
      </c>
    </row>
    <row r="2502">
      <c r="A2502" s="276" t="s">
        <v>6567</v>
      </c>
      <c r="B2502" s="276">
        <v>1.0</v>
      </c>
    </row>
    <row r="2503">
      <c r="A2503" s="276" t="s">
        <v>4105</v>
      </c>
      <c r="B2503" s="276">
        <v>1.0</v>
      </c>
    </row>
    <row r="2504">
      <c r="A2504" s="276" t="s">
        <v>6570</v>
      </c>
      <c r="B2504" s="276">
        <v>1.0</v>
      </c>
    </row>
    <row r="2505">
      <c r="A2505" s="276" t="s">
        <v>4736</v>
      </c>
      <c r="B2505" s="276">
        <v>1.0</v>
      </c>
    </row>
    <row r="2506">
      <c r="A2506" s="276" t="s">
        <v>5301</v>
      </c>
      <c r="B2506" s="276">
        <v>1.0</v>
      </c>
    </row>
    <row r="2507">
      <c r="A2507" s="276" t="s">
        <v>5737</v>
      </c>
      <c r="B2507" s="276">
        <v>1.0</v>
      </c>
    </row>
    <row r="2508">
      <c r="A2508" s="276" t="s">
        <v>4939</v>
      </c>
      <c r="B2508" s="276">
        <v>1.0</v>
      </c>
    </row>
    <row r="2509">
      <c r="A2509" s="276" t="s">
        <v>5471</v>
      </c>
      <c r="B2509" s="276">
        <v>1.0</v>
      </c>
    </row>
    <row r="2510">
      <c r="A2510" s="276" t="s">
        <v>4158</v>
      </c>
      <c r="B2510" s="276">
        <v>1.0</v>
      </c>
    </row>
    <row r="2511">
      <c r="A2511" s="276" t="s">
        <v>5334</v>
      </c>
      <c r="B2511" s="276">
        <v>1.0</v>
      </c>
    </row>
    <row r="2512">
      <c r="A2512" s="276" t="s">
        <v>5230</v>
      </c>
      <c r="B2512" s="276">
        <v>1.0</v>
      </c>
    </row>
    <row r="2513">
      <c r="A2513" s="276" t="s">
        <v>6677</v>
      </c>
      <c r="B2513" s="276">
        <v>2.0</v>
      </c>
    </row>
    <row r="2514">
      <c r="A2514" s="276" t="s">
        <v>1651</v>
      </c>
      <c r="B2514" s="276">
        <v>1.0</v>
      </c>
    </row>
    <row r="2515">
      <c r="A2515" s="276" t="s">
        <v>5394</v>
      </c>
      <c r="B2515" s="276">
        <v>1.0</v>
      </c>
    </row>
    <row r="2516">
      <c r="A2516" s="276" t="s">
        <v>7365</v>
      </c>
      <c r="B2516" s="276">
        <v>1.0</v>
      </c>
    </row>
    <row r="2517">
      <c r="A2517" s="276" t="s">
        <v>5790</v>
      </c>
      <c r="B2517" s="276">
        <v>1.0</v>
      </c>
    </row>
    <row r="2518">
      <c r="A2518" s="276" t="s">
        <v>5602</v>
      </c>
      <c r="B2518" s="276">
        <v>1.0</v>
      </c>
    </row>
    <row r="2519">
      <c r="A2519" s="276" t="s">
        <v>6941</v>
      </c>
      <c r="B2519" s="276">
        <v>1.0</v>
      </c>
    </row>
    <row r="2520">
      <c r="A2520" s="276" t="s">
        <v>5845</v>
      </c>
      <c r="B2520" s="276">
        <v>1.0</v>
      </c>
    </row>
    <row r="2521">
      <c r="A2521" s="276" t="s">
        <v>4252</v>
      </c>
      <c r="B2521" s="276">
        <v>2.0</v>
      </c>
    </row>
    <row r="2522">
      <c r="A2522" s="276" t="s">
        <v>4622</v>
      </c>
      <c r="B2522" s="276">
        <v>1.0</v>
      </c>
    </row>
    <row r="2523">
      <c r="A2523" s="276" t="s">
        <v>2819</v>
      </c>
      <c r="B2523" s="276">
        <v>1.0</v>
      </c>
    </row>
    <row r="2524">
      <c r="A2524" s="276" t="s">
        <v>1056</v>
      </c>
      <c r="B2524" s="276">
        <v>1.0</v>
      </c>
    </row>
    <row r="2525">
      <c r="A2525" s="276" t="s">
        <v>5649</v>
      </c>
      <c r="B2525" s="276">
        <v>1.0</v>
      </c>
    </row>
    <row r="2526">
      <c r="A2526" s="276" t="s">
        <v>5622</v>
      </c>
      <c r="B2526" s="276">
        <v>1.0</v>
      </c>
    </row>
    <row r="2527">
      <c r="A2527" s="276" t="s">
        <v>6978</v>
      </c>
      <c r="B2527" s="276">
        <v>1.0</v>
      </c>
    </row>
    <row r="2528">
      <c r="A2528" s="276" t="s">
        <v>5318</v>
      </c>
      <c r="B2528" s="276">
        <v>1.0</v>
      </c>
    </row>
    <row r="2529">
      <c r="A2529" s="276" t="s">
        <v>7403</v>
      </c>
      <c r="B2529" s="276">
        <v>1.0</v>
      </c>
    </row>
    <row r="2530">
      <c r="A2530" s="276" t="s">
        <v>6573</v>
      </c>
      <c r="B2530" s="276">
        <v>1.0</v>
      </c>
    </row>
    <row r="2531">
      <c r="A2531" s="276" t="s">
        <v>5655</v>
      </c>
      <c r="B2531" s="276">
        <v>1.0</v>
      </c>
    </row>
    <row r="2532">
      <c r="A2532" s="276" t="s">
        <v>7411</v>
      </c>
      <c r="B2532" s="276">
        <v>1.0</v>
      </c>
    </row>
    <row r="2533">
      <c r="A2533" s="276" t="s">
        <v>4559</v>
      </c>
      <c r="B2533" s="276">
        <v>1.0</v>
      </c>
    </row>
    <row r="2534">
      <c r="A2534" s="276" t="s">
        <v>7229</v>
      </c>
      <c r="B2534" s="276">
        <v>1.0</v>
      </c>
    </row>
    <row r="2535">
      <c r="A2535" s="276" t="s">
        <v>6021</v>
      </c>
      <c r="B2535" s="276">
        <v>1.0</v>
      </c>
    </row>
    <row r="2536">
      <c r="A2536" s="276" t="s">
        <v>5859</v>
      </c>
      <c r="B2536" s="276">
        <v>1.0</v>
      </c>
    </row>
    <row r="2537">
      <c r="A2537" s="276" t="s">
        <v>7217</v>
      </c>
      <c r="B2537" s="276">
        <v>1.0</v>
      </c>
    </row>
    <row r="2538">
      <c r="A2538" s="276" t="s">
        <v>5242</v>
      </c>
      <c r="B2538" s="276">
        <v>1.0</v>
      </c>
    </row>
    <row r="2539">
      <c r="A2539" s="276" t="s">
        <v>4981</v>
      </c>
      <c r="B2539" s="276">
        <v>1.0</v>
      </c>
    </row>
    <row r="2540">
      <c r="A2540" s="276" t="s">
        <v>4898</v>
      </c>
      <c r="B2540" s="276">
        <v>2.0</v>
      </c>
    </row>
    <row r="2541">
      <c r="A2541" s="276" t="s">
        <v>6308</v>
      </c>
      <c r="B2541" s="276">
        <v>2.0</v>
      </c>
    </row>
    <row r="2542">
      <c r="A2542" s="276" t="s">
        <v>5962</v>
      </c>
      <c r="B2542" s="276">
        <v>1.0</v>
      </c>
    </row>
    <row r="2543">
      <c r="A2543" s="276" t="s">
        <v>5566</v>
      </c>
      <c r="B2543" s="276">
        <v>1.0</v>
      </c>
    </row>
    <row r="2544">
      <c r="A2544" s="276" t="s">
        <v>4832</v>
      </c>
      <c r="B2544" s="276">
        <v>1.0</v>
      </c>
    </row>
    <row r="2545">
      <c r="A2545" s="276" t="s">
        <v>6772</v>
      </c>
      <c r="B2545" s="276">
        <v>1.0</v>
      </c>
    </row>
    <row r="2546">
      <c r="A2546" s="276" t="s">
        <v>5323</v>
      </c>
      <c r="B2546" s="276">
        <v>1.0</v>
      </c>
    </row>
    <row r="2547">
      <c r="A2547" s="276" t="s">
        <v>5699</v>
      </c>
      <c r="B2547" s="276">
        <v>1.0</v>
      </c>
    </row>
    <row r="2548">
      <c r="A2548" s="276" t="s">
        <v>6976</v>
      </c>
      <c r="B2548" s="276">
        <v>1.0</v>
      </c>
    </row>
    <row r="2549">
      <c r="A2549" s="276" t="s">
        <v>4618</v>
      </c>
      <c r="B2549" s="276">
        <v>2.0</v>
      </c>
    </row>
    <row r="2550">
      <c r="A2550" s="276" t="s">
        <v>5965</v>
      </c>
      <c r="B2550" s="276">
        <v>1.0</v>
      </c>
    </row>
    <row r="2551">
      <c r="A2551" s="276" t="s">
        <v>5600</v>
      </c>
      <c r="B2551" s="276">
        <v>1.0</v>
      </c>
    </row>
    <row r="2552">
      <c r="A2552" s="276" t="s">
        <v>6715</v>
      </c>
      <c r="B2552" s="276">
        <v>3.0</v>
      </c>
    </row>
    <row r="2553">
      <c r="A2553" s="276" t="s">
        <v>5013</v>
      </c>
      <c r="B2553" s="276">
        <v>1.0</v>
      </c>
    </row>
    <row r="2554">
      <c r="A2554" s="276" t="s">
        <v>6409</v>
      </c>
      <c r="B2554" s="276">
        <v>1.0</v>
      </c>
    </row>
    <row r="2555">
      <c r="A2555" s="276" t="s">
        <v>7368</v>
      </c>
      <c r="B2555" s="276">
        <v>1.0</v>
      </c>
    </row>
    <row r="2556">
      <c r="A2556" s="276" t="s">
        <v>1143</v>
      </c>
      <c r="B2556" s="276">
        <v>1.0</v>
      </c>
    </row>
    <row r="2557">
      <c r="A2557" s="276" t="s">
        <v>7062</v>
      </c>
      <c r="B2557" s="276">
        <v>3.0</v>
      </c>
    </row>
    <row r="2558">
      <c r="A2558" s="276" t="s">
        <v>6660</v>
      </c>
      <c r="B2558" s="276">
        <v>1.0</v>
      </c>
    </row>
    <row r="2559">
      <c r="A2559" s="276" t="s">
        <v>5842</v>
      </c>
      <c r="B2559" s="276">
        <v>1.0</v>
      </c>
    </row>
    <row r="2560">
      <c r="A2560" s="276" t="s">
        <v>6093</v>
      </c>
      <c r="B2560" s="276">
        <v>1.0</v>
      </c>
    </row>
    <row r="2561">
      <c r="A2561" s="276" t="s">
        <v>7155</v>
      </c>
      <c r="B2561" s="276">
        <v>1.0</v>
      </c>
    </row>
    <row r="2562">
      <c r="A2562" s="276" t="s">
        <v>4683</v>
      </c>
      <c r="B2562" s="276">
        <v>1.0</v>
      </c>
    </row>
    <row r="2563">
      <c r="A2563" s="276" t="s">
        <v>4346</v>
      </c>
      <c r="B2563" s="276">
        <v>1.0</v>
      </c>
    </row>
    <row r="2564">
      <c r="A2564" s="276" t="s">
        <v>6318</v>
      </c>
      <c r="B2564" s="276">
        <v>1.0</v>
      </c>
    </row>
    <row r="2565">
      <c r="A2565" s="276" t="s">
        <v>6655</v>
      </c>
      <c r="B2565" s="276">
        <v>4.0</v>
      </c>
    </row>
    <row r="2566">
      <c r="A2566" s="276" t="s">
        <v>6207</v>
      </c>
      <c r="B2566" s="276">
        <v>1.0</v>
      </c>
    </row>
    <row r="2567">
      <c r="A2567" s="276" t="s">
        <v>4794</v>
      </c>
      <c r="B2567" s="276">
        <v>1.0</v>
      </c>
    </row>
    <row r="2568">
      <c r="A2568" s="276" t="s">
        <v>5093</v>
      </c>
      <c r="B2568" s="276">
        <v>1.0</v>
      </c>
    </row>
    <row r="2569">
      <c r="A2569" s="276" t="s">
        <v>3861</v>
      </c>
      <c r="B2569" s="276">
        <v>1.0</v>
      </c>
    </row>
    <row r="2570">
      <c r="A2570" s="276" t="s">
        <v>5315</v>
      </c>
      <c r="B2570" s="276">
        <v>1.0</v>
      </c>
    </row>
    <row r="2571">
      <c r="A2571" s="276" t="s">
        <v>4271</v>
      </c>
      <c r="B2571" s="276">
        <v>1.0</v>
      </c>
    </row>
    <row r="2572">
      <c r="A2572" s="276" t="s">
        <v>5103</v>
      </c>
      <c r="B2572" s="276">
        <v>1.0</v>
      </c>
    </row>
    <row r="2573">
      <c r="A2573" s="276" t="s">
        <v>6575</v>
      </c>
      <c r="B2573" s="276">
        <v>1.0</v>
      </c>
    </row>
    <row r="2574">
      <c r="A2574" s="276" t="s">
        <v>5753</v>
      </c>
      <c r="B2574" s="276">
        <v>1.0</v>
      </c>
    </row>
    <row r="2575">
      <c r="A2575" s="276" t="s">
        <v>5481</v>
      </c>
      <c r="B2575" s="276">
        <v>1.0</v>
      </c>
    </row>
    <row r="2576">
      <c r="A2576" s="276" t="s">
        <v>7100</v>
      </c>
      <c r="B2576" s="276">
        <v>1.0</v>
      </c>
    </row>
    <row r="2577">
      <c r="A2577" s="276" t="s">
        <v>5760</v>
      </c>
      <c r="B2577" s="276">
        <v>1.0</v>
      </c>
    </row>
    <row r="2578">
      <c r="A2578" s="276" t="s">
        <v>5757</v>
      </c>
      <c r="B2578" s="276">
        <v>1.0</v>
      </c>
    </row>
    <row r="2579">
      <c r="A2579" s="276" t="s">
        <v>4738</v>
      </c>
      <c r="B2579" s="276">
        <v>2.0</v>
      </c>
    </row>
    <row r="2580">
      <c r="A2580" s="276" t="s">
        <v>4420</v>
      </c>
      <c r="B2580" s="276">
        <v>1.0</v>
      </c>
    </row>
    <row r="2581">
      <c r="A2581" s="276" t="s">
        <v>4124</v>
      </c>
      <c r="B2581" s="276">
        <v>1.0</v>
      </c>
    </row>
    <row r="2582">
      <c r="A2582" s="276" t="s">
        <v>913</v>
      </c>
      <c r="B2582" s="276">
        <v>1.0</v>
      </c>
    </row>
    <row r="2583">
      <c r="A2583" s="276" t="s">
        <v>7425</v>
      </c>
      <c r="B2583" s="276">
        <v>1.0</v>
      </c>
    </row>
    <row r="2584">
      <c r="A2584" s="276" t="s">
        <v>5982</v>
      </c>
      <c r="B2584" s="276">
        <v>1.0</v>
      </c>
    </row>
    <row r="2585">
      <c r="A2585" s="276" t="s">
        <v>5207</v>
      </c>
      <c r="B2585" s="276">
        <v>1.0</v>
      </c>
    </row>
    <row r="2586">
      <c r="A2586" s="276" t="s">
        <v>4760</v>
      </c>
      <c r="B2586" s="276">
        <v>1.0</v>
      </c>
    </row>
    <row r="2587">
      <c r="A2587" s="276" t="s">
        <v>6386</v>
      </c>
      <c r="B2587" s="276">
        <v>1.0</v>
      </c>
    </row>
    <row r="2588">
      <c r="A2588" s="276" t="s">
        <v>5337</v>
      </c>
      <c r="B2588" s="276">
        <v>1.0</v>
      </c>
    </row>
    <row r="2589">
      <c r="A2589" s="276" t="s">
        <v>4704</v>
      </c>
      <c r="B2589" s="276">
        <v>2.0</v>
      </c>
    </row>
    <row r="2590">
      <c r="A2590" s="276" t="s">
        <v>6765</v>
      </c>
      <c r="B2590" s="276">
        <v>1.0</v>
      </c>
    </row>
    <row r="2591">
      <c r="A2591" s="276" t="s">
        <v>6835</v>
      </c>
      <c r="B2591" s="276">
        <v>1.0</v>
      </c>
    </row>
    <row r="2592">
      <c r="A2592" s="276" t="s">
        <v>6327</v>
      </c>
      <c r="B2592" s="276">
        <v>1.0</v>
      </c>
    </row>
    <row r="2593">
      <c r="A2593" s="276" t="s">
        <v>4678</v>
      </c>
      <c r="B2593" s="276">
        <v>1.0</v>
      </c>
    </row>
    <row r="2594">
      <c r="A2594" s="276" t="s">
        <v>6626</v>
      </c>
      <c r="B2594" s="276">
        <v>1.0</v>
      </c>
    </row>
    <row r="2595">
      <c r="A2595" s="276" t="s">
        <v>5114</v>
      </c>
      <c r="B2595" s="276">
        <v>1.0</v>
      </c>
    </row>
    <row r="2596">
      <c r="A2596" s="276" t="s">
        <v>6391</v>
      </c>
      <c r="B2596" s="276">
        <v>1.0</v>
      </c>
    </row>
    <row r="2597">
      <c r="A2597" s="276" t="s">
        <v>6702</v>
      </c>
      <c r="B2597" s="276">
        <v>1.0</v>
      </c>
    </row>
    <row r="2598">
      <c r="A2598" s="276" t="s">
        <v>5608</v>
      </c>
      <c r="B2598" s="276">
        <v>2.0</v>
      </c>
    </row>
    <row r="2599">
      <c r="A2599" s="276" t="s">
        <v>4772</v>
      </c>
      <c r="B2599" s="276">
        <v>1.0</v>
      </c>
    </row>
    <row r="2600">
      <c r="A2600" s="276" t="s">
        <v>4258</v>
      </c>
      <c r="B2600" s="276">
        <v>1.0</v>
      </c>
    </row>
    <row r="2601">
      <c r="A2601" s="276" t="s">
        <v>6904</v>
      </c>
      <c r="B2601" s="276">
        <v>1.0</v>
      </c>
    </row>
    <row r="2602">
      <c r="A2602" s="276" t="s">
        <v>5321</v>
      </c>
      <c r="B2602" s="276">
        <v>1.0</v>
      </c>
    </row>
    <row r="2603">
      <c r="A2603" s="276" t="s">
        <v>5683</v>
      </c>
      <c r="B2603" s="276">
        <v>1.0</v>
      </c>
    </row>
    <row r="2604">
      <c r="A2604" s="276" t="s">
        <v>4208</v>
      </c>
      <c r="B2604" s="276">
        <v>1.0</v>
      </c>
    </row>
    <row r="2605">
      <c r="A2605" s="276" t="s">
        <v>5489</v>
      </c>
      <c r="B2605" s="276">
        <v>1.0</v>
      </c>
    </row>
    <row r="2606">
      <c r="A2606" s="276" t="s">
        <v>6150</v>
      </c>
      <c r="B2606" s="276">
        <v>1.0</v>
      </c>
    </row>
    <row r="2607">
      <c r="A2607" s="276" t="s">
        <v>6293</v>
      </c>
      <c r="B2607" s="276">
        <v>1.0</v>
      </c>
    </row>
    <row r="2608">
      <c r="A2608" s="276" t="s">
        <v>5404</v>
      </c>
      <c r="B2608" s="276">
        <v>1.0</v>
      </c>
    </row>
    <row r="2609">
      <c r="A2609" s="276" t="s">
        <v>3620</v>
      </c>
      <c r="B2609" s="276">
        <v>1.0</v>
      </c>
    </row>
    <row r="2610">
      <c r="A2610" s="276" t="s">
        <v>6255</v>
      </c>
      <c r="B2610" s="276">
        <v>1.0</v>
      </c>
    </row>
    <row r="2611">
      <c r="A2611" s="276" t="s">
        <v>4844</v>
      </c>
      <c r="B2611" s="276">
        <v>1.0</v>
      </c>
    </row>
    <row r="2612">
      <c r="A2612" s="276" t="s">
        <v>5635</v>
      </c>
      <c r="B2612" s="276">
        <v>1.0</v>
      </c>
    </row>
    <row r="2613">
      <c r="A2613" s="276" t="s">
        <v>6579</v>
      </c>
      <c r="B2613" s="276">
        <v>1.0</v>
      </c>
    </row>
    <row r="2614">
      <c r="A2614" s="276" t="s">
        <v>6007</v>
      </c>
      <c r="B2614" s="276">
        <v>1.0</v>
      </c>
    </row>
    <row r="2615">
      <c r="A2615" s="276" t="s">
        <v>4883</v>
      </c>
      <c r="B2615" s="276">
        <v>1.0</v>
      </c>
    </row>
    <row r="2616">
      <c r="A2616" s="276" t="s">
        <v>6389</v>
      </c>
      <c r="B2616" s="276">
        <v>5.0</v>
      </c>
    </row>
    <row r="2617">
      <c r="A2617" s="276" t="s">
        <v>665</v>
      </c>
      <c r="B2617" s="276">
        <v>1.0</v>
      </c>
    </row>
    <row r="2618">
      <c r="A2618" s="276" t="s">
        <v>4278</v>
      </c>
      <c r="B2618" s="276">
        <v>1.0</v>
      </c>
    </row>
    <row r="2619">
      <c r="A2619" s="276" t="s">
        <v>5954</v>
      </c>
      <c r="B2619" s="276">
        <v>1.0</v>
      </c>
    </row>
    <row r="2620">
      <c r="A2620" s="276" t="s">
        <v>5129</v>
      </c>
      <c r="B2620" s="276">
        <v>1.0</v>
      </c>
    </row>
    <row r="2621">
      <c r="A2621" s="276" t="s">
        <v>6055</v>
      </c>
      <c r="B2621" s="276">
        <v>1.0</v>
      </c>
    </row>
    <row r="2622">
      <c r="A2622" s="276" t="s">
        <v>6044</v>
      </c>
      <c r="B2622" s="276">
        <v>1.0</v>
      </c>
    </row>
    <row r="2623">
      <c r="A2623" s="276" t="s">
        <v>2430</v>
      </c>
      <c r="B2623" s="276">
        <v>1.0</v>
      </c>
    </row>
    <row r="2624">
      <c r="A2624" s="276" t="s">
        <v>6248</v>
      </c>
      <c r="B2624" s="276">
        <v>2.0</v>
      </c>
    </row>
    <row r="2625">
      <c r="A2625" s="276" t="s">
        <v>3895</v>
      </c>
      <c r="B2625" s="276">
        <v>1.0</v>
      </c>
    </row>
    <row r="2626">
      <c r="A2626" s="276" t="s">
        <v>6437</v>
      </c>
      <c r="B2626" s="276">
        <v>1.0</v>
      </c>
    </row>
    <row r="2627">
      <c r="A2627" s="276" t="s">
        <v>7207</v>
      </c>
      <c r="B2627" s="276">
        <v>1.0</v>
      </c>
    </row>
    <row r="2628">
      <c r="A2628" s="276" t="s">
        <v>6427</v>
      </c>
      <c r="B2628" s="276">
        <v>1.0</v>
      </c>
    </row>
    <row r="2629">
      <c r="A2629" s="276" t="s">
        <v>5828</v>
      </c>
      <c r="B2629" s="276">
        <v>1.0</v>
      </c>
    </row>
    <row r="2630">
      <c r="A2630" s="276" t="s">
        <v>5256</v>
      </c>
      <c r="B2630" s="276">
        <v>1.0</v>
      </c>
    </row>
    <row r="2631">
      <c r="A2631" s="276" t="s">
        <v>6804</v>
      </c>
      <c r="B2631" s="276">
        <v>1.0</v>
      </c>
    </row>
    <row r="2632">
      <c r="A2632" s="276" t="s">
        <v>4060</v>
      </c>
      <c r="B2632" s="276">
        <v>1.0</v>
      </c>
    </row>
    <row r="2633">
      <c r="A2633" s="276" t="s">
        <v>6431</v>
      </c>
      <c r="B2633" s="276">
        <v>1.0</v>
      </c>
    </row>
    <row r="2634">
      <c r="A2634" s="276" t="s">
        <v>5596</v>
      </c>
      <c r="B2634" s="276">
        <v>1.0</v>
      </c>
    </row>
    <row r="2635">
      <c r="A2635" s="276" t="s">
        <v>6340</v>
      </c>
      <c r="B2635" s="276">
        <v>1.0</v>
      </c>
    </row>
    <row r="2636">
      <c r="A2636" s="276" t="s">
        <v>5390</v>
      </c>
      <c r="B2636" s="276">
        <v>1.0</v>
      </c>
    </row>
    <row r="2637">
      <c r="A2637" s="276" t="s">
        <v>5825</v>
      </c>
      <c r="B2637" s="276">
        <v>1.0</v>
      </c>
    </row>
    <row r="2638">
      <c r="A2638" s="276" t="s">
        <v>3882</v>
      </c>
      <c r="B2638" s="276">
        <v>1.0</v>
      </c>
    </row>
    <row r="2639">
      <c r="A2639" s="276" t="s">
        <v>4449</v>
      </c>
      <c r="B2639" s="276">
        <v>1.0</v>
      </c>
    </row>
    <row r="2640">
      <c r="A2640" s="276" t="s">
        <v>7289</v>
      </c>
      <c r="B2640" s="276">
        <v>1.0</v>
      </c>
    </row>
    <row r="2641">
      <c r="A2641" s="276" t="s">
        <v>3900</v>
      </c>
      <c r="B2641" s="276">
        <v>1.0</v>
      </c>
    </row>
    <row r="2642">
      <c r="A2642" s="276" t="s">
        <v>7073</v>
      </c>
      <c r="B2642" s="276">
        <v>1.0</v>
      </c>
    </row>
    <row r="2643">
      <c r="A2643" s="276" t="s">
        <v>7252</v>
      </c>
      <c r="B2643" s="276">
        <v>1.0</v>
      </c>
    </row>
    <row r="2644">
      <c r="A2644" s="276" t="s">
        <v>6675</v>
      </c>
      <c r="B2644" s="276">
        <v>1.0</v>
      </c>
    </row>
    <row r="2645">
      <c r="A2645" s="276" t="s">
        <v>2278</v>
      </c>
      <c r="B2645" s="276">
        <v>1.0</v>
      </c>
    </row>
    <row r="2646">
      <c r="A2646" s="276" t="s">
        <v>4161</v>
      </c>
      <c r="B2646" s="276">
        <v>1.0</v>
      </c>
    </row>
    <row r="2647">
      <c r="A2647" s="276" t="s">
        <v>5840</v>
      </c>
      <c r="B2647" s="276">
        <v>1.0</v>
      </c>
    </row>
    <row r="2648">
      <c r="A2648" s="276" t="s">
        <v>5835</v>
      </c>
      <c r="B2648" s="276">
        <v>1.0</v>
      </c>
    </row>
    <row r="2649">
      <c r="A2649" s="276" t="s">
        <v>6581</v>
      </c>
      <c r="B2649" s="276">
        <v>1.0</v>
      </c>
    </row>
    <row r="2650">
      <c r="A2650" s="276" t="s">
        <v>7008</v>
      </c>
      <c r="B2650" s="276">
        <v>1.0</v>
      </c>
    </row>
    <row r="2651">
      <c r="A2651" s="276" t="s">
        <v>7337</v>
      </c>
      <c r="B2651" s="276">
        <v>1.0</v>
      </c>
    </row>
    <row r="2652">
      <c r="A2652" s="276" t="s">
        <v>7273</v>
      </c>
      <c r="B2652" s="276">
        <v>1.0</v>
      </c>
    </row>
    <row r="2653">
      <c r="A2653" s="276" t="s">
        <v>6056</v>
      </c>
      <c r="B2653" s="276">
        <v>1.0</v>
      </c>
    </row>
    <row r="2654">
      <c r="A2654" s="276" t="s">
        <v>7262</v>
      </c>
      <c r="B2654" s="276">
        <v>1.0</v>
      </c>
    </row>
    <row r="2655">
      <c r="A2655" s="276" t="s">
        <v>5218</v>
      </c>
      <c r="B2655" s="276">
        <v>1.0</v>
      </c>
    </row>
    <row r="2656">
      <c r="A2656" s="276" t="s">
        <v>6438</v>
      </c>
      <c r="B2656" s="276">
        <v>1.0</v>
      </c>
    </row>
    <row r="2657">
      <c r="A2657" s="276" t="s">
        <v>5068</v>
      </c>
      <c r="B2657" s="276">
        <v>1.0</v>
      </c>
    </row>
    <row r="2658">
      <c r="A2658" s="276" t="s">
        <v>7294</v>
      </c>
      <c r="B2658" s="276">
        <v>1.0</v>
      </c>
    </row>
    <row r="2659">
      <c r="A2659" s="276" t="s">
        <v>5831</v>
      </c>
      <c r="B2659" s="276">
        <v>1.0</v>
      </c>
    </row>
    <row r="2660">
      <c r="A2660" s="276" t="s">
        <v>7251</v>
      </c>
      <c r="B2660" s="276">
        <v>1.0</v>
      </c>
    </row>
    <row r="2661">
      <c r="A2661" s="276" t="s">
        <v>7044</v>
      </c>
      <c r="B2661" s="276">
        <v>1.0</v>
      </c>
    </row>
    <row r="2662">
      <c r="A2662" s="276" t="s">
        <v>5119</v>
      </c>
      <c r="B2662" s="276">
        <v>1.0</v>
      </c>
    </row>
    <row r="2663">
      <c r="A2663" s="276" t="s">
        <v>7264</v>
      </c>
      <c r="B2663" s="276">
        <v>1.0</v>
      </c>
    </row>
    <row r="2664">
      <c r="A2664" s="276" t="s">
        <v>4820</v>
      </c>
      <c r="B2664" s="276">
        <v>1.0</v>
      </c>
    </row>
    <row r="2665">
      <c r="A2665" s="276" t="s">
        <v>3481</v>
      </c>
      <c r="B2665" s="276">
        <v>1.0</v>
      </c>
    </row>
    <row r="2666">
      <c r="A2666" s="276" t="s">
        <v>7248</v>
      </c>
      <c r="B2666" s="276">
        <v>1.0</v>
      </c>
    </row>
    <row r="2667">
      <c r="A2667" s="276" t="s">
        <v>7270</v>
      </c>
      <c r="B2667" s="276">
        <v>1.0</v>
      </c>
    </row>
    <row r="2668">
      <c r="A2668" s="276" t="s">
        <v>4211</v>
      </c>
      <c r="B2668" s="276">
        <v>1.0</v>
      </c>
    </row>
    <row r="2669">
      <c r="A2669" s="276" t="s">
        <v>5844</v>
      </c>
      <c r="B2669" s="276">
        <v>1.0</v>
      </c>
    </row>
    <row r="2670">
      <c r="A2670" s="276" t="s">
        <v>4720</v>
      </c>
      <c r="B2670" s="276">
        <v>1.0</v>
      </c>
    </row>
    <row r="2671">
      <c r="A2671" s="276" t="s">
        <v>5573</v>
      </c>
      <c r="B2671" s="276">
        <v>2.0</v>
      </c>
    </row>
    <row r="2672">
      <c r="A2672" s="276" t="s">
        <v>4468</v>
      </c>
      <c r="B2672" s="276">
        <v>1.0</v>
      </c>
    </row>
    <row r="2673">
      <c r="A2673" s="276" t="s">
        <v>6596</v>
      </c>
      <c r="B2673" s="276">
        <v>1.0</v>
      </c>
    </row>
    <row r="2674">
      <c r="A2674" s="276" t="s">
        <v>4207</v>
      </c>
      <c r="B2674" s="276">
        <v>1.0</v>
      </c>
    </row>
    <row r="2675">
      <c r="A2675" s="276" t="s">
        <v>4776</v>
      </c>
      <c r="B2675" s="276">
        <v>1.0</v>
      </c>
    </row>
    <row r="2676">
      <c r="A2676" s="276" t="s">
        <v>4328</v>
      </c>
      <c r="B2676" s="276">
        <v>1.0</v>
      </c>
    </row>
    <row r="2677">
      <c r="A2677" s="276" t="s">
        <v>5082</v>
      </c>
      <c r="B2677" s="276">
        <v>1.0</v>
      </c>
    </row>
    <row r="2678">
      <c r="A2678" s="276" t="s">
        <v>5771</v>
      </c>
      <c r="B2678" s="276">
        <v>1.0</v>
      </c>
    </row>
    <row r="2679">
      <c r="A2679" s="276" t="s">
        <v>5354</v>
      </c>
      <c r="B2679" s="276">
        <v>1.0</v>
      </c>
    </row>
    <row r="2680">
      <c r="A2680" s="276" t="s">
        <v>2013</v>
      </c>
      <c r="B2680" s="276">
        <v>1.0</v>
      </c>
    </row>
    <row r="2681">
      <c r="A2681" s="276" t="s">
        <v>7211</v>
      </c>
      <c r="B2681" s="276">
        <v>1.0</v>
      </c>
    </row>
    <row r="2682">
      <c r="A2682" s="276" t="s">
        <v>4584</v>
      </c>
      <c r="B2682" s="276">
        <v>1.0</v>
      </c>
    </row>
    <row r="2683">
      <c r="A2683" s="276" t="s">
        <v>5624</v>
      </c>
      <c r="B2683" s="276">
        <v>1.0</v>
      </c>
    </row>
    <row r="2684">
      <c r="A2684" s="276" t="s">
        <v>4695</v>
      </c>
      <c r="B2684" s="276">
        <v>1.0</v>
      </c>
    </row>
    <row r="2685">
      <c r="A2685" s="276" t="s">
        <v>5426</v>
      </c>
      <c r="B2685" s="276">
        <v>1.0</v>
      </c>
    </row>
    <row r="2686">
      <c r="A2686" s="276" t="s">
        <v>4943</v>
      </c>
      <c r="B2686" s="276">
        <v>1.0</v>
      </c>
    </row>
    <row r="2687">
      <c r="A2687" s="276" t="s">
        <v>1479</v>
      </c>
      <c r="B2687" s="276">
        <v>1.0</v>
      </c>
    </row>
    <row r="2688">
      <c r="A2688" s="276" t="s">
        <v>5287</v>
      </c>
      <c r="B2688" s="276">
        <v>1.0</v>
      </c>
    </row>
    <row r="2689">
      <c r="A2689" s="276" t="s">
        <v>4024</v>
      </c>
      <c r="B2689" s="276">
        <v>1.0</v>
      </c>
    </row>
    <row r="2690">
      <c r="A2690" s="276" t="s">
        <v>5592</v>
      </c>
      <c r="B2690" s="276">
        <v>1.0</v>
      </c>
    </row>
    <row r="2691">
      <c r="A2691" s="276" t="s">
        <v>3974</v>
      </c>
      <c r="B2691" s="276">
        <v>1.0</v>
      </c>
    </row>
    <row r="2692">
      <c r="A2692" s="276" t="s">
        <v>5884</v>
      </c>
      <c r="B2692" s="276">
        <v>1.0</v>
      </c>
    </row>
    <row r="2693">
      <c r="A2693" s="276" t="s">
        <v>4137</v>
      </c>
      <c r="B2693" s="276">
        <v>1.0</v>
      </c>
    </row>
    <row r="2694">
      <c r="A2694" s="276" t="s">
        <v>7070</v>
      </c>
      <c r="B2694" s="276">
        <v>1.0</v>
      </c>
    </row>
    <row r="2695">
      <c r="A2695" s="276" t="s">
        <v>3898</v>
      </c>
      <c r="B2695" s="276">
        <v>1.0</v>
      </c>
    </row>
    <row r="2696">
      <c r="A2696" s="276" t="s">
        <v>4028</v>
      </c>
      <c r="B2696" s="276">
        <v>1.0</v>
      </c>
    </row>
    <row r="2697">
      <c r="A2697" s="276" t="s">
        <v>4511</v>
      </c>
      <c r="B2697" s="276">
        <v>1.0</v>
      </c>
    </row>
    <row r="2698">
      <c r="A2698" s="278" t="s">
        <v>922</v>
      </c>
      <c r="B2698" s="276">
        <v>1.0</v>
      </c>
    </row>
    <row r="2699">
      <c r="A2699" s="276" t="s">
        <v>4814</v>
      </c>
      <c r="B2699" s="276">
        <v>1.0</v>
      </c>
    </row>
    <row r="2700">
      <c r="A2700" s="276" t="s">
        <v>5072</v>
      </c>
      <c r="B2700" s="276">
        <v>1.0</v>
      </c>
    </row>
    <row r="2701">
      <c r="A2701" s="276" t="s">
        <v>5380</v>
      </c>
      <c r="B2701" s="276">
        <v>1.0</v>
      </c>
    </row>
    <row r="2702">
      <c r="A2702" s="276" t="s">
        <v>5395</v>
      </c>
      <c r="B2702" s="276">
        <v>1.0</v>
      </c>
    </row>
    <row r="2703">
      <c r="A2703" s="276" t="s">
        <v>4356</v>
      </c>
      <c r="B2703" s="276">
        <v>1.0</v>
      </c>
    </row>
    <row r="2704">
      <c r="A2704" s="276" t="s">
        <v>3329</v>
      </c>
      <c r="B2704" s="276">
        <v>1.0</v>
      </c>
    </row>
    <row r="2705">
      <c r="A2705" s="276" t="s">
        <v>7152</v>
      </c>
      <c r="B2705" s="276">
        <v>1.0</v>
      </c>
    </row>
    <row r="2706">
      <c r="A2706" s="276" t="s">
        <v>4661</v>
      </c>
      <c r="B2706" s="276">
        <v>1.0</v>
      </c>
    </row>
    <row r="2707">
      <c r="A2707" s="276" t="s">
        <v>6962</v>
      </c>
      <c r="B2707" s="276">
        <v>1.0</v>
      </c>
    </row>
    <row r="2708">
      <c r="A2708" s="276" t="s">
        <v>7254</v>
      </c>
      <c r="B2708" s="276">
        <v>1.0</v>
      </c>
    </row>
    <row r="2709">
      <c r="A2709" s="276" t="s">
        <v>5550</v>
      </c>
      <c r="B2709" s="276">
        <v>1.0</v>
      </c>
    </row>
    <row r="2710">
      <c r="A2710" s="276" t="s">
        <v>6272</v>
      </c>
      <c r="B2710" s="276">
        <v>1.0</v>
      </c>
    </row>
    <row r="2711">
      <c r="A2711" s="276" t="s">
        <v>4338</v>
      </c>
      <c r="B2711" s="276">
        <v>1.0</v>
      </c>
    </row>
    <row r="2712">
      <c r="A2712" s="276" t="s">
        <v>4597</v>
      </c>
      <c r="B2712" s="276">
        <v>1.0</v>
      </c>
    </row>
    <row r="2713">
      <c r="A2713" s="276" t="s">
        <v>6297</v>
      </c>
      <c r="B2713" s="276">
        <v>1.0</v>
      </c>
    </row>
    <row r="2714">
      <c r="A2714" s="276" t="s">
        <v>5500</v>
      </c>
      <c r="B2714" s="276">
        <v>1.0</v>
      </c>
    </row>
    <row r="2715">
      <c r="A2715" s="276" t="s">
        <v>4426</v>
      </c>
      <c r="B2715" s="276">
        <v>1.0</v>
      </c>
    </row>
    <row r="2716">
      <c r="A2716" s="276" t="s">
        <v>6968</v>
      </c>
      <c r="B2716" s="276">
        <v>1.0</v>
      </c>
    </row>
    <row r="2717">
      <c r="A2717" s="276" t="s">
        <v>4693</v>
      </c>
      <c r="B2717" s="276">
        <v>1.0</v>
      </c>
    </row>
    <row r="2718">
      <c r="A2718" s="276" t="s">
        <v>6014</v>
      </c>
      <c r="B2718" s="276">
        <v>1.0</v>
      </c>
    </row>
    <row r="2719">
      <c r="A2719" s="276" t="s">
        <v>7407</v>
      </c>
      <c r="B2719" s="276">
        <v>1.0</v>
      </c>
    </row>
    <row r="2720">
      <c r="A2720" s="276" t="s">
        <v>4100</v>
      </c>
      <c r="B2720" s="276">
        <v>1.0</v>
      </c>
    </row>
    <row r="2721">
      <c r="A2721" s="276" t="s">
        <v>5888</v>
      </c>
      <c r="B2721" s="276">
        <v>1.0</v>
      </c>
    </row>
    <row r="2722">
      <c r="A2722" s="276" t="s">
        <v>4008</v>
      </c>
      <c r="B2722" s="276">
        <v>2.0</v>
      </c>
    </row>
    <row r="2723">
      <c r="A2723" s="276" t="s">
        <v>6607</v>
      </c>
      <c r="B2723" s="276">
        <v>1.0</v>
      </c>
    </row>
    <row r="2724">
      <c r="A2724" s="276" t="s">
        <v>3939</v>
      </c>
      <c r="B2724" s="276">
        <v>1.0</v>
      </c>
    </row>
    <row r="2725">
      <c r="A2725" s="276" t="s">
        <v>3914</v>
      </c>
      <c r="B2725" s="276">
        <v>1.0</v>
      </c>
    </row>
    <row r="2726">
      <c r="A2726" s="276" t="s">
        <v>3870</v>
      </c>
      <c r="B2726" s="276">
        <v>1.0</v>
      </c>
    </row>
    <row r="2727">
      <c r="A2727" s="276" t="s">
        <v>4019</v>
      </c>
      <c r="B2727" s="276">
        <v>1.0</v>
      </c>
    </row>
    <row r="2728">
      <c r="A2728" s="276" t="s">
        <v>5350</v>
      </c>
      <c r="B2728" s="276">
        <v>1.0</v>
      </c>
    </row>
    <row r="2729">
      <c r="A2729" s="276" t="s">
        <v>6584</v>
      </c>
      <c r="B2729" s="276">
        <v>3.0</v>
      </c>
    </row>
    <row r="2730">
      <c r="A2730" s="276" t="s">
        <v>5518</v>
      </c>
      <c r="B2730" s="276">
        <v>1.0</v>
      </c>
    </row>
    <row r="2731">
      <c r="A2731" s="276" t="s">
        <v>4715</v>
      </c>
      <c r="B2731" s="276">
        <v>1.0</v>
      </c>
    </row>
    <row r="2732">
      <c r="A2732" s="276" t="s">
        <v>6687</v>
      </c>
      <c r="B2732" s="276">
        <v>1.0</v>
      </c>
    </row>
    <row r="2733">
      <c r="A2733" s="276" t="s">
        <v>7149</v>
      </c>
      <c r="B2733" s="276">
        <v>1.0</v>
      </c>
    </row>
    <row r="2734">
      <c r="A2734" s="276" t="s">
        <v>7453</v>
      </c>
      <c r="B2734" s="276">
        <v>1.0</v>
      </c>
    </row>
    <row r="2735">
      <c r="A2735" s="276" t="s">
        <v>4224</v>
      </c>
      <c r="B2735" s="276">
        <v>1.0</v>
      </c>
    </row>
    <row r="2736">
      <c r="A2736" s="276" t="s">
        <v>7076</v>
      </c>
      <c r="B2736" s="276">
        <v>1.0</v>
      </c>
    </row>
    <row r="2737">
      <c r="A2737" s="276" t="s">
        <v>5328</v>
      </c>
      <c r="B2737" s="276">
        <v>1.0</v>
      </c>
    </row>
    <row r="2738">
      <c r="A2738" s="276" t="s">
        <v>4700</v>
      </c>
      <c r="B2738" s="276">
        <v>1.0</v>
      </c>
    </row>
    <row r="2739">
      <c r="A2739" s="276" t="s">
        <v>7459</v>
      </c>
      <c r="B2739" s="276">
        <v>1.0</v>
      </c>
    </row>
    <row r="2740">
      <c r="A2740" s="276" t="s">
        <v>4613</v>
      </c>
      <c r="B2740" s="276">
        <v>1.0</v>
      </c>
    </row>
    <row r="2741">
      <c r="A2741" s="276" t="s">
        <v>4577</v>
      </c>
      <c r="B2741" s="276">
        <v>1.0</v>
      </c>
    </row>
    <row r="2742">
      <c r="A2742" s="276" t="s">
        <v>5106</v>
      </c>
      <c r="B2742" s="276">
        <v>1.0</v>
      </c>
    </row>
    <row r="2743">
      <c r="A2743" s="276" t="s">
        <v>4242</v>
      </c>
      <c r="B2743" s="276">
        <v>1.0</v>
      </c>
    </row>
    <row r="2744">
      <c r="A2744" s="276" t="s">
        <v>6432</v>
      </c>
      <c r="B2744" s="276">
        <v>1.0</v>
      </c>
    </row>
    <row r="2745">
      <c r="A2745" s="276" t="s">
        <v>4979</v>
      </c>
      <c r="B2745" s="276">
        <v>1.0</v>
      </c>
    </row>
    <row r="2746">
      <c r="A2746" s="276" t="s">
        <v>5722</v>
      </c>
      <c r="B2746" s="276">
        <v>1.0</v>
      </c>
    </row>
    <row r="2747">
      <c r="A2747" s="276" t="s">
        <v>5422</v>
      </c>
      <c r="B2747" s="276">
        <v>1.0</v>
      </c>
    </row>
    <row r="2748">
      <c r="A2748" s="276" t="s">
        <v>5363</v>
      </c>
      <c r="B2748" s="276">
        <v>1.0</v>
      </c>
    </row>
    <row r="2749">
      <c r="A2749" s="276" t="s">
        <v>6585</v>
      </c>
      <c r="B2749" s="276">
        <v>1.0</v>
      </c>
    </row>
    <row r="2750">
      <c r="A2750" s="276" t="s">
        <v>4520</v>
      </c>
      <c r="B2750" s="276">
        <v>1.0</v>
      </c>
    </row>
    <row r="2751">
      <c r="A2751" s="276" t="s">
        <v>5497</v>
      </c>
      <c r="B2751" s="276">
        <v>1.0</v>
      </c>
    </row>
    <row r="2752">
      <c r="A2752" s="276" t="s">
        <v>5264</v>
      </c>
      <c r="B2752" s="276">
        <v>1.0</v>
      </c>
    </row>
    <row r="2753">
      <c r="A2753" s="276" t="s">
        <v>5273</v>
      </c>
      <c r="B2753" s="276">
        <v>1.0</v>
      </c>
    </row>
    <row r="2754">
      <c r="A2754" s="276" t="s">
        <v>4050</v>
      </c>
      <c r="B2754" s="276">
        <v>1.0</v>
      </c>
    </row>
    <row r="2755">
      <c r="A2755" s="276" t="s">
        <v>4766</v>
      </c>
      <c r="B2755" s="276">
        <v>1.0</v>
      </c>
    </row>
    <row r="2756">
      <c r="A2756" s="276" t="s">
        <v>4047</v>
      </c>
      <c r="B2756" s="276">
        <v>2.0</v>
      </c>
    </row>
    <row r="2757">
      <c r="A2757" s="276" t="s">
        <v>4591</v>
      </c>
      <c r="B2757" s="276">
        <v>1.0</v>
      </c>
    </row>
    <row r="2758">
      <c r="A2758" s="276" t="s">
        <v>6300</v>
      </c>
      <c r="B2758" s="276">
        <v>1.0</v>
      </c>
    </row>
    <row r="2759">
      <c r="A2759" s="276" t="s">
        <v>4627</v>
      </c>
      <c r="B2759" s="276">
        <v>1.0</v>
      </c>
    </row>
    <row r="2760">
      <c r="A2760" s="276" t="s">
        <v>4878</v>
      </c>
      <c r="B2760" s="276">
        <v>1.0</v>
      </c>
    </row>
    <row r="2761">
      <c r="A2761" s="276" t="s">
        <v>3994</v>
      </c>
      <c r="B2761" s="276">
        <v>3.0</v>
      </c>
    </row>
    <row r="2762">
      <c r="A2762" s="276" t="s">
        <v>6195</v>
      </c>
      <c r="B2762" s="276">
        <v>1.0</v>
      </c>
    </row>
    <row r="2763">
      <c r="A2763" s="276" t="s">
        <v>4446</v>
      </c>
      <c r="B2763" s="276">
        <v>1.0</v>
      </c>
    </row>
    <row r="2764">
      <c r="A2764" s="276" t="s">
        <v>2023</v>
      </c>
      <c r="B2764" s="276">
        <v>1.0</v>
      </c>
    </row>
    <row r="2765">
      <c r="A2765" s="276" t="s">
        <v>5568</v>
      </c>
      <c r="B2765" s="276">
        <v>2.0</v>
      </c>
    </row>
    <row r="2766">
      <c r="A2766" s="276" t="s">
        <v>6644</v>
      </c>
      <c r="B2766" s="276">
        <v>1.0</v>
      </c>
    </row>
    <row r="2767">
      <c r="A2767" s="276" t="s">
        <v>5794</v>
      </c>
      <c r="B2767" s="276">
        <v>2.0</v>
      </c>
    </row>
    <row r="2768">
      <c r="A2768" s="276" t="s">
        <v>7263</v>
      </c>
      <c r="B2768" s="276">
        <v>1.0</v>
      </c>
    </row>
    <row r="2769">
      <c r="A2769" s="276" t="s">
        <v>5522</v>
      </c>
      <c r="B2769" s="276">
        <v>1.0</v>
      </c>
    </row>
    <row r="2770">
      <c r="A2770" s="276" t="s">
        <v>6139</v>
      </c>
      <c r="B2770" s="276">
        <v>1.0</v>
      </c>
    </row>
    <row r="2771">
      <c r="A2771" s="276" t="s">
        <v>4848</v>
      </c>
      <c r="B2771" s="276">
        <v>1.0</v>
      </c>
    </row>
    <row r="2772">
      <c r="A2772" s="276" t="s">
        <v>4342</v>
      </c>
      <c r="B2772" s="276">
        <v>2.0</v>
      </c>
    </row>
    <row r="2773">
      <c r="A2773" s="276" t="s">
        <v>5369</v>
      </c>
      <c r="B2773" s="276">
        <v>1.0</v>
      </c>
    </row>
    <row r="2774">
      <c r="A2774" s="276" t="s">
        <v>7091</v>
      </c>
      <c r="B2774" s="276">
        <v>1.0</v>
      </c>
    </row>
    <row r="2775">
      <c r="A2775" s="276" t="s">
        <v>5486</v>
      </c>
      <c r="B2775" s="276">
        <v>1.0</v>
      </c>
    </row>
    <row r="2776">
      <c r="A2776" s="276" t="s">
        <v>7843</v>
      </c>
      <c r="B2776" s="276">
        <v>1506.0</v>
      </c>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75"/>
    <col customWidth="1" min="2" max="2" width="17.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E2" s="275" t="s">
        <v>0</v>
      </c>
      <c r="F2" s="276" t="s">
        <v>7844</v>
      </c>
    </row>
    <row r="3">
      <c r="E3" s="290"/>
      <c r="F3" s="276">
        <v>0.0</v>
      </c>
    </row>
    <row r="4">
      <c r="E4" s="290">
        <v>46054.0</v>
      </c>
      <c r="F4" s="276">
        <v>3.0</v>
      </c>
    </row>
    <row r="5">
      <c r="E5" s="290">
        <v>46055.0</v>
      </c>
      <c r="F5" s="276">
        <v>5.0</v>
      </c>
    </row>
    <row r="6">
      <c r="E6" s="290">
        <v>46056.0</v>
      </c>
      <c r="F6" s="276">
        <v>12.0</v>
      </c>
    </row>
    <row r="7">
      <c r="E7" s="290">
        <v>46057.0</v>
      </c>
      <c r="F7" s="276">
        <v>16.0</v>
      </c>
    </row>
    <row r="8">
      <c r="E8" s="290">
        <v>46058.0</v>
      </c>
      <c r="F8" s="276">
        <v>9.0</v>
      </c>
    </row>
    <row r="9">
      <c r="E9" s="290">
        <v>46059.0</v>
      </c>
      <c r="F9" s="276">
        <v>8.0</v>
      </c>
    </row>
    <row r="10">
      <c r="E10" s="290">
        <v>46060.0</v>
      </c>
      <c r="F10" s="276">
        <v>1.0</v>
      </c>
    </row>
    <row r="11">
      <c r="E11" s="290">
        <v>46062.0</v>
      </c>
      <c r="F11" s="276">
        <v>22.0</v>
      </c>
    </row>
    <row r="12">
      <c r="E12" s="290">
        <v>46063.0</v>
      </c>
      <c r="F12" s="276">
        <v>3.0</v>
      </c>
    </row>
    <row r="13">
      <c r="E13" s="290">
        <v>46064.0</v>
      </c>
      <c r="F13" s="276">
        <v>8.0</v>
      </c>
    </row>
    <row r="14">
      <c r="E14" s="290">
        <v>46065.0</v>
      </c>
      <c r="F14" s="276">
        <v>16.0</v>
      </c>
    </row>
    <row r="15">
      <c r="E15" s="290">
        <v>46066.0</v>
      </c>
      <c r="F15" s="276">
        <v>19.0</v>
      </c>
    </row>
    <row r="16">
      <c r="E16" s="290">
        <v>46067.0</v>
      </c>
      <c r="F16" s="276">
        <v>4.0</v>
      </c>
    </row>
    <row r="17">
      <c r="E17" s="290">
        <v>46069.0</v>
      </c>
      <c r="F17" s="276">
        <v>24.0</v>
      </c>
    </row>
    <row r="18">
      <c r="E18" s="290">
        <v>46070.0</v>
      </c>
      <c r="F18" s="276">
        <v>15.0</v>
      </c>
    </row>
    <row r="19">
      <c r="E19" s="290">
        <v>46071.0</v>
      </c>
      <c r="F19" s="276">
        <v>25.0</v>
      </c>
    </row>
    <row r="20">
      <c r="E20" s="290">
        <v>46072.0</v>
      </c>
      <c r="F20" s="276">
        <v>27.0</v>
      </c>
    </row>
    <row r="21">
      <c r="E21" s="290">
        <v>46073.0</v>
      </c>
      <c r="F21" s="276">
        <v>17.0</v>
      </c>
    </row>
    <row r="22">
      <c r="E22" s="290">
        <v>46074.0</v>
      </c>
      <c r="F22" s="276">
        <v>9.0</v>
      </c>
    </row>
    <row r="23">
      <c r="E23" s="290">
        <v>46075.0</v>
      </c>
      <c r="F23" s="276">
        <v>1.0</v>
      </c>
    </row>
    <row r="24">
      <c r="E24" s="290">
        <v>46076.0</v>
      </c>
      <c r="F24" s="276">
        <v>22.0</v>
      </c>
    </row>
    <row r="25">
      <c r="E25" s="290">
        <v>46077.0</v>
      </c>
      <c r="F25" s="276">
        <v>19.0</v>
      </c>
    </row>
    <row r="26">
      <c r="E26" s="290">
        <v>46078.0</v>
      </c>
      <c r="F26" s="276">
        <v>56.0</v>
      </c>
    </row>
    <row r="27">
      <c r="E27" s="290">
        <v>46079.0</v>
      </c>
      <c r="F27" s="276">
        <v>15.0</v>
      </c>
    </row>
    <row r="28">
      <c r="E28" s="276" t="s">
        <v>7843</v>
      </c>
      <c r="F28" s="276">
        <v>356.0</v>
      </c>
    </row>
    <row r="29"/>
    <row r="30"/>
    <row r="31"/>
    <row r="32"/>
    <row r="33">
      <c r="C33" s="275" t="s">
        <v>0</v>
      </c>
      <c r="D33" s="290"/>
      <c r="E33" s="290">
        <v>46054.0</v>
      </c>
      <c r="F33" s="290">
        <v>46055.0</v>
      </c>
      <c r="G33" s="290">
        <v>46056.0</v>
      </c>
      <c r="H33" s="290">
        <v>46057.0</v>
      </c>
      <c r="I33" s="290">
        <v>46058.0</v>
      </c>
      <c r="J33" s="290">
        <v>46059.0</v>
      </c>
      <c r="K33" s="290">
        <v>46060.0</v>
      </c>
      <c r="L33" s="290">
        <v>46062.0</v>
      </c>
      <c r="M33" s="290">
        <v>46063.0</v>
      </c>
      <c r="N33" s="290">
        <v>46064.0</v>
      </c>
      <c r="O33" s="290">
        <v>46065.0</v>
      </c>
      <c r="P33" s="290">
        <v>46066.0</v>
      </c>
      <c r="Q33" s="290">
        <v>46067.0</v>
      </c>
      <c r="R33" s="290">
        <v>46069.0</v>
      </c>
      <c r="S33" s="290">
        <v>46070.0</v>
      </c>
      <c r="T33" s="290">
        <v>46071.0</v>
      </c>
      <c r="U33" s="290">
        <v>46072.0</v>
      </c>
      <c r="V33" s="290">
        <v>46073.0</v>
      </c>
      <c r="W33" s="290">
        <v>46074.0</v>
      </c>
      <c r="X33" s="290">
        <v>46075.0</v>
      </c>
      <c r="Y33" s="290">
        <v>46076.0</v>
      </c>
      <c r="Z33" s="290">
        <v>46077.0</v>
      </c>
      <c r="AA33" s="290">
        <v>46078.0</v>
      </c>
      <c r="AB33" s="290">
        <v>46079.0</v>
      </c>
      <c r="AC33" s="276" t="s">
        <v>7843</v>
      </c>
    </row>
    <row r="34">
      <c r="C34" s="276" t="s">
        <v>7844</v>
      </c>
      <c r="D34" s="276">
        <v>0.0</v>
      </c>
      <c r="E34" s="276">
        <v>3.0</v>
      </c>
      <c r="F34" s="276">
        <v>5.0</v>
      </c>
      <c r="G34" s="276">
        <v>12.0</v>
      </c>
      <c r="H34" s="276">
        <v>16.0</v>
      </c>
      <c r="I34" s="276">
        <v>9.0</v>
      </c>
      <c r="J34" s="276">
        <v>8.0</v>
      </c>
      <c r="K34" s="276">
        <v>1.0</v>
      </c>
      <c r="L34" s="276">
        <v>22.0</v>
      </c>
      <c r="M34" s="276">
        <v>3.0</v>
      </c>
      <c r="N34" s="276">
        <v>8.0</v>
      </c>
      <c r="O34" s="276">
        <v>16.0</v>
      </c>
      <c r="P34" s="276">
        <v>19.0</v>
      </c>
      <c r="Q34" s="276">
        <v>4.0</v>
      </c>
      <c r="R34" s="276">
        <v>24.0</v>
      </c>
      <c r="S34" s="276">
        <v>15.0</v>
      </c>
      <c r="T34" s="276">
        <v>25.0</v>
      </c>
      <c r="U34" s="276">
        <v>27.0</v>
      </c>
      <c r="V34" s="276">
        <v>17.0</v>
      </c>
      <c r="W34" s="276">
        <v>9.0</v>
      </c>
      <c r="X34" s="276">
        <v>1.0</v>
      </c>
      <c r="Y34" s="276">
        <v>22.0</v>
      </c>
      <c r="Z34" s="276">
        <v>19.0</v>
      </c>
      <c r="AA34" s="276">
        <v>56.0</v>
      </c>
      <c r="AB34" s="276">
        <v>15.0</v>
      </c>
      <c r="AC34" s="276">
        <v>356.0</v>
      </c>
    </row>
    <row r="35"/>
    <row r="36"/>
    <row r="37"/>
    <row r="38"/>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38"/>
    <col customWidth="1" min="3" max="3" width="15.5"/>
    <col customWidth="1" min="5" max="5" width="19.25"/>
    <col customWidth="1" min="6" max="6" width="13.25"/>
  </cols>
  <sheetData>
    <row r="1">
      <c r="B1" s="276"/>
      <c r="C1" s="276"/>
    </row>
    <row r="2">
      <c r="B2" s="276"/>
      <c r="C2" s="276"/>
    </row>
    <row r="3">
      <c r="B3" s="276"/>
      <c r="C3" s="276"/>
    </row>
    <row r="4">
      <c r="B4" s="276"/>
      <c r="C4" s="276"/>
    </row>
    <row r="5">
      <c r="B5" s="276"/>
      <c r="C5" s="276"/>
    </row>
    <row r="6">
      <c r="B6" s="276"/>
      <c r="C6" s="276"/>
    </row>
    <row r="7">
      <c r="B7" s="276"/>
      <c r="C7" s="276"/>
    </row>
    <row r="8">
      <c r="B8" s="276"/>
      <c r="C8" s="276"/>
    </row>
    <row r="9">
      <c r="B9" s="276"/>
      <c r="C9" s="276"/>
    </row>
    <row r="10">
      <c r="B10" s="276"/>
      <c r="C10" s="276"/>
    </row>
    <row r="11">
      <c r="B11" s="276"/>
      <c r="C11" s="276"/>
    </row>
    <row r="12">
      <c r="B12" s="276"/>
      <c r="C12" s="276"/>
    </row>
    <row r="13">
      <c r="B13" s="276"/>
      <c r="C13" s="276"/>
    </row>
    <row r="14">
      <c r="B14" s="276"/>
      <c r="C14" s="276"/>
    </row>
    <row r="15">
      <c r="B15" s="276"/>
      <c r="C15" s="276"/>
    </row>
    <row r="16">
      <c r="B16" s="276"/>
      <c r="C16" s="276"/>
    </row>
    <row r="17">
      <c r="B17" s="276"/>
      <c r="C17" s="276"/>
    </row>
    <row r="18">
      <c r="B18" s="276"/>
      <c r="C18" s="291"/>
    </row>
    <row r="19">
      <c r="B19" s="276"/>
      <c r="C19" s="276"/>
    </row>
    <row r="20">
      <c r="B20" s="276"/>
      <c r="C20" s="276"/>
    </row>
    <row r="21">
      <c r="B21" s="276"/>
      <c r="C21" s="276"/>
    </row>
    <row r="22">
      <c r="B22" s="276"/>
      <c r="C22" s="276"/>
    </row>
    <row r="23">
      <c r="B23" s="276"/>
      <c r="C23" s="276"/>
    </row>
    <row r="24">
      <c r="B24" s="276"/>
      <c r="C24" s="276"/>
    </row>
    <row r="25">
      <c r="B25" s="276"/>
      <c r="C25" s="276"/>
    </row>
    <row r="26">
      <c r="B26" s="276"/>
      <c r="C26" s="276"/>
    </row>
    <row r="27">
      <c r="B27" s="276"/>
      <c r="C27" s="276"/>
    </row>
    <row r="28">
      <c r="B28" s="276"/>
      <c r="C28" s="276"/>
    </row>
    <row r="29">
      <c r="B29" s="276"/>
      <c r="C29" s="276"/>
    </row>
    <row r="30">
      <c r="B30" s="276"/>
      <c r="C30" s="291"/>
    </row>
    <row r="31">
      <c r="B31" s="276"/>
      <c r="C31" s="276"/>
    </row>
    <row r="32">
      <c r="B32" s="276"/>
      <c r="C32" s="276"/>
    </row>
    <row r="33">
      <c r="B33" s="276"/>
      <c r="C33" s="276"/>
    </row>
    <row r="34">
      <c r="B34" s="276"/>
      <c r="C34" s="276"/>
    </row>
    <row r="35">
      <c r="B35" s="276"/>
      <c r="C35" s="291"/>
    </row>
    <row r="36">
      <c r="B36" s="276"/>
      <c r="C36" s="276"/>
    </row>
    <row r="37">
      <c r="B37" s="276"/>
      <c r="C37" s="276"/>
    </row>
    <row r="38">
      <c r="B38" s="276"/>
      <c r="C38" s="276"/>
    </row>
    <row r="39">
      <c r="B39" s="276"/>
      <c r="C39" s="276"/>
    </row>
    <row r="40">
      <c r="B40" s="276"/>
      <c r="C40" s="276"/>
    </row>
    <row r="41">
      <c r="B41" s="276"/>
      <c r="C41" s="276"/>
    </row>
    <row r="42">
      <c r="B42" s="276"/>
      <c r="C42" s="276"/>
    </row>
    <row r="43">
      <c r="B43" s="276"/>
      <c r="C43" s="276"/>
    </row>
    <row r="44">
      <c r="B44" s="276"/>
      <c r="C44" s="276"/>
    </row>
    <row r="45">
      <c r="B45" s="292" t="s">
        <v>8</v>
      </c>
      <c r="C45" s="293" t="s">
        <v>7837</v>
      </c>
      <c r="E45" s="293" t="s">
        <v>148</v>
      </c>
      <c r="F45" s="293" t="s">
        <v>1424</v>
      </c>
      <c r="G45" s="293">
        <v>18.0</v>
      </c>
    </row>
    <row r="46">
      <c r="A46" s="293"/>
      <c r="B46" s="293"/>
      <c r="C46" s="293">
        <v>0.0</v>
      </c>
      <c r="E46" s="293"/>
      <c r="F46" s="293" t="s">
        <v>7838</v>
      </c>
      <c r="G46" s="293">
        <v>12.0</v>
      </c>
    </row>
    <row r="47">
      <c r="A47" s="293"/>
      <c r="B47" s="293" t="s">
        <v>2752</v>
      </c>
      <c r="C47" s="293">
        <v>1.0</v>
      </c>
      <c r="E47" s="293"/>
      <c r="F47" s="293" t="s">
        <v>2722</v>
      </c>
      <c r="G47" s="293">
        <v>35.0</v>
      </c>
    </row>
    <row r="48">
      <c r="A48" s="293"/>
      <c r="B48" s="293" t="s">
        <v>1105</v>
      </c>
      <c r="C48" s="293">
        <v>1.0</v>
      </c>
      <c r="E48" s="293" t="s">
        <v>7963</v>
      </c>
      <c r="F48" s="293"/>
      <c r="G48" s="293">
        <v>65.0</v>
      </c>
    </row>
    <row r="49">
      <c r="A49" s="293" t="s">
        <v>7956</v>
      </c>
      <c r="B49" s="293"/>
      <c r="C49" s="293">
        <v>2.0</v>
      </c>
      <c r="E49" s="293" t="s">
        <v>390</v>
      </c>
      <c r="F49" s="293" t="s">
        <v>2869</v>
      </c>
      <c r="G49" s="293">
        <v>2.0</v>
      </c>
    </row>
    <row r="50">
      <c r="A50" s="294" t="s">
        <v>50</v>
      </c>
      <c r="B50" s="293" t="s">
        <v>4457</v>
      </c>
      <c r="C50" s="293">
        <v>2.0</v>
      </c>
      <c r="E50" s="293"/>
      <c r="F50" s="293" t="s">
        <v>389</v>
      </c>
      <c r="G50" s="293">
        <v>20.0</v>
      </c>
    </row>
    <row r="51">
      <c r="A51" s="284"/>
      <c r="B51" s="293" t="s">
        <v>1105</v>
      </c>
      <c r="C51" s="293">
        <v>1.0</v>
      </c>
      <c r="E51" s="293"/>
      <c r="F51" s="293" t="s">
        <v>647</v>
      </c>
      <c r="G51" s="293">
        <v>3.0</v>
      </c>
    </row>
    <row r="52">
      <c r="A52" s="284"/>
      <c r="B52" s="293" t="s">
        <v>421</v>
      </c>
      <c r="C52" s="293">
        <v>10.0</v>
      </c>
      <c r="E52" s="293"/>
      <c r="F52" s="293" t="s">
        <v>1165</v>
      </c>
      <c r="G52" s="293">
        <v>48.0</v>
      </c>
    </row>
    <row r="53">
      <c r="A53" s="284"/>
      <c r="B53" s="293" t="s">
        <v>2162</v>
      </c>
      <c r="C53" s="293">
        <v>16.0</v>
      </c>
      <c r="E53" s="293"/>
      <c r="F53" s="293" t="s">
        <v>1961</v>
      </c>
      <c r="G53" s="293">
        <v>22.0</v>
      </c>
    </row>
    <row r="54">
      <c r="A54" s="284"/>
      <c r="B54" s="293" t="s">
        <v>7839</v>
      </c>
      <c r="C54" s="293">
        <v>6.0</v>
      </c>
      <c r="E54" s="293"/>
      <c r="F54" s="293" t="s">
        <v>4918</v>
      </c>
      <c r="G54" s="293">
        <v>1.0</v>
      </c>
    </row>
    <row r="55">
      <c r="A55" s="285"/>
      <c r="B55" s="293" t="s">
        <v>2522</v>
      </c>
      <c r="C55" s="293">
        <v>35.0</v>
      </c>
      <c r="E55" s="293"/>
      <c r="F55" s="293" t="s">
        <v>7841</v>
      </c>
      <c r="G55" s="293">
        <v>8.0</v>
      </c>
    </row>
    <row r="56">
      <c r="A56" s="293" t="s">
        <v>7960</v>
      </c>
      <c r="B56" s="293"/>
      <c r="C56" s="293">
        <v>70.0</v>
      </c>
      <c r="E56" s="293" t="s">
        <v>7964</v>
      </c>
      <c r="F56" s="293"/>
      <c r="G56" s="293">
        <v>104.0</v>
      </c>
    </row>
    <row r="57">
      <c r="A57" s="293" t="s">
        <v>86</v>
      </c>
      <c r="B57" s="293" t="s">
        <v>2016</v>
      </c>
      <c r="C57" s="293">
        <v>3.0</v>
      </c>
      <c r="E57" s="293" t="s">
        <v>161</v>
      </c>
      <c r="F57" s="293" t="s">
        <v>3042</v>
      </c>
      <c r="G57" s="293">
        <v>16.0</v>
      </c>
    </row>
    <row r="58">
      <c r="A58" s="293"/>
      <c r="B58" s="293" t="s">
        <v>2162</v>
      </c>
      <c r="C58" s="293">
        <v>18.0</v>
      </c>
      <c r="E58" s="293"/>
      <c r="F58" s="293" t="s">
        <v>4956</v>
      </c>
      <c r="G58" s="293">
        <v>9.0</v>
      </c>
    </row>
    <row r="59">
      <c r="A59" s="293"/>
      <c r="B59" s="293" t="s">
        <v>7842</v>
      </c>
      <c r="C59" s="293">
        <v>4.0</v>
      </c>
      <c r="E59" s="293"/>
      <c r="F59" s="293" t="s">
        <v>4918</v>
      </c>
      <c r="G59" s="293">
        <v>15.0</v>
      </c>
    </row>
    <row r="60">
      <c r="A60" s="293" t="s">
        <v>7961</v>
      </c>
      <c r="B60" s="293"/>
      <c r="C60" s="293">
        <v>25.0</v>
      </c>
      <c r="E60" s="293"/>
      <c r="F60" s="293" t="s">
        <v>890</v>
      </c>
      <c r="G60" s="293">
        <v>23.0</v>
      </c>
    </row>
    <row r="61">
      <c r="A61" s="293" t="s">
        <v>303</v>
      </c>
      <c r="B61" s="293" t="s">
        <v>1038</v>
      </c>
      <c r="C61" s="293">
        <v>28.0</v>
      </c>
      <c r="E61" s="293" t="s">
        <v>7965</v>
      </c>
      <c r="F61" s="293"/>
      <c r="G61" s="293">
        <v>63.0</v>
      </c>
    </row>
    <row r="62">
      <c r="A62" s="293"/>
      <c r="B62" s="293" t="s">
        <v>7840</v>
      </c>
      <c r="C62" s="293">
        <v>9.0</v>
      </c>
      <c r="E62" s="293" t="e">
        <v>#N/A</v>
      </c>
      <c r="F62" s="293" t="s">
        <v>1105</v>
      </c>
      <c r="G62" s="293">
        <v>1.0</v>
      </c>
    </row>
    <row r="63">
      <c r="A63" s="293"/>
      <c r="B63" s="293" t="s">
        <v>735</v>
      </c>
      <c r="C63" s="293">
        <v>3.0</v>
      </c>
      <c r="E63" s="293" t="s">
        <v>7966</v>
      </c>
      <c r="F63" s="293"/>
      <c r="G63" s="293">
        <v>1.0</v>
      </c>
    </row>
    <row r="64">
      <c r="A64" s="293" t="s">
        <v>7962</v>
      </c>
      <c r="B64" s="293"/>
      <c r="C64" s="293">
        <v>40.0</v>
      </c>
      <c r="E64" s="293" t="s">
        <v>7843</v>
      </c>
      <c r="F64" s="293"/>
      <c r="G64" s="293">
        <v>370.0</v>
      </c>
    </row>
  </sheetData>
  <mergeCells count="1">
    <mergeCell ref="A50:A55"/>
  </mergeCells>
  <conditionalFormatting sqref="C1:C64 G45:G65 C85:C1000">
    <cfRule type="cellIs" dxfId="6" priority="1" operator="lessThan">
      <formula>10</formula>
    </cfRule>
  </conditionalFormatting>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9.25"/>
  </cols>
  <sheetData>
    <row r="2">
      <c r="A2" s="292" t="s">
        <v>9</v>
      </c>
      <c r="B2" s="292" t="s">
        <v>8</v>
      </c>
      <c r="C2" s="293" t="s">
        <v>7837</v>
      </c>
      <c r="E2" s="293" t="s">
        <v>148</v>
      </c>
      <c r="F2" s="293" t="s">
        <v>1424</v>
      </c>
      <c r="G2" s="293">
        <v>18.0</v>
      </c>
    </row>
    <row r="3">
      <c r="A3" s="293"/>
      <c r="B3" s="293"/>
      <c r="C3" s="293">
        <v>0.0</v>
      </c>
      <c r="E3" s="293"/>
      <c r="F3" s="293" t="s">
        <v>7838</v>
      </c>
      <c r="G3" s="293">
        <v>12.0</v>
      </c>
    </row>
    <row r="4">
      <c r="A4" s="293"/>
      <c r="B4" s="293" t="s">
        <v>2752</v>
      </c>
      <c r="C4" s="293">
        <v>1.0</v>
      </c>
      <c r="E4" s="293"/>
      <c r="F4" s="293" t="s">
        <v>2722</v>
      </c>
      <c r="G4" s="293">
        <v>35.0</v>
      </c>
    </row>
    <row r="5">
      <c r="A5" s="293"/>
      <c r="B5" s="293" t="s">
        <v>1105</v>
      </c>
      <c r="C5" s="293">
        <v>1.0</v>
      </c>
      <c r="E5" s="293" t="s">
        <v>7963</v>
      </c>
      <c r="F5" s="293"/>
      <c r="G5" s="293">
        <v>65.0</v>
      </c>
    </row>
    <row r="6">
      <c r="A6" s="293" t="s">
        <v>7956</v>
      </c>
      <c r="B6" s="293"/>
      <c r="C6" s="293">
        <v>2.0</v>
      </c>
      <c r="E6" s="293" t="s">
        <v>390</v>
      </c>
      <c r="F6" s="293" t="s">
        <v>2869</v>
      </c>
      <c r="G6" s="293">
        <v>2.0</v>
      </c>
    </row>
    <row r="7">
      <c r="A7" s="294" t="s">
        <v>50</v>
      </c>
      <c r="B7" s="293" t="s">
        <v>4457</v>
      </c>
      <c r="C7" s="293">
        <v>2.0</v>
      </c>
      <c r="E7" s="293"/>
      <c r="F7" s="293" t="s">
        <v>389</v>
      </c>
      <c r="G7" s="293">
        <v>20.0</v>
      </c>
    </row>
    <row r="8">
      <c r="A8" s="284"/>
      <c r="B8" s="293" t="s">
        <v>1105</v>
      </c>
      <c r="C8" s="293">
        <v>1.0</v>
      </c>
      <c r="E8" s="293"/>
      <c r="F8" s="293" t="s">
        <v>647</v>
      </c>
      <c r="G8" s="293">
        <v>3.0</v>
      </c>
    </row>
    <row r="9">
      <c r="A9" s="284"/>
      <c r="B9" s="293" t="s">
        <v>421</v>
      </c>
      <c r="C9" s="293">
        <v>10.0</v>
      </c>
      <c r="E9" s="293"/>
      <c r="F9" s="293" t="s">
        <v>1165</v>
      </c>
      <c r="G9" s="293">
        <v>48.0</v>
      </c>
    </row>
    <row r="10">
      <c r="A10" s="284"/>
      <c r="B10" s="293" t="s">
        <v>2162</v>
      </c>
      <c r="C10" s="293">
        <v>16.0</v>
      </c>
      <c r="E10" s="293"/>
      <c r="F10" s="293" t="s">
        <v>1961</v>
      </c>
      <c r="G10" s="293">
        <v>22.0</v>
      </c>
    </row>
    <row r="11">
      <c r="A11" s="284"/>
      <c r="B11" s="293" t="s">
        <v>7839</v>
      </c>
      <c r="C11" s="293">
        <v>6.0</v>
      </c>
      <c r="E11" s="293"/>
      <c r="F11" s="293" t="s">
        <v>4918</v>
      </c>
      <c r="G11" s="293">
        <v>1.0</v>
      </c>
    </row>
    <row r="12">
      <c r="A12" s="285"/>
      <c r="B12" s="293" t="s">
        <v>2522</v>
      </c>
      <c r="C12" s="293">
        <v>35.0</v>
      </c>
      <c r="E12" s="293"/>
      <c r="F12" s="293" t="s">
        <v>7841</v>
      </c>
      <c r="G12" s="293">
        <v>8.0</v>
      </c>
    </row>
    <row r="13">
      <c r="A13" s="293" t="s">
        <v>7960</v>
      </c>
      <c r="B13" s="293"/>
      <c r="C13" s="293">
        <v>70.0</v>
      </c>
      <c r="E13" s="293" t="s">
        <v>7964</v>
      </c>
      <c r="F13" s="293"/>
      <c r="G13" s="293">
        <v>104.0</v>
      </c>
    </row>
    <row r="14">
      <c r="A14" s="293" t="s">
        <v>86</v>
      </c>
      <c r="B14" s="293" t="s">
        <v>2016</v>
      </c>
      <c r="C14" s="293">
        <v>3.0</v>
      </c>
      <c r="E14" s="293" t="s">
        <v>161</v>
      </c>
      <c r="F14" s="293" t="s">
        <v>3042</v>
      </c>
      <c r="G14" s="293">
        <v>16.0</v>
      </c>
    </row>
    <row r="15">
      <c r="A15" s="293"/>
      <c r="B15" s="293" t="s">
        <v>2162</v>
      </c>
      <c r="C15" s="293">
        <v>18.0</v>
      </c>
      <c r="E15" s="293"/>
      <c r="F15" s="293" t="s">
        <v>4956</v>
      </c>
      <c r="G15" s="293">
        <v>9.0</v>
      </c>
    </row>
    <row r="16">
      <c r="A16" s="293"/>
      <c r="B16" s="293" t="s">
        <v>7842</v>
      </c>
      <c r="C16" s="293">
        <v>4.0</v>
      </c>
      <c r="E16" s="293"/>
      <c r="F16" s="293" t="s">
        <v>4918</v>
      </c>
      <c r="G16" s="293">
        <v>15.0</v>
      </c>
    </row>
    <row r="17">
      <c r="A17" s="293" t="s">
        <v>7961</v>
      </c>
      <c r="B17" s="293"/>
      <c r="C17" s="293">
        <v>25.0</v>
      </c>
      <c r="E17" s="293"/>
      <c r="F17" s="293" t="s">
        <v>890</v>
      </c>
      <c r="G17" s="293">
        <v>23.0</v>
      </c>
    </row>
    <row r="18">
      <c r="A18" s="293" t="s">
        <v>303</v>
      </c>
      <c r="B18" s="293" t="s">
        <v>1038</v>
      </c>
      <c r="C18" s="293">
        <v>28.0</v>
      </c>
      <c r="E18" s="293" t="s">
        <v>7965</v>
      </c>
      <c r="F18" s="293"/>
      <c r="G18" s="293">
        <v>63.0</v>
      </c>
    </row>
    <row r="19">
      <c r="A19" s="293"/>
      <c r="B19" s="293" t="s">
        <v>7840</v>
      </c>
      <c r="C19" s="293">
        <v>9.0</v>
      </c>
      <c r="E19" s="293" t="e">
        <v>#N/A</v>
      </c>
      <c r="F19" s="293" t="s">
        <v>1105</v>
      </c>
      <c r="G19" s="293">
        <v>1.0</v>
      </c>
    </row>
    <row r="20">
      <c r="A20" s="293"/>
      <c r="B20" s="293" t="s">
        <v>735</v>
      </c>
      <c r="C20" s="293">
        <v>3.0</v>
      </c>
      <c r="E20" s="293" t="s">
        <v>7966</v>
      </c>
      <c r="F20" s="293"/>
      <c r="G20" s="293">
        <v>1.0</v>
      </c>
    </row>
    <row r="21">
      <c r="A21" s="293" t="s">
        <v>7962</v>
      </c>
      <c r="B21" s="293"/>
      <c r="C21" s="293">
        <v>40.0</v>
      </c>
      <c r="E21" s="293" t="s">
        <v>7843</v>
      </c>
      <c r="F21" s="293"/>
      <c r="G21" s="293">
        <v>370.0</v>
      </c>
    </row>
  </sheetData>
  <mergeCells count="1">
    <mergeCell ref="A7:A12"/>
  </mergeCells>
  <conditionalFormatting sqref="C1:C21 G2:G22">
    <cfRule type="cellIs" dxfId="6" priority="1" operator="lessThan">
      <formula>10</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32.63"/>
  </cols>
  <sheetData>
    <row r="1"/>
    <row r="2"/>
    <row r="3"/>
    <row r="4"/>
    <row r="5"/>
    <row r="6"/>
    <row r="7"/>
    <row r="8"/>
    <row r="9"/>
    <row r="10"/>
    <row r="11"/>
    <row r="12"/>
    <row r="13"/>
    <row r="14"/>
    <row r="15"/>
    <row r="16"/>
    <row r="17"/>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7" max="7" width="31.38"/>
    <col customWidth="1" min="8" max="8" width="34.13"/>
    <col customWidth="1" min="9" max="9" width="24.5"/>
    <col customWidth="1" min="10" max="10" width="18.75"/>
    <col customWidth="1" min="11" max="11" width="19.38"/>
  </cols>
  <sheetData>
    <row r="1" ht="22.5" customHeight="1">
      <c r="A1" s="292" t="s">
        <v>2</v>
      </c>
      <c r="B1" s="295"/>
      <c r="C1" s="295">
        <v>46076.0</v>
      </c>
      <c r="G1" s="296" t="s">
        <v>7967</v>
      </c>
      <c r="H1" s="296" t="s">
        <v>7968</v>
      </c>
      <c r="I1" s="296" t="s">
        <v>7969</v>
      </c>
      <c r="J1" s="296" t="s">
        <v>7970</v>
      </c>
      <c r="K1" s="296" t="s">
        <v>7971</v>
      </c>
    </row>
    <row r="2" ht="22.5" customHeight="1">
      <c r="A2" s="293"/>
      <c r="B2" s="293">
        <v>0.0</v>
      </c>
      <c r="C2" s="293"/>
      <c r="G2" s="297" t="s">
        <v>60</v>
      </c>
      <c r="H2" s="297" t="s">
        <v>144</v>
      </c>
      <c r="I2" s="297">
        <v>0.0</v>
      </c>
      <c r="J2" s="297" t="str">
        <f t="shared" ref="J2:J7" si="1">VLOOKUP(H2,A:C,3,0)</f>
        <v/>
      </c>
      <c r="K2" s="297">
        <f t="shared" ref="K2:K14" si="2">I2-J2</f>
        <v>0</v>
      </c>
    </row>
    <row r="3" ht="22.5" customHeight="1">
      <c r="A3" s="293" t="s">
        <v>309</v>
      </c>
      <c r="B3" s="293">
        <v>0.0</v>
      </c>
      <c r="C3" s="293"/>
      <c r="G3" s="298" t="s">
        <v>7972</v>
      </c>
      <c r="H3" s="298" t="s">
        <v>186</v>
      </c>
      <c r="I3" s="298">
        <v>12.0</v>
      </c>
      <c r="J3" s="298">
        <f t="shared" si="1"/>
        <v>12</v>
      </c>
      <c r="K3" s="298">
        <f t="shared" si="2"/>
        <v>0</v>
      </c>
    </row>
    <row r="4" ht="22.5" customHeight="1">
      <c r="A4" s="293" t="s">
        <v>200</v>
      </c>
      <c r="B4" s="293"/>
      <c r="C4" s="293"/>
      <c r="G4" s="297" t="s">
        <v>7972</v>
      </c>
      <c r="H4" s="297" t="s">
        <v>564</v>
      </c>
      <c r="I4" s="297">
        <v>2.0</v>
      </c>
      <c r="J4" s="297">
        <f t="shared" si="1"/>
        <v>1</v>
      </c>
      <c r="K4" s="297">
        <f t="shared" si="2"/>
        <v>1</v>
      </c>
    </row>
    <row r="5" ht="22.5" customHeight="1">
      <c r="A5" s="293" t="s">
        <v>73</v>
      </c>
      <c r="B5" s="293"/>
      <c r="C5" s="293">
        <v>2.0</v>
      </c>
      <c r="G5" s="298" t="s">
        <v>2014</v>
      </c>
      <c r="H5" s="298" t="s">
        <v>241</v>
      </c>
      <c r="I5" s="299"/>
      <c r="J5" s="299" t="str">
        <f t="shared" si="1"/>
        <v/>
      </c>
      <c r="K5" s="299">
        <f t="shared" si="2"/>
        <v>0</v>
      </c>
    </row>
    <row r="6" ht="22.5" customHeight="1">
      <c r="A6" s="293" t="s">
        <v>144</v>
      </c>
      <c r="B6" s="293"/>
      <c r="C6" s="293"/>
      <c r="G6" s="297" t="s">
        <v>200</v>
      </c>
      <c r="H6" s="297" t="s">
        <v>96</v>
      </c>
      <c r="I6" s="297">
        <v>0.0</v>
      </c>
      <c r="J6" s="297" t="str">
        <f t="shared" si="1"/>
        <v/>
      </c>
      <c r="K6" s="297">
        <f t="shared" si="2"/>
        <v>0</v>
      </c>
    </row>
    <row r="7" ht="22.5" customHeight="1">
      <c r="A7" s="293" t="s">
        <v>241</v>
      </c>
      <c r="B7" s="293"/>
      <c r="C7" s="293"/>
      <c r="G7" s="298" t="s">
        <v>200</v>
      </c>
      <c r="H7" s="298" t="s">
        <v>200</v>
      </c>
      <c r="I7" s="298">
        <v>0.0</v>
      </c>
      <c r="J7" s="298" t="str">
        <f t="shared" si="1"/>
        <v/>
      </c>
      <c r="K7" s="298">
        <f t="shared" si="2"/>
        <v>0</v>
      </c>
    </row>
    <row r="8" ht="22.5" customHeight="1">
      <c r="A8" s="293" t="s">
        <v>96</v>
      </c>
      <c r="B8" s="293"/>
      <c r="C8" s="293"/>
      <c r="G8" s="297" t="s">
        <v>7972</v>
      </c>
      <c r="H8" s="297" t="s">
        <v>2014</v>
      </c>
      <c r="I8" s="300"/>
      <c r="J8" s="301">
        <v>0.0</v>
      </c>
      <c r="K8" s="301">
        <f t="shared" si="2"/>
        <v>0</v>
      </c>
    </row>
    <row r="9" ht="22.5" customHeight="1">
      <c r="A9" s="293" t="s">
        <v>60</v>
      </c>
      <c r="B9" s="293"/>
      <c r="C9" s="293"/>
      <c r="G9" s="298" t="s">
        <v>7972</v>
      </c>
      <c r="H9" s="298" t="s">
        <v>1919</v>
      </c>
      <c r="I9" s="298">
        <v>2.0</v>
      </c>
      <c r="J9" s="298" t="str">
        <f t="shared" ref="J9:J12" si="3">VLOOKUP(H9,A:C,3,0)</f>
        <v/>
      </c>
      <c r="K9" s="298">
        <f t="shared" si="2"/>
        <v>2</v>
      </c>
    </row>
    <row r="10" ht="22.5" customHeight="1">
      <c r="A10" s="293" t="s">
        <v>248</v>
      </c>
      <c r="B10" s="293"/>
      <c r="C10" s="293"/>
      <c r="G10" s="297" t="s">
        <v>60</v>
      </c>
      <c r="H10" s="297" t="s">
        <v>60</v>
      </c>
      <c r="I10" s="297">
        <v>0.0</v>
      </c>
      <c r="J10" s="297" t="str">
        <f t="shared" si="3"/>
        <v/>
      </c>
      <c r="K10" s="297">
        <f t="shared" si="2"/>
        <v>0</v>
      </c>
    </row>
    <row r="11" ht="22.5" customHeight="1">
      <c r="A11" s="293" t="s">
        <v>45</v>
      </c>
      <c r="B11" s="293"/>
      <c r="C11" s="293">
        <v>3.0</v>
      </c>
      <c r="G11" s="298" t="s">
        <v>60</v>
      </c>
      <c r="H11" s="298" t="s">
        <v>73</v>
      </c>
      <c r="I11" s="298">
        <v>2.0</v>
      </c>
      <c r="J11" s="298">
        <f t="shared" si="3"/>
        <v>2</v>
      </c>
      <c r="K11" s="298">
        <f t="shared" si="2"/>
        <v>0</v>
      </c>
    </row>
    <row r="12" ht="22.5" customHeight="1">
      <c r="A12" s="293" t="s">
        <v>186</v>
      </c>
      <c r="B12" s="293"/>
      <c r="C12" s="293">
        <v>12.0</v>
      </c>
      <c r="G12" s="297" t="s">
        <v>200</v>
      </c>
      <c r="H12" s="297" t="s">
        <v>248</v>
      </c>
      <c r="I12" s="297">
        <v>2.0</v>
      </c>
      <c r="J12" s="297" t="str">
        <f t="shared" si="3"/>
        <v/>
      </c>
      <c r="K12" s="297">
        <f t="shared" si="2"/>
        <v>2</v>
      </c>
    </row>
    <row r="13" ht="22.5" customHeight="1">
      <c r="A13" s="293" t="s">
        <v>1919</v>
      </c>
      <c r="B13" s="293"/>
      <c r="C13" s="293"/>
      <c r="G13" s="298" t="s">
        <v>4790</v>
      </c>
      <c r="H13" s="298" t="s">
        <v>7972</v>
      </c>
      <c r="I13" s="298">
        <v>0.0</v>
      </c>
      <c r="J13" s="302">
        <v>0.0</v>
      </c>
      <c r="K13" s="302">
        <f t="shared" si="2"/>
        <v>0</v>
      </c>
    </row>
    <row r="14" ht="22.5" customHeight="1">
      <c r="A14" s="293" t="s">
        <v>564</v>
      </c>
      <c r="B14" s="293"/>
      <c r="C14" s="293">
        <v>1.0</v>
      </c>
      <c r="G14" s="297" t="s">
        <v>60</v>
      </c>
      <c r="H14" s="297" t="s">
        <v>45</v>
      </c>
      <c r="I14" s="297">
        <v>3.0</v>
      </c>
      <c r="J14" s="297">
        <f>VLOOKUP(H14,A:C,3,0)</f>
        <v>3</v>
      </c>
      <c r="K14" s="297">
        <f t="shared" si="2"/>
        <v>0</v>
      </c>
    </row>
    <row r="15" ht="22.5" customHeight="1">
      <c r="A15" s="293" t="s">
        <v>7843</v>
      </c>
      <c r="B15" s="293">
        <v>0.0</v>
      </c>
      <c r="C15" s="293">
        <v>18.0</v>
      </c>
      <c r="G15" s="303"/>
      <c r="H15" s="304"/>
      <c r="I15" s="305">
        <f t="shared" ref="I15:K15" si="4">sUM(I3:I14)</f>
        <v>23</v>
      </c>
      <c r="J15" s="305">
        <f t="shared" si="4"/>
        <v>18</v>
      </c>
      <c r="K15" s="305">
        <f t="shared" si="4"/>
        <v>5</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17.38"/>
    <col customWidth="1" min="3" max="3" width="16.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68.0"/>
  </cols>
  <sheetData>
    <row r="1">
      <c r="A1" s="306" t="s">
        <v>0</v>
      </c>
      <c r="B1" s="307" t="s">
        <v>1</v>
      </c>
      <c r="C1" s="307" t="s">
        <v>2</v>
      </c>
      <c r="D1" s="307" t="s">
        <v>3</v>
      </c>
      <c r="E1" s="307" t="s">
        <v>4</v>
      </c>
      <c r="F1" s="307" t="s">
        <v>5</v>
      </c>
      <c r="G1" s="307" t="s">
        <v>6</v>
      </c>
      <c r="H1" s="307" t="s">
        <v>7</v>
      </c>
      <c r="I1" s="307" t="s">
        <v>8</v>
      </c>
      <c r="J1" s="308" t="s">
        <v>9</v>
      </c>
    </row>
    <row r="2">
      <c r="A2" s="309">
        <v>46072.0</v>
      </c>
      <c r="B2" s="310" t="s">
        <v>1801</v>
      </c>
      <c r="C2" s="310" t="s">
        <v>241</v>
      </c>
      <c r="D2" s="310" t="s">
        <v>46</v>
      </c>
      <c r="E2" s="310" t="s">
        <v>7882</v>
      </c>
      <c r="F2" s="310" t="s">
        <v>1803</v>
      </c>
      <c r="G2" s="311">
        <v>500081.0</v>
      </c>
      <c r="H2" s="310" t="s">
        <v>1804</v>
      </c>
      <c r="I2" s="310" t="s">
        <v>7838</v>
      </c>
      <c r="J2" s="312" t="s">
        <v>148</v>
      </c>
    </row>
    <row r="3">
      <c r="A3" s="309">
        <v>46073.0</v>
      </c>
      <c r="B3" s="310" t="s">
        <v>1938</v>
      </c>
      <c r="C3" s="310" t="s">
        <v>186</v>
      </c>
      <c r="D3" s="310" t="s">
        <v>61</v>
      </c>
      <c r="E3" s="310" t="s">
        <v>1939</v>
      </c>
      <c r="F3" s="310" t="s">
        <v>68</v>
      </c>
      <c r="G3" s="311">
        <v>500081.0</v>
      </c>
      <c r="H3" s="310" t="s">
        <v>1940</v>
      </c>
      <c r="I3" s="310" t="s">
        <v>7838</v>
      </c>
      <c r="J3" s="312" t="s">
        <v>148</v>
      </c>
    </row>
    <row r="4">
      <c r="A4" s="309">
        <v>46073.0</v>
      </c>
      <c r="B4" s="310" t="s">
        <v>1979</v>
      </c>
      <c r="C4" s="310" t="s">
        <v>186</v>
      </c>
      <c r="D4" s="310" t="s">
        <v>46</v>
      </c>
      <c r="E4" s="310" t="s">
        <v>1980</v>
      </c>
      <c r="F4" s="310" t="s">
        <v>1981</v>
      </c>
      <c r="G4" s="311">
        <v>500084.0</v>
      </c>
      <c r="H4" s="310" t="s">
        <v>1982</v>
      </c>
      <c r="I4" s="310" t="s">
        <v>7838</v>
      </c>
      <c r="J4" s="312" t="s">
        <v>148</v>
      </c>
    </row>
    <row r="5">
      <c r="A5" s="309">
        <v>46073.0</v>
      </c>
      <c r="B5" s="310" t="s">
        <v>1992</v>
      </c>
      <c r="C5" s="310" t="s">
        <v>186</v>
      </c>
      <c r="D5" s="310" t="s">
        <v>46</v>
      </c>
      <c r="E5" s="310" t="s">
        <v>1993</v>
      </c>
      <c r="F5" s="310" t="s">
        <v>1981</v>
      </c>
      <c r="G5" s="311">
        <v>500084.0</v>
      </c>
      <c r="H5" s="310" t="s">
        <v>1982</v>
      </c>
      <c r="I5" s="310" t="s">
        <v>7838</v>
      </c>
      <c r="J5" s="312" t="s">
        <v>148</v>
      </c>
    </row>
    <row r="6">
      <c r="A6" s="309">
        <v>46073.0</v>
      </c>
      <c r="B6" s="310" t="s">
        <v>1996</v>
      </c>
      <c r="C6" s="310" t="s">
        <v>186</v>
      </c>
      <c r="D6" s="310" t="s">
        <v>46</v>
      </c>
      <c r="E6" s="310" t="s">
        <v>1997</v>
      </c>
      <c r="F6" s="310" t="s">
        <v>1981</v>
      </c>
      <c r="G6" s="311">
        <v>500084.0</v>
      </c>
      <c r="H6" s="310" t="s">
        <v>1982</v>
      </c>
      <c r="I6" s="310" t="s">
        <v>7838</v>
      </c>
      <c r="J6" s="312" t="s">
        <v>148</v>
      </c>
    </row>
    <row r="7">
      <c r="A7" s="309">
        <v>46073.0</v>
      </c>
      <c r="B7" s="310" t="s">
        <v>2000</v>
      </c>
      <c r="C7" s="310" t="s">
        <v>186</v>
      </c>
      <c r="D7" s="310" t="s">
        <v>46</v>
      </c>
      <c r="E7" s="310" t="s">
        <v>1993</v>
      </c>
      <c r="F7" s="310" t="s">
        <v>1981</v>
      </c>
      <c r="G7" s="311">
        <v>500084.0</v>
      </c>
      <c r="H7" s="310" t="s">
        <v>1982</v>
      </c>
      <c r="I7" s="310" t="s">
        <v>7838</v>
      </c>
      <c r="J7" s="312" t="s">
        <v>148</v>
      </c>
    </row>
    <row r="8">
      <c r="A8" s="309">
        <v>46074.0</v>
      </c>
      <c r="B8" s="313" t="s">
        <v>2087</v>
      </c>
      <c r="C8" s="310" t="s">
        <v>186</v>
      </c>
      <c r="D8" s="310" t="s">
        <v>46</v>
      </c>
      <c r="E8" s="310" t="s">
        <v>2088</v>
      </c>
      <c r="F8" s="310" t="s">
        <v>68</v>
      </c>
      <c r="G8" s="311">
        <v>500081.0</v>
      </c>
      <c r="H8" s="310" t="s">
        <v>2089</v>
      </c>
      <c r="I8" s="310" t="s">
        <v>7838</v>
      </c>
      <c r="J8" s="312" t="s">
        <v>148</v>
      </c>
    </row>
    <row r="9">
      <c r="A9" s="309">
        <v>46074.0</v>
      </c>
      <c r="B9" s="310" t="s">
        <v>2100</v>
      </c>
      <c r="C9" s="310" t="s">
        <v>186</v>
      </c>
      <c r="D9" s="310" t="s">
        <v>46</v>
      </c>
      <c r="E9" s="310" t="s">
        <v>2101</v>
      </c>
      <c r="F9" s="310" t="s">
        <v>68</v>
      </c>
      <c r="G9" s="311">
        <v>500019.0</v>
      </c>
      <c r="H9" s="310" t="s">
        <v>1940</v>
      </c>
      <c r="I9" s="310" t="s">
        <v>7838</v>
      </c>
      <c r="J9" s="312" t="s">
        <v>148</v>
      </c>
    </row>
    <row r="10">
      <c r="A10" s="309">
        <v>46074.0</v>
      </c>
      <c r="B10" s="310" t="s">
        <v>2111</v>
      </c>
      <c r="C10" s="310" t="s">
        <v>186</v>
      </c>
      <c r="D10" s="310" t="s">
        <v>2112</v>
      </c>
      <c r="E10" s="310" t="s">
        <v>2113</v>
      </c>
      <c r="F10" s="310" t="s">
        <v>68</v>
      </c>
      <c r="G10" s="311">
        <v>500019.0</v>
      </c>
      <c r="H10" s="310" t="s">
        <v>2089</v>
      </c>
      <c r="I10" s="310" t="s">
        <v>7838</v>
      </c>
      <c r="J10" s="312" t="s">
        <v>148</v>
      </c>
    </row>
    <row r="11">
      <c r="A11" s="309">
        <v>46077.0</v>
      </c>
      <c r="B11" s="310" t="s">
        <v>2314</v>
      </c>
      <c r="C11" s="310" t="s">
        <v>186</v>
      </c>
      <c r="D11" s="310" t="s">
        <v>258</v>
      </c>
      <c r="E11" s="310" t="s">
        <v>2315</v>
      </c>
      <c r="F11" s="310" t="s">
        <v>68</v>
      </c>
      <c r="G11" s="311">
        <v>500081.0</v>
      </c>
      <c r="H11" s="310" t="s">
        <v>2089</v>
      </c>
      <c r="I11" s="310" t="s">
        <v>7838</v>
      </c>
      <c r="J11" s="312" t="s">
        <v>148</v>
      </c>
    </row>
    <row r="12">
      <c r="A12" s="309">
        <v>46077.0</v>
      </c>
      <c r="B12" s="310" t="s">
        <v>2333</v>
      </c>
      <c r="C12" s="310" t="s">
        <v>186</v>
      </c>
      <c r="D12" s="310" t="s">
        <v>46</v>
      </c>
      <c r="E12" s="310" t="s">
        <v>2315</v>
      </c>
      <c r="F12" s="310" t="s">
        <v>68</v>
      </c>
      <c r="G12" s="311">
        <v>500081.0</v>
      </c>
      <c r="H12" s="310" t="s">
        <v>2089</v>
      </c>
      <c r="I12" s="310" t="s">
        <v>7838</v>
      </c>
      <c r="J12" s="312" t="s">
        <v>148</v>
      </c>
    </row>
    <row r="13">
      <c r="A13" s="309">
        <v>46077.0</v>
      </c>
      <c r="B13" s="310" t="s">
        <v>2377</v>
      </c>
      <c r="C13" s="310" t="s">
        <v>186</v>
      </c>
      <c r="D13" s="310" t="s">
        <v>258</v>
      </c>
      <c r="E13" s="310" t="s">
        <v>2315</v>
      </c>
      <c r="F13" s="310" t="s">
        <v>68</v>
      </c>
      <c r="G13" s="311">
        <v>500081.0</v>
      </c>
      <c r="H13" s="310" t="s">
        <v>2089</v>
      </c>
      <c r="I13" s="310" t="s">
        <v>7838</v>
      </c>
      <c r="J13" s="312" t="s">
        <v>148</v>
      </c>
    </row>
    <row r="14">
      <c r="A14" s="309">
        <v>46078.0</v>
      </c>
      <c r="B14" s="310" t="s">
        <v>2505</v>
      </c>
      <c r="C14" s="310" t="s">
        <v>186</v>
      </c>
      <c r="D14" s="310" t="s">
        <v>258</v>
      </c>
      <c r="E14" s="310" t="s">
        <v>2506</v>
      </c>
      <c r="F14" s="310" t="s">
        <v>68</v>
      </c>
      <c r="G14" s="311">
        <v>500081.0</v>
      </c>
      <c r="H14" s="310" t="s">
        <v>2089</v>
      </c>
      <c r="I14" s="310" t="s">
        <v>7838</v>
      </c>
      <c r="J14" s="312" t="s">
        <v>148</v>
      </c>
    </row>
    <row r="15">
      <c r="A15" s="309">
        <v>46079.0</v>
      </c>
      <c r="B15" s="313" t="s">
        <v>2741</v>
      </c>
      <c r="C15" s="310" t="s">
        <v>186</v>
      </c>
      <c r="D15" s="310" t="s">
        <v>258</v>
      </c>
      <c r="E15" s="310" t="s">
        <v>7866</v>
      </c>
      <c r="F15" s="310" t="s">
        <v>68</v>
      </c>
      <c r="G15" s="311">
        <v>500081.0</v>
      </c>
      <c r="H15" s="310" t="s">
        <v>2089</v>
      </c>
      <c r="I15" s="310" t="s">
        <v>7838</v>
      </c>
      <c r="J15" s="312" t="s">
        <v>148</v>
      </c>
    </row>
    <row r="16">
      <c r="A16" s="309">
        <v>46079.0</v>
      </c>
      <c r="B16" s="313" t="s">
        <v>2835</v>
      </c>
      <c r="C16" s="310" t="s">
        <v>186</v>
      </c>
      <c r="D16" s="310" t="s">
        <v>258</v>
      </c>
      <c r="E16" s="310" t="s">
        <v>7866</v>
      </c>
      <c r="F16" s="310" t="s">
        <v>68</v>
      </c>
      <c r="G16" s="311">
        <v>500081.0</v>
      </c>
      <c r="H16" s="310" t="s">
        <v>2089</v>
      </c>
      <c r="I16" s="310" t="s">
        <v>7838</v>
      </c>
      <c r="J16" s="312" t="s">
        <v>148</v>
      </c>
    </row>
    <row r="17">
      <c r="A17" s="309">
        <v>46079.0</v>
      </c>
      <c r="B17" s="313" t="s">
        <v>2837</v>
      </c>
      <c r="C17" s="310" t="s">
        <v>186</v>
      </c>
      <c r="D17" s="310" t="s">
        <v>258</v>
      </c>
      <c r="E17" s="310" t="s">
        <v>7866</v>
      </c>
      <c r="F17" s="310" t="s">
        <v>68</v>
      </c>
      <c r="G17" s="311">
        <v>500081.0</v>
      </c>
      <c r="H17" s="310" t="s">
        <v>2089</v>
      </c>
      <c r="I17" s="310" t="s">
        <v>7838</v>
      </c>
      <c r="J17" s="312" t="s">
        <v>148</v>
      </c>
    </row>
    <row r="18">
      <c r="A18" s="309">
        <v>46079.0</v>
      </c>
      <c r="B18" s="313" t="s">
        <v>2840</v>
      </c>
      <c r="C18" s="310" t="s">
        <v>186</v>
      </c>
      <c r="D18" s="310" t="s">
        <v>258</v>
      </c>
      <c r="E18" s="310" t="s">
        <v>7866</v>
      </c>
      <c r="F18" s="310" t="s">
        <v>68</v>
      </c>
      <c r="G18" s="311">
        <v>500081.0</v>
      </c>
      <c r="H18" s="310" t="s">
        <v>2089</v>
      </c>
      <c r="I18" s="310" t="s">
        <v>7838</v>
      </c>
      <c r="J18" s="312" t="s">
        <v>148</v>
      </c>
    </row>
    <row r="19">
      <c r="A19" s="309">
        <v>46091.0</v>
      </c>
      <c r="B19" s="310" t="s">
        <v>3716</v>
      </c>
      <c r="C19" s="310" t="s">
        <v>186</v>
      </c>
      <c r="D19" s="310" t="s">
        <v>258</v>
      </c>
      <c r="E19" s="310" t="s">
        <v>3715</v>
      </c>
      <c r="F19" s="310" t="s">
        <v>68</v>
      </c>
      <c r="G19" s="311">
        <v>500084.0</v>
      </c>
      <c r="H19" s="310" t="s">
        <v>2089</v>
      </c>
      <c r="I19" s="310" t="s">
        <v>7838</v>
      </c>
      <c r="J19" s="312" t="s">
        <v>148</v>
      </c>
    </row>
    <row r="20">
      <c r="A20" s="309">
        <v>46091.0</v>
      </c>
      <c r="B20" s="310" t="s">
        <v>3716</v>
      </c>
      <c r="C20" s="310" t="s">
        <v>186</v>
      </c>
      <c r="D20" s="310" t="s">
        <v>258</v>
      </c>
      <c r="E20" s="310" t="s">
        <v>3715</v>
      </c>
      <c r="F20" s="310" t="s">
        <v>68</v>
      </c>
      <c r="G20" s="311">
        <v>500084.0</v>
      </c>
      <c r="H20" s="310" t="s">
        <v>2089</v>
      </c>
      <c r="I20" s="310" t="s">
        <v>7838</v>
      </c>
      <c r="J20" s="312" t="s">
        <v>148</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35.75"/>
    <col customWidth="1" min="2" max="2" width="4.5"/>
  </cols>
  <sheetData>
    <row r="1"/>
    <row r="2"/>
    <row r="3"/>
    <row r="4"/>
    <row r="5"/>
    <row r="6"/>
    <row r="7"/>
    <row r="8"/>
    <row r="9"/>
    <row r="10"/>
    <row r="11"/>
    <row r="12"/>
    <row r="13"/>
    <row r="14"/>
    <row r="15"/>
    <row r="16"/>
    <row r="17"/>
    <row r="18"/>
    <row r="19"/>
  </sheetData>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9.25"/>
    <col customWidth="1" min="6" max="6" width="12.0"/>
  </cols>
  <sheetData>
    <row r="2"/>
    <row r="3"/>
    <row r="4"/>
    <row r="5"/>
    <row r="6"/>
    <row r="7"/>
    <row r="8"/>
    <row r="9"/>
    <row r="10"/>
    <row r="11"/>
    <row r="12"/>
    <row r="13"/>
    <row r="14"/>
    <row r="15"/>
    <row r="16"/>
    <row r="17"/>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06" t="s">
        <v>0</v>
      </c>
      <c r="B1" s="314" t="s">
        <v>7974</v>
      </c>
      <c r="C1" s="307" t="s">
        <v>7975</v>
      </c>
      <c r="D1" s="314" t="s">
        <v>7976</v>
      </c>
      <c r="E1" s="314" t="s">
        <v>4</v>
      </c>
      <c r="F1" s="314" t="s">
        <v>7977</v>
      </c>
      <c r="G1" s="314" t="s">
        <v>7847</v>
      </c>
      <c r="H1" s="307" t="s">
        <v>9</v>
      </c>
      <c r="I1" s="307" t="s">
        <v>7978</v>
      </c>
      <c r="J1" s="307" t="s">
        <v>11</v>
      </c>
      <c r="K1" s="314" t="s">
        <v>12</v>
      </c>
      <c r="L1" s="307" t="s">
        <v>7979</v>
      </c>
      <c r="M1" s="314" t="s">
        <v>7980</v>
      </c>
      <c r="N1" s="314" t="s">
        <v>7981</v>
      </c>
      <c r="O1" s="314" t="s">
        <v>7982</v>
      </c>
      <c r="P1" s="314" t="s">
        <v>7983</v>
      </c>
      <c r="Q1" s="314" t="s">
        <v>7984</v>
      </c>
      <c r="R1" s="314" t="s">
        <v>7985</v>
      </c>
      <c r="S1" s="314" t="s">
        <v>7986</v>
      </c>
      <c r="T1" s="314" t="s">
        <v>7987</v>
      </c>
      <c r="U1" s="314" t="s">
        <v>7988</v>
      </c>
      <c r="V1" s="314" t="s">
        <v>7989</v>
      </c>
      <c r="W1" s="314" t="s">
        <v>24</v>
      </c>
      <c r="X1" s="314" t="s">
        <v>25</v>
      </c>
      <c r="Y1" s="314" t="s">
        <v>26</v>
      </c>
      <c r="Z1" s="314" t="s">
        <v>27</v>
      </c>
      <c r="AA1" s="314" t="s">
        <v>28</v>
      </c>
      <c r="AB1" s="314" t="s">
        <v>7990</v>
      </c>
      <c r="AC1" s="314" t="s">
        <v>30</v>
      </c>
      <c r="AD1" s="314" t="s">
        <v>31</v>
      </c>
      <c r="AE1" s="314" t="s">
        <v>7991</v>
      </c>
      <c r="AF1" s="314" t="s">
        <v>7992</v>
      </c>
      <c r="AG1" s="314" t="s">
        <v>7993</v>
      </c>
      <c r="AH1" s="314" t="s">
        <v>7994</v>
      </c>
      <c r="AI1" s="314" t="s">
        <v>7995</v>
      </c>
      <c r="AJ1" s="314" t="s">
        <v>7996</v>
      </c>
      <c r="AK1" s="314" t="s">
        <v>7997</v>
      </c>
      <c r="AL1" s="314" t="s">
        <v>7998</v>
      </c>
      <c r="AM1" s="314" t="s">
        <v>3834</v>
      </c>
      <c r="AN1" s="314" t="s">
        <v>3835</v>
      </c>
      <c r="AO1" s="314" t="s">
        <v>3836</v>
      </c>
      <c r="AP1" s="315" t="s">
        <v>3837</v>
      </c>
    </row>
    <row r="2">
      <c r="A2" s="309">
        <v>46063.0</v>
      </c>
      <c r="B2" s="310" t="s">
        <v>717</v>
      </c>
      <c r="C2" s="310" t="s">
        <v>45</v>
      </c>
      <c r="D2" s="310" t="s">
        <v>61</v>
      </c>
      <c r="E2" s="310" t="s">
        <v>724</v>
      </c>
      <c r="F2" s="316"/>
      <c r="G2" s="310" t="s">
        <v>6110</v>
      </c>
      <c r="H2" s="310" t="s">
        <v>303</v>
      </c>
      <c r="I2" s="317">
        <v>0.15</v>
      </c>
      <c r="J2" s="318" t="s">
        <v>7999</v>
      </c>
      <c r="K2" s="318">
        <v>0.018</v>
      </c>
      <c r="L2" s="316"/>
      <c r="M2" s="310" t="s">
        <v>717</v>
      </c>
      <c r="N2" s="310" t="s">
        <v>724</v>
      </c>
      <c r="O2" s="310" t="s">
        <v>277</v>
      </c>
      <c r="P2" s="319" t="s">
        <v>719</v>
      </c>
      <c r="Q2" s="310" t="s">
        <v>279</v>
      </c>
      <c r="R2" s="310" t="s">
        <v>717</v>
      </c>
      <c r="S2" s="310" t="s">
        <v>91</v>
      </c>
      <c r="T2" s="310">
        <v>5.0200037904604E13</v>
      </c>
      <c r="U2" s="310" t="s">
        <v>725</v>
      </c>
      <c r="V2" s="310" t="s">
        <v>8000</v>
      </c>
      <c r="W2" s="316"/>
      <c r="X2" s="316"/>
      <c r="Y2" s="316"/>
      <c r="Z2" s="316"/>
      <c r="AA2" s="316"/>
      <c r="AB2" s="316"/>
      <c r="AC2" s="316"/>
      <c r="AD2" s="316"/>
      <c r="AE2" s="316"/>
      <c r="AF2" s="316"/>
      <c r="AG2" s="316"/>
      <c r="AH2" s="316"/>
      <c r="AI2" s="316"/>
      <c r="AJ2" s="316"/>
      <c r="AK2" s="316"/>
      <c r="AL2" s="316"/>
      <c r="AM2" s="316"/>
      <c r="AN2" s="316"/>
      <c r="AO2" s="316"/>
      <c r="AP2" s="320"/>
    </row>
    <row r="3">
      <c r="A3" s="309">
        <v>46063.0</v>
      </c>
      <c r="B3" s="310" t="s">
        <v>717</v>
      </c>
      <c r="C3" s="310" t="s">
        <v>45</v>
      </c>
      <c r="D3" s="310" t="s">
        <v>61</v>
      </c>
      <c r="E3" s="310" t="s">
        <v>718</v>
      </c>
      <c r="F3" s="316"/>
      <c r="G3" s="310" t="s">
        <v>716</v>
      </c>
      <c r="H3" s="310" t="s">
        <v>303</v>
      </c>
      <c r="I3" s="317">
        <v>0.15</v>
      </c>
      <c r="J3" s="318" t="s">
        <v>7999</v>
      </c>
      <c r="K3" s="318">
        <v>0.018</v>
      </c>
      <c r="L3" s="316"/>
      <c r="M3" s="310" t="s">
        <v>717</v>
      </c>
      <c r="N3" s="310" t="s">
        <v>718</v>
      </c>
      <c r="O3" s="310" t="s">
        <v>277</v>
      </c>
      <c r="P3" s="319" t="s">
        <v>719</v>
      </c>
      <c r="Q3" s="310" t="s">
        <v>279</v>
      </c>
      <c r="R3" s="310" t="s">
        <v>717</v>
      </c>
      <c r="S3" s="310" t="s">
        <v>131</v>
      </c>
      <c r="T3" s="310">
        <v>9.748601141E9</v>
      </c>
      <c r="U3" s="310" t="s">
        <v>720</v>
      </c>
      <c r="V3" s="310" t="s">
        <v>8000</v>
      </c>
      <c r="W3" s="316"/>
      <c r="X3" s="316"/>
      <c r="Y3" s="316"/>
      <c r="Z3" s="316"/>
      <c r="AA3" s="316"/>
      <c r="AB3" s="316"/>
      <c r="AC3" s="316"/>
      <c r="AD3" s="316"/>
      <c r="AE3" s="316"/>
      <c r="AF3" s="316"/>
      <c r="AG3" s="316"/>
      <c r="AH3" s="316"/>
      <c r="AI3" s="316"/>
      <c r="AJ3" s="316"/>
      <c r="AK3" s="316"/>
      <c r="AL3" s="316"/>
      <c r="AM3" s="316"/>
      <c r="AN3" s="316"/>
      <c r="AO3" s="316"/>
      <c r="AP3" s="320"/>
    </row>
    <row r="4">
      <c r="A4" s="309">
        <v>46063.0</v>
      </c>
      <c r="B4" s="310" t="s">
        <v>727</v>
      </c>
      <c r="C4" s="310" t="s">
        <v>45</v>
      </c>
      <c r="D4" s="310" t="s">
        <v>46</v>
      </c>
      <c r="E4" s="310" t="s">
        <v>728</v>
      </c>
      <c r="F4" s="310" t="s">
        <v>729</v>
      </c>
      <c r="G4" s="310" t="s">
        <v>49</v>
      </c>
      <c r="H4" s="310" t="s">
        <v>50</v>
      </c>
      <c r="I4" s="317">
        <v>0.2</v>
      </c>
      <c r="J4" s="318" t="s">
        <v>2980</v>
      </c>
      <c r="K4" s="318">
        <v>0.018</v>
      </c>
      <c r="L4" s="316"/>
      <c r="M4" s="310" t="s">
        <v>729</v>
      </c>
      <c r="N4" s="310" t="s">
        <v>729</v>
      </c>
      <c r="O4" s="310" t="s">
        <v>729</v>
      </c>
      <c r="P4" s="310" t="s">
        <v>729</v>
      </c>
      <c r="Q4" s="310" t="s">
        <v>729</v>
      </c>
      <c r="R4" s="310" t="s">
        <v>729</v>
      </c>
      <c r="S4" s="310" t="s">
        <v>729</v>
      </c>
      <c r="T4" s="310" t="s">
        <v>729</v>
      </c>
      <c r="U4" s="310" t="s">
        <v>729</v>
      </c>
      <c r="V4" s="310" t="s">
        <v>729</v>
      </c>
      <c r="W4" s="316"/>
      <c r="X4" s="316"/>
      <c r="Y4" s="316"/>
      <c r="Z4" s="316"/>
      <c r="AA4" s="316"/>
      <c r="AB4" s="316"/>
      <c r="AC4" s="316"/>
      <c r="AD4" s="316"/>
      <c r="AE4" s="316"/>
      <c r="AF4" s="316"/>
      <c r="AG4" s="316"/>
      <c r="AH4" s="316"/>
      <c r="AI4" s="316"/>
      <c r="AJ4" s="316"/>
      <c r="AK4" s="316"/>
      <c r="AL4" s="316"/>
      <c r="AM4" s="316"/>
      <c r="AN4" s="316"/>
      <c r="AO4" s="316"/>
      <c r="AP4" s="320"/>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88"/>
  </cols>
  <sheetData>
    <row r="1">
      <c r="A1" s="321" t="s">
        <v>0</v>
      </c>
      <c r="B1" s="322" t="s">
        <v>7974</v>
      </c>
      <c r="C1" s="323" t="s">
        <v>7975</v>
      </c>
      <c r="D1" s="322" t="s">
        <v>7976</v>
      </c>
      <c r="E1" s="322" t="s">
        <v>4</v>
      </c>
      <c r="F1" s="322" t="s">
        <v>7977</v>
      </c>
      <c r="G1" s="322" t="s">
        <v>7847</v>
      </c>
      <c r="H1" s="323" t="s">
        <v>9</v>
      </c>
      <c r="I1" s="323" t="s">
        <v>7978</v>
      </c>
      <c r="J1" s="323" t="s">
        <v>11</v>
      </c>
      <c r="K1" s="322" t="s">
        <v>12</v>
      </c>
      <c r="L1" s="323" t="s">
        <v>7979</v>
      </c>
      <c r="M1" s="322" t="s">
        <v>7980</v>
      </c>
      <c r="N1" s="322" t="s">
        <v>7981</v>
      </c>
      <c r="O1" s="322" t="s">
        <v>7982</v>
      </c>
      <c r="P1" s="322" t="s">
        <v>7983</v>
      </c>
      <c r="Q1" s="322" t="s">
        <v>7984</v>
      </c>
      <c r="R1" s="322" t="s">
        <v>7985</v>
      </c>
      <c r="S1" s="322" t="s">
        <v>7986</v>
      </c>
      <c r="T1" s="322" t="s">
        <v>7987</v>
      </c>
      <c r="U1" s="322" t="s">
        <v>7988</v>
      </c>
      <c r="V1" s="322" t="s">
        <v>7989</v>
      </c>
      <c r="W1" s="322" t="s">
        <v>24</v>
      </c>
      <c r="X1" s="322" t="s">
        <v>25</v>
      </c>
      <c r="Y1" s="322" t="s">
        <v>26</v>
      </c>
      <c r="Z1" s="322" t="s">
        <v>27</v>
      </c>
      <c r="AA1" s="322" t="s">
        <v>28</v>
      </c>
      <c r="AB1" s="322" t="s">
        <v>7990</v>
      </c>
      <c r="AC1" s="322" t="s">
        <v>30</v>
      </c>
      <c r="AD1" s="322" t="s">
        <v>31</v>
      </c>
      <c r="AE1" s="322" t="s">
        <v>7991</v>
      </c>
      <c r="AF1" s="322" t="s">
        <v>7992</v>
      </c>
      <c r="AG1" s="322" t="s">
        <v>7993</v>
      </c>
      <c r="AH1" s="322" t="s">
        <v>7994</v>
      </c>
      <c r="AI1" s="322" t="s">
        <v>7995</v>
      </c>
      <c r="AJ1" s="322" t="s">
        <v>7996</v>
      </c>
      <c r="AK1" s="322" t="s">
        <v>7997</v>
      </c>
      <c r="AL1" s="322" t="s">
        <v>7998</v>
      </c>
      <c r="AM1" s="322" t="s">
        <v>3834</v>
      </c>
      <c r="AN1" s="322" t="s">
        <v>3835</v>
      </c>
      <c r="AO1" s="322" t="s">
        <v>3836</v>
      </c>
      <c r="AP1" s="324" t="s">
        <v>3837</v>
      </c>
    </row>
    <row r="2">
      <c r="A2" s="325">
        <v>46058.0</v>
      </c>
      <c r="B2" s="326" t="s">
        <v>408</v>
      </c>
      <c r="C2" s="327" t="s">
        <v>241</v>
      </c>
      <c r="D2" s="327" t="s">
        <v>61</v>
      </c>
      <c r="E2" s="327" t="s">
        <v>8001</v>
      </c>
      <c r="F2" s="327" t="s">
        <v>410</v>
      </c>
      <c r="G2" s="327" t="s">
        <v>147</v>
      </c>
      <c r="H2" s="327" t="s">
        <v>148</v>
      </c>
      <c r="I2" s="328">
        <v>0.2</v>
      </c>
      <c r="J2" s="329" t="s">
        <v>2980</v>
      </c>
      <c r="K2" s="329">
        <v>0.018</v>
      </c>
      <c r="L2" s="330"/>
      <c r="M2" s="327" t="s">
        <v>408</v>
      </c>
      <c r="N2" s="327" t="s">
        <v>411</v>
      </c>
      <c r="O2" s="327" t="s">
        <v>412</v>
      </c>
      <c r="P2" s="331" t="s">
        <v>413</v>
      </c>
      <c r="Q2" s="327" t="s">
        <v>414</v>
      </c>
      <c r="R2" s="327" t="s">
        <v>408</v>
      </c>
      <c r="S2" s="327" t="s">
        <v>415</v>
      </c>
      <c r="T2" s="327">
        <v>2.59849975158E11</v>
      </c>
      <c r="U2" s="327" t="s">
        <v>416</v>
      </c>
      <c r="V2" s="327" t="s">
        <v>68</v>
      </c>
      <c r="W2" s="330"/>
      <c r="X2" s="330"/>
      <c r="Y2" s="330"/>
      <c r="Z2" s="330"/>
      <c r="AA2" s="330"/>
      <c r="AB2" s="330"/>
      <c r="AC2" s="330"/>
      <c r="AD2" s="330"/>
      <c r="AE2" s="330"/>
      <c r="AF2" s="330"/>
      <c r="AG2" s="330"/>
      <c r="AH2" s="330"/>
      <c r="AI2" s="330"/>
      <c r="AJ2" s="330"/>
      <c r="AK2" s="330"/>
      <c r="AL2" s="330"/>
      <c r="AM2" s="330"/>
      <c r="AN2" s="330"/>
      <c r="AO2" s="330"/>
      <c r="AP2" s="332"/>
    </row>
    <row r="3">
      <c r="A3" s="333">
        <v>46058.0</v>
      </c>
      <c r="B3" s="326" t="s">
        <v>418</v>
      </c>
      <c r="C3" s="334" t="s">
        <v>96</v>
      </c>
      <c r="D3" s="334" t="s">
        <v>46</v>
      </c>
      <c r="E3" s="334" t="s">
        <v>8002</v>
      </c>
      <c r="F3" s="334" t="s">
        <v>420</v>
      </c>
      <c r="G3" s="334" t="s">
        <v>8003</v>
      </c>
      <c r="H3" s="334" t="s">
        <v>50</v>
      </c>
      <c r="I3" s="335">
        <v>0.22</v>
      </c>
      <c r="J3" s="336" t="s">
        <v>2980</v>
      </c>
      <c r="K3" s="336">
        <v>0.018</v>
      </c>
      <c r="L3" s="337"/>
      <c r="M3" s="334" t="s">
        <v>420</v>
      </c>
      <c r="N3" s="334" t="s">
        <v>422</v>
      </c>
      <c r="O3" s="334" t="s">
        <v>420</v>
      </c>
      <c r="P3" s="338" t="s">
        <v>423</v>
      </c>
      <c r="Q3" s="334" t="s">
        <v>424</v>
      </c>
      <c r="R3" s="334" t="s">
        <v>425</v>
      </c>
      <c r="S3" s="334" t="s">
        <v>426</v>
      </c>
      <c r="T3" s="334">
        <v>6.414081002E9</v>
      </c>
      <c r="U3" s="334" t="s">
        <v>427</v>
      </c>
      <c r="V3" s="334" t="s">
        <v>8004</v>
      </c>
      <c r="W3" s="337"/>
      <c r="X3" s="337"/>
      <c r="Y3" s="337"/>
      <c r="Z3" s="337"/>
      <c r="AA3" s="337"/>
      <c r="AB3" s="337"/>
      <c r="AC3" s="337"/>
      <c r="AD3" s="337"/>
      <c r="AE3" s="337"/>
      <c r="AF3" s="337"/>
      <c r="AG3" s="337"/>
      <c r="AH3" s="337"/>
      <c r="AI3" s="337"/>
      <c r="AJ3" s="337"/>
      <c r="AK3" s="337"/>
      <c r="AL3" s="337"/>
      <c r="AM3" s="337"/>
      <c r="AN3" s="337"/>
      <c r="AO3" s="337"/>
      <c r="AP3" s="339"/>
    </row>
    <row r="4">
      <c r="A4" s="325">
        <v>46058.0</v>
      </c>
      <c r="B4" s="326" t="s">
        <v>429</v>
      </c>
      <c r="C4" s="327" t="s">
        <v>96</v>
      </c>
      <c r="D4" s="327" t="s">
        <v>46</v>
      </c>
      <c r="E4" s="327" t="s">
        <v>433</v>
      </c>
      <c r="F4" s="327" t="s">
        <v>431</v>
      </c>
      <c r="G4" s="327" t="s">
        <v>8005</v>
      </c>
      <c r="H4" s="327" t="s">
        <v>50</v>
      </c>
      <c r="I4" s="328">
        <v>0.2</v>
      </c>
      <c r="J4" s="329" t="s">
        <v>2980</v>
      </c>
      <c r="K4" s="329">
        <v>0.018</v>
      </c>
      <c r="L4" s="330"/>
      <c r="M4" s="327" t="s">
        <v>431</v>
      </c>
      <c r="N4" s="327" t="s">
        <v>433</v>
      </c>
      <c r="O4" s="327" t="s">
        <v>431</v>
      </c>
      <c r="P4" s="331" t="s">
        <v>76</v>
      </c>
      <c r="Q4" s="327" t="s">
        <v>77</v>
      </c>
      <c r="R4" s="327" t="s">
        <v>75</v>
      </c>
      <c r="S4" s="327" t="s">
        <v>78</v>
      </c>
      <c r="T4" s="327">
        <v>8.686561072E9</v>
      </c>
      <c r="U4" s="327" t="s">
        <v>79</v>
      </c>
      <c r="V4" s="327" t="s">
        <v>8000</v>
      </c>
      <c r="W4" s="330"/>
      <c r="X4" s="330"/>
      <c r="Y4" s="330"/>
      <c r="Z4" s="330"/>
      <c r="AA4" s="330"/>
      <c r="AB4" s="330"/>
      <c r="AC4" s="330"/>
      <c r="AD4" s="330"/>
      <c r="AE4" s="330"/>
      <c r="AF4" s="330"/>
      <c r="AG4" s="330"/>
      <c r="AH4" s="330"/>
      <c r="AI4" s="330"/>
      <c r="AJ4" s="330"/>
      <c r="AK4" s="330"/>
      <c r="AL4" s="330"/>
      <c r="AM4" s="330"/>
      <c r="AN4" s="330"/>
      <c r="AO4" s="330"/>
      <c r="AP4" s="332"/>
    </row>
    <row r="5">
      <c r="A5" s="333">
        <v>46058.0</v>
      </c>
      <c r="B5" s="326" t="s">
        <v>8006</v>
      </c>
      <c r="C5" s="334" t="s">
        <v>248</v>
      </c>
      <c r="D5" s="334" t="s">
        <v>46</v>
      </c>
      <c r="E5" s="334" t="s">
        <v>8007</v>
      </c>
      <c r="F5" s="334" t="s">
        <v>437</v>
      </c>
      <c r="G5" s="334" t="s">
        <v>147</v>
      </c>
      <c r="H5" s="334" t="s">
        <v>148</v>
      </c>
      <c r="I5" s="335">
        <v>0.2</v>
      </c>
      <c r="J5" s="336" t="s">
        <v>2980</v>
      </c>
      <c r="K5" s="336">
        <v>0.018</v>
      </c>
      <c r="L5" s="337"/>
      <c r="M5" s="334" t="s">
        <v>68</v>
      </c>
      <c r="N5" s="334" t="s">
        <v>68</v>
      </c>
      <c r="O5" s="334" t="s">
        <v>440</v>
      </c>
      <c r="P5" s="338" t="s">
        <v>441</v>
      </c>
      <c r="Q5" s="334" t="s">
        <v>442</v>
      </c>
      <c r="R5" s="334" t="s">
        <v>435</v>
      </c>
      <c r="S5" s="334" t="s">
        <v>68</v>
      </c>
      <c r="T5" s="334">
        <v>1.548257253E9</v>
      </c>
      <c r="U5" s="334" t="s">
        <v>443</v>
      </c>
      <c r="V5" s="334" t="s">
        <v>68</v>
      </c>
      <c r="W5" s="337"/>
      <c r="X5" s="337"/>
      <c r="Y5" s="337"/>
      <c r="Z5" s="337"/>
      <c r="AA5" s="337"/>
      <c r="AB5" s="337"/>
      <c r="AC5" s="337"/>
      <c r="AD5" s="337"/>
      <c r="AE5" s="337"/>
      <c r="AF5" s="337"/>
      <c r="AG5" s="337"/>
      <c r="AH5" s="337"/>
      <c r="AI5" s="337"/>
      <c r="AJ5" s="337"/>
      <c r="AK5" s="337"/>
      <c r="AL5" s="337"/>
      <c r="AM5" s="337"/>
      <c r="AN5" s="337"/>
      <c r="AO5" s="337"/>
      <c r="AP5" s="339"/>
    </row>
    <row r="6">
      <c r="A6" s="325">
        <v>46058.0</v>
      </c>
      <c r="B6" s="326" t="s">
        <v>445</v>
      </c>
      <c r="C6" s="327" t="s">
        <v>241</v>
      </c>
      <c r="D6" s="327" t="s">
        <v>61</v>
      </c>
      <c r="E6" s="327" t="s">
        <v>8008</v>
      </c>
      <c r="F6" s="327" t="s">
        <v>447</v>
      </c>
      <c r="G6" s="327" t="s">
        <v>147</v>
      </c>
      <c r="H6" s="327" t="s">
        <v>148</v>
      </c>
      <c r="I6" s="328">
        <v>0.18</v>
      </c>
      <c r="J6" s="329" t="s">
        <v>8009</v>
      </c>
      <c r="K6" s="329">
        <v>0.018</v>
      </c>
      <c r="L6" s="330"/>
      <c r="M6" s="327" t="s">
        <v>447</v>
      </c>
      <c r="N6" s="327" t="s">
        <v>448</v>
      </c>
      <c r="O6" s="327" t="s">
        <v>449</v>
      </c>
      <c r="P6" s="331" t="s">
        <v>450</v>
      </c>
      <c r="Q6" s="327" t="s">
        <v>451</v>
      </c>
      <c r="R6" s="327" t="s">
        <v>68</v>
      </c>
      <c r="S6" s="327" t="s">
        <v>68</v>
      </c>
      <c r="T6" s="327" t="s">
        <v>452</v>
      </c>
      <c r="U6" s="327" t="s">
        <v>68</v>
      </c>
      <c r="V6" s="327" t="s">
        <v>68</v>
      </c>
      <c r="W6" s="330"/>
      <c r="X6" s="330"/>
      <c r="Y6" s="330"/>
      <c r="Z6" s="330"/>
      <c r="AA6" s="330"/>
      <c r="AB6" s="330"/>
      <c r="AC6" s="330"/>
      <c r="AD6" s="330"/>
      <c r="AE6" s="330"/>
      <c r="AF6" s="330"/>
      <c r="AG6" s="330"/>
      <c r="AH6" s="330"/>
      <c r="AI6" s="330"/>
      <c r="AJ6" s="330"/>
      <c r="AK6" s="330"/>
      <c r="AL6" s="330"/>
      <c r="AM6" s="330"/>
      <c r="AN6" s="330"/>
      <c r="AO6" s="330"/>
      <c r="AP6" s="332"/>
    </row>
    <row r="7">
      <c r="A7" s="333">
        <v>46058.0</v>
      </c>
      <c r="B7" s="326" t="s">
        <v>457</v>
      </c>
      <c r="C7" s="334" t="s">
        <v>248</v>
      </c>
      <c r="D7" s="334" t="s">
        <v>46</v>
      </c>
      <c r="E7" s="334" t="s">
        <v>455</v>
      </c>
      <c r="F7" s="334" t="s">
        <v>456</v>
      </c>
      <c r="G7" s="334" t="s">
        <v>147</v>
      </c>
      <c r="H7" s="334" t="s">
        <v>148</v>
      </c>
      <c r="I7" s="335">
        <v>0.15</v>
      </c>
      <c r="J7" s="336" t="s">
        <v>7999</v>
      </c>
      <c r="K7" s="336">
        <v>0.018</v>
      </c>
      <c r="L7" s="337"/>
      <c r="M7" s="334" t="s">
        <v>457</v>
      </c>
      <c r="N7" s="334" t="s">
        <v>455</v>
      </c>
      <c r="O7" s="334" t="s">
        <v>456</v>
      </c>
      <c r="P7" s="338" t="s">
        <v>458</v>
      </c>
      <c r="Q7" s="334" t="s">
        <v>459</v>
      </c>
      <c r="R7" s="334" t="s">
        <v>460</v>
      </c>
      <c r="S7" s="334" t="s">
        <v>91</v>
      </c>
      <c r="T7" s="334">
        <v>5.0200064899781E13</v>
      </c>
      <c r="U7" s="334" t="s">
        <v>461</v>
      </c>
      <c r="V7" s="334" t="s">
        <v>8000</v>
      </c>
      <c r="W7" s="337"/>
      <c r="X7" s="337"/>
      <c r="Y7" s="337"/>
      <c r="Z7" s="337"/>
      <c r="AA7" s="337"/>
      <c r="AB7" s="337"/>
      <c r="AC7" s="337"/>
      <c r="AD7" s="337"/>
      <c r="AE7" s="337"/>
      <c r="AF7" s="337"/>
      <c r="AG7" s="337"/>
      <c r="AH7" s="337"/>
      <c r="AI7" s="337"/>
      <c r="AJ7" s="337"/>
      <c r="AK7" s="337"/>
      <c r="AL7" s="337"/>
      <c r="AM7" s="337"/>
      <c r="AN7" s="337"/>
      <c r="AO7" s="337"/>
      <c r="AP7" s="339"/>
    </row>
    <row r="8">
      <c r="A8" s="325">
        <v>46058.0</v>
      </c>
      <c r="B8" s="326" t="s">
        <v>463</v>
      </c>
      <c r="C8" s="327" t="s">
        <v>60</v>
      </c>
      <c r="D8" s="327" t="s">
        <v>46</v>
      </c>
      <c r="E8" s="327" t="s">
        <v>466</v>
      </c>
      <c r="F8" s="327" t="s">
        <v>465</v>
      </c>
      <c r="G8" s="327" t="s">
        <v>432</v>
      </c>
      <c r="H8" s="327" t="s">
        <v>50</v>
      </c>
      <c r="I8" s="328">
        <v>0.2</v>
      </c>
      <c r="J8" s="329" t="s">
        <v>2980</v>
      </c>
      <c r="K8" s="329">
        <v>0.018</v>
      </c>
      <c r="L8" s="330"/>
      <c r="M8" s="327" t="s">
        <v>72</v>
      </c>
      <c r="N8" s="327" t="s">
        <v>466</v>
      </c>
      <c r="O8" s="327" t="s">
        <v>467</v>
      </c>
      <c r="P8" s="331" t="s">
        <v>468</v>
      </c>
      <c r="Q8" s="327" t="s">
        <v>469</v>
      </c>
      <c r="R8" s="327" t="s">
        <v>470</v>
      </c>
      <c r="S8" s="327" t="s">
        <v>415</v>
      </c>
      <c r="T8" s="327">
        <v>1.57097949648E11</v>
      </c>
      <c r="U8" s="327" t="s">
        <v>471</v>
      </c>
      <c r="V8" s="327" t="s">
        <v>8004</v>
      </c>
      <c r="W8" s="330"/>
      <c r="X8" s="330"/>
      <c r="Y8" s="330"/>
      <c r="Z8" s="330"/>
      <c r="AA8" s="330"/>
      <c r="AB8" s="330"/>
      <c r="AC8" s="330"/>
      <c r="AD8" s="330"/>
      <c r="AE8" s="330"/>
      <c r="AF8" s="330"/>
      <c r="AG8" s="330"/>
      <c r="AH8" s="330"/>
      <c r="AI8" s="330"/>
      <c r="AJ8" s="330"/>
      <c r="AK8" s="330"/>
      <c r="AL8" s="330"/>
      <c r="AM8" s="330"/>
      <c r="AN8" s="330"/>
      <c r="AO8" s="330"/>
      <c r="AP8" s="332"/>
    </row>
    <row r="9">
      <c r="A9" s="333">
        <v>46058.0</v>
      </c>
      <c r="B9" s="340" t="s">
        <v>472</v>
      </c>
      <c r="C9" s="334" t="s">
        <v>96</v>
      </c>
      <c r="D9" s="334" t="s">
        <v>46</v>
      </c>
      <c r="E9" s="334" t="s">
        <v>473</v>
      </c>
      <c r="F9" s="334" t="s">
        <v>474</v>
      </c>
      <c r="G9" s="334" t="s">
        <v>8010</v>
      </c>
      <c r="H9" s="334" t="s">
        <v>50</v>
      </c>
      <c r="I9" s="335">
        <v>0.2</v>
      </c>
      <c r="J9" s="336" t="s">
        <v>2980</v>
      </c>
      <c r="K9" s="336">
        <v>0.018</v>
      </c>
      <c r="L9" s="337"/>
      <c r="M9" s="334" t="s">
        <v>475</v>
      </c>
      <c r="N9" s="334" t="s">
        <v>476</v>
      </c>
      <c r="O9" s="334" t="s">
        <v>474</v>
      </c>
      <c r="P9" s="338" t="s">
        <v>468</v>
      </c>
      <c r="Q9" s="334" t="s">
        <v>469</v>
      </c>
      <c r="R9" s="334" t="s">
        <v>474</v>
      </c>
      <c r="S9" s="334" t="s">
        <v>415</v>
      </c>
      <c r="T9" s="334">
        <v>1.57097949648E11</v>
      </c>
      <c r="U9" s="334" t="s">
        <v>471</v>
      </c>
      <c r="V9" s="334" t="s">
        <v>8004</v>
      </c>
      <c r="W9" s="337"/>
      <c r="X9" s="337"/>
      <c r="Y9" s="337"/>
      <c r="Z9" s="337"/>
      <c r="AA9" s="337"/>
      <c r="AB9" s="337"/>
      <c r="AC9" s="337"/>
      <c r="AD9" s="337"/>
      <c r="AE9" s="337"/>
      <c r="AF9" s="337"/>
      <c r="AG9" s="337"/>
      <c r="AH9" s="337"/>
      <c r="AI9" s="337"/>
      <c r="AJ9" s="337"/>
      <c r="AK9" s="337"/>
      <c r="AL9" s="337"/>
      <c r="AM9" s="337"/>
      <c r="AN9" s="337"/>
      <c r="AO9" s="337"/>
      <c r="AP9" s="339"/>
    </row>
    <row r="10">
      <c r="A10" s="325">
        <v>46058.0</v>
      </c>
      <c r="B10" s="326" t="s">
        <v>478</v>
      </c>
      <c r="C10" s="327" t="s">
        <v>186</v>
      </c>
      <c r="D10" s="327" t="s">
        <v>46</v>
      </c>
      <c r="E10" s="327" t="s">
        <v>8011</v>
      </c>
      <c r="F10" s="327" t="s">
        <v>480</v>
      </c>
      <c r="G10" s="327" t="s">
        <v>147</v>
      </c>
      <c r="H10" s="327" t="s">
        <v>148</v>
      </c>
      <c r="I10" s="328">
        <v>0.17</v>
      </c>
      <c r="J10" s="329" t="s">
        <v>8009</v>
      </c>
      <c r="K10" s="329">
        <v>0.018</v>
      </c>
      <c r="L10" s="330"/>
      <c r="M10" s="327" t="s">
        <v>68</v>
      </c>
      <c r="N10" s="327" t="s">
        <v>8011</v>
      </c>
      <c r="O10" s="327" t="s">
        <v>480</v>
      </c>
      <c r="P10" s="331" t="s">
        <v>482</v>
      </c>
      <c r="Q10" s="327" t="s">
        <v>483</v>
      </c>
      <c r="R10" s="327" t="s">
        <v>484</v>
      </c>
      <c r="S10" s="327" t="s">
        <v>254</v>
      </c>
      <c r="T10" s="327">
        <v>3.049366762E9</v>
      </c>
      <c r="U10" s="327" t="s">
        <v>443</v>
      </c>
      <c r="V10" s="327" t="s">
        <v>8004</v>
      </c>
      <c r="W10" s="330"/>
      <c r="X10" s="330"/>
      <c r="Y10" s="330"/>
      <c r="Z10" s="330"/>
      <c r="AA10" s="330"/>
      <c r="AB10" s="330"/>
      <c r="AC10" s="330"/>
      <c r="AD10" s="330"/>
      <c r="AE10" s="330"/>
      <c r="AF10" s="330"/>
      <c r="AG10" s="330"/>
      <c r="AH10" s="330"/>
      <c r="AI10" s="330"/>
      <c r="AJ10" s="330"/>
      <c r="AK10" s="330"/>
      <c r="AL10" s="330"/>
      <c r="AM10" s="330"/>
      <c r="AN10" s="330"/>
      <c r="AO10" s="330"/>
      <c r="AP10" s="332"/>
    </row>
    <row r="15">
      <c r="B15" s="278" t="s">
        <v>8012</v>
      </c>
      <c r="C15" s="278" t="s">
        <v>8013</v>
      </c>
    </row>
  </sheetData>
  <autoFilter ref="$A$1:$BJ$10">
    <sortState ref="A1:BJ10">
      <sortCondition ref="B1:B10"/>
    </sortState>
  </autoFil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0"/>
  </cols>
  <sheetData>
    <row r="1">
      <c r="A1" s="321" t="s">
        <v>0</v>
      </c>
      <c r="B1" s="322" t="s">
        <v>7974</v>
      </c>
      <c r="C1" s="323" t="s">
        <v>7975</v>
      </c>
      <c r="D1" s="322" t="s">
        <v>7976</v>
      </c>
      <c r="E1" s="322" t="s">
        <v>4</v>
      </c>
      <c r="F1" s="322" t="s">
        <v>7977</v>
      </c>
      <c r="G1" s="322" t="s">
        <v>7847</v>
      </c>
      <c r="H1" s="323" t="s">
        <v>9</v>
      </c>
      <c r="I1" s="323" t="s">
        <v>7978</v>
      </c>
      <c r="J1" s="323" t="s">
        <v>11</v>
      </c>
      <c r="K1" s="322" t="s">
        <v>12</v>
      </c>
      <c r="L1" s="323" t="s">
        <v>7979</v>
      </c>
      <c r="M1" s="322" t="s">
        <v>7980</v>
      </c>
      <c r="N1" s="322" t="s">
        <v>7981</v>
      </c>
      <c r="O1" s="322" t="s">
        <v>7982</v>
      </c>
      <c r="P1" s="322" t="s">
        <v>7983</v>
      </c>
      <c r="Q1" s="322" t="s">
        <v>7984</v>
      </c>
      <c r="R1" s="322" t="s">
        <v>7985</v>
      </c>
      <c r="S1" s="322" t="s">
        <v>7986</v>
      </c>
      <c r="T1" s="322" t="s">
        <v>7987</v>
      </c>
      <c r="U1" s="322" t="s">
        <v>7988</v>
      </c>
      <c r="V1" s="322" t="s">
        <v>7989</v>
      </c>
      <c r="W1" s="322" t="s">
        <v>24</v>
      </c>
      <c r="X1" s="322" t="s">
        <v>25</v>
      </c>
      <c r="Y1" s="322" t="s">
        <v>26</v>
      </c>
      <c r="Z1" s="322" t="s">
        <v>27</v>
      </c>
      <c r="AA1" s="322" t="s">
        <v>28</v>
      </c>
      <c r="AB1" s="322" t="s">
        <v>7990</v>
      </c>
      <c r="AC1" s="322" t="s">
        <v>30</v>
      </c>
      <c r="AD1" s="322" t="s">
        <v>31</v>
      </c>
      <c r="AE1" s="322" t="s">
        <v>7991</v>
      </c>
      <c r="AF1" s="322" t="s">
        <v>7992</v>
      </c>
      <c r="AG1" s="322" t="s">
        <v>7993</v>
      </c>
      <c r="AH1" s="322" t="s">
        <v>7994</v>
      </c>
      <c r="AI1" s="322" t="s">
        <v>7995</v>
      </c>
      <c r="AJ1" s="322" t="s">
        <v>7996</v>
      </c>
      <c r="AK1" s="322" t="s">
        <v>7997</v>
      </c>
      <c r="AL1" s="322" t="s">
        <v>7998</v>
      </c>
      <c r="AM1" s="322" t="s">
        <v>3834</v>
      </c>
      <c r="AN1" s="322" t="s">
        <v>3835</v>
      </c>
      <c r="AO1" s="322" t="s">
        <v>3836</v>
      </c>
      <c r="AP1" s="324" t="s">
        <v>3837</v>
      </c>
    </row>
    <row r="2">
      <c r="A2" s="325">
        <v>46066.0</v>
      </c>
      <c r="B2" s="326" t="s">
        <v>941</v>
      </c>
      <c r="C2" s="327" t="s">
        <v>45</v>
      </c>
      <c r="D2" s="327" t="s">
        <v>61</v>
      </c>
      <c r="E2" s="327" t="s">
        <v>942</v>
      </c>
      <c r="F2" s="327" t="s">
        <v>68</v>
      </c>
      <c r="G2" s="327" t="s">
        <v>302</v>
      </c>
      <c r="H2" s="327" t="s">
        <v>303</v>
      </c>
      <c r="I2" s="328">
        <v>0.2</v>
      </c>
      <c r="J2" s="329" t="s">
        <v>2980</v>
      </c>
      <c r="K2" s="329">
        <v>0.018</v>
      </c>
      <c r="L2" s="330"/>
      <c r="M2" s="327" t="s">
        <v>941</v>
      </c>
      <c r="N2" s="327" t="s">
        <v>943</v>
      </c>
      <c r="O2" s="327" t="s">
        <v>944</v>
      </c>
      <c r="P2" s="331" t="s">
        <v>945</v>
      </c>
      <c r="Q2" s="327" t="s">
        <v>946</v>
      </c>
      <c r="R2" s="327" t="s">
        <v>944</v>
      </c>
      <c r="S2" s="327" t="s">
        <v>215</v>
      </c>
      <c r="T2" s="327" t="s">
        <v>947</v>
      </c>
      <c r="U2" s="327" t="s">
        <v>948</v>
      </c>
      <c r="V2" s="327" t="s">
        <v>8000</v>
      </c>
      <c r="W2" s="330"/>
      <c r="X2" s="330"/>
      <c r="Y2" s="330"/>
      <c r="Z2" s="330"/>
      <c r="AA2" s="330"/>
      <c r="AB2" s="330"/>
      <c r="AC2" s="330"/>
      <c r="AD2" s="330"/>
      <c r="AE2" s="330"/>
      <c r="AF2" s="330"/>
      <c r="AG2" s="330"/>
      <c r="AH2" s="330"/>
      <c r="AI2" s="330"/>
      <c r="AJ2" s="330"/>
      <c r="AK2" s="330"/>
      <c r="AL2" s="330"/>
      <c r="AM2" s="330"/>
      <c r="AN2" s="330"/>
      <c r="AO2" s="330"/>
      <c r="AP2" s="332"/>
    </row>
    <row r="3">
      <c r="A3" s="333">
        <v>46066.0</v>
      </c>
      <c r="B3" s="326" t="s">
        <v>950</v>
      </c>
      <c r="C3" s="334" t="s">
        <v>73</v>
      </c>
      <c r="D3" s="334" t="s">
        <v>61</v>
      </c>
      <c r="E3" s="334" t="s">
        <v>8014</v>
      </c>
      <c r="F3" s="334" t="s">
        <v>952</v>
      </c>
      <c r="G3" s="334" t="s">
        <v>1165</v>
      </c>
      <c r="H3" s="334" t="s">
        <v>390</v>
      </c>
      <c r="I3" s="335">
        <v>0.18</v>
      </c>
      <c r="J3" s="336" t="s">
        <v>8009</v>
      </c>
      <c r="K3" s="336">
        <v>0.018</v>
      </c>
      <c r="L3" s="337"/>
      <c r="M3" s="334" t="s">
        <v>950</v>
      </c>
      <c r="N3" s="334" t="s">
        <v>610</v>
      </c>
      <c r="O3" s="334" t="s">
        <v>952</v>
      </c>
      <c r="P3" s="338" t="s">
        <v>953</v>
      </c>
      <c r="Q3" s="334" t="s">
        <v>954</v>
      </c>
      <c r="R3" s="334" t="s">
        <v>68</v>
      </c>
      <c r="S3" s="334" t="s">
        <v>68</v>
      </c>
      <c r="T3" s="334" t="s">
        <v>68</v>
      </c>
      <c r="U3" s="334" t="s">
        <v>68</v>
      </c>
      <c r="V3" s="334" t="s">
        <v>68</v>
      </c>
      <c r="W3" s="337"/>
      <c r="X3" s="337"/>
      <c r="Y3" s="337"/>
      <c r="Z3" s="337"/>
      <c r="AA3" s="337"/>
      <c r="AB3" s="337"/>
      <c r="AC3" s="337"/>
      <c r="AD3" s="337"/>
      <c r="AE3" s="337"/>
      <c r="AF3" s="337"/>
      <c r="AG3" s="337"/>
      <c r="AH3" s="337"/>
      <c r="AI3" s="337"/>
      <c r="AJ3" s="337"/>
      <c r="AK3" s="337"/>
      <c r="AL3" s="337"/>
      <c r="AM3" s="337"/>
      <c r="AN3" s="337"/>
      <c r="AO3" s="337"/>
      <c r="AP3" s="339"/>
    </row>
    <row r="4">
      <c r="A4" s="325">
        <v>46066.0</v>
      </c>
      <c r="B4" s="326" t="s">
        <v>955</v>
      </c>
      <c r="C4" s="327" t="s">
        <v>144</v>
      </c>
      <c r="D4" s="327" t="s">
        <v>46</v>
      </c>
      <c r="E4" s="327" t="s">
        <v>8015</v>
      </c>
      <c r="F4" s="327" t="s">
        <v>957</v>
      </c>
      <c r="G4" s="327" t="s">
        <v>147</v>
      </c>
      <c r="H4" s="327" t="s">
        <v>148</v>
      </c>
      <c r="I4" s="328">
        <v>0.19</v>
      </c>
      <c r="J4" s="327" t="s">
        <v>8009</v>
      </c>
      <c r="K4" s="329">
        <v>0.018</v>
      </c>
      <c r="L4" s="330"/>
      <c r="M4" s="327" t="s">
        <v>957</v>
      </c>
      <c r="N4" s="327" t="s">
        <v>8016</v>
      </c>
      <c r="O4" s="327" t="s">
        <v>585</v>
      </c>
      <c r="P4" s="331" t="s">
        <v>959</v>
      </c>
      <c r="Q4" s="327" t="s">
        <v>68</v>
      </c>
      <c r="R4" s="327" t="s">
        <v>68</v>
      </c>
      <c r="S4" s="327" t="s">
        <v>68</v>
      </c>
      <c r="T4" s="327" t="s">
        <v>68</v>
      </c>
      <c r="U4" s="327" t="s">
        <v>68</v>
      </c>
      <c r="V4" s="327" t="s">
        <v>68</v>
      </c>
      <c r="W4" s="330"/>
      <c r="X4" s="330"/>
      <c r="Y4" s="330"/>
      <c r="Z4" s="330"/>
      <c r="AA4" s="330"/>
      <c r="AB4" s="330"/>
      <c r="AC4" s="330"/>
      <c r="AD4" s="330"/>
      <c r="AE4" s="330"/>
      <c r="AF4" s="330"/>
      <c r="AG4" s="330"/>
      <c r="AH4" s="330"/>
      <c r="AI4" s="330"/>
      <c r="AJ4" s="330"/>
      <c r="AK4" s="330"/>
      <c r="AL4" s="330"/>
      <c r="AM4" s="330"/>
      <c r="AN4" s="330"/>
      <c r="AO4" s="330"/>
      <c r="AP4" s="332"/>
    </row>
    <row r="5">
      <c r="A5" s="333">
        <v>46066.0</v>
      </c>
      <c r="B5" s="326" t="s">
        <v>965</v>
      </c>
      <c r="C5" s="334" t="s">
        <v>186</v>
      </c>
      <c r="D5" s="334" t="s">
        <v>61</v>
      </c>
      <c r="E5" s="334" t="s">
        <v>8017</v>
      </c>
      <c r="F5" s="334" t="s">
        <v>68</v>
      </c>
      <c r="G5" s="334" t="s">
        <v>4290</v>
      </c>
      <c r="H5" s="334" t="s">
        <v>161</v>
      </c>
      <c r="I5" s="335">
        <v>0.17</v>
      </c>
      <c r="J5" s="334" t="s">
        <v>8009</v>
      </c>
      <c r="K5" s="336">
        <v>0.018</v>
      </c>
      <c r="L5" s="337"/>
      <c r="M5" s="334" t="s">
        <v>965</v>
      </c>
      <c r="N5" s="334" t="s">
        <v>966</v>
      </c>
      <c r="O5" s="334" t="s">
        <v>967</v>
      </c>
      <c r="P5" s="338" t="s">
        <v>968</v>
      </c>
      <c r="Q5" s="334" t="s">
        <v>969</v>
      </c>
      <c r="R5" s="334" t="s">
        <v>965</v>
      </c>
      <c r="S5" s="334" t="s">
        <v>426</v>
      </c>
      <c r="T5" s="334">
        <v>8.150356795E9</v>
      </c>
      <c r="U5" s="334" t="s">
        <v>970</v>
      </c>
      <c r="V5" s="334" t="s">
        <v>8000</v>
      </c>
      <c r="W5" s="337"/>
      <c r="X5" s="337"/>
      <c r="Y5" s="337"/>
      <c r="Z5" s="337"/>
      <c r="AA5" s="337"/>
      <c r="AB5" s="337"/>
      <c r="AC5" s="337"/>
      <c r="AD5" s="337"/>
      <c r="AE5" s="337"/>
      <c r="AF5" s="337"/>
      <c r="AG5" s="337"/>
      <c r="AH5" s="337"/>
      <c r="AI5" s="337"/>
      <c r="AJ5" s="337"/>
      <c r="AK5" s="337"/>
      <c r="AL5" s="337"/>
      <c r="AM5" s="337"/>
      <c r="AN5" s="337"/>
      <c r="AO5" s="337"/>
      <c r="AP5" s="339"/>
    </row>
    <row r="6">
      <c r="A6" s="325">
        <v>46066.0</v>
      </c>
      <c r="B6" s="326" t="s">
        <v>975</v>
      </c>
      <c r="C6" s="327" t="s">
        <v>45</v>
      </c>
      <c r="D6" s="327" t="s">
        <v>46</v>
      </c>
      <c r="E6" s="327" t="s">
        <v>974</v>
      </c>
      <c r="F6" s="327" t="s">
        <v>68</v>
      </c>
      <c r="G6" s="327" t="s">
        <v>302</v>
      </c>
      <c r="H6" s="327" t="s">
        <v>303</v>
      </c>
      <c r="I6" s="328">
        <v>0.2</v>
      </c>
      <c r="J6" s="329" t="s">
        <v>2980</v>
      </c>
      <c r="K6" s="329">
        <v>0.018</v>
      </c>
      <c r="L6" s="330"/>
      <c r="M6" s="327" t="s">
        <v>975</v>
      </c>
      <c r="N6" s="327" t="s">
        <v>976</v>
      </c>
      <c r="O6" s="327" t="s">
        <v>977</v>
      </c>
      <c r="P6" s="331" t="s">
        <v>978</v>
      </c>
      <c r="Q6" s="327" t="s">
        <v>979</v>
      </c>
      <c r="R6" s="327" t="s">
        <v>980</v>
      </c>
      <c r="S6" s="327" t="s">
        <v>54</v>
      </c>
      <c r="T6" s="327">
        <v>1.5710100039717E13</v>
      </c>
      <c r="U6" s="327" t="s">
        <v>981</v>
      </c>
      <c r="V6" s="327" t="s">
        <v>8004</v>
      </c>
      <c r="W6" s="330"/>
      <c r="X6" s="330"/>
      <c r="Y6" s="330"/>
      <c r="Z6" s="330"/>
      <c r="AA6" s="330"/>
      <c r="AB6" s="330"/>
      <c r="AC6" s="330"/>
      <c r="AD6" s="330"/>
      <c r="AE6" s="330"/>
      <c r="AF6" s="330"/>
      <c r="AG6" s="330"/>
      <c r="AH6" s="330"/>
      <c r="AI6" s="330"/>
      <c r="AJ6" s="330"/>
      <c r="AK6" s="330"/>
      <c r="AL6" s="330"/>
      <c r="AM6" s="330"/>
      <c r="AN6" s="330"/>
      <c r="AO6" s="330"/>
      <c r="AP6" s="332"/>
    </row>
    <row r="7">
      <c r="A7" s="333">
        <v>46066.0</v>
      </c>
      <c r="B7" s="326" t="s">
        <v>983</v>
      </c>
      <c r="C7" s="334" t="s">
        <v>564</v>
      </c>
      <c r="D7" s="334" t="s">
        <v>46</v>
      </c>
      <c r="E7" s="334" t="s">
        <v>986</v>
      </c>
      <c r="F7" s="334" t="s">
        <v>985</v>
      </c>
      <c r="G7" s="334" t="s">
        <v>8003</v>
      </c>
      <c r="H7" s="334" t="s">
        <v>50</v>
      </c>
      <c r="I7" s="335">
        <v>0.2</v>
      </c>
      <c r="J7" s="336" t="s">
        <v>2980</v>
      </c>
      <c r="K7" s="336">
        <v>0.018</v>
      </c>
      <c r="L7" s="337"/>
      <c r="M7" s="334" t="s">
        <v>983</v>
      </c>
      <c r="N7" s="334" t="s">
        <v>986</v>
      </c>
      <c r="O7" s="334" t="s">
        <v>987</v>
      </c>
      <c r="P7" s="338" t="s">
        <v>988</v>
      </c>
      <c r="Q7" s="334" t="s">
        <v>989</v>
      </c>
      <c r="R7" s="334" t="s">
        <v>983</v>
      </c>
      <c r="S7" s="334" t="s">
        <v>796</v>
      </c>
      <c r="T7" s="334">
        <v>1.69602000000386E14</v>
      </c>
      <c r="U7" s="334" t="s">
        <v>990</v>
      </c>
      <c r="V7" s="334" t="s">
        <v>8000</v>
      </c>
      <c r="W7" s="334" t="s">
        <v>57</v>
      </c>
      <c r="X7" s="334" t="s">
        <v>58</v>
      </c>
      <c r="Y7" s="334" t="s">
        <v>57</v>
      </c>
      <c r="Z7" s="334" t="s">
        <v>57</v>
      </c>
      <c r="AA7" s="334" t="s">
        <v>58</v>
      </c>
      <c r="AB7" s="334" t="s">
        <v>58</v>
      </c>
      <c r="AC7" s="341" t="s">
        <v>991</v>
      </c>
      <c r="AD7" s="334" t="s">
        <v>992</v>
      </c>
      <c r="AE7" s="337"/>
      <c r="AF7" s="337"/>
      <c r="AG7" s="337"/>
      <c r="AH7" s="337"/>
      <c r="AI7" s="337"/>
      <c r="AJ7" s="337"/>
      <c r="AK7" s="337"/>
      <c r="AL7" s="337"/>
      <c r="AM7" s="337"/>
      <c r="AN7" s="337"/>
      <c r="AO7" s="337"/>
      <c r="AP7" s="339"/>
    </row>
    <row r="8">
      <c r="A8" s="325">
        <v>46066.0</v>
      </c>
      <c r="B8" s="326" t="s">
        <v>993</v>
      </c>
      <c r="C8" s="327" t="s">
        <v>241</v>
      </c>
      <c r="D8" s="327" t="s">
        <v>46</v>
      </c>
      <c r="E8" s="327" t="s">
        <v>996</v>
      </c>
      <c r="F8" s="327" t="s">
        <v>995</v>
      </c>
      <c r="G8" s="327" t="s">
        <v>903</v>
      </c>
      <c r="H8" s="327" t="s">
        <v>303</v>
      </c>
      <c r="I8" s="328">
        <v>0.12</v>
      </c>
      <c r="J8" s="329" t="s">
        <v>8018</v>
      </c>
      <c r="K8" s="329">
        <v>0.018</v>
      </c>
      <c r="L8" s="330"/>
      <c r="M8" s="327" t="s">
        <v>993</v>
      </c>
      <c r="N8" s="327" t="s">
        <v>996</v>
      </c>
      <c r="O8" s="327" t="s">
        <v>997</v>
      </c>
      <c r="P8" s="331" t="s">
        <v>998</v>
      </c>
      <c r="Q8" s="327" t="s">
        <v>999</v>
      </c>
      <c r="R8" s="327" t="s">
        <v>1000</v>
      </c>
      <c r="S8" s="327" t="s">
        <v>877</v>
      </c>
      <c r="T8" s="327" t="s">
        <v>1001</v>
      </c>
      <c r="U8" s="327" t="s">
        <v>1002</v>
      </c>
      <c r="V8" s="327" t="s">
        <v>8004</v>
      </c>
      <c r="W8" s="330"/>
      <c r="X8" s="330"/>
      <c r="Y8" s="330"/>
      <c r="Z8" s="330"/>
      <c r="AA8" s="330"/>
      <c r="AB8" s="330"/>
      <c r="AC8" s="330"/>
      <c r="AD8" s="330"/>
      <c r="AE8" s="330"/>
      <c r="AF8" s="330"/>
      <c r="AG8" s="330"/>
      <c r="AH8" s="330"/>
      <c r="AI8" s="330"/>
      <c r="AJ8" s="330"/>
      <c r="AK8" s="330"/>
      <c r="AL8" s="330"/>
      <c r="AM8" s="330"/>
      <c r="AN8" s="330"/>
      <c r="AO8" s="330"/>
      <c r="AP8" s="332"/>
    </row>
    <row r="9">
      <c r="A9" s="333">
        <v>46066.0</v>
      </c>
      <c r="B9" s="326" t="s">
        <v>1005</v>
      </c>
      <c r="C9" s="334" t="s">
        <v>241</v>
      </c>
      <c r="D9" s="334" t="s">
        <v>46</v>
      </c>
      <c r="E9" s="334" t="s">
        <v>996</v>
      </c>
      <c r="F9" s="334" t="s">
        <v>997</v>
      </c>
      <c r="G9" s="334" t="s">
        <v>4630</v>
      </c>
      <c r="H9" s="334" t="s">
        <v>303</v>
      </c>
      <c r="I9" s="335">
        <v>0.12</v>
      </c>
      <c r="J9" s="336" t="s">
        <v>8018</v>
      </c>
      <c r="K9" s="336">
        <v>0.018</v>
      </c>
      <c r="L9" s="337"/>
      <c r="M9" s="334" t="s">
        <v>997</v>
      </c>
      <c r="N9" s="334" t="s">
        <v>996</v>
      </c>
      <c r="O9" s="334" t="s">
        <v>997</v>
      </c>
      <c r="P9" s="338" t="s">
        <v>998</v>
      </c>
      <c r="Q9" s="334" t="s">
        <v>999</v>
      </c>
      <c r="R9" s="334" t="s">
        <v>1000</v>
      </c>
      <c r="S9" s="334" t="s">
        <v>877</v>
      </c>
      <c r="T9" s="334" t="s">
        <v>1001</v>
      </c>
      <c r="U9" s="334" t="s">
        <v>1002</v>
      </c>
      <c r="V9" s="334" t="s">
        <v>8004</v>
      </c>
      <c r="W9" s="337"/>
      <c r="X9" s="337"/>
      <c r="Y9" s="337"/>
      <c r="Z9" s="337"/>
      <c r="AA9" s="337"/>
      <c r="AB9" s="337"/>
      <c r="AC9" s="337"/>
      <c r="AD9" s="337"/>
      <c r="AE9" s="337"/>
      <c r="AF9" s="337"/>
      <c r="AG9" s="337"/>
      <c r="AH9" s="337"/>
      <c r="AI9" s="337"/>
      <c r="AJ9" s="337"/>
      <c r="AK9" s="337"/>
      <c r="AL9" s="337"/>
      <c r="AM9" s="337"/>
      <c r="AN9" s="337"/>
      <c r="AO9" s="337"/>
      <c r="AP9" s="339"/>
    </row>
    <row r="10">
      <c r="A10" s="325">
        <v>46066.0</v>
      </c>
      <c r="B10" s="326" t="s">
        <v>7944</v>
      </c>
      <c r="C10" s="327" t="s">
        <v>241</v>
      </c>
      <c r="D10" s="327" t="s">
        <v>46</v>
      </c>
      <c r="E10" s="327" t="s">
        <v>1011</v>
      </c>
      <c r="F10" s="327" t="s">
        <v>1008</v>
      </c>
      <c r="G10" s="327" t="s">
        <v>1009</v>
      </c>
      <c r="H10" s="327" t="s">
        <v>50</v>
      </c>
      <c r="I10" s="327" t="s">
        <v>1010</v>
      </c>
      <c r="J10" s="329" t="s">
        <v>2980</v>
      </c>
      <c r="K10" s="329">
        <v>0.018</v>
      </c>
      <c r="L10" s="330"/>
      <c r="M10" s="327" t="s">
        <v>7944</v>
      </c>
      <c r="N10" s="327" t="s">
        <v>1011</v>
      </c>
      <c r="O10" s="327" t="s">
        <v>1008</v>
      </c>
      <c r="P10" s="331" t="s">
        <v>1012</v>
      </c>
      <c r="Q10" s="327" t="s">
        <v>1013</v>
      </c>
      <c r="R10" s="327" t="s">
        <v>68</v>
      </c>
      <c r="S10" s="327" t="s">
        <v>68</v>
      </c>
      <c r="T10" s="327" t="s">
        <v>68</v>
      </c>
      <c r="U10" s="327" t="s">
        <v>68</v>
      </c>
      <c r="V10" s="327" t="s">
        <v>8000</v>
      </c>
      <c r="W10" s="330"/>
      <c r="X10" s="330"/>
      <c r="Y10" s="330"/>
      <c r="Z10" s="330"/>
      <c r="AA10" s="330"/>
      <c r="AB10" s="330"/>
      <c r="AC10" s="330"/>
      <c r="AD10" s="330"/>
      <c r="AE10" s="330"/>
      <c r="AF10" s="330"/>
      <c r="AG10" s="330"/>
      <c r="AH10" s="330"/>
      <c r="AI10" s="330"/>
      <c r="AJ10" s="330"/>
      <c r="AK10" s="330"/>
      <c r="AL10" s="330"/>
      <c r="AM10" s="330"/>
      <c r="AN10" s="330"/>
      <c r="AO10" s="330"/>
      <c r="AP10" s="332"/>
    </row>
    <row r="11">
      <c r="A11" s="333">
        <v>46066.0</v>
      </c>
      <c r="B11" s="326" t="s">
        <v>1017</v>
      </c>
      <c r="C11" s="334" t="s">
        <v>60</v>
      </c>
      <c r="D11" s="334" t="s">
        <v>46</v>
      </c>
      <c r="E11" s="334" t="s">
        <v>1020</v>
      </c>
      <c r="F11" s="334" t="s">
        <v>1019</v>
      </c>
      <c r="G11" s="334" t="s">
        <v>680</v>
      </c>
      <c r="H11" s="334" t="s">
        <v>390</v>
      </c>
      <c r="I11" s="335">
        <v>0.21</v>
      </c>
      <c r="J11" s="336" t="s">
        <v>2980</v>
      </c>
      <c r="K11" s="336">
        <v>0.018</v>
      </c>
      <c r="L11" s="337"/>
      <c r="M11" s="334" t="s">
        <v>1017</v>
      </c>
      <c r="N11" s="334" t="s">
        <v>1020</v>
      </c>
      <c r="O11" s="334" t="s">
        <v>1021</v>
      </c>
      <c r="P11" s="338" t="s">
        <v>1022</v>
      </c>
      <c r="Q11" s="334" t="s">
        <v>1023</v>
      </c>
      <c r="R11" s="334" t="s">
        <v>1024</v>
      </c>
      <c r="S11" s="334" t="s">
        <v>1014</v>
      </c>
      <c r="T11" s="334">
        <v>5.010001507165E13</v>
      </c>
      <c r="U11" s="334" t="s">
        <v>1025</v>
      </c>
      <c r="V11" s="334" t="s">
        <v>8004</v>
      </c>
      <c r="W11" s="337"/>
      <c r="X11" s="337"/>
      <c r="Y11" s="337"/>
      <c r="Z11" s="337"/>
      <c r="AA11" s="337"/>
      <c r="AB11" s="337"/>
      <c r="AC11" s="337"/>
      <c r="AD11" s="337"/>
      <c r="AE11" s="337"/>
      <c r="AF11" s="337"/>
      <c r="AG11" s="337"/>
      <c r="AH11" s="337"/>
      <c r="AI11" s="337"/>
      <c r="AJ11" s="337"/>
      <c r="AK11" s="337"/>
      <c r="AL11" s="337"/>
      <c r="AM11" s="337"/>
      <c r="AN11" s="337"/>
      <c r="AO11" s="337"/>
      <c r="AP11" s="339"/>
    </row>
    <row r="12">
      <c r="A12" s="325">
        <v>46066.0</v>
      </c>
      <c r="B12" s="326" t="s">
        <v>1027</v>
      </c>
      <c r="C12" s="327" t="s">
        <v>96</v>
      </c>
      <c r="D12" s="327" t="s">
        <v>46</v>
      </c>
      <c r="E12" s="327" t="s">
        <v>8019</v>
      </c>
      <c r="F12" s="327" t="s">
        <v>1029</v>
      </c>
      <c r="G12" s="327" t="s">
        <v>1105</v>
      </c>
      <c r="H12" s="327" t="s">
        <v>50</v>
      </c>
      <c r="I12" s="327" t="s">
        <v>1010</v>
      </c>
      <c r="J12" s="329" t="s">
        <v>2980</v>
      </c>
      <c r="K12" s="329">
        <v>0.018</v>
      </c>
      <c r="L12" s="330"/>
      <c r="M12" s="327" t="s">
        <v>1027</v>
      </c>
      <c r="N12" s="327" t="s">
        <v>8019</v>
      </c>
      <c r="O12" s="327" t="s">
        <v>1031</v>
      </c>
      <c r="P12" s="331" t="s">
        <v>1032</v>
      </c>
      <c r="Q12" s="327" t="s">
        <v>1033</v>
      </c>
      <c r="R12" s="327" t="s">
        <v>1034</v>
      </c>
      <c r="S12" s="327" t="s">
        <v>131</v>
      </c>
      <c r="T12" s="327">
        <v>6.2092826288E10</v>
      </c>
      <c r="U12" s="327" t="s">
        <v>1035</v>
      </c>
      <c r="V12" s="327" t="s">
        <v>8004</v>
      </c>
      <c r="W12" s="327" t="s">
        <v>57</v>
      </c>
      <c r="X12" s="327" t="s">
        <v>58</v>
      </c>
      <c r="Y12" s="327" t="s">
        <v>57</v>
      </c>
      <c r="Z12" s="327" t="s">
        <v>58</v>
      </c>
      <c r="AA12" s="327" t="s">
        <v>58</v>
      </c>
      <c r="AB12" s="327" t="s">
        <v>58</v>
      </c>
      <c r="AC12" s="342" t="s">
        <v>1036</v>
      </c>
      <c r="AD12" s="330"/>
      <c r="AE12" s="330"/>
      <c r="AF12" s="330"/>
      <c r="AG12" s="330"/>
      <c r="AH12" s="330"/>
      <c r="AI12" s="330"/>
      <c r="AJ12" s="330"/>
      <c r="AK12" s="330"/>
      <c r="AL12" s="330"/>
      <c r="AM12" s="330"/>
      <c r="AN12" s="330"/>
      <c r="AO12" s="330"/>
      <c r="AP12" s="332"/>
    </row>
    <row r="13">
      <c r="A13" s="333">
        <v>46066.0</v>
      </c>
      <c r="B13" s="326" t="s">
        <v>1056</v>
      </c>
      <c r="C13" s="334" t="s">
        <v>73</v>
      </c>
      <c r="D13" s="334" t="s">
        <v>46</v>
      </c>
      <c r="E13" s="334" t="s">
        <v>8020</v>
      </c>
      <c r="F13" s="334" t="s">
        <v>1058</v>
      </c>
      <c r="G13" s="334" t="s">
        <v>1165</v>
      </c>
      <c r="H13" s="334" t="s">
        <v>390</v>
      </c>
      <c r="I13" s="335">
        <v>0.22</v>
      </c>
      <c r="J13" s="336" t="s">
        <v>2980</v>
      </c>
      <c r="K13" s="336">
        <v>0.018</v>
      </c>
      <c r="L13" s="337"/>
      <c r="M13" s="334" t="s">
        <v>1056</v>
      </c>
      <c r="N13" s="334" t="s">
        <v>610</v>
      </c>
      <c r="O13" s="334" t="s">
        <v>1058</v>
      </c>
      <c r="P13" s="338" t="s">
        <v>1059</v>
      </c>
      <c r="Q13" s="334" t="s">
        <v>1060</v>
      </c>
      <c r="R13" s="334" t="s">
        <v>1061</v>
      </c>
      <c r="S13" s="334" t="s">
        <v>1014</v>
      </c>
      <c r="T13" s="334">
        <v>5.0100504584589E13</v>
      </c>
      <c r="U13" s="334" t="s">
        <v>1062</v>
      </c>
      <c r="V13" s="334" t="s">
        <v>8004</v>
      </c>
      <c r="W13" s="337"/>
      <c r="X13" s="337"/>
      <c r="Y13" s="337"/>
      <c r="Z13" s="337"/>
      <c r="AA13" s="337"/>
      <c r="AB13" s="337"/>
      <c r="AC13" s="337"/>
      <c r="AD13" s="337"/>
      <c r="AE13" s="337"/>
      <c r="AF13" s="337"/>
      <c r="AG13" s="337"/>
      <c r="AH13" s="337"/>
      <c r="AI13" s="337"/>
      <c r="AJ13" s="337"/>
      <c r="AK13" s="337"/>
      <c r="AL13" s="337"/>
      <c r="AM13" s="337"/>
      <c r="AN13" s="337"/>
      <c r="AO13" s="337"/>
      <c r="AP13" s="339"/>
    </row>
    <row r="14">
      <c r="A14" s="325">
        <v>46066.0</v>
      </c>
      <c r="B14" s="326" t="s">
        <v>1067</v>
      </c>
      <c r="C14" s="327" t="s">
        <v>564</v>
      </c>
      <c r="D14" s="327" t="s">
        <v>46</v>
      </c>
      <c r="E14" s="327" t="s">
        <v>1068</v>
      </c>
      <c r="F14" s="327" t="s">
        <v>1066</v>
      </c>
      <c r="G14" s="327" t="s">
        <v>487</v>
      </c>
      <c r="H14" s="327" t="s">
        <v>161</v>
      </c>
      <c r="I14" s="328">
        <v>0.2</v>
      </c>
      <c r="J14" s="329" t="s">
        <v>2980</v>
      </c>
      <c r="K14" s="329">
        <v>0.018</v>
      </c>
      <c r="L14" s="330"/>
      <c r="M14" s="327" t="s">
        <v>1067</v>
      </c>
      <c r="N14" s="327" t="s">
        <v>1068</v>
      </c>
      <c r="O14" s="327" t="s">
        <v>1069</v>
      </c>
      <c r="P14" s="331" t="s">
        <v>1070</v>
      </c>
      <c r="Q14" s="327" t="s">
        <v>1071</v>
      </c>
      <c r="R14" s="327" t="s">
        <v>1067</v>
      </c>
      <c r="S14" s="327" t="s">
        <v>1072</v>
      </c>
      <c r="T14" s="327">
        <v>2.0003005621E10</v>
      </c>
      <c r="U14" s="327" t="s">
        <v>1073</v>
      </c>
      <c r="V14" s="327" t="s">
        <v>8000</v>
      </c>
      <c r="W14" s="327" t="s">
        <v>57</v>
      </c>
      <c r="X14" s="327" t="s">
        <v>58</v>
      </c>
      <c r="Y14" s="327" t="s">
        <v>57</v>
      </c>
      <c r="Z14" s="327" t="s">
        <v>57</v>
      </c>
      <c r="AA14" s="327" t="s">
        <v>58</v>
      </c>
      <c r="AB14" s="327" t="s">
        <v>57</v>
      </c>
      <c r="AC14" s="342" t="s">
        <v>1074</v>
      </c>
      <c r="AD14" s="327" t="s">
        <v>1075</v>
      </c>
      <c r="AE14" s="330"/>
      <c r="AF14" s="330"/>
      <c r="AG14" s="330"/>
      <c r="AH14" s="330"/>
      <c r="AI14" s="330"/>
      <c r="AJ14" s="330"/>
      <c r="AK14" s="330"/>
      <c r="AL14" s="330"/>
      <c r="AM14" s="330"/>
      <c r="AN14" s="330"/>
      <c r="AO14" s="330"/>
      <c r="AP14" s="332"/>
    </row>
    <row r="15">
      <c r="A15" s="333">
        <v>46066.0</v>
      </c>
      <c r="B15" s="326" t="s">
        <v>1080</v>
      </c>
      <c r="C15" s="334" t="s">
        <v>248</v>
      </c>
      <c r="D15" s="334" t="s">
        <v>46</v>
      </c>
      <c r="E15" s="334" t="s">
        <v>8021</v>
      </c>
      <c r="F15" s="334" t="s">
        <v>1078</v>
      </c>
      <c r="G15" s="334" t="s">
        <v>1105</v>
      </c>
      <c r="H15" s="334" t="s">
        <v>303</v>
      </c>
      <c r="I15" s="335">
        <v>0.22</v>
      </c>
      <c r="J15" s="336" t="s">
        <v>2980</v>
      </c>
      <c r="K15" s="336">
        <v>0.018</v>
      </c>
      <c r="L15" s="337"/>
      <c r="M15" s="334" t="s">
        <v>1080</v>
      </c>
      <c r="N15" s="334" t="s">
        <v>1081</v>
      </c>
      <c r="O15" s="334" t="s">
        <v>1078</v>
      </c>
      <c r="P15" s="338" t="s">
        <v>1082</v>
      </c>
      <c r="Q15" s="334" t="s">
        <v>1083</v>
      </c>
      <c r="R15" s="334" t="s">
        <v>1084</v>
      </c>
      <c r="S15" s="334" t="s">
        <v>919</v>
      </c>
      <c r="T15" s="334">
        <v>3.9310150087E11</v>
      </c>
      <c r="U15" s="334" t="s">
        <v>68</v>
      </c>
      <c r="V15" s="334" t="s">
        <v>8004</v>
      </c>
      <c r="W15" s="334" t="s">
        <v>57</v>
      </c>
      <c r="X15" s="334" t="s">
        <v>58</v>
      </c>
      <c r="Y15" s="334" t="s">
        <v>57</v>
      </c>
      <c r="Z15" s="334" t="s">
        <v>57</v>
      </c>
      <c r="AA15" s="334" t="s">
        <v>58</v>
      </c>
      <c r="AB15" s="334" t="s">
        <v>58</v>
      </c>
      <c r="AC15" s="337"/>
      <c r="AD15" s="337"/>
      <c r="AE15" s="337"/>
      <c r="AF15" s="337"/>
      <c r="AG15" s="337"/>
      <c r="AH15" s="337"/>
      <c r="AI15" s="337"/>
      <c r="AJ15" s="337"/>
      <c r="AK15" s="337"/>
      <c r="AL15" s="337"/>
      <c r="AM15" s="337"/>
      <c r="AN15" s="337"/>
      <c r="AO15" s="337"/>
      <c r="AP15" s="339"/>
    </row>
    <row r="16">
      <c r="A16" s="343">
        <v>46066.0</v>
      </c>
      <c r="B16" s="344" t="s">
        <v>1086</v>
      </c>
      <c r="C16" s="327" t="s">
        <v>60</v>
      </c>
      <c r="D16" s="327" t="s">
        <v>46</v>
      </c>
      <c r="E16" s="327" t="s">
        <v>8022</v>
      </c>
      <c r="F16" s="327" t="s">
        <v>1088</v>
      </c>
      <c r="G16" s="327" t="s">
        <v>680</v>
      </c>
      <c r="H16" s="327" t="s">
        <v>390</v>
      </c>
      <c r="I16" s="328">
        <v>0.21</v>
      </c>
      <c r="J16" s="329" t="s">
        <v>2980</v>
      </c>
      <c r="K16" s="329">
        <v>0.018</v>
      </c>
      <c r="L16" s="330"/>
      <c r="M16" s="327" t="s">
        <v>1086</v>
      </c>
      <c r="N16" s="327" t="s">
        <v>1089</v>
      </c>
      <c r="O16" s="327" t="s">
        <v>1088</v>
      </c>
      <c r="P16" s="331" t="s">
        <v>1022</v>
      </c>
      <c r="Q16" s="327" t="s">
        <v>1023</v>
      </c>
      <c r="R16" s="327" t="s">
        <v>1088</v>
      </c>
      <c r="S16" s="327" t="s">
        <v>131</v>
      </c>
      <c r="T16" s="327">
        <v>4.3288896643E10</v>
      </c>
      <c r="U16" s="327" t="s">
        <v>1090</v>
      </c>
      <c r="V16" s="327" t="s">
        <v>8004</v>
      </c>
      <c r="W16" s="330"/>
      <c r="X16" s="330"/>
      <c r="Y16" s="330"/>
      <c r="Z16" s="330"/>
      <c r="AA16" s="330"/>
      <c r="AB16" s="330"/>
      <c r="AC16" s="330"/>
      <c r="AD16" s="330"/>
      <c r="AE16" s="330"/>
      <c r="AF16" s="330"/>
      <c r="AG16" s="330"/>
      <c r="AH16" s="330"/>
      <c r="AI16" s="330"/>
      <c r="AJ16" s="330"/>
      <c r="AK16" s="330"/>
      <c r="AL16" s="330"/>
      <c r="AM16" s="330"/>
      <c r="AN16" s="330"/>
      <c r="AO16" s="330"/>
      <c r="AP16" s="332"/>
    </row>
    <row r="17">
      <c r="A17" s="333">
        <v>46066.0</v>
      </c>
      <c r="B17" s="326" t="s">
        <v>1095</v>
      </c>
      <c r="C17" s="334" t="s">
        <v>241</v>
      </c>
      <c r="D17" s="334" t="s">
        <v>46</v>
      </c>
      <c r="E17" s="334" t="s">
        <v>1096</v>
      </c>
      <c r="F17" s="334" t="s">
        <v>1094</v>
      </c>
      <c r="G17" s="334" t="s">
        <v>4630</v>
      </c>
      <c r="H17" s="334" t="s">
        <v>303</v>
      </c>
      <c r="I17" s="335">
        <v>0.22</v>
      </c>
      <c r="J17" s="336" t="s">
        <v>2980</v>
      </c>
      <c r="K17" s="336">
        <v>0.018</v>
      </c>
      <c r="L17" s="337"/>
      <c r="M17" s="334" t="s">
        <v>1095</v>
      </c>
      <c r="N17" s="334" t="s">
        <v>1096</v>
      </c>
      <c r="O17" s="334" t="s">
        <v>1094</v>
      </c>
      <c r="P17" s="338" t="s">
        <v>1097</v>
      </c>
      <c r="Q17" s="334" t="s">
        <v>1098</v>
      </c>
      <c r="R17" s="334" t="s">
        <v>1094</v>
      </c>
      <c r="S17" s="334" t="s">
        <v>1099</v>
      </c>
      <c r="T17" s="334">
        <v>2.1100110041208E13</v>
      </c>
      <c r="U17" s="334" t="s">
        <v>1100</v>
      </c>
      <c r="V17" s="334" t="s">
        <v>8004</v>
      </c>
      <c r="W17" s="337"/>
      <c r="X17" s="337"/>
      <c r="Y17" s="337"/>
      <c r="Z17" s="337"/>
      <c r="AA17" s="337"/>
      <c r="AB17" s="337"/>
      <c r="AC17" s="337"/>
      <c r="AD17" s="337"/>
      <c r="AE17" s="337"/>
      <c r="AF17" s="337"/>
      <c r="AG17" s="337"/>
      <c r="AH17" s="337"/>
      <c r="AI17" s="337"/>
      <c r="AJ17" s="337"/>
      <c r="AK17" s="337"/>
      <c r="AL17" s="337"/>
      <c r="AM17" s="337"/>
      <c r="AN17" s="337"/>
      <c r="AO17" s="337"/>
      <c r="AP17" s="339"/>
    </row>
    <row r="18">
      <c r="A18" s="325">
        <v>46066.0</v>
      </c>
      <c r="B18" s="326" t="s">
        <v>1102</v>
      </c>
      <c r="C18" s="327" t="s">
        <v>96</v>
      </c>
      <c r="D18" s="327" t="s">
        <v>46</v>
      </c>
      <c r="E18" s="327" t="s">
        <v>1103</v>
      </c>
      <c r="F18" s="327" t="s">
        <v>1104</v>
      </c>
      <c r="G18" s="327" t="s">
        <v>1105</v>
      </c>
      <c r="H18" s="327" t="s">
        <v>50</v>
      </c>
      <c r="I18" s="328">
        <v>0.23</v>
      </c>
      <c r="J18" s="329" t="s">
        <v>2980</v>
      </c>
      <c r="K18" s="329">
        <v>0.018</v>
      </c>
      <c r="L18" s="330"/>
      <c r="M18" s="327" t="s">
        <v>1102</v>
      </c>
      <c r="N18" s="327" t="s">
        <v>1105</v>
      </c>
      <c r="O18" s="327" t="s">
        <v>1106</v>
      </c>
      <c r="P18" s="331" t="s">
        <v>1107</v>
      </c>
      <c r="Q18" s="327" t="s">
        <v>1108</v>
      </c>
      <c r="R18" s="327" t="s">
        <v>1109</v>
      </c>
      <c r="S18" s="327" t="s">
        <v>1110</v>
      </c>
      <c r="T18" s="327">
        <v>1.57002000000978E14</v>
      </c>
      <c r="U18" s="327" t="s">
        <v>1111</v>
      </c>
      <c r="V18" s="327" t="s">
        <v>8000</v>
      </c>
      <c r="W18" s="327" t="s">
        <v>57</v>
      </c>
      <c r="X18" s="327" t="s">
        <v>57</v>
      </c>
      <c r="Y18" s="327" t="s">
        <v>57</v>
      </c>
      <c r="Z18" s="327" t="s">
        <v>57</v>
      </c>
      <c r="AA18" s="327" t="s">
        <v>58</v>
      </c>
      <c r="AB18" s="327" t="s">
        <v>58</v>
      </c>
      <c r="AC18" s="342" t="s">
        <v>1112</v>
      </c>
      <c r="AD18" s="330"/>
      <c r="AE18" s="330"/>
      <c r="AF18" s="330"/>
      <c r="AG18" s="330"/>
      <c r="AH18" s="330"/>
      <c r="AI18" s="330"/>
      <c r="AJ18" s="330"/>
      <c r="AK18" s="330"/>
      <c r="AL18" s="330"/>
      <c r="AM18" s="330"/>
      <c r="AN18" s="330"/>
      <c r="AO18" s="330"/>
      <c r="AP18" s="332"/>
    </row>
    <row r="20">
      <c r="B20" s="278" t="s">
        <v>8023</v>
      </c>
      <c r="C20" s="278" t="s">
        <v>8013</v>
      </c>
    </row>
    <row r="21">
      <c r="B21" s="278" t="s">
        <v>1039</v>
      </c>
      <c r="C21" s="278" t="s">
        <v>8024</v>
      </c>
    </row>
    <row r="22">
      <c r="B22" s="278" t="s">
        <v>8025</v>
      </c>
      <c r="C22" s="278" t="s">
        <v>1863</v>
      </c>
    </row>
    <row r="23">
      <c r="A23" s="278">
        <v>1.0</v>
      </c>
      <c r="B23" s="278" t="s">
        <v>8026</v>
      </c>
      <c r="C23" s="278" t="s">
        <v>8027</v>
      </c>
    </row>
    <row r="24">
      <c r="B24" s="278" t="s">
        <v>8028</v>
      </c>
      <c r="C24" s="278" t="s">
        <v>8024</v>
      </c>
      <c r="D24" s="345">
        <v>46074.0</v>
      </c>
    </row>
    <row r="25">
      <c r="A25" s="278">
        <v>1.0</v>
      </c>
      <c r="B25" s="278" t="s">
        <v>8029</v>
      </c>
      <c r="C25" s="278" t="s">
        <v>8024</v>
      </c>
    </row>
    <row r="26">
      <c r="B26" s="278" t="s">
        <v>4397</v>
      </c>
    </row>
  </sheetData>
  <autoFilter ref="$A$1:$BJ$18">
    <sortState ref="A1:BJ18">
      <sortCondition ref="B1:B18"/>
    </sortState>
  </autoFilter>
  <hyperlinks>
    <hyperlink r:id="rId1" ref="AC7"/>
    <hyperlink r:id="rId2" ref="AC12"/>
    <hyperlink r:id="rId3" ref="AC14"/>
    <hyperlink r:id="rId4" ref="AC18"/>
  </hyperlinks>
  <drawing r:id="rId5"/>
</worksheet>
</file>